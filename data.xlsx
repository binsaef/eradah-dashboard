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X:\محمد الرشيدي\تطوير لوحة مؤشرات أداء المراكز\"/>
    </mc:Choice>
  </mc:AlternateContent>
  <xr:revisionPtr revIDLastSave="0" documentId="13_ncr:1_{B25F3139-3682-419E-BF85-8A77B25A8E4D}" xr6:coauthVersionLast="47" xr6:coauthVersionMax="47" xr10:uidLastSave="{00000000-0000-0000-0000-000000000000}"/>
  <workbookProtection workbookAlgorithmName="SHA-512" workbookHashValue="hKenKe1AtAJzdFckgwpRbgCu89iVybp4LIITWP1GvdvQTSofr62wktw4l8YyRvo01LFelbRCsNZKvhbXimKOcQ==" workbookSaltValue="Rn9Xd/5almQco7+mxRMEVg==" workbookSpinCount="100000" lockStructure="1"/>
  <bookViews>
    <workbookView xWindow="-120" yWindow="-120" windowWidth="29040" windowHeight="15990" activeTab="5" xr2:uid="{00000000-000D-0000-FFFF-FFFF00000000}"/>
  </bookViews>
  <sheets>
    <sheet name="الموظفين" sheetId="2" r:id="rId1"/>
    <sheet name="المستفيدين" sheetId="1" r:id="rId2"/>
    <sheet name="تشخيص الحالات" sheetId="12" r:id="rId3"/>
    <sheet name="الجلسات" sheetId="7" r:id="rId4"/>
    <sheet name="جدول الغياب" sheetId="9" r:id="rId5"/>
    <sheet name="الحالة الإدارية" sheetId="11" r:id="rId6"/>
    <sheet name="التحصيل" sheetId="8" r:id="rId7"/>
    <sheet name="القوائم المرجعية" sheetId="5" r:id="rId8"/>
  </sheets>
  <definedNames>
    <definedName name="_xlnm._FilterDatabase" localSheetId="7" hidden="1">'القوائم المرجعية'!#REF!</definedName>
    <definedName name="lst_AbsenceReason">#REF!</definedName>
    <definedName name="lst_AttendanceType">#REF!</definedName>
    <definedName name="lst_BeneficiaryStatus">#REF!</definedName>
    <definedName name="lst_Centers">#REF!</definedName>
    <definedName name="lst_Companion">#REF!</definedName>
    <definedName name="lst_Diagnosis">tbl_Lists_1[التشخيص]</definedName>
    <definedName name="lst_EmployeeStatus">#REF!</definedName>
    <definedName name="lst_FeeType">tbl_Lists #REF!</definedName>
    <definedName name="lst_Gender">#REF!</definedName>
    <definedName name="lst_JobTitles">#REF!</definedName>
    <definedName name="lst_Levels">#REF!</definedName>
    <definedName name="lst_LocationSpecialty">#REF!</definedName>
    <definedName name="lst_LocationType">#REF!</definedName>
    <definedName name="lst_Period">#REF!</definedName>
    <definedName name="lst_ProgramMode">#REF!</definedName>
    <definedName name="lst_ServiceCategory">#REF!</definedName>
    <definedName name="lst_Services">#REF!</definedName>
    <definedName name="lst_SessionStatus">#REF!</definedName>
    <definedName name="lst_SessionType">#REF!</definedName>
    <definedName name="lst_Severity">#REF!</definedName>
    <definedName name="lst_Specializations">#REF!</definedName>
    <definedName name="lst_StatusType">#REF!</definedName>
    <definedName name="lst_Tracks">#REF!</definedName>
    <definedName name="قائمة_جلسة">'القوائم المرجعية'!$L$5:$L$10</definedName>
    <definedName name="قائمة_خدمة">'القوائم المرجعية'!$U$5:$U$8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" i="11" l="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F493" i="12"/>
  <c r="F492" i="12"/>
  <c r="F491" i="12"/>
  <c r="F490" i="12"/>
  <c r="F489" i="12"/>
  <c r="F488" i="12"/>
  <c r="F487" i="12"/>
  <c r="F486" i="12"/>
  <c r="F485" i="12"/>
  <c r="F484" i="12"/>
  <c r="F483" i="12"/>
  <c r="F482" i="12"/>
  <c r="F481" i="12"/>
  <c r="F480" i="12"/>
  <c r="F479" i="12"/>
  <c r="F478" i="12"/>
  <c r="F477" i="12"/>
  <c r="F476" i="12"/>
  <c r="F475" i="12"/>
  <c r="F474" i="12"/>
  <c r="F473" i="12"/>
  <c r="F472" i="12"/>
  <c r="F471" i="12"/>
  <c r="F470" i="12"/>
  <c r="F469" i="12"/>
  <c r="F468" i="12"/>
  <c r="F467" i="12"/>
  <c r="F466" i="12"/>
  <c r="F465" i="12"/>
  <c r="F464" i="12"/>
  <c r="F463" i="12"/>
  <c r="F462" i="12"/>
  <c r="F461" i="12"/>
  <c r="F460" i="12"/>
  <c r="F459" i="12"/>
  <c r="F458" i="12"/>
  <c r="F457" i="12"/>
  <c r="F456" i="12"/>
  <c r="F455" i="12"/>
  <c r="F454" i="12"/>
  <c r="F453" i="12"/>
  <c r="F452" i="12"/>
  <c r="F451" i="12"/>
  <c r="F450" i="12"/>
  <c r="F449" i="12"/>
  <c r="F448" i="12"/>
  <c r="F447" i="12"/>
  <c r="F446" i="12"/>
  <c r="F445" i="12"/>
  <c r="F444" i="12"/>
  <c r="F443" i="12"/>
  <c r="F442" i="12"/>
  <c r="F441" i="12"/>
  <c r="F440" i="12"/>
  <c r="F439" i="12"/>
  <c r="F438" i="12"/>
  <c r="F437" i="12"/>
  <c r="F436" i="12"/>
  <c r="F435" i="12"/>
  <c r="F434" i="12"/>
  <c r="F433" i="12"/>
  <c r="F432" i="12"/>
  <c r="F431" i="12"/>
  <c r="F430" i="12"/>
  <c r="F429" i="12"/>
  <c r="F428" i="12"/>
  <c r="F427" i="12"/>
  <c r="F426" i="12"/>
  <c r="F425" i="12"/>
  <c r="F424" i="12"/>
  <c r="F423" i="12"/>
  <c r="F422" i="12"/>
  <c r="F421" i="12"/>
  <c r="F420" i="12"/>
  <c r="F419" i="12"/>
  <c r="F418" i="12"/>
  <c r="F417" i="12"/>
  <c r="F416" i="12"/>
  <c r="F415" i="12"/>
  <c r="F414" i="12"/>
  <c r="F413" i="12"/>
  <c r="F412" i="12"/>
  <c r="F411" i="12"/>
  <c r="F410" i="12"/>
  <c r="F409" i="12"/>
  <c r="F408" i="12"/>
  <c r="F407" i="12"/>
  <c r="F406" i="12"/>
  <c r="F405" i="12"/>
  <c r="F404" i="12"/>
  <c r="F403" i="12"/>
  <c r="F402" i="12"/>
  <c r="F401" i="12"/>
  <c r="F400" i="12"/>
  <c r="F399" i="12"/>
  <c r="F398" i="12"/>
  <c r="F397" i="12"/>
  <c r="F396" i="12"/>
  <c r="F395" i="12"/>
  <c r="F394" i="12"/>
  <c r="F393" i="12"/>
  <c r="F392" i="12"/>
  <c r="F391" i="12"/>
  <c r="F390" i="12"/>
  <c r="F389" i="12"/>
  <c r="F388" i="12"/>
  <c r="F387" i="12"/>
  <c r="F386" i="12"/>
  <c r="F385" i="12"/>
  <c r="F384" i="12"/>
  <c r="F383" i="12"/>
  <c r="F382" i="12"/>
  <c r="F381" i="12"/>
  <c r="F380" i="12"/>
  <c r="F379" i="12"/>
  <c r="F378" i="12"/>
  <c r="F377" i="12"/>
  <c r="F376" i="12"/>
  <c r="F375" i="12"/>
  <c r="F374" i="12"/>
  <c r="F373" i="12"/>
  <c r="F372" i="12"/>
  <c r="F371" i="12"/>
  <c r="F370" i="12"/>
  <c r="F369" i="12"/>
  <c r="F368" i="12"/>
  <c r="F367" i="12"/>
  <c r="F366" i="12"/>
  <c r="F365" i="12"/>
  <c r="F364" i="12"/>
  <c r="F363" i="12"/>
  <c r="F362" i="12"/>
  <c r="F361" i="12"/>
  <c r="F360" i="12"/>
  <c r="F359" i="12"/>
  <c r="F358" i="12"/>
  <c r="F357" i="12"/>
  <c r="F356" i="12"/>
  <c r="F355" i="12"/>
  <c r="F354" i="12"/>
  <c r="F353" i="12"/>
  <c r="F352" i="12"/>
  <c r="F351" i="12"/>
  <c r="F350" i="12"/>
  <c r="F349" i="12"/>
  <c r="F348" i="12"/>
  <c r="F347" i="12"/>
  <c r="F346" i="12"/>
  <c r="F345" i="12"/>
  <c r="F344" i="12"/>
  <c r="F343" i="12"/>
  <c r="F342" i="12"/>
  <c r="F341" i="12"/>
  <c r="F340" i="12"/>
  <c r="F339" i="12"/>
  <c r="F338" i="12"/>
  <c r="F337" i="12"/>
  <c r="F336" i="12"/>
  <c r="F335" i="12"/>
  <c r="F334" i="12"/>
  <c r="F333" i="12"/>
  <c r="F332" i="12"/>
  <c r="F331" i="12"/>
  <c r="F330" i="12"/>
  <c r="F329" i="12"/>
  <c r="F328" i="12"/>
  <c r="F327" i="12"/>
  <c r="F326" i="12"/>
  <c r="F325" i="12"/>
  <c r="F324" i="12"/>
  <c r="F323" i="12"/>
  <c r="F322" i="12"/>
  <c r="F321" i="12"/>
  <c r="F320" i="12"/>
  <c r="F319" i="12"/>
  <c r="F318" i="12"/>
  <c r="F317" i="12"/>
  <c r="F316" i="12"/>
  <c r="F315" i="12"/>
  <c r="F314" i="12"/>
  <c r="F313" i="12"/>
  <c r="F312" i="12"/>
  <c r="F311" i="12"/>
  <c r="F310" i="12"/>
  <c r="F309" i="12"/>
  <c r="F308" i="12"/>
  <c r="F307" i="12"/>
  <c r="F306" i="12"/>
  <c r="F305" i="12"/>
  <c r="F304" i="12"/>
  <c r="F303" i="12"/>
  <c r="F302" i="12"/>
  <c r="F301" i="12"/>
  <c r="F300" i="12"/>
  <c r="F299" i="12"/>
  <c r="F298" i="12"/>
  <c r="F297" i="12"/>
  <c r="F296" i="12"/>
  <c r="F295" i="12"/>
  <c r="F294" i="12"/>
  <c r="F293" i="12"/>
  <c r="F292" i="12"/>
  <c r="F291" i="12"/>
  <c r="F290" i="12"/>
  <c r="F289" i="12"/>
  <c r="F288" i="12"/>
  <c r="F287" i="12"/>
  <c r="F286" i="12"/>
  <c r="F285" i="12"/>
  <c r="F284" i="12"/>
  <c r="F283" i="12"/>
  <c r="F282" i="12"/>
  <c r="F281" i="12"/>
  <c r="F280" i="12"/>
  <c r="F279" i="12"/>
  <c r="F278" i="12"/>
  <c r="F277" i="12"/>
  <c r="F276" i="12"/>
  <c r="F275" i="12"/>
  <c r="F274" i="12"/>
  <c r="F273" i="12"/>
  <c r="F272" i="12"/>
  <c r="F271" i="12"/>
  <c r="F270" i="12"/>
  <c r="F269" i="12"/>
  <c r="F268" i="12"/>
  <c r="F267" i="12"/>
  <c r="F266" i="12"/>
  <c r="F265" i="12"/>
  <c r="F264" i="12"/>
  <c r="F263" i="12"/>
  <c r="F262" i="12"/>
  <c r="F261" i="12"/>
  <c r="F260" i="12"/>
  <c r="F259" i="12"/>
  <c r="F258" i="12"/>
  <c r="F257" i="12"/>
  <c r="F256" i="12"/>
  <c r="F255" i="12"/>
  <c r="F254" i="12"/>
  <c r="F253" i="12"/>
  <c r="F252" i="12"/>
  <c r="F251" i="12"/>
  <c r="F250" i="12"/>
  <c r="F249" i="12"/>
  <c r="F248" i="12"/>
  <c r="F247" i="12"/>
  <c r="F246" i="12"/>
  <c r="F245" i="12"/>
  <c r="F244" i="12"/>
  <c r="F243" i="12"/>
  <c r="F242" i="12"/>
  <c r="F241" i="12"/>
  <c r="F240" i="12"/>
  <c r="F239" i="12"/>
  <c r="F238" i="12"/>
  <c r="F237" i="12"/>
  <c r="F236" i="12"/>
  <c r="F235" i="12"/>
  <c r="F234" i="12"/>
  <c r="F233" i="12"/>
  <c r="F232" i="12"/>
  <c r="F231" i="12"/>
  <c r="F230" i="12"/>
  <c r="F229" i="12"/>
  <c r="F228" i="12"/>
  <c r="F227" i="12"/>
  <c r="F226" i="12"/>
  <c r="F225" i="12"/>
  <c r="F224" i="12"/>
  <c r="F223" i="12"/>
  <c r="F222" i="12"/>
  <c r="F221" i="12"/>
  <c r="F220" i="12"/>
  <c r="F219" i="12"/>
  <c r="F218" i="12"/>
  <c r="F217" i="12"/>
  <c r="F216" i="12"/>
  <c r="F215" i="12"/>
  <c r="F214" i="12"/>
  <c r="F213" i="12"/>
  <c r="F212" i="12"/>
  <c r="F211" i="12"/>
  <c r="F210" i="12"/>
  <c r="F209" i="12"/>
  <c r="F208" i="12"/>
  <c r="F207" i="12"/>
  <c r="F206" i="12"/>
  <c r="F205" i="12"/>
  <c r="F204" i="12"/>
  <c r="F203" i="12"/>
  <c r="F202" i="12"/>
  <c r="F201" i="12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G1501" i="7"/>
  <c r="G1500" i="7"/>
  <c r="G1499" i="7"/>
  <c r="G1498" i="7"/>
  <c r="G1497" i="7"/>
  <c r="G1496" i="7"/>
  <c r="G1495" i="7"/>
  <c r="G1494" i="7"/>
  <c r="G1493" i="7"/>
  <c r="G1492" i="7"/>
  <c r="G1491" i="7"/>
  <c r="G1490" i="7"/>
  <c r="G1489" i="7"/>
  <c r="G1488" i="7"/>
  <c r="G1487" i="7"/>
  <c r="G1486" i="7"/>
  <c r="G1485" i="7"/>
  <c r="G1484" i="7"/>
  <c r="G1483" i="7"/>
  <c r="G1482" i="7"/>
  <c r="G1481" i="7"/>
  <c r="G1480" i="7"/>
  <c r="G1479" i="7"/>
  <c r="G1478" i="7"/>
  <c r="G1477" i="7"/>
  <c r="G1476" i="7"/>
  <c r="G1475" i="7"/>
  <c r="G1474" i="7"/>
  <c r="G1473" i="7"/>
  <c r="G1472" i="7"/>
  <c r="G1471" i="7"/>
  <c r="G1470" i="7"/>
  <c r="G1469" i="7"/>
  <c r="G1468" i="7"/>
  <c r="G1467" i="7"/>
  <c r="G1466" i="7"/>
  <c r="G1465" i="7"/>
  <c r="G1464" i="7"/>
  <c r="G1463" i="7"/>
  <c r="G1462" i="7"/>
  <c r="G1461" i="7"/>
  <c r="G1460" i="7"/>
  <c r="G1459" i="7"/>
  <c r="G1458" i="7"/>
  <c r="G1457" i="7"/>
  <c r="G1456" i="7"/>
  <c r="G1455" i="7"/>
  <c r="G1454" i="7"/>
  <c r="G1453" i="7"/>
  <c r="G1452" i="7"/>
  <c r="G1451" i="7"/>
  <c r="G1450" i="7"/>
  <c r="G1449" i="7"/>
  <c r="G1448" i="7"/>
  <c r="G1447" i="7"/>
  <c r="G1446" i="7"/>
  <c r="G1445" i="7"/>
  <c r="G1444" i="7"/>
  <c r="G1443" i="7"/>
  <c r="G1442" i="7"/>
  <c r="G1441" i="7"/>
  <c r="G1440" i="7"/>
  <c r="G1439" i="7"/>
  <c r="G1438" i="7"/>
  <c r="G1437" i="7"/>
  <c r="G1436" i="7"/>
  <c r="G1435" i="7"/>
  <c r="G1434" i="7"/>
  <c r="G1433" i="7"/>
  <c r="G1432" i="7"/>
  <c r="G1431" i="7"/>
  <c r="G1430" i="7"/>
  <c r="G1429" i="7"/>
  <c r="G1428" i="7"/>
  <c r="G1427" i="7"/>
  <c r="G1426" i="7"/>
  <c r="G1425" i="7"/>
  <c r="G1424" i="7"/>
  <c r="G1423" i="7"/>
  <c r="G1422" i="7"/>
  <c r="G1421" i="7"/>
  <c r="G1420" i="7"/>
  <c r="G1419" i="7"/>
  <c r="G1418" i="7"/>
  <c r="G1417" i="7"/>
  <c r="G1416" i="7"/>
  <c r="G1415" i="7"/>
  <c r="G1414" i="7"/>
  <c r="G1413" i="7"/>
  <c r="G1412" i="7"/>
  <c r="G1411" i="7"/>
  <c r="G1410" i="7"/>
  <c r="G1409" i="7"/>
  <c r="G1408" i="7"/>
  <c r="G1407" i="7"/>
  <c r="G1406" i="7"/>
  <c r="G1405" i="7"/>
  <c r="G1404" i="7"/>
  <c r="G1403" i="7"/>
  <c r="G1402" i="7"/>
  <c r="G1401" i="7"/>
  <c r="G1400" i="7"/>
  <c r="G1399" i="7"/>
  <c r="G1398" i="7"/>
  <c r="G1397" i="7"/>
  <c r="G1396" i="7"/>
  <c r="G1395" i="7"/>
  <c r="G1394" i="7"/>
  <c r="G1393" i="7"/>
  <c r="G1392" i="7"/>
  <c r="G1391" i="7"/>
  <c r="G1390" i="7"/>
  <c r="G1389" i="7"/>
  <c r="G1388" i="7"/>
  <c r="G1387" i="7"/>
  <c r="G1386" i="7"/>
  <c r="G1385" i="7"/>
  <c r="G1384" i="7"/>
  <c r="G1383" i="7"/>
  <c r="G1382" i="7"/>
  <c r="G1381" i="7"/>
  <c r="G1380" i="7"/>
  <c r="G1379" i="7"/>
  <c r="G1378" i="7"/>
  <c r="G1377" i="7"/>
  <c r="G1376" i="7"/>
  <c r="G1375" i="7"/>
  <c r="G1374" i="7"/>
  <c r="G1373" i="7"/>
  <c r="G1372" i="7"/>
  <c r="G1371" i="7"/>
  <c r="G1370" i="7"/>
  <c r="G1369" i="7"/>
  <c r="G1368" i="7"/>
  <c r="G1367" i="7"/>
  <c r="G1366" i="7"/>
  <c r="G1365" i="7"/>
  <c r="G1364" i="7"/>
  <c r="G1363" i="7"/>
  <c r="G1362" i="7"/>
  <c r="G1361" i="7"/>
  <c r="G1360" i="7"/>
  <c r="G1359" i="7"/>
  <c r="G1358" i="7"/>
  <c r="G1357" i="7"/>
  <c r="G1356" i="7"/>
  <c r="G1355" i="7"/>
  <c r="G1354" i="7"/>
  <c r="G1353" i="7"/>
  <c r="G1352" i="7"/>
  <c r="G1351" i="7"/>
  <c r="G1350" i="7"/>
  <c r="G1349" i="7"/>
  <c r="G1348" i="7"/>
  <c r="G1347" i="7"/>
  <c r="G1346" i="7"/>
  <c r="G1345" i="7"/>
  <c r="G1344" i="7"/>
  <c r="G1343" i="7"/>
  <c r="G1342" i="7"/>
  <c r="G1341" i="7"/>
  <c r="G1340" i="7"/>
  <c r="G1339" i="7"/>
  <c r="G1338" i="7"/>
  <c r="G1337" i="7"/>
  <c r="G1336" i="7"/>
  <c r="G1335" i="7"/>
  <c r="G1334" i="7"/>
  <c r="G1333" i="7"/>
  <c r="G1332" i="7"/>
  <c r="G1331" i="7"/>
  <c r="G1330" i="7"/>
  <c r="G1329" i="7"/>
  <c r="G1328" i="7"/>
  <c r="G1327" i="7"/>
  <c r="G1326" i="7"/>
  <c r="G1325" i="7"/>
  <c r="G1324" i="7"/>
  <c r="G1323" i="7"/>
  <c r="G1322" i="7"/>
  <c r="G1321" i="7"/>
  <c r="G1320" i="7"/>
  <c r="G1319" i="7"/>
  <c r="G1318" i="7"/>
  <c r="G1317" i="7"/>
  <c r="G1316" i="7"/>
  <c r="G1315" i="7"/>
  <c r="G1314" i="7"/>
  <c r="G1313" i="7"/>
  <c r="G1312" i="7"/>
  <c r="G1311" i="7"/>
  <c r="G1310" i="7"/>
  <c r="G1309" i="7"/>
  <c r="G1308" i="7"/>
  <c r="G1307" i="7"/>
  <c r="G1306" i="7"/>
  <c r="G1305" i="7"/>
  <c r="G1304" i="7"/>
  <c r="G1303" i="7"/>
  <c r="G1302" i="7"/>
  <c r="G1301" i="7"/>
  <c r="G1300" i="7"/>
  <c r="G1299" i="7"/>
  <c r="G1298" i="7"/>
  <c r="G1297" i="7"/>
  <c r="G1296" i="7"/>
  <c r="G1295" i="7"/>
  <c r="G1294" i="7"/>
  <c r="G1293" i="7"/>
  <c r="G1292" i="7"/>
  <c r="G1291" i="7"/>
  <c r="G1290" i="7"/>
  <c r="G1289" i="7"/>
  <c r="G1288" i="7"/>
  <c r="G1287" i="7"/>
  <c r="G1286" i="7"/>
  <c r="G1285" i="7"/>
  <c r="G1284" i="7"/>
  <c r="G1283" i="7"/>
  <c r="G1282" i="7"/>
  <c r="G1281" i="7"/>
  <c r="G1280" i="7"/>
  <c r="G1279" i="7"/>
  <c r="G1278" i="7"/>
  <c r="G1277" i="7"/>
  <c r="G1276" i="7"/>
  <c r="G1275" i="7"/>
  <c r="G1274" i="7"/>
  <c r="G1273" i="7"/>
  <c r="G1272" i="7"/>
  <c r="G1271" i="7"/>
  <c r="G1270" i="7"/>
  <c r="G1269" i="7"/>
  <c r="G1268" i="7"/>
  <c r="G1267" i="7"/>
  <c r="G1266" i="7"/>
  <c r="G1265" i="7"/>
  <c r="G1264" i="7"/>
  <c r="G1263" i="7"/>
  <c r="G1262" i="7"/>
  <c r="G1261" i="7"/>
  <c r="G1260" i="7"/>
  <c r="G1259" i="7"/>
  <c r="G1258" i="7"/>
  <c r="G1257" i="7"/>
  <c r="G1256" i="7"/>
  <c r="G1255" i="7"/>
  <c r="G1254" i="7"/>
  <c r="G1253" i="7"/>
  <c r="G1252" i="7"/>
  <c r="G1251" i="7"/>
  <c r="G1250" i="7"/>
  <c r="G1249" i="7"/>
  <c r="G1248" i="7"/>
  <c r="G1247" i="7"/>
  <c r="G1246" i="7"/>
  <c r="G1245" i="7"/>
  <c r="G1244" i="7"/>
  <c r="G1243" i="7"/>
  <c r="G1242" i="7"/>
  <c r="G1241" i="7"/>
  <c r="G1240" i="7"/>
  <c r="G1239" i="7"/>
  <c r="G1238" i="7"/>
  <c r="G1237" i="7"/>
  <c r="G1236" i="7"/>
  <c r="G1235" i="7"/>
  <c r="G1234" i="7"/>
  <c r="G1233" i="7"/>
  <c r="G1232" i="7"/>
  <c r="G1231" i="7"/>
  <c r="G1230" i="7"/>
  <c r="G1229" i="7"/>
  <c r="G1228" i="7"/>
  <c r="G1227" i="7"/>
  <c r="G1226" i="7"/>
  <c r="G1225" i="7"/>
  <c r="G1224" i="7"/>
  <c r="G1223" i="7"/>
  <c r="G1222" i="7"/>
  <c r="G1221" i="7"/>
  <c r="G1220" i="7"/>
  <c r="G1219" i="7"/>
  <c r="G1218" i="7"/>
  <c r="G1217" i="7"/>
  <c r="G1216" i="7"/>
  <c r="G1215" i="7"/>
  <c r="G1214" i="7"/>
  <c r="G1213" i="7"/>
  <c r="G1212" i="7"/>
  <c r="G1211" i="7"/>
  <c r="G1210" i="7"/>
  <c r="G1209" i="7"/>
  <c r="G1208" i="7"/>
  <c r="G1207" i="7"/>
  <c r="G1206" i="7"/>
  <c r="G1205" i="7"/>
  <c r="G1204" i="7"/>
  <c r="G1203" i="7"/>
  <c r="G1202" i="7"/>
  <c r="G1201" i="7"/>
  <c r="G1200" i="7"/>
  <c r="G1199" i="7"/>
  <c r="G1198" i="7"/>
  <c r="G1197" i="7"/>
  <c r="G1196" i="7"/>
  <c r="G1195" i="7"/>
  <c r="G1194" i="7"/>
  <c r="G1193" i="7"/>
  <c r="G1192" i="7"/>
  <c r="G1191" i="7"/>
  <c r="G1190" i="7"/>
  <c r="G1189" i="7"/>
  <c r="G1188" i="7"/>
  <c r="G1187" i="7"/>
  <c r="G1186" i="7"/>
  <c r="G1185" i="7"/>
  <c r="G1184" i="7"/>
  <c r="G1183" i="7"/>
  <c r="G1182" i="7"/>
  <c r="G1181" i="7"/>
  <c r="G1180" i="7"/>
  <c r="G1179" i="7"/>
  <c r="G1178" i="7"/>
  <c r="G1177" i="7"/>
  <c r="G1176" i="7"/>
  <c r="G1175" i="7"/>
  <c r="G1174" i="7"/>
  <c r="G1173" i="7"/>
  <c r="G1172" i="7"/>
  <c r="G1171" i="7"/>
  <c r="G1170" i="7"/>
  <c r="G1169" i="7"/>
  <c r="G1168" i="7"/>
  <c r="G1167" i="7"/>
  <c r="G1166" i="7"/>
  <c r="G1165" i="7"/>
  <c r="G1164" i="7"/>
  <c r="G1163" i="7"/>
  <c r="G1162" i="7"/>
  <c r="G1161" i="7"/>
  <c r="G1160" i="7"/>
  <c r="G1159" i="7"/>
  <c r="G1158" i="7"/>
  <c r="G1157" i="7"/>
  <c r="G1156" i="7"/>
  <c r="G1155" i="7"/>
  <c r="G1154" i="7"/>
  <c r="G1153" i="7"/>
  <c r="G1152" i="7"/>
  <c r="G1151" i="7"/>
  <c r="G1150" i="7"/>
  <c r="G1149" i="7"/>
  <c r="G1148" i="7"/>
  <c r="G1147" i="7"/>
  <c r="G1146" i="7"/>
  <c r="G1145" i="7"/>
  <c r="G1144" i="7"/>
  <c r="G1143" i="7"/>
  <c r="G1142" i="7"/>
  <c r="G1141" i="7"/>
  <c r="G1140" i="7"/>
  <c r="G1139" i="7"/>
  <c r="G1138" i="7"/>
  <c r="G1137" i="7"/>
  <c r="G1136" i="7"/>
  <c r="G1135" i="7"/>
  <c r="G1134" i="7"/>
  <c r="G1133" i="7"/>
  <c r="G1132" i="7"/>
  <c r="G1131" i="7"/>
  <c r="G1130" i="7"/>
  <c r="G1129" i="7"/>
  <c r="G1128" i="7"/>
  <c r="G1127" i="7"/>
  <c r="G1126" i="7"/>
  <c r="G1125" i="7"/>
  <c r="G1124" i="7"/>
  <c r="G1123" i="7"/>
  <c r="G1122" i="7"/>
  <c r="G1121" i="7"/>
  <c r="G1120" i="7"/>
  <c r="G1119" i="7"/>
  <c r="G1118" i="7"/>
  <c r="G1117" i="7"/>
  <c r="G1116" i="7"/>
  <c r="G1115" i="7"/>
  <c r="G1114" i="7"/>
  <c r="G1113" i="7"/>
  <c r="G1112" i="7"/>
  <c r="G1111" i="7"/>
  <c r="G1110" i="7"/>
  <c r="G1109" i="7"/>
  <c r="G1108" i="7"/>
  <c r="G1107" i="7"/>
  <c r="G1106" i="7"/>
  <c r="G1105" i="7"/>
  <c r="G1104" i="7"/>
  <c r="G1103" i="7"/>
  <c r="G1102" i="7"/>
  <c r="G1101" i="7"/>
  <c r="G1100" i="7"/>
  <c r="G1099" i="7"/>
  <c r="G1098" i="7"/>
  <c r="G1097" i="7"/>
  <c r="G1096" i="7"/>
  <c r="G1095" i="7"/>
  <c r="G1094" i="7"/>
  <c r="G1093" i="7"/>
  <c r="G1092" i="7"/>
  <c r="G1091" i="7"/>
  <c r="G1090" i="7"/>
  <c r="G1089" i="7"/>
  <c r="G1088" i="7"/>
  <c r="G1087" i="7"/>
  <c r="G1086" i="7"/>
  <c r="G1085" i="7"/>
  <c r="G1084" i="7"/>
  <c r="G1083" i="7"/>
  <c r="G1082" i="7"/>
  <c r="G1081" i="7"/>
  <c r="G1080" i="7"/>
  <c r="G1079" i="7"/>
  <c r="G1078" i="7"/>
  <c r="G1077" i="7"/>
  <c r="G1076" i="7"/>
  <c r="G1075" i="7"/>
  <c r="G1074" i="7"/>
  <c r="G1073" i="7"/>
  <c r="G1072" i="7"/>
  <c r="G1071" i="7"/>
  <c r="G1070" i="7"/>
  <c r="G1069" i="7"/>
  <c r="G1068" i="7"/>
  <c r="G1067" i="7"/>
  <c r="G1066" i="7"/>
  <c r="G1065" i="7"/>
  <c r="G1064" i="7"/>
  <c r="G1063" i="7"/>
  <c r="G1062" i="7"/>
  <c r="G1061" i="7"/>
  <c r="G1060" i="7"/>
  <c r="G1059" i="7"/>
  <c r="G1058" i="7"/>
  <c r="G1057" i="7"/>
  <c r="G1056" i="7"/>
  <c r="G1055" i="7"/>
  <c r="G1054" i="7"/>
  <c r="G1053" i="7"/>
  <c r="G1052" i="7"/>
  <c r="G1051" i="7"/>
  <c r="G1050" i="7"/>
  <c r="G1049" i="7"/>
  <c r="G1048" i="7"/>
  <c r="G1047" i="7"/>
  <c r="G1046" i="7"/>
  <c r="G1045" i="7"/>
  <c r="G1044" i="7"/>
  <c r="G1043" i="7"/>
  <c r="G1042" i="7"/>
  <c r="G1041" i="7"/>
  <c r="G1040" i="7"/>
  <c r="G1039" i="7"/>
  <c r="G1038" i="7"/>
  <c r="G1037" i="7"/>
  <c r="G1036" i="7"/>
  <c r="G1035" i="7"/>
  <c r="G1034" i="7"/>
  <c r="G1033" i="7"/>
  <c r="G1032" i="7"/>
  <c r="G1031" i="7"/>
  <c r="G1030" i="7"/>
  <c r="G1029" i="7"/>
  <c r="G1028" i="7"/>
  <c r="G1027" i="7"/>
  <c r="G1026" i="7"/>
  <c r="G1025" i="7"/>
  <c r="G1024" i="7"/>
  <c r="G1023" i="7"/>
  <c r="G1022" i="7"/>
  <c r="G1021" i="7"/>
  <c r="G1020" i="7"/>
  <c r="G1019" i="7"/>
  <c r="G1018" i="7"/>
  <c r="G1017" i="7"/>
  <c r="G1016" i="7"/>
  <c r="G1015" i="7"/>
  <c r="G1014" i="7"/>
  <c r="G1013" i="7"/>
  <c r="G1012" i="7"/>
  <c r="G1011" i="7"/>
  <c r="G1010" i="7"/>
  <c r="G1009" i="7"/>
  <c r="G1008" i="7"/>
  <c r="G1007" i="7"/>
  <c r="G1006" i="7"/>
  <c r="G1005" i="7"/>
  <c r="G1004" i="7"/>
  <c r="G1003" i="7"/>
  <c r="G1002" i="7"/>
  <c r="G1001" i="7"/>
  <c r="G1000" i="7"/>
  <c r="G999" i="7"/>
  <c r="G998" i="7"/>
  <c r="G997" i="7"/>
  <c r="G996" i="7"/>
  <c r="G995" i="7"/>
  <c r="G994" i="7"/>
  <c r="G993" i="7"/>
  <c r="G992" i="7"/>
  <c r="G991" i="7"/>
  <c r="G990" i="7"/>
  <c r="G989" i="7"/>
  <c r="G988" i="7"/>
  <c r="G987" i="7"/>
  <c r="G986" i="7"/>
  <c r="G985" i="7"/>
  <c r="G984" i="7"/>
  <c r="G983" i="7"/>
  <c r="G982" i="7"/>
  <c r="G981" i="7"/>
  <c r="G980" i="7"/>
  <c r="G979" i="7"/>
  <c r="G978" i="7"/>
  <c r="G977" i="7"/>
  <c r="G976" i="7"/>
  <c r="G975" i="7"/>
  <c r="G974" i="7"/>
  <c r="G973" i="7"/>
  <c r="G972" i="7"/>
  <c r="G971" i="7"/>
  <c r="G970" i="7"/>
  <c r="G969" i="7"/>
  <c r="G968" i="7"/>
  <c r="G967" i="7"/>
  <c r="G966" i="7"/>
  <c r="G965" i="7"/>
  <c r="G964" i="7"/>
  <c r="G963" i="7"/>
  <c r="G962" i="7"/>
  <c r="G961" i="7"/>
  <c r="G960" i="7"/>
  <c r="G959" i="7"/>
  <c r="G958" i="7"/>
  <c r="G957" i="7"/>
  <c r="G956" i="7"/>
  <c r="G955" i="7"/>
  <c r="G954" i="7"/>
  <c r="G953" i="7"/>
  <c r="G952" i="7"/>
  <c r="G951" i="7"/>
  <c r="G950" i="7"/>
  <c r="G949" i="7"/>
  <c r="G948" i="7"/>
  <c r="G947" i="7"/>
  <c r="G946" i="7"/>
  <c r="G945" i="7"/>
  <c r="G944" i="7"/>
  <c r="G943" i="7"/>
  <c r="G942" i="7"/>
  <c r="G941" i="7"/>
  <c r="G940" i="7"/>
  <c r="G939" i="7"/>
  <c r="G938" i="7"/>
  <c r="G937" i="7"/>
  <c r="G936" i="7"/>
  <c r="G935" i="7"/>
  <c r="G934" i="7"/>
  <c r="G933" i="7"/>
  <c r="G932" i="7"/>
  <c r="G931" i="7"/>
  <c r="G930" i="7"/>
  <c r="G929" i="7"/>
  <c r="G928" i="7"/>
  <c r="G927" i="7"/>
  <c r="G926" i="7"/>
  <c r="G925" i="7"/>
  <c r="G924" i="7"/>
  <c r="G923" i="7"/>
  <c r="G922" i="7"/>
  <c r="G921" i="7"/>
  <c r="G920" i="7"/>
  <c r="G919" i="7"/>
  <c r="G918" i="7"/>
  <c r="G917" i="7"/>
  <c r="G916" i="7"/>
  <c r="G915" i="7"/>
  <c r="G914" i="7"/>
  <c r="G913" i="7"/>
  <c r="G912" i="7"/>
  <c r="G911" i="7"/>
  <c r="G910" i="7"/>
  <c r="G909" i="7"/>
  <c r="G908" i="7"/>
  <c r="G907" i="7"/>
  <c r="G906" i="7"/>
  <c r="G905" i="7"/>
  <c r="G904" i="7"/>
  <c r="G903" i="7"/>
  <c r="G902" i="7"/>
  <c r="G901" i="7"/>
  <c r="G900" i="7"/>
  <c r="G899" i="7"/>
  <c r="G898" i="7"/>
  <c r="G897" i="7"/>
  <c r="G896" i="7"/>
  <c r="G895" i="7"/>
  <c r="G894" i="7"/>
  <c r="G893" i="7"/>
  <c r="G892" i="7"/>
  <c r="G891" i="7"/>
  <c r="G890" i="7"/>
  <c r="G889" i="7"/>
  <c r="G888" i="7"/>
  <c r="G887" i="7"/>
  <c r="G886" i="7"/>
  <c r="G885" i="7"/>
  <c r="G884" i="7"/>
  <c r="G883" i="7"/>
  <c r="G882" i="7"/>
  <c r="G881" i="7"/>
  <c r="G880" i="7"/>
  <c r="G879" i="7"/>
  <c r="G878" i="7"/>
  <c r="G877" i="7"/>
  <c r="G876" i="7"/>
  <c r="G875" i="7"/>
  <c r="G874" i="7"/>
  <c r="G873" i="7"/>
  <c r="G872" i="7"/>
  <c r="G871" i="7"/>
  <c r="G870" i="7"/>
  <c r="G869" i="7"/>
  <c r="G868" i="7"/>
  <c r="G867" i="7"/>
  <c r="G866" i="7"/>
  <c r="G865" i="7"/>
  <c r="G864" i="7"/>
  <c r="G863" i="7"/>
  <c r="G862" i="7"/>
  <c r="G861" i="7"/>
  <c r="G860" i="7"/>
  <c r="G859" i="7"/>
  <c r="G858" i="7"/>
  <c r="G857" i="7"/>
  <c r="G856" i="7"/>
  <c r="G855" i="7"/>
  <c r="G854" i="7"/>
  <c r="G853" i="7"/>
  <c r="G852" i="7"/>
  <c r="G851" i="7"/>
  <c r="G850" i="7"/>
  <c r="G849" i="7"/>
  <c r="G848" i="7"/>
  <c r="G847" i="7"/>
  <c r="G846" i="7"/>
  <c r="G845" i="7"/>
  <c r="G844" i="7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G689" i="7"/>
  <c r="G688" i="7"/>
  <c r="G687" i="7"/>
  <c r="G686" i="7"/>
  <c r="G685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71" i="7"/>
  <c r="G670" i="7"/>
  <c r="G669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9" i="7"/>
  <c r="G628" i="7"/>
  <c r="G627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12" i="7"/>
  <c r="G611" i="7"/>
  <c r="G610" i="7"/>
  <c r="G609" i="7"/>
  <c r="G608" i="7"/>
  <c r="G607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G586" i="7"/>
  <c r="G585" i="7"/>
  <c r="G584" i="7"/>
  <c r="G583" i="7"/>
  <c r="G582" i="7"/>
  <c r="G581" i="7"/>
  <c r="G580" i="7"/>
  <c r="G579" i="7"/>
  <c r="G578" i="7"/>
  <c r="G577" i="7"/>
  <c r="G576" i="7"/>
  <c r="G575" i="7"/>
  <c r="G574" i="7"/>
  <c r="G573" i="7"/>
  <c r="G572" i="7"/>
  <c r="G571" i="7"/>
  <c r="G570" i="7"/>
  <c r="G569" i="7"/>
  <c r="G568" i="7"/>
  <c r="G567" i="7"/>
  <c r="G566" i="7"/>
  <c r="G565" i="7"/>
  <c r="G564" i="7"/>
  <c r="G563" i="7"/>
  <c r="G562" i="7"/>
  <c r="G561" i="7"/>
  <c r="G560" i="7"/>
  <c r="G559" i="7"/>
  <c r="G558" i="7"/>
  <c r="G557" i="7"/>
  <c r="G556" i="7"/>
  <c r="G555" i="7"/>
  <c r="G554" i="7"/>
  <c r="G553" i="7"/>
  <c r="G552" i="7"/>
  <c r="G551" i="7"/>
  <c r="G550" i="7"/>
  <c r="G549" i="7"/>
  <c r="G548" i="7"/>
  <c r="G547" i="7"/>
  <c r="G546" i="7"/>
  <c r="G545" i="7"/>
  <c r="G544" i="7"/>
  <c r="G543" i="7"/>
  <c r="G542" i="7"/>
  <c r="G541" i="7"/>
  <c r="G540" i="7"/>
  <c r="G539" i="7"/>
  <c r="G538" i="7"/>
  <c r="G537" i="7"/>
  <c r="G536" i="7"/>
  <c r="G535" i="7"/>
  <c r="G534" i="7"/>
  <c r="G533" i="7"/>
  <c r="G532" i="7"/>
  <c r="G531" i="7"/>
  <c r="G530" i="7"/>
  <c r="G529" i="7"/>
  <c r="G528" i="7"/>
  <c r="G527" i="7"/>
  <c r="G526" i="7"/>
  <c r="G525" i="7"/>
  <c r="G524" i="7"/>
  <c r="G523" i="7"/>
  <c r="G522" i="7"/>
  <c r="G521" i="7"/>
  <c r="G520" i="7"/>
  <c r="G519" i="7"/>
  <c r="G518" i="7"/>
  <c r="G517" i="7"/>
  <c r="G516" i="7"/>
  <c r="G515" i="7"/>
  <c r="G514" i="7"/>
  <c r="G513" i="7"/>
  <c r="G512" i="7"/>
  <c r="G511" i="7"/>
  <c r="G510" i="7"/>
  <c r="G509" i="7"/>
  <c r="G508" i="7"/>
  <c r="G507" i="7"/>
  <c r="G506" i="7"/>
  <c r="G505" i="7"/>
  <c r="G504" i="7"/>
  <c r="G503" i="7"/>
  <c r="G502" i="7"/>
  <c r="G501" i="7"/>
  <c r="G500" i="7"/>
  <c r="G499" i="7"/>
  <c r="G498" i="7"/>
  <c r="G497" i="7"/>
  <c r="G496" i="7"/>
  <c r="G495" i="7"/>
  <c r="G494" i="7"/>
  <c r="G493" i="7"/>
  <c r="G492" i="7"/>
  <c r="G491" i="7"/>
  <c r="G490" i="7"/>
  <c r="G489" i="7"/>
  <c r="G488" i="7"/>
  <c r="G487" i="7"/>
  <c r="G486" i="7"/>
  <c r="G485" i="7"/>
  <c r="G484" i="7"/>
  <c r="G483" i="7"/>
  <c r="G482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F505" i="7"/>
  <c r="F504" i="7"/>
  <c r="F503" i="7"/>
  <c r="F502" i="7"/>
  <c r="D504" i="7"/>
  <c r="D503" i="7"/>
  <c r="D502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2" i="8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2" i="1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2" i="9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698" i="12"/>
  <c r="G699" i="12"/>
  <c r="G700" i="12"/>
  <c r="G701" i="12"/>
  <c r="G702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G818" i="12"/>
  <c r="G819" i="12"/>
  <c r="G820" i="12"/>
  <c r="G821" i="12"/>
  <c r="G822" i="12"/>
  <c r="G823" i="12"/>
  <c r="G824" i="12"/>
  <c r="G825" i="12"/>
  <c r="G826" i="12"/>
  <c r="G827" i="12"/>
  <c r="G828" i="12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2" i="12"/>
  <c r="G853" i="12"/>
  <c r="G854" i="12"/>
  <c r="G855" i="12"/>
  <c r="G856" i="12"/>
  <c r="G857" i="12"/>
  <c r="G858" i="12"/>
  <c r="G859" i="12"/>
  <c r="G860" i="12"/>
  <c r="G861" i="12"/>
  <c r="G862" i="12"/>
  <c r="G863" i="12"/>
  <c r="G864" i="12"/>
  <c r="G865" i="12"/>
  <c r="G866" i="12"/>
  <c r="G867" i="12"/>
  <c r="G868" i="12"/>
  <c r="G869" i="12"/>
  <c r="G870" i="12"/>
  <c r="G871" i="12"/>
  <c r="G872" i="12"/>
  <c r="G873" i="12"/>
  <c r="G874" i="12"/>
  <c r="G875" i="12"/>
  <c r="G876" i="12"/>
  <c r="G877" i="12"/>
  <c r="G878" i="12"/>
  <c r="G879" i="12"/>
  <c r="G880" i="12"/>
  <c r="G881" i="12"/>
  <c r="G882" i="12"/>
  <c r="G883" i="12"/>
  <c r="G884" i="12"/>
  <c r="G885" i="12"/>
  <c r="G886" i="12"/>
  <c r="G887" i="12"/>
  <c r="G888" i="12"/>
  <c r="G889" i="12"/>
  <c r="G890" i="12"/>
  <c r="G891" i="12"/>
  <c r="G892" i="12"/>
  <c r="G893" i="12"/>
  <c r="G894" i="12"/>
  <c r="G895" i="12"/>
  <c r="G896" i="12"/>
  <c r="G897" i="12"/>
  <c r="G898" i="12"/>
  <c r="G899" i="12"/>
  <c r="G900" i="12"/>
  <c r="G901" i="12"/>
  <c r="G902" i="12"/>
  <c r="G903" i="12"/>
  <c r="G904" i="12"/>
  <c r="G905" i="12"/>
  <c r="G906" i="12"/>
  <c r="G907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935" i="12"/>
  <c r="G936" i="12"/>
  <c r="G937" i="12"/>
  <c r="G938" i="12"/>
  <c r="G939" i="12"/>
  <c r="G940" i="12"/>
  <c r="G941" i="12"/>
  <c r="G942" i="12"/>
  <c r="G943" i="12"/>
  <c r="G944" i="12"/>
  <c r="G945" i="12"/>
  <c r="G946" i="12"/>
  <c r="G947" i="12"/>
  <c r="G948" i="12"/>
  <c r="G949" i="12"/>
  <c r="G950" i="12"/>
  <c r="G951" i="12"/>
  <c r="G952" i="12"/>
  <c r="G953" i="12"/>
  <c r="G954" i="12"/>
  <c r="G955" i="12"/>
  <c r="G956" i="12"/>
  <c r="G957" i="12"/>
  <c r="G958" i="12"/>
  <c r="G959" i="12"/>
  <c r="G960" i="12"/>
  <c r="G961" i="12"/>
  <c r="G962" i="12"/>
  <c r="G963" i="12"/>
  <c r="G964" i="12"/>
  <c r="G965" i="12"/>
  <c r="G966" i="12"/>
  <c r="G967" i="12"/>
  <c r="G968" i="12"/>
  <c r="G969" i="12"/>
  <c r="G970" i="12"/>
  <c r="G971" i="12"/>
  <c r="G972" i="12"/>
  <c r="G973" i="12"/>
  <c r="G974" i="12"/>
  <c r="G975" i="12"/>
  <c r="G976" i="12"/>
  <c r="G977" i="12"/>
  <c r="G978" i="12"/>
  <c r="G979" i="12"/>
  <c r="G980" i="12"/>
  <c r="G981" i="12"/>
  <c r="G982" i="12"/>
  <c r="G983" i="12"/>
  <c r="G984" i="12"/>
  <c r="G985" i="12"/>
  <c r="G986" i="12"/>
  <c r="G987" i="12"/>
  <c r="G988" i="12"/>
  <c r="G989" i="12"/>
  <c r="G990" i="12"/>
  <c r="G991" i="12"/>
  <c r="G992" i="12"/>
  <c r="G993" i="12"/>
  <c r="G994" i="12"/>
  <c r="G995" i="12"/>
  <c r="G996" i="12"/>
  <c r="G997" i="12"/>
  <c r="G998" i="12"/>
  <c r="G999" i="12"/>
  <c r="G1000" i="12"/>
  <c r="G100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962" i="12"/>
  <c r="C963" i="12"/>
  <c r="C964" i="12"/>
  <c r="C965" i="12"/>
  <c r="C966" i="12"/>
  <c r="C967" i="12"/>
  <c r="C968" i="12"/>
  <c r="C969" i="12"/>
  <c r="C970" i="12"/>
  <c r="C971" i="12"/>
  <c r="C972" i="12"/>
  <c r="C973" i="12"/>
  <c r="C974" i="12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C988" i="12"/>
  <c r="C989" i="12"/>
  <c r="C990" i="12"/>
  <c r="C991" i="12"/>
  <c r="C992" i="12"/>
  <c r="C993" i="12"/>
  <c r="C994" i="12"/>
  <c r="C995" i="12"/>
  <c r="C996" i="12"/>
  <c r="C997" i="12"/>
  <c r="C998" i="12"/>
  <c r="C999" i="12"/>
  <c r="C1000" i="12"/>
  <c r="C1001" i="12"/>
  <c r="G2" i="12"/>
  <c r="C2" i="12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F2" i="7"/>
  <c r="D2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I2" i="1" l="1"/>
  <c r="J2" i="1" s="1"/>
  <c r="I730" i="1"/>
  <c r="I51" i="1"/>
  <c r="I978" i="1"/>
  <c r="I922" i="1"/>
  <c r="I858" i="1"/>
  <c r="I996" i="1"/>
  <c r="I988" i="1"/>
  <c r="I980" i="1"/>
  <c r="I972" i="1"/>
  <c r="I964" i="1"/>
  <c r="I956" i="1"/>
  <c r="I948" i="1"/>
  <c r="I940" i="1"/>
  <c r="I932" i="1"/>
  <c r="I924" i="1"/>
  <c r="I916" i="1"/>
  <c r="I908" i="1"/>
  <c r="I900" i="1"/>
  <c r="I892" i="1"/>
  <c r="I884" i="1"/>
  <c r="I876" i="1"/>
  <c r="I868" i="1"/>
  <c r="I860" i="1"/>
  <c r="I852" i="1"/>
  <c r="I844" i="1"/>
  <c r="I836" i="1"/>
  <c r="I828" i="1"/>
  <c r="I820" i="1"/>
  <c r="I812" i="1"/>
  <c r="I804" i="1"/>
  <c r="I796" i="1"/>
  <c r="I788" i="1"/>
  <c r="I780" i="1"/>
  <c r="I772" i="1"/>
  <c r="I764" i="1"/>
  <c r="I756" i="1"/>
  <c r="I748" i="1"/>
  <c r="I740" i="1"/>
  <c r="I732" i="1"/>
  <c r="I724" i="1"/>
  <c r="I716" i="1"/>
  <c r="I708" i="1"/>
  <c r="I700" i="1"/>
  <c r="I692" i="1"/>
  <c r="I684" i="1"/>
  <c r="I669" i="1"/>
  <c r="I653" i="1"/>
  <c r="I637" i="1"/>
  <c r="I619" i="1"/>
  <c r="I596" i="1"/>
  <c r="I571" i="1"/>
  <c r="I539" i="1"/>
  <c r="I507" i="1"/>
  <c r="I459" i="1"/>
  <c r="I395" i="1"/>
  <c r="I331" i="1"/>
  <c r="I267" i="1"/>
  <c r="I203" i="1"/>
  <c r="I139" i="1"/>
  <c r="I75" i="1"/>
  <c r="I994" i="1"/>
  <c r="I914" i="1"/>
  <c r="I850" i="1"/>
  <c r="I995" i="1"/>
  <c r="I987" i="1"/>
  <c r="I979" i="1"/>
  <c r="I971" i="1"/>
  <c r="I963" i="1"/>
  <c r="I955" i="1"/>
  <c r="I947" i="1"/>
  <c r="I939" i="1"/>
  <c r="I931" i="1"/>
  <c r="I923" i="1"/>
  <c r="I915" i="1"/>
  <c r="I907" i="1"/>
  <c r="I899" i="1"/>
  <c r="I891" i="1"/>
  <c r="I883" i="1"/>
  <c r="I875" i="1"/>
  <c r="I867" i="1"/>
  <c r="I859" i="1"/>
  <c r="I851" i="1"/>
  <c r="I843" i="1"/>
  <c r="I835" i="1"/>
  <c r="I827" i="1"/>
  <c r="I819" i="1"/>
  <c r="I811" i="1"/>
  <c r="I803" i="1"/>
  <c r="I795" i="1"/>
  <c r="I787" i="1"/>
  <c r="I779" i="1"/>
  <c r="I771" i="1"/>
  <c r="I763" i="1"/>
  <c r="I755" i="1"/>
  <c r="I747" i="1"/>
  <c r="I739" i="1"/>
  <c r="I731" i="1"/>
  <c r="I723" i="1"/>
  <c r="I715" i="1"/>
  <c r="I707" i="1"/>
  <c r="I699" i="1"/>
  <c r="I691" i="1"/>
  <c r="I683" i="1"/>
  <c r="I668" i="1"/>
  <c r="I652" i="1"/>
  <c r="I636" i="1"/>
  <c r="I615" i="1"/>
  <c r="I595" i="1"/>
  <c r="I567" i="1"/>
  <c r="I535" i="1"/>
  <c r="I503" i="1"/>
  <c r="I451" i="1"/>
  <c r="I387" i="1"/>
  <c r="I323" i="1"/>
  <c r="I259" i="1"/>
  <c r="I195" i="1"/>
  <c r="I131" i="1"/>
  <c r="I67" i="1"/>
  <c r="I986" i="1"/>
  <c r="I930" i="1"/>
  <c r="I866" i="1"/>
  <c r="I802" i="1"/>
  <c r="I754" i="1"/>
  <c r="I706" i="1"/>
  <c r="I698" i="1"/>
  <c r="I690" i="1"/>
  <c r="I680" i="1"/>
  <c r="I667" i="1"/>
  <c r="I651" i="1"/>
  <c r="I635" i="1"/>
  <c r="I612" i="1"/>
  <c r="I591" i="1"/>
  <c r="I563" i="1"/>
  <c r="I531" i="1"/>
  <c r="I499" i="1"/>
  <c r="I443" i="1"/>
  <c r="I379" i="1"/>
  <c r="I315" i="1"/>
  <c r="I251" i="1"/>
  <c r="I187" i="1"/>
  <c r="I123" i="1"/>
  <c r="I59" i="1"/>
  <c r="I962" i="1"/>
  <c r="I898" i="1"/>
  <c r="I834" i="1"/>
  <c r="I786" i="1"/>
  <c r="I738" i="1"/>
  <c r="I905" i="1"/>
  <c r="I865" i="1"/>
  <c r="I857" i="1"/>
  <c r="I849" i="1"/>
  <c r="I841" i="1"/>
  <c r="I833" i="1"/>
  <c r="I825" i="1"/>
  <c r="I817" i="1"/>
  <c r="I809" i="1"/>
  <c r="I801" i="1"/>
  <c r="I793" i="1"/>
  <c r="I785" i="1"/>
  <c r="I777" i="1"/>
  <c r="I769" i="1"/>
  <c r="I761" i="1"/>
  <c r="I753" i="1"/>
  <c r="I745" i="1"/>
  <c r="I737" i="1"/>
  <c r="I729" i="1"/>
  <c r="I721" i="1"/>
  <c r="I713" i="1"/>
  <c r="I705" i="1"/>
  <c r="I697" i="1"/>
  <c r="I689" i="1"/>
  <c r="I679" i="1"/>
  <c r="I663" i="1"/>
  <c r="I647" i="1"/>
  <c r="I631" i="1"/>
  <c r="I611" i="1"/>
  <c r="I588" i="1"/>
  <c r="I559" i="1"/>
  <c r="I527" i="1"/>
  <c r="I495" i="1"/>
  <c r="I435" i="1"/>
  <c r="I371" i="1"/>
  <c r="I307" i="1"/>
  <c r="I243" i="1"/>
  <c r="I179" i="1"/>
  <c r="I115" i="1"/>
  <c r="I946" i="1"/>
  <c r="I874" i="1"/>
  <c r="I810" i="1"/>
  <c r="I762" i="1"/>
  <c r="I722" i="1"/>
  <c r="I3" i="1"/>
  <c r="I11" i="1"/>
  <c r="I4" i="1"/>
  <c r="I12" i="1"/>
  <c r="I20" i="1"/>
  <c r="I28" i="1"/>
  <c r="I36" i="1"/>
  <c r="I44" i="1"/>
  <c r="I52" i="1"/>
  <c r="I60" i="1"/>
  <c r="I68" i="1"/>
  <c r="I76" i="1"/>
  <c r="I84" i="1"/>
  <c r="I92" i="1"/>
  <c r="I100" i="1"/>
  <c r="I108" i="1"/>
  <c r="I116" i="1"/>
  <c r="I124" i="1"/>
  <c r="I132" i="1"/>
  <c r="I140" i="1"/>
  <c r="I148" i="1"/>
  <c r="I156" i="1"/>
  <c r="I164" i="1"/>
  <c r="I172" i="1"/>
  <c r="I180" i="1"/>
  <c r="I188" i="1"/>
  <c r="I196" i="1"/>
  <c r="I204" i="1"/>
  <c r="I212" i="1"/>
  <c r="I220" i="1"/>
  <c r="I228" i="1"/>
  <c r="I236" i="1"/>
  <c r="I244" i="1"/>
  <c r="I252" i="1"/>
  <c r="I260" i="1"/>
  <c r="I268" i="1"/>
  <c r="I276" i="1"/>
  <c r="I284" i="1"/>
  <c r="I292" i="1"/>
  <c r="I300" i="1"/>
  <c r="I308" i="1"/>
  <c r="I316" i="1"/>
  <c r="I324" i="1"/>
  <c r="I332" i="1"/>
  <c r="I340" i="1"/>
  <c r="I348" i="1"/>
  <c r="I356" i="1"/>
  <c r="I364" i="1"/>
  <c r="I372" i="1"/>
  <c r="I380" i="1"/>
  <c r="I388" i="1"/>
  <c r="I396" i="1"/>
  <c r="I404" i="1"/>
  <c r="I412" i="1"/>
  <c r="I420" i="1"/>
  <c r="I428" i="1"/>
  <c r="I436" i="1"/>
  <c r="I444" i="1"/>
  <c r="I452" i="1"/>
  <c r="I460" i="1"/>
  <c r="I468" i="1"/>
  <c r="I476" i="1"/>
  <c r="I484" i="1"/>
  <c r="I492" i="1"/>
  <c r="I500" i="1"/>
  <c r="I508" i="1"/>
  <c r="I516" i="1"/>
  <c r="I524" i="1"/>
  <c r="I532" i="1"/>
  <c r="I540" i="1"/>
  <c r="I548" i="1"/>
  <c r="I556" i="1"/>
  <c r="I564" i="1"/>
  <c r="I572" i="1"/>
  <c r="I580" i="1"/>
  <c r="I5" i="1"/>
  <c r="I13" i="1"/>
  <c r="I21" i="1"/>
  <c r="I29" i="1"/>
  <c r="I37" i="1"/>
  <c r="I45" i="1"/>
  <c r="I53" i="1"/>
  <c r="I61" i="1"/>
  <c r="I69" i="1"/>
  <c r="I77" i="1"/>
  <c r="I85" i="1"/>
  <c r="I93" i="1"/>
  <c r="I101" i="1"/>
  <c r="I109" i="1"/>
  <c r="I117" i="1"/>
  <c r="I125" i="1"/>
  <c r="I133" i="1"/>
  <c r="I141" i="1"/>
  <c r="I149" i="1"/>
  <c r="I157" i="1"/>
  <c r="I165" i="1"/>
  <c r="I173" i="1"/>
  <c r="I181" i="1"/>
  <c r="I189" i="1"/>
  <c r="I197" i="1"/>
  <c r="I205" i="1"/>
  <c r="I213" i="1"/>
  <c r="I221" i="1"/>
  <c r="I229" i="1"/>
  <c r="I237" i="1"/>
  <c r="I245" i="1"/>
  <c r="I253" i="1"/>
  <c r="I261" i="1"/>
  <c r="I269" i="1"/>
  <c r="I277" i="1"/>
  <c r="I285" i="1"/>
  <c r="I293" i="1"/>
  <c r="I301" i="1"/>
  <c r="I309" i="1"/>
  <c r="I317" i="1"/>
  <c r="I325" i="1"/>
  <c r="I333" i="1"/>
  <c r="I341" i="1"/>
  <c r="I349" i="1"/>
  <c r="I357" i="1"/>
  <c r="I365" i="1"/>
  <c r="I373" i="1"/>
  <c r="I381" i="1"/>
  <c r="I389" i="1"/>
  <c r="I397" i="1"/>
  <c r="I405" i="1"/>
  <c r="I413" i="1"/>
  <c r="I421" i="1"/>
  <c r="I429" i="1"/>
  <c r="I437" i="1"/>
  <c r="I445" i="1"/>
  <c r="I453" i="1"/>
  <c r="I461" i="1"/>
  <c r="I469" i="1"/>
  <c r="I477" i="1"/>
  <c r="I485" i="1"/>
  <c r="I493" i="1"/>
  <c r="I501" i="1"/>
  <c r="I509" i="1"/>
  <c r="I517" i="1"/>
  <c r="I525" i="1"/>
  <c r="I533" i="1"/>
  <c r="I541" i="1"/>
  <c r="I549" i="1"/>
  <c r="I557" i="1"/>
  <c r="I565" i="1"/>
  <c r="I573" i="1"/>
  <c r="I581" i="1"/>
  <c r="I589" i="1"/>
  <c r="I597" i="1"/>
  <c r="I605" i="1"/>
  <c r="I613" i="1"/>
  <c r="I621" i="1"/>
  <c r="I629" i="1"/>
  <c r="I6" i="1"/>
  <c r="I14" i="1"/>
  <c r="I22" i="1"/>
  <c r="I30" i="1"/>
  <c r="I38" i="1"/>
  <c r="I46" i="1"/>
  <c r="I54" i="1"/>
  <c r="I62" i="1"/>
  <c r="I70" i="1"/>
  <c r="I78" i="1"/>
  <c r="I86" i="1"/>
  <c r="I94" i="1"/>
  <c r="I102" i="1"/>
  <c r="I110" i="1"/>
  <c r="I118" i="1"/>
  <c r="I126" i="1"/>
  <c r="I134" i="1"/>
  <c r="I142" i="1"/>
  <c r="I150" i="1"/>
  <c r="I158" i="1"/>
  <c r="I166" i="1"/>
  <c r="I174" i="1"/>
  <c r="I182" i="1"/>
  <c r="I190" i="1"/>
  <c r="I198" i="1"/>
  <c r="I206" i="1"/>
  <c r="I214" i="1"/>
  <c r="I222" i="1"/>
  <c r="I230" i="1"/>
  <c r="I238" i="1"/>
  <c r="I246" i="1"/>
  <c r="I254" i="1"/>
  <c r="I262" i="1"/>
  <c r="I270" i="1"/>
  <c r="I278" i="1"/>
  <c r="I286" i="1"/>
  <c r="I294" i="1"/>
  <c r="I302" i="1"/>
  <c r="I310" i="1"/>
  <c r="I318" i="1"/>
  <c r="I326" i="1"/>
  <c r="I334" i="1"/>
  <c r="I342" i="1"/>
  <c r="I350" i="1"/>
  <c r="I358" i="1"/>
  <c r="I366" i="1"/>
  <c r="I374" i="1"/>
  <c r="I382" i="1"/>
  <c r="I390" i="1"/>
  <c r="I398" i="1"/>
  <c r="I406" i="1"/>
  <c r="I414" i="1"/>
  <c r="I422" i="1"/>
  <c r="I430" i="1"/>
  <c r="I438" i="1"/>
  <c r="I446" i="1"/>
  <c r="I454" i="1"/>
  <c r="I462" i="1"/>
  <c r="I470" i="1"/>
  <c r="I478" i="1"/>
  <c r="I486" i="1"/>
  <c r="I494" i="1"/>
  <c r="I502" i="1"/>
  <c r="I510" i="1"/>
  <c r="I518" i="1"/>
  <c r="I526" i="1"/>
  <c r="I534" i="1"/>
  <c r="I542" i="1"/>
  <c r="I550" i="1"/>
  <c r="I558" i="1"/>
  <c r="I566" i="1"/>
  <c r="I574" i="1"/>
  <c r="I582" i="1"/>
  <c r="I590" i="1"/>
  <c r="I598" i="1"/>
  <c r="I606" i="1"/>
  <c r="I614" i="1"/>
  <c r="I622" i="1"/>
  <c r="I630" i="1"/>
  <c r="I638" i="1"/>
  <c r="I646" i="1"/>
  <c r="I654" i="1"/>
  <c r="I662" i="1"/>
  <c r="I670" i="1"/>
  <c r="I678" i="1"/>
  <c r="I7" i="1"/>
  <c r="I15" i="1"/>
  <c r="I23" i="1"/>
  <c r="I31" i="1"/>
  <c r="I39" i="1"/>
  <c r="I47" i="1"/>
  <c r="I55" i="1"/>
  <c r="I63" i="1"/>
  <c r="I71" i="1"/>
  <c r="I79" i="1"/>
  <c r="I87" i="1"/>
  <c r="I95" i="1"/>
  <c r="I103" i="1"/>
  <c r="I111" i="1"/>
  <c r="I119" i="1"/>
  <c r="I127" i="1"/>
  <c r="I135" i="1"/>
  <c r="I143" i="1"/>
  <c r="I151" i="1"/>
  <c r="I159" i="1"/>
  <c r="I167" i="1"/>
  <c r="I175" i="1"/>
  <c r="I183" i="1"/>
  <c r="I191" i="1"/>
  <c r="I199" i="1"/>
  <c r="I207" i="1"/>
  <c r="I215" i="1"/>
  <c r="I223" i="1"/>
  <c r="I231" i="1"/>
  <c r="I239" i="1"/>
  <c r="I247" i="1"/>
  <c r="I255" i="1"/>
  <c r="I263" i="1"/>
  <c r="I271" i="1"/>
  <c r="I279" i="1"/>
  <c r="I287" i="1"/>
  <c r="I295" i="1"/>
  <c r="I303" i="1"/>
  <c r="I311" i="1"/>
  <c r="I319" i="1"/>
  <c r="I327" i="1"/>
  <c r="I335" i="1"/>
  <c r="I343" i="1"/>
  <c r="I351" i="1"/>
  <c r="I359" i="1"/>
  <c r="I367" i="1"/>
  <c r="I375" i="1"/>
  <c r="I383" i="1"/>
  <c r="I391" i="1"/>
  <c r="I399" i="1"/>
  <c r="I407" i="1"/>
  <c r="I415" i="1"/>
  <c r="I423" i="1"/>
  <c r="I431" i="1"/>
  <c r="I439" i="1"/>
  <c r="I447" i="1"/>
  <c r="I455" i="1"/>
  <c r="I463" i="1"/>
  <c r="I471" i="1"/>
  <c r="I479" i="1"/>
  <c r="I487" i="1"/>
  <c r="I8" i="1"/>
  <c r="I16" i="1"/>
  <c r="I24" i="1"/>
  <c r="I32" i="1"/>
  <c r="I40" i="1"/>
  <c r="I48" i="1"/>
  <c r="I56" i="1"/>
  <c r="I64" i="1"/>
  <c r="I72" i="1"/>
  <c r="I80" i="1"/>
  <c r="I88" i="1"/>
  <c r="I96" i="1"/>
  <c r="I104" i="1"/>
  <c r="I112" i="1"/>
  <c r="I120" i="1"/>
  <c r="I128" i="1"/>
  <c r="I136" i="1"/>
  <c r="I144" i="1"/>
  <c r="I152" i="1"/>
  <c r="I160" i="1"/>
  <c r="I168" i="1"/>
  <c r="I176" i="1"/>
  <c r="I184" i="1"/>
  <c r="I192" i="1"/>
  <c r="I200" i="1"/>
  <c r="I208" i="1"/>
  <c r="I216" i="1"/>
  <c r="I224" i="1"/>
  <c r="I232" i="1"/>
  <c r="I240" i="1"/>
  <c r="I248" i="1"/>
  <c r="I256" i="1"/>
  <c r="I264" i="1"/>
  <c r="I272" i="1"/>
  <c r="I280" i="1"/>
  <c r="I288" i="1"/>
  <c r="I296" i="1"/>
  <c r="I304" i="1"/>
  <c r="I312" i="1"/>
  <c r="I320" i="1"/>
  <c r="I328" i="1"/>
  <c r="I336" i="1"/>
  <c r="I344" i="1"/>
  <c r="I352" i="1"/>
  <c r="I360" i="1"/>
  <c r="I368" i="1"/>
  <c r="I376" i="1"/>
  <c r="I384" i="1"/>
  <c r="I392" i="1"/>
  <c r="I400" i="1"/>
  <c r="I408" i="1"/>
  <c r="I416" i="1"/>
  <c r="I424" i="1"/>
  <c r="I432" i="1"/>
  <c r="I440" i="1"/>
  <c r="I448" i="1"/>
  <c r="I456" i="1"/>
  <c r="I464" i="1"/>
  <c r="I472" i="1"/>
  <c r="I480" i="1"/>
  <c r="I488" i="1"/>
  <c r="I496" i="1"/>
  <c r="I504" i="1"/>
  <c r="I512" i="1"/>
  <c r="I520" i="1"/>
  <c r="I528" i="1"/>
  <c r="I536" i="1"/>
  <c r="I544" i="1"/>
  <c r="I552" i="1"/>
  <c r="I560" i="1"/>
  <c r="I568" i="1"/>
  <c r="I576" i="1"/>
  <c r="I584" i="1"/>
  <c r="I592" i="1"/>
  <c r="I600" i="1"/>
  <c r="I608" i="1"/>
  <c r="I616" i="1"/>
  <c r="I624" i="1"/>
  <c r="I632" i="1"/>
  <c r="I640" i="1"/>
  <c r="I648" i="1"/>
  <c r="I656" i="1"/>
  <c r="I664" i="1"/>
  <c r="I672" i="1"/>
  <c r="I9" i="1"/>
  <c r="I17" i="1"/>
  <c r="I25" i="1"/>
  <c r="I33" i="1"/>
  <c r="I41" i="1"/>
  <c r="I49" i="1"/>
  <c r="I57" i="1"/>
  <c r="I65" i="1"/>
  <c r="I73" i="1"/>
  <c r="I81" i="1"/>
  <c r="I89" i="1"/>
  <c r="I97" i="1"/>
  <c r="I105" i="1"/>
  <c r="I113" i="1"/>
  <c r="I121" i="1"/>
  <c r="I129" i="1"/>
  <c r="I137" i="1"/>
  <c r="I145" i="1"/>
  <c r="I153" i="1"/>
  <c r="I161" i="1"/>
  <c r="I169" i="1"/>
  <c r="I177" i="1"/>
  <c r="I185" i="1"/>
  <c r="I193" i="1"/>
  <c r="I201" i="1"/>
  <c r="I209" i="1"/>
  <c r="I217" i="1"/>
  <c r="I225" i="1"/>
  <c r="I233" i="1"/>
  <c r="I241" i="1"/>
  <c r="I249" i="1"/>
  <c r="I257" i="1"/>
  <c r="I265" i="1"/>
  <c r="I273" i="1"/>
  <c r="I281" i="1"/>
  <c r="I289" i="1"/>
  <c r="I297" i="1"/>
  <c r="I305" i="1"/>
  <c r="I313" i="1"/>
  <c r="I321" i="1"/>
  <c r="I329" i="1"/>
  <c r="I337" i="1"/>
  <c r="I345" i="1"/>
  <c r="I353" i="1"/>
  <c r="I361" i="1"/>
  <c r="I369" i="1"/>
  <c r="I377" i="1"/>
  <c r="I385" i="1"/>
  <c r="I393" i="1"/>
  <c r="I401" i="1"/>
  <c r="I409" i="1"/>
  <c r="I417" i="1"/>
  <c r="I425" i="1"/>
  <c r="I433" i="1"/>
  <c r="I441" i="1"/>
  <c r="I449" i="1"/>
  <c r="I457" i="1"/>
  <c r="I465" i="1"/>
  <c r="I473" i="1"/>
  <c r="I481" i="1"/>
  <c r="I489" i="1"/>
  <c r="I497" i="1"/>
  <c r="I505" i="1"/>
  <c r="I513" i="1"/>
  <c r="I521" i="1"/>
  <c r="I529" i="1"/>
  <c r="I537" i="1"/>
  <c r="I545" i="1"/>
  <c r="I553" i="1"/>
  <c r="I561" i="1"/>
  <c r="I569" i="1"/>
  <c r="I577" i="1"/>
  <c r="I585" i="1"/>
  <c r="I593" i="1"/>
  <c r="I601" i="1"/>
  <c r="I609" i="1"/>
  <c r="I617" i="1"/>
  <c r="I625" i="1"/>
  <c r="I633" i="1"/>
  <c r="I641" i="1"/>
  <c r="I649" i="1"/>
  <c r="I657" i="1"/>
  <c r="I665" i="1"/>
  <c r="I673" i="1"/>
  <c r="I681" i="1"/>
  <c r="I10" i="1"/>
  <c r="I18" i="1"/>
  <c r="I26" i="1"/>
  <c r="I34" i="1"/>
  <c r="I42" i="1"/>
  <c r="I50" i="1"/>
  <c r="I58" i="1"/>
  <c r="I66" i="1"/>
  <c r="I74" i="1"/>
  <c r="I82" i="1"/>
  <c r="I90" i="1"/>
  <c r="I98" i="1"/>
  <c r="I106" i="1"/>
  <c r="I114" i="1"/>
  <c r="I122" i="1"/>
  <c r="I130" i="1"/>
  <c r="I138" i="1"/>
  <c r="I146" i="1"/>
  <c r="I154" i="1"/>
  <c r="I162" i="1"/>
  <c r="I170" i="1"/>
  <c r="I178" i="1"/>
  <c r="I186" i="1"/>
  <c r="I194" i="1"/>
  <c r="I202" i="1"/>
  <c r="I210" i="1"/>
  <c r="I218" i="1"/>
  <c r="I226" i="1"/>
  <c r="I234" i="1"/>
  <c r="I242" i="1"/>
  <c r="I250" i="1"/>
  <c r="I258" i="1"/>
  <c r="I266" i="1"/>
  <c r="I274" i="1"/>
  <c r="I282" i="1"/>
  <c r="I290" i="1"/>
  <c r="I298" i="1"/>
  <c r="I306" i="1"/>
  <c r="I314" i="1"/>
  <c r="I322" i="1"/>
  <c r="I330" i="1"/>
  <c r="I338" i="1"/>
  <c r="I346" i="1"/>
  <c r="I354" i="1"/>
  <c r="I362" i="1"/>
  <c r="I370" i="1"/>
  <c r="I378" i="1"/>
  <c r="I386" i="1"/>
  <c r="I394" i="1"/>
  <c r="I402" i="1"/>
  <c r="I410" i="1"/>
  <c r="I418" i="1"/>
  <c r="I426" i="1"/>
  <c r="I434" i="1"/>
  <c r="I442" i="1"/>
  <c r="I450" i="1"/>
  <c r="I458" i="1"/>
  <c r="I466" i="1"/>
  <c r="I474" i="1"/>
  <c r="I482" i="1"/>
  <c r="I490" i="1"/>
  <c r="I498" i="1"/>
  <c r="I506" i="1"/>
  <c r="I514" i="1"/>
  <c r="I522" i="1"/>
  <c r="I530" i="1"/>
  <c r="I538" i="1"/>
  <c r="I546" i="1"/>
  <c r="I554" i="1"/>
  <c r="I562" i="1"/>
  <c r="I570" i="1"/>
  <c r="I578" i="1"/>
  <c r="I586" i="1"/>
  <c r="I594" i="1"/>
  <c r="I602" i="1"/>
  <c r="I610" i="1"/>
  <c r="I618" i="1"/>
  <c r="I626" i="1"/>
  <c r="I634" i="1"/>
  <c r="I642" i="1"/>
  <c r="I650" i="1"/>
  <c r="I658" i="1"/>
  <c r="I666" i="1"/>
  <c r="I674" i="1"/>
  <c r="I682" i="1"/>
  <c r="I985" i="1"/>
  <c r="I961" i="1"/>
  <c r="I929" i="1"/>
  <c r="I897" i="1"/>
  <c r="I1000" i="1"/>
  <c r="I992" i="1"/>
  <c r="I984" i="1"/>
  <c r="I976" i="1"/>
  <c r="I968" i="1"/>
  <c r="I960" i="1"/>
  <c r="I952" i="1"/>
  <c r="I944" i="1"/>
  <c r="I936" i="1"/>
  <c r="I928" i="1"/>
  <c r="I920" i="1"/>
  <c r="I912" i="1"/>
  <c r="I904" i="1"/>
  <c r="I896" i="1"/>
  <c r="I888" i="1"/>
  <c r="I880" i="1"/>
  <c r="I872" i="1"/>
  <c r="I864" i="1"/>
  <c r="I856" i="1"/>
  <c r="I848" i="1"/>
  <c r="I840" i="1"/>
  <c r="I832" i="1"/>
  <c r="I824" i="1"/>
  <c r="I816" i="1"/>
  <c r="I808" i="1"/>
  <c r="I800" i="1"/>
  <c r="I792" i="1"/>
  <c r="I784" i="1"/>
  <c r="I776" i="1"/>
  <c r="I768" i="1"/>
  <c r="I760" i="1"/>
  <c r="I752" i="1"/>
  <c r="I744" i="1"/>
  <c r="I736" i="1"/>
  <c r="I728" i="1"/>
  <c r="I720" i="1"/>
  <c r="I712" i="1"/>
  <c r="I704" i="1"/>
  <c r="I696" i="1"/>
  <c r="I688" i="1"/>
  <c r="I677" i="1"/>
  <c r="I661" i="1"/>
  <c r="I645" i="1"/>
  <c r="I628" i="1"/>
  <c r="I607" i="1"/>
  <c r="I587" i="1"/>
  <c r="I555" i="1"/>
  <c r="I523" i="1"/>
  <c r="I491" i="1"/>
  <c r="I427" i="1"/>
  <c r="I363" i="1"/>
  <c r="I299" i="1"/>
  <c r="I235" i="1"/>
  <c r="I171" i="1"/>
  <c r="I107" i="1"/>
  <c r="I43" i="1"/>
  <c r="I938" i="1"/>
  <c r="I882" i="1"/>
  <c r="I818" i="1"/>
  <c r="I770" i="1"/>
  <c r="I714" i="1"/>
  <c r="I993" i="1"/>
  <c r="I969" i="1"/>
  <c r="I945" i="1"/>
  <c r="I921" i="1"/>
  <c r="I889" i="1"/>
  <c r="I999" i="1"/>
  <c r="I991" i="1"/>
  <c r="I983" i="1"/>
  <c r="I975" i="1"/>
  <c r="I967" i="1"/>
  <c r="I959" i="1"/>
  <c r="I951" i="1"/>
  <c r="I943" i="1"/>
  <c r="I935" i="1"/>
  <c r="I927" i="1"/>
  <c r="I919" i="1"/>
  <c r="I911" i="1"/>
  <c r="I903" i="1"/>
  <c r="I895" i="1"/>
  <c r="I887" i="1"/>
  <c r="I879" i="1"/>
  <c r="I871" i="1"/>
  <c r="I863" i="1"/>
  <c r="I855" i="1"/>
  <c r="I847" i="1"/>
  <c r="I839" i="1"/>
  <c r="I831" i="1"/>
  <c r="I823" i="1"/>
  <c r="I815" i="1"/>
  <c r="I807" i="1"/>
  <c r="I799" i="1"/>
  <c r="I791" i="1"/>
  <c r="I783" i="1"/>
  <c r="I775" i="1"/>
  <c r="I767" i="1"/>
  <c r="I759" i="1"/>
  <c r="I751" i="1"/>
  <c r="I743" i="1"/>
  <c r="I735" i="1"/>
  <c r="I727" i="1"/>
  <c r="I719" i="1"/>
  <c r="I711" i="1"/>
  <c r="I703" i="1"/>
  <c r="I695" i="1"/>
  <c r="I687" i="1"/>
  <c r="I676" i="1"/>
  <c r="I660" i="1"/>
  <c r="I644" i="1"/>
  <c r="I627" i="1"/>
  <c r="I604" i="1"/>
  <c r="I583" i="1"/>
  <c r="I551" i="1"/>
  <c r="I519" i="1"/>
  <c r="I483" i="1"/>
  <c r="I419" i="1"/>
  <c r="I355" i="1"/>
  <c r="I291" i="1"/>
  <c r="I227" i="1"/>
  <c r="I163" i="1"/>
  <c r="I99" i="1"/>
  <c r="I35" i="1"/>
  <c r="I970" i="1"/>
  <c r="I906" i="1"/>
  <c r="I842" i="1"/>
  <c r="I794" i="1"/>
  <c r="I746" i="1"/>
  <c r="I953" i="1"/>
  <c r="I937" i="1"/>
  <c r="I873" i="1"/>
  <c r="I998" i="1"/>
  <c r="I990" i="1"/>
  <c r="I982" i="1"/>
  <c r="I974" i="1"/>
  <c r="I966" i="1"/>
  <c r="I958" i="1"/>
  <c r="I950" i="1"/>
  <c r="I942" i="1"/>
  <c r="I934" i="1"/>
  <c r="I926" i="1"/>
  <c r="I918" i="1"/>
  <c r="I910" i="1"/>
  <c r="I902" i="1"/>
  <c r="I894" i="1"/>
  <c r="I886" i="1"/>
  <c r="I878" i="1"/>
  <c r="I870" i="1"/>
  <c r="I862" i="1"/>
  <c r="I854" i="1"/>
  <c r="I846" i="1"/>
  <c r="I838" i="1"/>
  <c r="I830" i="1"/>
  <c r="I822" i="1"/>
  <c r="I814" i="1"/>
  <c r="I806" i="1"/>
  <c r="I798" i="1"/>
  <c r="I790" i="1"/>
  <c r="I782" i="1"/>
  <c r="I774" i="1"/>
  <c r="I766" i="1"/>
  <c r="I758" i="1"/>
  <c r="I750" i="1"/>
  <c r="I742" i="1"/>
  <c r="I734" i="1"/>
  <c r="I726" i="1"/>
  <c r="I718" i="1"/>
  <c r="I710" i="1"/>
  <c r="I702" i="1"/>
  <c r="I694" i="1"/>
  <c r="I686" i="1"/>
  <c r="I675" i="1"/>
  <c r="I659" i="1"/>
  <c r="I643" i="1"/>
  <c r="I623" i="1"/>
  <c r="I603" i="1"/>
  <c r="I579" i="1"/>
  <c r="I547" i="1"/>
  <c r="I515" i="1"/>
  <c r="I475" i="1"/>
  <c r="I411" i="1"/>
  <c r="I347" i="1"/>
  <c r="I283" i="1"/>
  <c r="I219" i="1"/>
  <c r="I155" i="1"/>
  <c r="I91" i="1"/>
  <c r="I27" i="1"/>
  <c r="I954" i="1"/>
  <c r="I890" i="1"/>
  <c r="I826" i="1"/>
  <c r="I778" i="1"/>
  <c r="I1001" i="1"/>
  <c r="I977" i="1"/>
  <c r="I913" i="1"/>
  <c r="I881" i="1"/>
  <c r="I997" i="1"/>
  <c r="I989" i="1"/>
  <c r="I981" i="1"/>
  <c r="I973" i="1"/>
  <c r="I965" i="1"/>
  <c r="I957" i="1"/>
  <c r="I949" i="1"/>
  <c r="I941" i="1"/>
  <c r="I933" i="1"/>
  <c r="I925" i="1"/>
  <c r="I917" i="1"/>
  <c r="I909" i="1"/>
  <c r="I901" i="1"/>
  <c r="I893" i="1"/>
  <c r="I885" i="1"/>
  <c r="I877" i="1"/>
  <c r="I869" i="1"/>
  <c r="I861" i="1"/>
  <c r="I853" i="1"/>
  <c r="I845" i="1"/>
  <c r="I837" i="1"/>
  <c r="I829" i="1"/>
  <c r="I821" i="1"/>
  <c r="I813" i="1"/>
  <c r="I805" i="1"/>
  <c r="I797" i="1"/>
  <c r="I789" i="1"/>
  <c r="I781" i="1"/>
  <c r="I773" i="1"/>
  <c r="I765" i="1"/>
  <c r="I757" i="1"/>
  <c r="I749" i="1"/>
  <c r="I741" i="1"/>
  <c r="I733" i="1"/>
  <c r="I725" i="1"/>
  <c r="I717" i="1"/>
  <c r="I709" i="1"/>
  <c r="I701" i="1"/>
  <c r="I693" i="1"/>
  <c r="I685" i="1"/>
  <c r="I671" i="1"/>
  <c r="I655" i="1"/>
  <c r="I639" i="1"/>
  <c r="I620" i="1"/>
  <c r="I599" i="1"/>
  <c r="I575" i="1"/>
  <c r="I543" i="1"/>
  <c r="I511" i="1"/>
  <c r="I467" i="1"/>
  <c r="I403" i="1"/>
  <c r="I339" i="1"/>
  <c r="I275" i="1"/>
  <c r="I211" i="1"/>
  <c r="I147" i="1"/>
  <c r="I83" i="1"/>
  <c r="I19" i="1"/>
  <c r="X2" i="1"/>
  <c r="W2" i="1"/>
  <c r="V2" i="1"/>
</calcChain>
</file>

<file path=xl/sharedStrings.xml><?xml version="1.0" encoding="utf-8"?>
<sst xmlns="http://schemas.openxmlformats.org/spreadsheetml/2006/main" count="6732" uniqueCount="570">
  <si>
    <t>صباحي</t>
  </si>
  <si>
    <t>مسائي</t>
  </si>
  <si>
    <t>الجنس</t>
  </si>
  <si>
    <t>ذكر</t>
  </si>
  <si>
    <t>كلاهما</t>
  </si>
  <si>
    <t>قائمة المراكز</t>
  </si>
  <si>
    <t>الفترات</t>
  </si>
  <si>
    <t>أنثى</t>
  </si>
  <si>
    <t>حالة الجلسة</t>
  </si>
  <si>
    <t>تمت</t>
  </si>
  <si>
    <t>لم تتم</t>
  </si>
  <si>
    <t>مؤجلة</t>
  </si>
  <si>
    <t>ملغاة</t>
  </si>
  <si>
    <t>الوظائف</t>
  </si>
  <si>
    <t>أخصائي نطق</t>
  </si>
  <si>
    <t>أخصائي علاج طبيعي</t>
  </si>
  <si>
    <t>أخصائي علاج وظيفي</t>
  </si>
  <si>
    <t>أخصائي نفسي</t>
  </si>
  <si>
    <t>أخصائي اجتماعي</t>
  </si>
  <si>
    <t>أخصائي تربية خاصة</t>
  </si>
  <si>
    <t>مساعدة معلمة</t>
  </si>
  <si>
    <t>مشرفة</t>
  </si>
  <si>
    <t>إدارية</t>
  </si>
  <si>
    <t>التخصصات</t>
  </si>
  <si>
    <t>نطق وتواصل</t>
  </si>
  <si>
    <t>علاج طبيعي</t>
  </si>
  <si>
    <t>علاج وظيفي</t>
  </si>
  <si>
    <t>نفسي</t>
  </si>
  <si>
    <t>اجتماعي</t>
  </si>
  <si>
    <t>تربية خاصة</t>
  </si>
  <si>
    <t>تمريض</t>
  </si>
  <si>
    <t>تغذية</t>
  </si>
  <si>
    <t>إجازة</t>
  </si>
  <si>
    <t>الخدمات</t>
  </si>
  <si>
    <t>متوسط</t>
  </si>
  <si>
    <t>مستوى الحالة</t>
  </si>
  <si>
    <t>خفيف</t>
  </si>
  <si>
    <t>شديد</t>
  </si>
  <si>
    <t>فصول</t>
  </si>
  <si>
    <t>جلسات فردية</t>
  </si>
  <si>
    <t>الشؤون الاجتماعية</t>
  </si>
  <si>
    <t>تأمين / شركات</t>
  </si>
  <si>
    <t>شركة سابك</t>
  </si>
  <si>
    <t>شركة حديد</t>
  </si>
  <si>
    <t>أفراد</t>
  </si>
  <si>
    <t>طي قيد</t>
  </si>
  <si>
    <t>متوقف</t>
  </si>
  <si>
    <t>إعادة قيد</t>
  </si>
  <si>
    <t>الحالة الإدارية</t>
  </si>
  <si>
    <t>سبب الغياب</t>
  </si>
  <si>
    <t>غياب بعذر</t>
  </si>
  <si>
    <t>غياب بدون عذر</t>
  </si>
  <si>
    <t>مرضي</t>
  </si>
  <si>
    <t>ملاحظات</t>
  </si>
  <si>
    <t>المركز</t>
  </si>
  <si>
    <t>الاسم</t>
  </si>
  <si>
    <t>تاريخ_الميلاد</t>
  </si>
  <si>
    <t>الفترة</t>
  </si>
  <si>
    <t>تاريخ_الالتحاق</t>
  </si>
  <si>
    <t>الحالة</t>
  </si>
  <si>
    <t>التشخيص</t>
  </si>
  <si>
    <t>IQ</t>
  </si>
  <si>
    <t>الخدمة_الأساسية</t>
  </si>
  <si>
    <t>مبلغ_الرسوم</t>
  </si>
  <si>
    <t>إعاقة ذهنية</t>
  </si>
  <si>
    <t>الوظيفة</t>
  </si>
  <si>
    <t>التخصص</t>
  </si>
  <si>
    <t>E001</t>
  </si>
  <si>
    <t>E002</t>
  </si>
  <si>
    <t>E003</t>
  </si>
  <si>
    <t>التاريخ</t>
  </si>
  <si>
    <t>سبب_الغياب</t>
  </si>
  <si>
    <t>المبلغ</t>
  </si>
  <si>
    <t>نوع_التحصيل</t>
  </si>
  <si>
    <t xml:space="preserve"> التربية الخاصة </t>
  </si>
  <si>
    <t xml:space="preserve"> النطق والتواصل </t>
  </si>
  <si>
    <t xml:space="preserve"> العلاج الطبيعي </t>
  </si>
  <si>
    <t xml:space="preserve"> العلاج الوظيفي </t>
  </si>
  <si>
    <t xml:space="preserve"> التأهيل النفسي </t>
  </si>
  <si>
    <t xml:space="preserve"> التأهيل النفسي الحركي </t>
  </si>
  <si>
    <t xml:space="preserve"> الخدمة الاجتماعية </t>
  </si>
  <si>
    <t xml:space="preserve"> الإرشاد الأسري </t>
  </si>
  <si>
    <t>نوع البرنامج</t>
  </si>
  <si>
    <t>مستفيد1</t>
  </si>
  <si>
    <t>مستفيد2</t>
  </si>
  <si>
    <t>مستفيد3</t>
  </si>
  <si>
    <t>مستفيد4</t>
  </si>
  <si>
    <t>مستفيد5</t>
  </si>
  <si>
    <t>مستفيد6</t>
  </si>
  <si>
    <t>مستفيد10</t>
  </si>
  <si>
    <t>مستفيد13</t>
  </si>
  <si>
    <t>مستفيد18</t>
  </si>
  <si>
    <t>مستفيد23</t>
  </si>
  <si>
    <t>مستفيد26</t>
  </si>
  <si>
    <t>مستفيد30</t>
  </si>
  <si>
    <t>مستفيد31</t>
  </si>
  <si>
    <t>مستفيد35</t>
  </si>
  <si>
    <t>مستفيد40</t>
  </si>
  <si>
    <t>مستفيد43</t>
  </si>
  <si>
    <t>مستفيد48</t>
  </si>
  <si>
    <t>مستفيد56</t>
  </si>
  <si>
    <t>مستفيد60</t>
  </si>
  <si>
    <t>مستفيد61</t>
  </si>
  <si>
    <t>مستفيد65</t>
  </si>
  <si>
    <t>مستفيد73</t>
  </si>
  <si>
    <t>مستفيد78</t>
  </si>
  <si>
    <t>مستفيد81</t>
  </si>
  <si>
    <t>مستفيد86</t>
  </si>
  <si>
    <t>مستفيد90</t>
  </si>
  <si>
    <t>مستفيد91</t>
  </si>
  <si>
    <t>مستفيد95</t>
  </si>
  <si>
    <t>مستفيد98</t>
  </si>
  <si>
    <t>مستفيد103</t>
  </si>
  <si>
    <t>مستفيد108</t>
  </si>
  <si>
    <t>مستفيد111</t>
  </si>
  <si>
    <t>مستفيد115</t>
  </si>
  <si>
    <t>مستفيد116</t>
  </si>
  <si>
    <t>مستفيد120</t>
  </si>
  <si>
    <t>مستفيد125</t>
  </si>
  <si>
    <t>مستفيد128</t>
  </si>
  <si>
    <t>مستفيد133</t>
  </si>
  <si>
    <t>مستفيد141</t>
  </si>
  <si>
    <t>مستفيد145</t>
  </si>
  <si>
    <t>مستفيد146</t>
  </si>
  <si>
    <t>مستفيد150</t>
  </si>
  <si>
    <t>مستفيد158</t>
  </si>
  <si>
    <t>مستفيد163</t>
  </si>
  <si>
    <t>مستفيد171</t>
  </si>
  <si>
    <t>مستفيد175</t>
  </si>
  <si>
    <t>مستفيد176</t>
  </si>
  <si>
    <t>مستفيد180</t>
  </si>
  <si>
    <t>مستفيد188</t>
  </si>
  <si>
    <t>مستفيد193</t>
  </si>
  <si>
    <t>مستفيد196</t>
  </si>
  <si>
    <t>اضطراب طيف التوحد</t>
  </si>
  <si>
    <t>صعوبات تعلم</t>
  </si>
  <si>
    <t>اضطرابات سلوكية</t>
  </si>
  <si>
    <t>اضطراب تواصل اجتماعي</t>
  </si>
  <si>
    <t>شلل دماغي</t>
  </si>
  <si>
    <t>متلازمة داون</t>
  </si>
  <si>
    <t>إعاقة سمعية</t>
  </si>
  <si>
    <t>إعاقة بصرية</t>
  </si>
  <si>
    <t>اضطراب تكامل حسي</t>
  </si>
  <si>
    <t>اضطراب نفسي</t>
  </si>
  <si>
    <t>تأخر حركي</t>
  </si>
  <si>
    <t>اضطراب نفسي حركي</t>
  </si>
  <si>
    <t>مشكلات أسرية / اجتماعية</t>
  </si>
  <si>
    <t>موظف1</t>
  </si>
  <si>
    <t>موظف2</t>
  </si>
  <si>
    <t>موظف3</t>
  </si>
  <si>
    <t>E004</t>
  </si>
  <si>
    <t>موظف4</t>
  </si>
  <si>
    <t>E005</t>
  </si>
  <si>
    <t>موظف5</t>
  </si>
  <si>
    <t>E006</t>
  </si>
  <si>
    <t>موظف6</t>
  </si>
  <si>
    <t>E007</t>
  </si>
  <si>
    <t>موظف7</t>
  </si>
  <si>
    <t>E008</t>
  </si>
  <si>
    <t>موظف8</t>
  </si>
  <si>
    <t>E009</t>
  </si>
  <si>
    <t>موظف9</t>
  </si>
  <si>
    <t>E010</t>
  </si>
  <si>
    <t>موظف10</t>
  </si>
  <si>
    <t>E011</t>
  </si>
  <si>
    <t>موظف11</t>
  </si>
  <si>
    <t>E012</t>
  </si>
  <si>
    <t>موظف12</t>
  </si>
  <si>
    <t>E013</t>
  </si>
  <si>
    <t>موظف13</t>
  </si>
  <si>
    <t>E014</t>
  </si>
  <si>
    <t>موظف14</t>
  </si>
  <si>
    <t>E015</t>
  </si>
  <si>
    <t>موظف15</t>
  </si>
  <si>
    <t>E016</t>
  </si>
  <si>
    <t>موظف16</t>
  </si>
  <si>
    <t>E017</t>
  </si>
  <si>
    <t>موظف17</t>
  </si>
  <si>
    <t>E018</t>
  </si>
  <si>
    <t>موظف18</t>
  </si>
  <si>
    <t>E019</t>
  </si>
  <si>
    <t>موظف19</t>
  </si>
  <si>
    <t>E020</t>
  </si>
  <si>
    <t>موظف20</t>
  </si>
  <si>
    <t>E021</t>
  </si>
  <si>
    <t>موظف21</t>
  </si>
  <si>
    <t>E022</t>
  </si>
  <si>
    <t>موظف22</t>
  </si>
  <si>
    <t>E023</t>
  </si>
  <si>
    <t>موظف23</t>
  </si>
  <si>
    <t>E024</t>
  </si>
  <si>
    <t>موظف24</t>
  </si>
  <si>
    <t>E025</t>
  </si>
  <si>
    <t>موظف25</t>
  </si>
  <si>
    <t>E026</t>
  </si>
  <si>
    <t>موظف26</t>
  </si>
  <si>
    <t>E027</t>
  </si>
  <si>
    <t>موظف27</t>
  </si>
  <si>
    <t>E028</t>
  </si>
  <si>
    <t>موظف28</t>
  </si>
  <si>
    <t>E029</t>
  </si>
  <si>
    <t>موظف29</t>
  </si>
  <si>
    <t>E030</t>
  </si>
  <si>
    <t>موظف30</t>
  </si>
  <si>
    <t>E031</t>
  </si>
  <si>
    <t>موظف31</t>
  </si>
  <si>
    <t>E032</t>
  </si>
  <si>
    <t>موظف32</t>
  </si>
  <si>
    <t>E033</t>
  </si>
  <si>
    <t>موظف33</t>
  </si>
  <si>
    <t>E034</t>
  </si>
  <si>
    <t>موظف34</t>
  </si>
  <si>
    <t>E035</t>
  </si>
  <si>
    <t>موظف35</t>
  </si>
  <si>
    <t>E036</t>
  </si>
  <si>
    <t>موظف36</t>
  </si>
  <si>
    <t>E037</t>
  </si>
  <si>
    <t>موظف37</t>
  </si>
  <si>
    <t>E038</t>
  </si>
  <si>
    <t>موظف38</t>
  </si>
  <si>
    <t>E039</t>
  </si>
  <si>
    <t>موظف39</t>
  </si>
  <si>
    <t>E040</t>
  </si>
  <si>
    <t>موظف40</t>
  </si>
  <si>
    <t>E041</t>
  </si>
  <si>
    <t>موظف41</t>
  </si>
  <si>
    <t>E042</t>
  </si>
  <si>
    <t>موظف42</t>
  </si>
  <si>
    <t>E043</t>
  </si>
  <si>
    <t>موظف43</t>
  </si>
  <si>
    <t>E044</t>
  </si>
  <si>
    <t>موظف44</t>
  </si>
  <si>
    <t>E045</t>
  </si>
  <si>
    <t>موظف45</t>
  </si>
  <si>
    <t>E046</t>
  </si>
  <si>
    <t>موظف46</t>
  </si>
  <si>
    <t>E047</t>
  </si>
  <si>
    <t>موظف47</t>
  </si>
  <si>
    <t>E048</t>
  </si>
  <si>
    <t>موظف48</t>
  </si>
  <si>
    <t>E049</t>
  </si>
  <si>
    <t>موظف49</t>
  </si>
  <si>
    <t>E050</t>
  </si>
  <si>
    <t>موظف50</t>
  </si>
  <si>
    <t>E051</t>
  </si>
  <si>
    <t>موظف51</t>
  </si>
  <si>
    <t>E052</t>
  </si>
  <si>
    <t>موظف52</t>
  </si>
  <si>
    <t>E053</t>
  </si>
  <si>
    <t>موظف53</t>
  </si>
  <si>
    <t>E054</t>
  </si>
  <si>
    <t>موظف54</t>
  </si>
  <si>
    <t>E055</t>
  </si>
  <si>
    <t>موظف55</t>
  </si>
  <si>
    <t>E056</t>
  </si>
  <si>
    <t>موظف56</t>
  </si>
  <si>
    <t>E057</t>
  </si>
  <si>
    <t>موظف57</t>
  </si>
  <si>
    <t>E058</t>
  </si>
  <si>
    <t>موظف58</t>
  </si>
  <si>
    <t>E059</t>
  </si>
  <si>
    <t>موظف59</t>
  </si>
  <si>
    <t>E060</t>
  </si>
  <si>
    <t>موظف60</t>
  </si>
  <si>
    <t>E061</t>
  </si>
  <si>
    <t>موظف61</t>
  </si>
  <si>
    <t>E062</t>
  </si>
  <si>
    <t>موظف62</t>
  </si>
  <si>
    <t>E063</t>
  </si>
  <si>
    <t>موظف63</t>
  </si>
  <si>
    <t>E064</t>
  </si>
  <si>
    <t>موظف64</t>
  </si>
  <si>
    <t>E065</t>
  </si>
  <si>
    <t>موظف65</t>
  </si>
  <si>
    <t>E066</t>
  </si>
  <si>
    <t>موظف66</t>
  </si>
  <si>
    <t>E067</t>
  </si>
  <si>
    <t>موظف67</t>
  </si>
  <si>
    <t>E068</t>
  </si>
  <si>
    <t>موظف68</t>
  </si>
  <si>
    <t>E069</t>
  </si>
  <si>
    <t>موظف69</t>
  </si>
  <si>
    <t>E070</t>
  </si>
  <si>
    <t>موظف70</t>
  </si>
  <si>
    <t>E071</t>
  </si>
  <si>
    <t>موظف71</t>
  </si>
  <si>
    <t>E072</t>
  </si>
  <si>
    <t>موظف72</t>
  </si>
  <si>
    <t>E073</t>
  </si>
  <si>
    <t>موظف73</t>
  </si>
  <si>
    <t>E074</t>
  </si>
  <si>
    <t>موظف74</t>
  </si>
  <si>
    <t>E075</t>
  </si>
  <si>
    <t>موظف75</t>
  </si>
  <si>
    <t>E076</t>
  </si>
  <si>
    <t>موظف76</t>
  </si>
  <si>
    <t>E077</t>
  </si>
  <si>
    <t>موظف77</t>
  </si>
  <si>
    <t>E078</t>
  </si>
  <si>
    <t>موظف78</t>
  </si>
  <si>
    <t>E079</t>
  </si>
  <si>
    <t>موظف79</t>
  </si>
  <si>
    <t>E080</t>
  </si>
  <si>
    <t>موظف80</t>
  </si>
  <si>
    <t>E081</t>
  </si>
  <si>
    <t>موظف81</t>
  </si>
  <si>
    <t>E082</t>
  </si>
  <si>
    <t>موظف82</t>
  </si>
  <si>
    <t>E083</t>
  </si>
  <si>
    <t>موظف83</t>
  </si>
  <si>
    <t>E084</t>
  </si>
  <si>
    <t>موظف84</t>
  </si>
  <si>
    <t>E085</t>
  </si>
  <si>
    <t>موظف85</t>
  </si>
  <si>
    <t>E086</t>
  </si>
  <si>
    <t>موظف86</t>
  </si>
  <si>
    <t>E087</t>
  </si>
  <si>
    <t>موظف87</t>
  </si>
  <si>
    <t>E088</t>
  </si>
  <si>
    <t>موظف88</t>
  </si>
  <si>
    <t>E089</t>
  </si>
  <si>
    <t>موظف89</t>
  </si>
  <si>
    <t>E090</t>
  </si>
  <si>
    <t>موظف90</t>
  </si>
  <si>
    <t>E091</t>
  </si>
  <si>
    <t>موظف91</t>
  </si>
  <si>
    <t>E092</t>
  </si>
  <si>
    <t>موظف92</t>
  </si>
  <si>
    <t>E093</t>
  </si>
  <si>
    <t>موظف93</t>
  </si>
  <si>
    <t>E094</t>
  </si>
  <si>
    <t>موظف94</t>
  </si>
  <si>
    <t>E095</t>
  </si>
  <si>
    <t>موظف95</t>
  </si>
  <si>
    <t>E096</t>
  </si>
  <si>
    <t>موظف96</t>
  </si>
  <si>
    <t>E097</t>
  </si>
  <si>
    <t>موظف97</t>
  </si>
  <si>
    <t>E098</t>
  </si>
  <si>
    <t>موظف98</t>
  </si>
  <si>
    <t>E099</t>
  </si>
  <si>
    <t>موظف99</t>
  </si>
  <si>
    <t>E100</t>
  </si>
  <si>
    <t>موظف100</t>
  </si>
  <si>
    <t>تخرج</t>
  </si>
  <si>
    <t>إنهاء خدمة</t>
  </si>
  <si>
    <t>تم الدمج</t>
  </si>
  <si>
    <t>نوع البرنامج الأساسي</t>
  </si>
  <si>
    <t>اجمالي الجلسات</t>
  </si>
  <si>
    <t>مصادر الرسوم</t>
  </si>
  <si>
    <t>اسم المستفيد</t>
  </si>
  <si>
    <t>الموظف</t>
  </si>
  <si>
    <t>الخدمة</t>
  </si>
  <si>
    <t>مستفيد</t>
  </si>
  <si>
    <t>موظف</t>
  </si>
  <si>
    <t>موظف/ مستفيد</t>
  </si>
  <si>
    <t>م</t>
  </si>
  <si>
    <t>مركز إرادة وتمكين للرعاية النهارية (القدس)</t>
  </si>
  <si>
    <t>مركز إرادة وتمكين لرعاية ذوي الاحتياجات الخاصة (جلمودة)</t>
  </si>
  <si>
    <t>مدرسة إرادة للتعليم (مكة)</t>
  </si>
  <si>
    <t>مركز إرادة وتمكين لمتلازمة داون (نجد)</t>
  </si>
  <si>
    <t>مدرسة إرادة وتمكين لمتلازمة داون (نجد)</t>
  </si>
  <si>
    <t>الرقم الوظيفي</t>
  </si>
  <si>
    <t>إداري</t>
  </si>
  <si>
    <t>موظف / مستفيد</t>
  </si>
  <si>
    <t>الإسم</t>
  </si>
  <si>
    <t>هوية المستفيد</t>
  </si>
  <si>
    <t>الرقم الوظيفي / هوية المستفيد</t>
  </si>
  <si>
    <t>تأخر نمائي</t>
  </si>
  <si>
    <t>مشكلات لغوية</t>
  </si>
  <si>
    <t>فرط الحركة وتشتت الانتباه</t>
  </si>
  <si>
    <t>مستفيد7</t>
  </si>
  <si>
    <t>مستفيد8</t>
  </si>
  <si>
    <t>مستفيد9</t>
  </si>
  <si>
    <t>مستفيد11</t>
  </si>
  <si>
    <t>مستفيد12</t>
  </si>
  <si>
    <t>مستفيد14</t>
  </si>
  <si>
    <t>مستفيد15</t>
  </si>
  <si>
    <t>مستفيد16</t>
  </si>
  <si>
    <t>مستفيد17</t>
  </si>
  <si>
    <t>مستفيد19</t>
  </si>
  <si>
    <t>مستفيد20</t>
  </si>
  <si>
    <t>مستفيد21</t>
  </si>
  <si>
    <t>مستفيد22</t>
  </si>
  <si>
    <t>مستفيد24</t>
  </si>
  <si>
    <t>مستفيد25</t>
  </si>
  <si>
    <t>مستفيد27</t>
  </si>
  <si>
    <t>مستفيد28</t>
  </si>
  <si>
    <t>مستفيد29</t>
  </si>
  <si>
    <t>مستفيد32</t>
  </si>
  <si>
    <t>مستفيد33</t>
  </si>
  <si>
    <t>مستفيد34</t>
  </si>
  <si>
    <t>مستفيد36</t>
  </si>
  <si>
    <t>مستفيد37</t>
  </si>
  <si>
    <t>مستفيد38</t>
  </si>
  <si>
    <t>مستفيد39</t>
  </si>
  <si>
    <t>مستفيد41</t>
  </si>
  <si>
    <t>مستفيد42</t>
  </si>
  <si>
    <t>مستفيد44</t>
  </si>
  <si>
    <t>مستفيد45</t>
  </si>
  <si>
    <t>مستفيد46</t>
  </si>
  <si>
    <t>مستفيد47</t>
  </si>
  <si>
    <t>مستفيد49</t>
  </si>
  <si>
    <t>مستفيد50</t>
  </si>
  <si>
    <t>مستفيد51</t>
  </si>
  <si>
    <t>مستفيد52</t>
  </si>
  <si>
    <t>مستفيد53</t>
  </si>
  <si>
    <t>مستفيد54</t>
  </si>
  <si>
    <t>مستفيد55</t>
  </si>
  <si>
    <t>مستفيد57</t>
  </si>
  <si>
    <t>مستفيد58</t>
  </si>
  <si>
    <t>مستفيد59</t>
  </si>
  <si>
    <t>مستفيد62</t>
  </si>
  <si>
    <t>مستفيد63</t>
  </si>
  <si>
    <t>مستفيد64</t>
  </si>
  <si>
    <t>مستفيد66</t>
  </si>
  <si>
    <t>مستفيد67</t>
  </si>
  <si>
    <t>مستفيد68</t>
  </si>
  <si>
    <t>مستفيد69</t>
  </si>
  <si>
    <t>مستفيد70</t>
  </si>
  <si>
    <t>مستفيد71</t>
  </si>
  <si>
    <t>مستفيد72</t>
  </si>
  <si>
    <t>مستفيد74</t>
  </si>
  <si>
    <t>مستفيد75</t>
  </si>
  <si>
    <t>مستفيد76</t>
  </si>
  <si>
    <t>مستفيد77</t>
  </si>
  <si>
    <t>مستفيد79</t>
  </si>
  <si>
    <t>مستفيد80</t>
  </si>
  <si>
    <t>مستفيد82</t>
  </si>
  <si>
    <t>مستفيد83</t>
  </si>
  <si>
    <t>مستفيد84</t>
  </si>
  <si>
    <t>مستفيد85</t>
  </si>
  <si>
    <t>مستفيد87</t>
  </si>
  <si>
    <t>مستفيد88</t>
  </si>
  <si>
    <t>مستفيد89</t>
  </si>
  <si>
    <t>مستفيد92</t>
  </si>
  <si>
    <t>مستفيد93</t>
  </si>
  <si>
    <t>مستفيد94</t>
  </si>
  <si>
    <t>مستفيد96</t>
  </si>
  <si>
    <t>مستفيد97</t>
  </si>
  <si>
    <t>مستفيد99</t>
  </si>
  <si>
    <t>مستفيد100</t>
  </si>
  <si>
    <t>مستفيد101</t>
  </si>
  <si>
    <t>مستفيد102</t>
  </si>
  <si>
    <t>مستفيد104</t>
  </si>
  <si>
    <t>مستفيد105</t>
  </si>
  <si>
    <t>مستفيد106</t>
  </si>
  <si>
    <t>مستفيد107</t>
  </si>
  <si>
    <t>مستفيد109</t>
  </si>
  <si>
    <t>مستفيد110</t>
  </si>
  <si>
    <t>مستفيد112</t>
  </si>
  <si>
    <t>مستفيد113</t>
  </si>
  <si>
    <t>مستفيد114</t>
  </si>
  <si>
    <t>مستفيد117</t>
  </si>
  <si>
    <t>مستفيد118</t>
  </si>
  <si>
    <t>مستفيد119</t>
  </si>
  <si>
    <t>مستفيد121</t>
  </si>
  <si>
    <t>مستفيد122</t>
  </si>
  <si>
    <t>مستفيد123</t>
  </si>
  <si>
    <t>مستفيد124</t>
  </si>
  <si>
    <t>مستفيد126</t>
  </si>
  <si>
    <t>مستفيد127</t>
  </si>
  <si>
    <t>مستفيد129</t>
  </si>
  <si>
    <t>مستفيد130</t>
  </si>
  <si>
    <t>مستفيد131</t>
  </si>
  <si>
    <t>مستفيد132</t>
  </si>
  <si>
    <t>مستفيد134</t>
  </si>
  <si>
    <t>مستفيد135</t>
  </si>
  <si>
    <t>مستفيد136</t>
  </si>
  <si>
    <t>مستفيد137</t>
  </si>
  <si>
    <t>مستفيد138</t>
  </si>
  <si>
    <t>مستفيد139</t>
  </si>
  <si>
    <t>مستفيد140</t>
  </si>
  <si>
    <t>مستفيد142</t>
  </si>
  <si>
    <t>مستفيد143</t>
  </si>
  <si>
    <t>مستفيد144</t>
  </si>
  <si>
    <t>مستفيد147</t>
  </si>
  <si>
    <t>مستفيد148</t>
  </si>
  <si>
    <t>مستفيد149</t>
  </si>
  <si>
    <t>مستفيد151</t>
  </si>
  <si>
    <t>مستفيد152</t>
  </si>
  <si>
    <t>مستفيد153</t>
  </si>
  <si>
    <t>مستفيد154</t>
  </si>
  <si>
    <t>مستفيد155</t>
  </si>
  <si>
    <t>مستفيد156</t>
  </si>
  <si>
    <t>مستفيد157</t>
  </si>
  <si>
    <t>مستفيد159</t>
  </si>
  <si>
    <t>مستفيد160</t>
  </si>
  <si>
    <t>مستفيد161</t>
  </si>
  <si>
    <t>مستفيد162</t>
  </si>
  <si>
    <t>مستفيد164</t>
  </si>
  <si>
    <t>مستفيد165</t>
  </si>
  <si>
    <t>مستفيد166</t>
  </si>
  <si>
    <t>مستفيد167</t>
  </si>
  <si>
    <t>مستفيد168</t>
  </si>
  <si>
    <t>مستفيد169</t>
  </si>
  <si>
    <t>مستفيد170</t>
  </si>
  <si>
    <t>مستفيد172</t>
  </si>
  <si>
    <t>مستفيد173</t>
  </si>
  <si>
    <t>مستفيد174</t>
  </si>
  <si>
    <t>مستفيد177</t>
  </si>
  <si>
    <t>مستفيد178</t>
  </si>
  <si>
    <t>مستفيد179</t>
  </si>
  <si>
    <t>مستفيد181</t>
  </si>
  <si>
    <t>مستفيد182</t>
  </si>
  <si>
    <t>مستفيد183</t>
  </si>
  <si>
    <t>مستفيد184</t>
  </si>
  <si>
    <t>مستفيد185</t>
  </si>
  <si>
    <t>مستفيد186</t>
  </si>
  <si>
    <t>مستفيد187</t>
  </si>
  <si>
    <t>مستفيد189</t>
  </si>
  <si>
    <t>مستفيد190</t>
  </si>
  <si>
    <t>مستفيد191</t>
  </si>
  <si>
    <t>مستفيد192</t>
  </si>
  <si>
    <t>مستفيد194</t>
  </si>
  <si>
    <t>مستفيد195</t>
  </si>
  <si>
    <t>مستفيد197</t>
  </si>
  <si>
    <t>مستفيد198</t>
  </si>
  <si>
    <t>مستفيد199</t>
  </si>
  <si>
    <t>مستفيد200</t>
  </si>
  <si>
    <t>التغذية</t>
  </si>
  <si>
    <t>التمريض</t>
  </si>
  <si>
    <t>تسلسل</t>
  </si>
  <si>
    <t>يحتاج متابعة</t>
  </si>
  <si>
    <t>تحسن ملحوظ</t>
  </si>
  <si>
    <t>تفاعل ممتاز</t>
  </si>
  <si>
    <t>تأخر الحضور</t>
  </si>
  <si>
    <t>تم إبلاغ الأسرة</t>
  </si>
  <si>
    <t>تكرار الغياب</t>
  </si>
  <si>
    <t>نوع التحصيل</t>
  </si>
  <si>
    <t>سند قبض</t>
  </si>
  <si>
    <t>اعفاء</t>
  </si>
  <si>
    <t>رقم هوية المستفيد</t>
  </si>
  <si>
    <t>دفعة جزئية</t>
  </si>
  <si>
    <t>تحويل بنكي</t>
  </si>
  <si>
    <t>تسوية</t>
  </si>
  <si>
    <t>كاش</t>
  </si>
  <si>
    <t>دفعة شهرية</t>
  </si>
  <si>
    <t>شيك</t>
  </si>
  <si>
    <t>إعفاء جزئي</t>
  </si>
  <si>
    <t>إعفاء - الشؤون الاجتماعية</t>
  </si>
  <si>
    <t>إعفاء - صندوق داخلي</t>
  </si>
  <si>
    <t>بناءً على تقرير الأخصائي</t>
  </si>
  <si>
    <t>تم إبلاغ ولي الأمر</t>
  </si>
  <si>
    <t>بقرار من الإدارة</t>
  </si>
  <si>
    <t>تم التنسيق مع الجهة المختصة</t>
  </si>
  <si>
    <t>حسب المتابعة</t>
  </si>
  <si>
    <t>فني / إداري</t>
  </si>
  <si>
    <t>فني</t>
  </si>
  <si>
    <t>فني / اداري</t>
  </si>
  <si>
    <t>الجلسات</t>
  </si>
  <si>
    <t xml:space="preserve">نوع الخدمة </t>
  </si>
  <si>
    <t>خدمة</t>
  </si>
  <si>
    <t>جلسة</t>
  </si>
  <si>
    <t>نوع الخدمة</t>
  </si>
  <si>
    <t xml:space="preserve"> التغذية </t>
  </si>
  <si>
    <t xml:space="preserve"> التمريض </t>
  </si>
  <si>
    <t>E101</t>
  </si>
  <si>
    <t>موظف101</t>
  </si>
  <si>
    <t>E102</t>
  </si>
  <si>
    <t>موظف102</t>
  </si>
  <si>
    <t>E103</t>
  </si>
  <si>
    <t>موظف103</t>
  </si>
  <si>
    <t>E104</t>
  </si>
  <si>
    <t>موظف104</t>
  </si>
  <si>
    <t>E105</t>
  </si>
  <si>
    <t>موظف105</t>
  </si>
  <si>
    <t>المركز/ المدرسة</t>
  </si>
  <si>
    <t>المركز / المدرسة</t>
  </si>
  <si>
    <t>المركز المدرسة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</si>
</sst>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4" x14ac:knownFonts="1">
    <font>
      <sz val="11"/>
      <color theme="1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1"/>
      <color rgb="FFFFFFFF"/>
      <name val="Arial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 style="thin">
        <color rgb="FF9BC2E6"/>
      </left>
      <right/>
      <top/>
      <bottom/>
      <diagonal/>
    </border>
    <border>
      <left/>
      <right style="thin">
        <color rgb="FF5B9BD5"/>
      </right>
      <top style="thin">
        <color rgb="FF5B9BD5"/>
      </top>
      <bottom/>
      <diagonal/>
    </border>
    <border>
      <left/>
      <right/>
      <top style="thin">
        <color rgb="FF5B9BD5"/>
      </top>
      <bottom/>
      <diagonal/>
    </border>
    <border>
      <left style="thin">
        <color rgb="FF5B9BD5"/>
      </left>
      <right/>
      <top style="thin">
        <color rgb="FF5B9BD5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1" fillId="2" borderId="3" xfId="0" applyFont="1" applyFill="1" applyBorder="1"/>
    <xf numFmtId="0" fontId="1" fillId="2" borderId="1" xfId="0" applyFont="1" applyFill="1" applyBorder="1"/>
    <xf numFmtId="0" fontId="1" fillId="2" borderId="0" xfId="0" applyFont="1" applyFill="1"/>
    <xf numFmtId="0" fontId="3" fillId="5" borderId="0" xfId="0" applyFont="1" applyFill="1"/>
    <xf numFmtId="0" fontId="2" fillId="3" borderId="2" xfId="0" applyFont="1" applyFill="1" applyBorder="1"/>
    <xf numFmtId="0" fontId="2" fillId="3" borderId="5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2" fillId="4" borderId="5" xfId="0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2" fillId="3" borderId="4" xfId="0" applyFont="1" applyFill="1" applyBorder="1" applyProtection="1">
      <protection locked="0"/>
    </xf>
    <xf numFmtId="0" fontId="2" fillId="3" borderId="0" xfId="0" applyFont="1" applyFill="1" applyProtection="1">
      <protection locked="0"/>
    </xf>
    <xf numFmtId="0" fontId="2" fillId="4" borderId="4" xfId="0" applyFont="1" applyFill="1" applyBorder="1" applyProtection="1">
      <protection locked="0"/>
    </xf>
    <xf numFmtId="0" fontId="2" fillId="4" borderId="0" xfId="0" applyFont="1" applyFill="1" applyProtection="1">
      <protection locked="0"/>
    </xf>
    <xf numFmtId="0" fontId="2" fillId="3" borderId="9" xfId="0" applyFont="1" applyFill="1" applyBorder="1" applyProtection="1">
      <protection locked="0"/>
    </xf>
    <xf numFmtId="0" fontId="2" fillId="3" borderId="8" xfId="0" applyFont="1" applyFill="1" applyBorder="1" applyProtection="1">
      <protection locked="0"/>
    </xf>
    <xf numFmtId="164" fontId="2" fillId="3" borderId="6" xfId="0" applyNumberFormat="1" applyFont="1" applyFill="1" applyBorder="1" applyProtection="1">
      <protection locked="0"/>
    </xf>
    <xf numFmtId="0" fontId="2" fillId="4" borderId="6" xfId="0" applyFont="1" applyFill="1" applyBorder="1" applyProtection="1">
      <protection locked="0"/>
    </xf>
    <xf numFmtId="0" fontId="2" fillId="4" borderId="8" xfId="0" applyFont="1" applyFill="1" applyBorder="1" applyProtection="1">
      <protection locked="0"/>
    </xf>
    <xf numFmtId="164" fontId="2" fillId="4" borderId="6" xfId="0" applyNumberFormat="1" applyFont="1" applyFill="1" applyBorder="1" applyProtection="1">
      <protection locked="0"/>
    </xf>
    <xf numFmtId="164" fontId="2" fillId="4" borderId="0" xfId="0" applyNumberFormat="1" applyFont="1" applyFill="1" applyProtection="1">
      <protection locked="0"/>
    </xf>
    <xf numFmtId="0" fontId="2" fillId="3" borderId="6" xfId="0" applyFont="1" applyFill="1" applyBorder="1" applyProtection="1">
      <protection locked="0"/>
    </xf>
    <xf numFmtId="0" fontId="2" fillId="3" borderId="7" xfId="0" applyFont="1" applyFill="1" applyBorder="1" applyProtection="1">
      <protection locked="0"/>
    </xf>
    <xf numFmtId="0" fontId="2" fillId="4" borderId="7" xfId="0" applyFont="1" applyFill="1" applyBorder="1" applyProtection="1">
      <protection locked="0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165" fontId="2" fillId="0" borderId="0" xfId="0" applyNumberFormat="1" applyFont="1" applyAlignment="1" applyProtection="1">
      <alignment horizontal="right"/>
      <protection locked="0"/>
    </xf>
    <xf numFmtId="164" fontId="0" fillId="0" borderId="0" xfId="0" applyNumberFormat="1" applyAlignment="1" applyProtection="1">
      <alignment horizontal="right"/>
      <protection locked="0"/>
    </xf>
    <xf numFmtId="3" fontId="0" fillId="0" borderId="0" xfId="0" applyNumberFormat="1" applyProtection="1">
      <protection locked="0"/>
    </xf>
    <xf numFmtId="0" fontId="2" fillId="3" borderId="6" xfId="0" applyFont="1" applyFill="1" applyBorder="1"/>
    <xf numFmtId="0" fontId="2" fillId="4" borderId="10" xfId="0" applyFont="1" applyFill="1" applyBorder="1" applyProtection="1">
      <protection locked="0"/>
    </xf>
    <xf numFmtId="164" fontId="2" fillId="4" borderId="11" xfId="0" applyNumberFormat="1" applyFont="1" applyFill="1" applyBorder="1" applyProtection="1">
      <protection locked="0"/>
    </xf>
    <xf numFmtId="0" fontId="2" fillId="3" borderId="11" xfId="0" applyFont="1" applyFill="1" applyBorder="1"/>
    <xf numFmtId="0" fontId="2" fillId="4" borderId="11" xfId="0" applyFont="1" applyFill="1" applyBorder="1" applyProtection="1">
      <protection locked="0"/>
    </xf>
    <xf numFmtId="0" fontId="2" fillId="4" borderId="12" xfId="0" applyFont="1" applyFill="1" applyBorder="1" applyProtection="1">
      <protection locked="0"/>
    </xf>
    <xf numFmtId="0" fontId="2" fillId="3" borderId="11" xfId="0" applyFont="1" applyFill="1" applyBorder="1" applyProtection="1">
      <protection locked="0"/>
    </xf>
    <xf numFmtId="0" fontId="2" fillId="3" borderId="0" xfId="0" applyFont="1" applyFill="1"/>
  </cellXfs>
  <cellStyles count="1">
    <cellStyle name="عادي" xfId="0" builtinId="0"/>
  </cellStyles>
  <dxfs count="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5B9BD5"/>
        </top>
        <bottom style="thin">
          <color rgb="FF5B9BD5"/>
        </bottom>
        <vertical/>
        <horizontal/>
      </border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fill>
        <patternFill patternType="solid">
          <fgColor indexed="64"/>
          <bgColor rgb="FFFCE4D6"/>
        </patternFill>
      </fill>
      <protection locked="1" hidden="0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0"/>
    </dxf>
    <dxf>
      <protection locked="0"/>
    </dxf>
    <dxf>
      <numFmt numFmtId="3" formatCode="#,##0"/>
      <protection locked="0"/>
    </dxf>
    <dxf>
      <numFmt numFmtId="164" formatCode="m/d/yyyy"/>
      <protection locked="0"/>
    </dxf>
    <dxf>
      <protection locked="1"/>
    </dxf>
    <dxf>
      <protection locked="0"/>
    </dxf>
    <dxf>
      <protection locked="0"/>
    </dxf>
    <dxf>
      <protection locked="1"/>
    </dxf>
    <dxf>
      <protection locked="1"/>
    </dxf>
    <dxf>
      <alignment horizontal="right" vertical="bottom" textRotation="0" wrapText="0" indent="0" justifyLastLine="0" shrinkToFit="0" readingOrder="0"/>
      <protection locked="0"/>
    </dxf>
    <dxf>
      <alignment horizontal="right" vertical="bottom" textRotation="0" wrapText="0" indent="0" justifyLastLine="0" shrinkToFit="0" readingOrder="0"/>
      <protection locked="0"/>
    </dxf>
    <dxf>
      <alignment horizontal="right" vertical="bottom" textRotation="0" wrapText="0" indent="0" justifyLastLine="0" shrinkToFit="0" readingOrder="0"/>
      <protection locked="0"/>
    </dxf>
    <dxf>
      <alignment horizontal="right" vertical="bottom" textRotation="0" wrapText="0" indent="0" justifyLastLine="0" shrinkToFit="0" readingOrder="0"/>
      <protection locked="1"/>
    </dxf>
    <dxf>
      <alignment horizontal="right" vertical="bottom" textRotation="0" wrapText="0" indent="0" justifyLastLine="0" shrinkToFit="0" readingOrder="0"/>
      <protection locked="0"/>
    </dxf>
    <dxf>
      <alignment horizontal="right" vertical="bottom" textRotation="0" wrapText="0" indent="0" justifyLastLine="0" shrinkToFit="0" readingOrder="0"/>
      <protection locked="0"/>
    </dxf>
    <dxf>
      <alignment horizontal="right" vertical="bottom" textRotation="0" wrapText="0" indent="0" justifyLastLine="0" shrinkToFit="0" readingOrder="0"/>
      <protection locked="0"/>
    </dxf>
    <dxf>
      <alignment horizontal="right" vertical="bottom" textRotation="0" wrapText="0" indent="0" justifyLastLine="0" shrinkToFit="0" readingOrder="0"/>
      <protection locked="1"/>
    </dxf>
    <dxf>
      <alignment horizontal="right" vertical="bottom" textRotation="0" wrapText="0" indent="0" justifyLastLine="0" shrinkToFit="0" readingOrder="0"/>
      <protection locked="1"/>
    </dxf>
    <dxf>
      <protection locked="0"/>
    </dxf>
    <dxf>
      <protection locked="0"/>
    </dxf>
    <dxf>
      <protection locked="0"/>
    </dxf>
    <dxf>
      <numFmt numFmtId="164" formatCode="m/d/yyyy"/>
      <protection locked="0"/>
    </dxf>
    <dxf>
      <protection locked="1"/>
    </dxf>
    <dxf>
      <protection locked="0"/>
    </dxf>
    <dxf>
      <protection locked="0"/>
    </dxf>
    <dxf>
      <protection locked="0"/>
    </dxf>
    <dxf>
      <protection locked="1"/>
    </dxf>
    <dxf>
      <protection locked="1"/>
    </dxf>
    <dxf>
      <font>
        <sz val="11"/>
        <name val="Arial"/>
      </font>
      <border diagonalUp="0" diagonalDown="0">
        <left/>
        <right style="thin">
          <color rgb="FF5B9BD5"/>
        </right>
        <top style="thin">
          <color rgb="FF5B9BD5"/>
        </top>
        <bottom style="thin">
          <color rgb="FF5B9BD5"/>
        </bottom>
        <vertical/>
        <horizontal style="thin">
          <color rgb="FF5B9BD5"/>
        </horizontal>
      </border>
      <protection locked="0"/>
    </dxf>
    <dxf>
      <font>
        <sz val="11"/>
        <name val="Arial"/>
      </font>
      <border diagonalUp="0" diagonalDown="0">
        <left/>
        <right/>
        <top style="thin">
          <color rgb="FF5B9BD5"/>
        </top>
        <bottom style="thin">
          <color rgb="FF5B9BD5"/>
        </bottom>
        <vertical/>
        <horizontal style="thin">
          <color rgb="FF5B9BD5"/>
        </horizontal>
      </border>
      <protection locked="0"/>
    </dxf>
    <dxf>
      <font>
        <sz val="11"/>
        <name val="Arial"/>
      </font>
      <border diagonalUp="0" diagonalDown="0">
        <left/>
        <right/>
        <top style="thin">
          <color rgb="FF5B9BD5"/>
        </top>
        <bottom style="thin">
          <color rgb="FF5B9BD5"/>
        </bottom>
        <vertical/>
        <horizontal style="thin">
          <color rgb="FF5B9BD5"/>
        </horizontal>
      </border>
      <protection locked="0"/>
    </dxf>
    <dxf>
      <font>
        <sz val="11"/>
        <name val="Arial"/>
      </font>
      <border diagonalUp="0" diagonalDown="0">
        <left/>
        <right/>
        <top style="thin">
          <color rgb="FF5B9BD5"/>
        </top>
        <bottom style="thin">
          <color rgb="FF5B9BD5"/>
        </bottom>
        <vertical/>
        <horizontal style="thin">
          <color rgb="FF5B9BD5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solid">
          <fgColor indexed="64"/>
          <bgColor rgb="FFDDEBF7"/>
        </patternFill>
      </fill>
      <border diagonalUp="0" diagonalDown="0">
        <left/>
        <right/>
        <top style="thin">
          <color rgb="FF5B9BD5"/>
        </top>
        <bottom style="thin">
          <color rgb="FF5B9BD5"/>
        </bottom>
        <vertical/>
        <horizontal/>
      </border>
      <protection locked="0"/>
    </dxf>
    <dxf>
      <font>
        <sz val="11"/>
        <name val="Arial"/>
      </font>
      <border diagonalUp="0" diagonalDown="0">
        <left/>
        <right/>
        <top style="thin">
          <color rgb="FF5B9BD5"/>
        </top>
        <bottom style="thin">
          <color rgb="FF5B9BD5"/>
        </bottom>
        <vertical/>
        <horizontal style="thin">
          <color rgb="FF5B9BD5"/>
        </horizontal>
      </border>
      <protection locked="1" hidden="0"/>
    </dxf>
    <dxf>
      <font>
        <sz val="11"/>
        <name val="Arial"/>
      </font>
      <border diagonalUp="0" diagonalDown="0">
        <left/>
        <right/>
        <top style="thin">
          <color rgb="FF5B9BD5"/>
        </top>
        <bottom style="thin">
          <color rgb="FF5B9BD5"/>
        </bottom>
        <vertical/>
        <horizontal style="thin">
          <color rgb="FF5B9BD5"/>
        </horizontal>
      </border>
      <protection locked="0"/>
    </dxf>
    <dxf>
      <font>
        <sz val="11"/>
        <name val="Arial"/>
      </font>
      <border diagonalUp="0" diagonalDown="0">
        <left/>
        <right/>
        <top style="thin">
          <color rgb="FF5B9BD5"/>
        </top>
        <bottom style="thin">
          <color rgb="FF5B9BD5"/>
        </bottom>
        <vertical/>
        <horizontal style="thin">
          <color rgb="FF5B9BD5"/>
        </horizontal>
      </border>
      <protection locked="1" hidden="0"/>
    </dxf>
    <dxf>
      <font>
        <sz val="11"/>
        <name val="Arial"/>
      </font>
      <numFmt numFmtId="164" formatCode="m/d/yyyy"/>
      <fill>
        <patternFill patternType="solid">
          <fgColor indexed="64"/>
          <bgColor rgb="FFFFFFFF"/>
        </patternFill>
      </fill>
      <border diagonalUp="0" diagonalDown="0">
        <left/>
        <right/>
        <top style="thin">
          <color rgb="FF5B9BD5"/>
        </top>
        <bottom style="thin">
          <color rgb="FF5B9BD5"/>
        </bottom>
        <vertical/>
        <horizontal/>
      </border>
      <protection locked="0"/>
    </dxf>
    <dxf>
      <font>
        <sz val="11"/>
        <name val="Arial"/>
      </font>
      <numFmt numFmtId="164" formatCode="m/d/yyyy"/>
      <border diagonalUp="0" diagonalDown="0">
        <left/>
        <right/>
        <top style="thin">
          <color rgb="FF5B9BD5"/>
        </top>
        <bottom style="thin">
          <color rgb="FF5B9BD5"/>
        </bottom>
        <vertical/>
        <horizontal style="thin">
          <color rgb="FF5B9BD5"/>
        </horizontal>
      </border>
      <protection locked="0"/>
    </dxf>
    <dxf>
      <font>
        <sz val="11"/>
        <name val="Arial"/>
      </font>
      <border diagonalUp="0" diagonalDown="0">
        <left style="thin">
          <color rgb="FF5B9BD5"/>
        </left>
        <right/>
        <top style="thin">
          <color rgb="FF5B9BD5"/>
        </top>
        <bottom style="thin">
          <color rgb="FF5B9BD5"/>
        </bottom>
        <vertical/>
        <horizontal style="thin">
          <color rgb="FF5B9BD5"/>
        </horizontal>
      </border>
      <protection locked="0"/>
    </dxf>
    <dxf>
      <font>
        <sz val="11"/>
        <name val="Arial"/>
      </font>
      <protection locked="0"/>
    </dxf>
    <dxf>
      <protection locked="0"/>
    </dxf>
    <dxf>
      <numFmt numFmtId="0" formatCode="General"/>
      <protection locked="1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/>
    </dxf>
    <dxf>
      <protection locked="0"/>
    </dxf>
    <dxf>
      <protection locked="0"/>
    </dxf>
    <dxf>
      <protection locked="0"/>
    </dxf>
    <dxf>
      <protection locked="1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0" formatCode="General"/>
      <protection locked="0"/>
    </dxf>
    <dxf>
      <protection locked="1"/>
    </dxf>
    <dxf>
      <protection locked="1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_Employees" displayName="tbl_Employees" ref="A1:J106" totalsRowShown="0" headerRowDxfId="97" dataDxfId="96">
  <autoFilter ref="A1:J106" xr:uid="{00000000-0009-0000-0100-000003000000}"/>
  <tableColumns count="10">
    <tableColumn id="10" xr3:uid="{00000000-0010-0000-0000-00000A000000}" name="م" dataDxfId="95"/>
    <tableColumn id="1" xr3:uid="{00000000-0010-0000-0000-000001000000}" name="الرقم الوظيفي" dataDxfId="94"/>
    <tableColumn id="2" xr3:uid="{00000000-0010-0000-0000-000002000000}" name="الاسم" dataDxfId="93"/>
    <tableColumn id="3" xr3:uid="{00000000-0010-0000-0000-000003000000}" name="الوظيفة" dataDxfId="92"/>
    <tableColumn id="4" xr3:uid="{00000000-0010-0000-0000-000004000000}" name="التخصص" dataDxfId="91"/>
    <tableColumn id="5" xr3:uid="{00000000-0010-0000-0000-000005000000}" name="فني / إداري" dataDxfId="90"/>
    <tableColumn id="6" xr3:uid="{00000000-0010-0000-0000-000006000000}" name="الخدمة_الأساسية" dataDxfId="89"/>
    <tableColumn id="7" xr3:uid="{00000000-0010-0000-0000-000007000000}" name="المركز" dataDxfId="88"/>
    <tableColumn id="8" xr3:uid="{00000000-0010-0000-0000-000008000000}" name="الفترة" dataDxfId="87"/>
    <tableColumn id="12" xr3:uid="{00000000-0010-0000-0000-00000C000000}" name="ملاحظات" dataDxfId="8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_Beneficiaries" displayName="tbl_Beneficiaries" ref="A1:T201" totalsRowShown="0" headerRowDxfId="85" dataDxfId="84">
  <autoFilter ref="A1:T201" xr:uid="{00000000-0009-0000-0100-000001000000}"/>
  <tableColumns count="20">
    <tableColumn id="1" xr3:uid="{00000000-0010-0000-0100-000001000000}" name="م" dataDxfId="83">
      <calculatedColumnFormula>IF(tbl_Beneficiaries[[#This Row],[الاسم]]="","","B"&amp;TEXT(ROW()-1,"000"))</calculatedColumnFormula>
    </tableColumn>
    <tableColumn id="32" xr3:uid="{00000000-0010-0000-0100-000020000000}" name="هوية المستفيد" dataDxfId="82"/>
    <tableColumn id="2" xr3:uid="{00000000-0010-0000-0100-000002000000}" name="الاسم" dataDxfId="81"/>
    <tableColumn id="3" xr3:uid="{00000000-0010-0000-0100-000003000000}" name="الجنس" dataDxfId="80"/>
    <tableColumn id="4" xr3:uid="{00000000-0010-0000-0100-000004000000}" name="تاريخ_الميلاد" dataDxfId="79"/>
    <tableColumn id="5" xr3:uid="{00000000-0010-0000-0100-000005000000}" name="المركز" dataDxfId="78"/>
    <tableColumn id="6" xr3:uid="{00000000-0010-0000-0100-000006000000}" name="الفترة" dataDxfId="77"/>
    <tableColumn id="7" xr3:uid="{00000000-0010-0000-0100-000007000000}" name="تاريخ_الالتحاق" dataDxfId="76"/>
    <tableColumn id="9" xr3:uid="{00000000-0010-0000-0100-000009000000}" name="التشخيص" dataDxfId="75"/>
    <tableColumn id="10" xr3:uid="{00000000-0010-0000-0100-00000A000000}" name="IQ" dataDxfId="74"/>
    <tableColumn id="21" xr3:uid="{00000000-0010-0000-0100-000015000000}" name="نوع البرنامج الأساسي" dataDxfId="73"/>
    <tableColumn id="14" xr3:uid="{00000000-0010-0000-0100-00000E000000}" name="مبلغ_الرسوم" dataDxfId="72"/>
    <tableColumn id="15" xr3:uid="{00000000-0010-0000-0100-00000F000000}" name="مصادر الرسوم" dataDxfId="71"/>
    <tableColumn id="20" xr3:uid="{00000000-0010-0000-0100-000014000000}" name=" التربية الخاصة " dataDxfId="70"/>
    <tableColumn id="23" xr3:uid="{00000000-0010-0000-0100-000017000000}" name=" النطق والتواصل " dataDxfId="69"/>
    <tableColumn id="24" xr3:uid="{00000000-0010-0000-0100-000018000000}" name=" العلاج الطبيعي " dataDxfId="68"/>
    <tableColumn id="25" xr3:uid="{00000000-0010-0000-0100-000019000000}" name=" العلاج الوظيفي " dataDxfId="67"/>
    <tableColumn id="26" xr3:uid="{00000000-0010-0000-0100-00001A000000}" name=" التأهيل النفسي " dataDxfId="66"/>
    <tableColumn id="27" xr3:uid="{00000000-0010-0000-0100-00001B000000}" name=" التأهيل النفسي الحركي " dataDxfId="65"/>
    <tableColumn id="31" xr3:uid="{00000000-0010-0000-0100-00001F000000}" name="اجمالي الجلسات" dataDxfId="64">
      <calculatedColumnFormula>SUM(tbl_Beneficiaries[[#This Row],[ التربية الخاصة ]:[ التأهيل النفسي الحركي 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bl_Sessions" displayName="tbl_Sessions" ref="A1:L1501" totalsRowShown="0" headerRowDxfId="63" dataDxfId="62">
  <autoFilter ref="A1:L1501" xr:uid="{00000000-0009-0000-0100-000007000000}"/>
  <tableColumns count="12">
    <tableColumn id="1" xr3:uid="{00000000-0010-0000-0200-000001000000}" name="م" dataDxfId="61"/>
    <tableColumn id="2" xr3:uid="{00000000-0010-0000-0200-000002000000}" name="التاريخ" dataDxfId="60"/>
    <tableColumn id="6" xr3:uid="{00000000-0010-0000-0200-000006000000}" name="هوية المستفيد" dataDxfId="59"/>
    <tableColumn id="3" xr3:uid="{00000000-0010-0000-0200-000003000000}" name="اسم المستفيد" dataDxfId="58"/>
    <tableColumn id="7" xr3:uid="{00000000-0010-0000-0200-000007000000}" name="الرقم الوظيفي" dataDxfId="57"/>
    <tableColumn id="4" xr3:uid="{00000000-0010-0000-0200-000004000000}" name="الموظف" dataDxfId="56"/>
    <tableColumn id="12" xr3:uid="{0B6A8FAF-109D-48AB-BA04-395C1E1220C8}" name="المركز / المدرسة" dataDxfId="3">
      <calculatedColumnFormula>IFERROR(IF(C2="","",VLOOKUP(C2,المستفيدين!$B:$F,5,FALSE)),"")</calculatedColumnFormula>
    </tableColumn>
    <tableColumn id="11" xr3:uid="{9DC9BA91-DCAF-4FA0-80E8-41D8F97B13DA}" name="نوع الخدمة" dataDxfId="55"/>
    <tableColumn id="5" xr3:uid="{00000000-0010-0000-0200-000005000000}" name="الخدمة" dataDxfId="54"/>
    <tableColumn id="8" xr3:uid="{00000000-0010-0000-0200-000008000000}" name="الفترة" dataDxfId="53"/>
    <tableColumn id="9" xr3:uid="{00000000-0010-0000-0200-000009000000}" name="الحالة" dataDxfId="52"/>
    <tableColumn id="10" xr3:uid="{00000000-0010-0000-0200-00000A000000}" name="ملاحظات" dataDxfId="5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bl_Absence" displayName="tbl_Absence" ref="A1:I81" totalsRowShown="0" headerRowDxfId="50" dataDxfId="49">
  <autoFilter ref="A1:I81" xr:uid="{00000000-0009-0000-0100-000009000000}"/>
  <tableColumns count="9">
    <tableColumn id="1" xr3:uid="{00000000-0010-0000-0300-000001000000}" name="م" dataDxfId="48"/>
    <tableColumn id="2" xr3:uid="{00000000-0010-0000-0300-000002000000}" name="موظف/ مستفيد" dataDxfId="47"/>
    <tableColumn id="11" xr3:uid="{00000000-0010-0000-0300-00000B000000}" name="الرقم الوظيفي / هوية المستفيد" dataDxfId="46"/>
    <tableColumn id="3" xr3:uid="{00000000-0010-0000-0300-000003000000}" name="الاسم" dataDxfId="45"/>
    <tableColumn id="8" xr3:uid="{15ECB8B5-D63A-4F5D-90B0-721EEA4131AD}" name="المركز / المدرسة" dataDxfId="2">
      <calculatedColumnFormula>IFERROR(IF(C2="","",IF(B2="موظف",VLOOKUP(C2,الموظفين!$B:$H,7,FALSE),VLOOKUP(C2,المستفيدين!$B:$F,5,FALSE))),"")</calculatedColumnFormula>
    </tableColumn>
    <tableColumn id="4" xr3:uid="{00000000-0010-0000-0300-000004000000}" name="التاريخ" dataDxfId="44"/>
    <tableColumn id="5" xr3:uid="{00000000-0010-0000-0300-000005000000}" name="سبب_الغياب" dataDxfId="43"/>
    <tableColumn id="6" xr3:uid="{00000000-0010-0000-0300-000006000000}" name="الفترة" dataDxfId="42"/>
    <tableColumn id="7" xr3:uid="{00000000-0010-0000-0300-000007000000}" name="ملاحظات" dataDxfId="4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4000000}" name="tbl_StatusHistory" displayName="tbl_StatusHistory" ref="A1:H58" totalsRowShown="0" headerRowDxfId="40" dataDxfId="39">
  <autoFilter ref="A1:H58" xr:uid="{00000000-0009-0000-0100-00000B000000}"/>
  <tableColumns count="8">
    <tableColumn id="1" xr3:uid="{00000000-0010-0000-0400-000001000000}" name="م" dataDxfId="38"/>
    <tableColumn id="2" xr3:uid="{00000000-0010-0000-0400-000002000000}" name="موظف / مستفيد" dataDxfId="37"/>
    <tableColumn id="12" xr3:uid="{00000000-0010-0000-0400-00000C000000}" name="الرقم الوظيفي / هوية المستفيد" dataDxfId="36"/>
    <tableColumn id="3" xr3:uid="{00000000-0010-0000-0400-000003000000}" name="الإسم" dataDxfId="35"/>
    <tableColumn id="6" xr3:uid="{08ACFE46-12A7-4E45-B290-D2DF64CF5618}" name="المركز / المدرسة" dataDxfId="0">
      <calculatedColumnFormula>IFERROR(IF(C2="","",IF(B2="موظف",VLOOKUP(C2,الموظفين!$B:$H,7,FALSE),VLOOKUP(C2,المستفيدين!$B:$F,5,FALSE))),"")</calculatedColumnFormula>
    </tableColumn>
    <tableColumn id="4" xr3:uid="{00000000-0010-0000-0400-000004000000}" name="التاريخ" dataDxfId="34"/>
    <tableColumn id="5" xr3:uid="{00000000-0010-0000-0400-000005000000}" name="الحالة" dataDxfId="33"/>
    <tableColumn id="7" xr3:uid="{00000000-0010-0000-0400-000007000000}" name="ملاحظات" dataDxfId="3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bl_Payments" displayName="tbl_Payments" ref="A1:H201" totalsRowShown="0" headerRowDxfId="31" dataDxfId="30">
  <autoFilter ref="A1:H201" xr:uid="{00000000-0009-0000-0100-000008000000}"/>
  <tableColumns count="8">
    <tableColumn id="1" xr3:uid="{00000000-0010-0000-0500-000001000000}" name="م" dataDxfId="29"/>
    <tableColumn id="2" xr3:uid="{00000000-0010-0000-0500-000002000000}" name="رقم هوية المستفيد" dataDxfId="28"/>
    <tableColumn id="6" xr3:uid="{00000000-0010-0000-0500-000006000000}" name="الاسم" dataDxfId="27"/>
    <tableColumn id="8" xr3:uid="{9AE0E555-6F1A-4FEE-BCA6-B9C9B4B89A24}" name="المركز المدرسة" dataDxfId="1">
      <calculatedColumnFormula>IFERROR(IF(B2="","",VLOOKUP(B2,المستفيدين!$B:$F,5,FALSE)),"")</calculatedColumnFormula>
    </tableColumn>
    <tableColumn id="3" xr3:uid="{00000000-0010-0000-0500-000003000000}" name="التاريخ" dataDxfId="26"/>
    <tableColumn id="4" xr3:uid="{00000000-0010-0000-0500-000004000000}" name="المبلغ" dataDxfId="25"/>
    <tableColumn id="5" xr3:uid="{00000000-0010-0000-0500-000005000000}" name="نوع_التحصيل" dataDxfId="24"/>
    <tableColumn id="7" xr3:uid="{00000000-0010-0000-0500-000007000000}" name="ملاحظات" dataDxfId="2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bl_Lists" displayName="tbl_Lists_1" ref="F4:V24" totalsRowShown="0" headerRowDxfId="22" dataDxfId="21">
  <autoFilter ref="F4:V24" xr:uid="{00000000-0009-0000-0100-000005000000}"/>
  <tableColumns count="17">
    <tableColumn id="1" xr3:uid="{00000000-0010-0000-0600-000001000000}" name="قائمة المراكز" dataDxfId="20"/>
    <tableColumn id="2" xr3:uid="{00000000-0010-0000-0600-000002000000}" name="الفترات" dataDxfId="19"/>
    <tableColumn id="4" xr3:uid="{00000000-0010-0000-0600-000004000000}" name="الوظائف" dataDxfId="18"/>
    <tableColumn id="5" xr3:uid="{00000000-0010-0000-0600-000005000000}" name="حالة الجلسة" dataDxfId="17"/>
    <tableColumn id="7" xr3:uid="{00000000-0010-0000-0600-000007000000}" name="الجنس" dataDxfId="16"/>
    <tableColumn id="8" xr3:uid="{00000000-0010-0000-0600-000008000000}" name="التخصصات" dataDxfId="15"/>
    <tableColumn id="11" xr3:uid="{00000000-0010-0000-0600-00000B000000}" name="الجلسات" dataDxfId="14"/>
    <tableColumn id="22" xr3:uid="{00000000-0010-0000-0600-000016000000}" name="التشخيص" dataDxfId="13"/>
    <tableColumn id="14" xr3:uid="{00000000-0010-0000-0600-00000E000000}" name="مستوى الحالة" dataDxfId="12"/>
    <tableColumn id="18" xr3:uid="{00000000-0010-0000-0600-000012000000}" name="نوع البرنامج" dataDxfId="11"/>
    <tableColumn id="19" xr3:uid="{00000000-0010-0000-0600-000013000000}" name="مصادر الرسوم" dataDxfId="10"/>
    <tableColumn id="20" xr3:uid="{00000000-0010-0000-0600-000014000000}" name="سبب الغياب" dataDxfId="9"/>
    <tableColumn id="21" xr3:uid="{00000000-0010-0000-0600-000015000000}" name="الحالة الإدارية" dataDxfId="8"/>
    <tableColumn id="6" xr3:uid="{00000000-0010-0000-0600-000006000000}" name="نوع التحصيل" dataDxfId="7"/>
    <tableColumn id="3" xr3:uid="{00000000-0010-0000-0600-000003000000}" name="فني / اداري" dataDxfId="6"/>
    <tableColumn id="9" xr3:uid="{A14AFC44-9555-4336-AC57-8AE49C32677E}" name="الخدمات" dataDxfId="5"/>
    <tableColumn id="10" xr3:uid="{70337186-E72C-4388-8C8F-C1C55ADCE8D6}" name="نوع الخدمة 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lef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F01A50-7AB6-43CB-99B1-ED14A7B84A1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09caa2a-b463-4884-a4ab-d56c410c2a4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rightToLeft="1" workbookViewId="0">
      <selection activeCell="H16" sqref="H16"/>
    </sheetView>
  </sheetViews>
  <sheetFormatPr defaultRowHeight="14.25" x14ac:dyDescent="0.2"/>
  <cols>
    <col min="1" max="1" width="5.125" customWidth="1"/>
    <col min="2" max="2" width="11.5" bestFit="1" customWidth="1"/>
    <col min="4" max="4" width="14.125" bestFit="1" customWidth="1"/>
    <col min="5" max="5" width="15.125" bestFit="1" customWidth="1"/>
    <col min="6" max="6" width="10.125" bestFit="1" customWidth="1"/>
    <col min="7" max="7" width="12.25" bestFit="1" customWidth="1"/>
    <col min="8" max="8" width="16.25" bestFit="1" customWidth="1"/>
    <col min="9" max="9" width="14.5" customWidth="1"/>
    <col min="10" max="10" width="13.875" bestFit="1" customWidth="1"/>
    <col min="11" max="11" width="8.875" bestFit="1" customWidth="1"/>
  </cols>
  <sheetData>
    <row r="1" spans="1:10" x14ac:dyDescent="0.2">
      <c r="A1" t="s">
        <v>356</v>
      </c>
      <c r="B1" t="s">
        <v>362</v>
      </c>
      <c r="C1" t="s">
        <v>55</v>
      </c>
      <c r="D1" t="s">
        <v>65</v>
      </c>
      <c r="E1" t="s">
        <v>66</v>
      </c>
      <c r="F1" t="s">
        <v>547</v>
      </c>
      <c r="G1" t="s">
        <v>62</v>
      </c>
      <c r="H1" t="s">
        <v>54</v>
      </c>
      <c r="I1" t="s">
        <v>57</v>
      </c>
      <c r="J1" t="s">
        <v>53</v>
      </c>
    </row>
    <row r="2" spans="1:10" x14ac:dyDescent="0.2">
      <c r="A2" s="1">
        <v>1</v>
      </c>
      <c r="B2" s="1" t="s">
        <v>67</v>
      </c>
      <c r="C2" s="1" t="s">
        <v>147</v>
      </c>
      <c r="D2" s="1" t="s">
        <v>18</v>
      </c>
      <c r="E2" s="1" t="s">
        <v>28</v>
      </c>
      <c r="F2" s="1" t="s">
        <v>548</v>
      </c>
      <c r="G2" s="1" t="s">
        <v>80</v>
      </c>
      <c r="H2" s="1" t="s">
        <v>359</v>
      </c>
      <c r="I2" s="1" t="s">
        <v>0</v>
      </c>
      <c r="J2" s="1"/>
    </row>
    <row r="3" spans="1:10" x14ac:dyDescent="0.2">
      <c r="A3" s="1">
        <v>2</v>
      </c>
      <c r="B3" s="1" t="s">
        <v>68</v>
      </c>
      <c r="C3" s="1" t="s">
        <v>148</v>
      </c>
      <c r="D3" s="1" t="s">
        <v>16</v>
      </c>
      <c r="E3" s="1" t="s">
        <v>26</v>
      </c>
      <c r="F3" s="1" t="s">
        <v>548</v>
      </c>
      <c r="G3" s="1" t="s">
        <v>77</v>
      </c>
      <c r="H3" s="1" t="s">
        <v>359</v>
      </c>
      <c r="I3" s="1" t="s">
        <v>1</v>
      </c>
      <c r="J3" s="1"/>
    </row>
    <row r="4" spans="1:10" x14ac:dyDescent="0.2">
      <c r="A4" s="1">
        <v>3</v>
      </c>
      <c r="B4" s="1" t="s">
        <v>69</v>
      </c>
      <c r="C4" s="1" t="s">
        <v>149</v>
      </c>
      <c r="D4" s="1" t="s">
        <v>14</v>
      </c>
      <c r="E4" s="1" t="s">
        <v>24</v>
      </c>
      <c r="F4" s="1" t="s">
        <v>548</v>
      </c>
      <c r="G4" s="1" t="s">
        <v>75</v>
      </c>
      <c r="H4" s="1" t="s">
        <v>361</v>
      </c>
      <c r="I4" s="1" t="s">
        <v>1</v>
      </c>
      <c r="J4" s="1"/>
    </row>
    <row r="5" spans="1:10" x14ac:dyDescent="0.2">
      <c r="A5" s="1">
        <v>4</v>
      </c>
      <c r="B5" s="1" t="s">
        <v>150</v>
      </c>
      <c r="C5" s="1" t="s">
        <v>151</v>
      </c>
      <c r="D5" s="1" t="s">
        <v>17</v>
      </c>
      <c r="E5" s="1" t="s">
        <v>27</v>
      </c>
      <c r="F5" s="1" t="s">
        <v>548</v>
      </c>
      <c r="G5" s="1" t="s">
        <v>78</v>
      </c>
      <c r="H5" s="1" t="s">
        <v>358</v>
      </c>
      <c r="I5" s="1" t="s">
        <v>4</v>
      </c>
      <c r="J5" s="1"/>
    </row>
    <row r="6" spans="1:10" x14ac:dyDescent="0.2">
      <c r="A6" s="1">
        <v>5</v>
      </c>
      <c r="B6" s="1" t="s">
        <v>152</v>
      </c>
      <c r="C6" s="1" t="s">
        <v>153</v>
      </c>
      <c r="D6" s="1" t="s">
        <v>19</v>
      </c>
      <c r="E6" s="1" t="s">
        <v>29</v>
      </c>
      <c r="F6" s="1" t="s">
        <v>548</v>
      </c>
      <c r="G6" s="1" t="s">
        <v>74</v>
      </c>
      <c r="H6" s="1" t="s">
        <v>357</v>
      </c>
      <c r="I6" s="1" t="s">
        <v>1</v>
      </c>
      <c r="J6" s="1"/>
    </row>
    <row r="7" spans="1:10" x14ac:dyDescent="0.2">
      <c r="A7" s="1">
        <v>6</v>
      </c>
      <c r="B7" s="1" t="s">
        <v>154</v>
      </c>
      <c r="C7" s="1" t="s">
        <v>155</v>
      </c>
      <c r="D7" s="1" t="s">
        <v>16</v>
      </c>
      <c r="E7" s="1" t="s">
        <v>26</v>
      </c>
      <c r="F7" s="1" t="s">
        <v>548</v>
      </c>
      <c r="G7" s="1" t="s">
        <v>77</v>
      </c>
      <c r="H7" s="1" t="s">
        <v>360</v>
      </c>
      <c r="I7" s="1" t="s">
        <v>0</v>
      </c>
      <c r="J7" s="1"/>
    </row>
    <row r="8" spans="1:10" x14ac:dyDescent="0.2">
      <c r="A8" s="1">
        <v>7</v>
      </c>
      <c r="B8" s="1" t="s">
        <v>156</v>
      </c>
      <c r="C8" s="1" t="s">
        <v>157</v>
      </c>
      <c r="D8" s="1" t="s">
        <v>19</v>
      </c>
      <c r="E8" s="1" t="s">
        <v>29</v>
      </c>
      <c r="F8" s="1" t="s">
        <v>548</v>
      </c>
      <c r="G8" s="1" t="s">
        <v>74</v>
      </c>
      <c r="H8" s="1" t="s">
        <v>359</v>
      </c>
      <c r="I8" s="1" t="s">
        <v>0</v>
      </c>
      <c r="J8" s="1"/>
    </row>
    <row r="9" spans="1:10" x14ac:dyDescent="0.2">
      <c r="A9" s="1">
        <v>8</v>
      </c>
      <c r="B9" s="1" t="s">
        <v>158</v>
      </c>
      <c r="C9" s="1" t="s">
        <v>159</v>
      </c>
      <c r="D9" s="1" t="s">
        <v>14</v>
      </c>
      <c r="E9" s="1" t="s">
        <v>24</v>
      </c>
      <c r="F9" s="1" t="s">
        <v>548</v>
      </c>
      <c r="G9" s="1" t="s">
        <v>75</v>
      </c>
      <c r="H9" s="1" t="s">
        <v>361</v>
      </c>
      <c r="I9" s="1" t="s">
        <v>4</v>
      </c>
      <c r="J9" s="1"/>
    </row>
    <row r="10" spans="1:10" x14ac:dyDescent="0.2">
      <c r="A10" s="1">
        <v>9</v>
      </c>
      <c r="B10" s="1" t="s">
        <v>160</v>
      </c>
      <c r="C10" s="1" t="s">
        <v>161</v>
      </c>
      <c r="D10" s="1" t="s">
        <v>15</v>
      </c>
      <c r="E10" s="1" t="s">
        <v>25</v>
      </c>
      <c r="F10" s="1" t="s">
        <v>548</v>
      </c>
      <c r="G10" s="1" t="s">
        <v>76</v>
      </c>
      <c r="H10" s="1" t="s">
        <v>359</v>
      </c>
      <c r="I10" s="1" t="s">
        <v>4</v>
      </c>
      <c r="J10" s="1"/>
    </row>
    <row r="11" spans="1:10" x14ac:dyDescent="0.2">
      <c r="A11" s="1">
        <v>10</v>
      </c>
      <c r="B11" s="1" t="s">
        <v>162</v>
      </c>
      <c r="C11" s="1" t="s">
        <v>163</v>
      </c>
      <c r="D11" s="1" t="s">
        <v>15</v>
      </c>
      <c r="E11" s="1" t="s">
        <v>25</v>
      </c>
      <c r="F11" s="1" t="s">
        <v>548</v>
      </c>
      <c r="G11" s="1" t="s">
        <v>76</v>
      </c>
      <c r="H11" s="1" t="s">
        <v>359</v>
      </c>
      <c r="I11" s="1" t="s">
        <v>1</v>
      </c>
      <c r="J11" s="1"/>
    </row>
    <row r="12" spans="1:10" x14ac:dyDescent="0.2">
      <c r="A12" s="1">
        <v>11</v>
      </c>
      <c r="B12" s="1" t="s">
        <v>164</v>
      </c>
      <c r="C12" s="1" t="s">
        <v>165</v>
      </c>
      <c r="D12" s="1" t="s">
        <v>20</v>
      </c>
      <c r="E12" s="1" t="s">
        <v>29</v>
      </c>
      <c r="F12" s="1" t="s">
        <v>363</v>
      </c>
      <c r="G12" s="1" t="s">
        <v>74</v>
      </c>
      <c r="H12" s="1" t="s">
        <v>358</v>
      </c>
      <c r="I12" s="1" t="s">
        <v>0</v>
      </c>
      <c r="J12" s="1"/>
    </row>
    <row r="13" spans="1:10" x14ac:dyDescent="0.2">
      <c r="A13" s="1">
        <v>12</v>
      </c>
      <c r="B13" s="1" t="s">
        <v>166</v>
      </c>
      <c r="C13" s="1" t="s">
        <v>167</v>
      </c>
      <c r="D13" s="1" t="s">
        <v>22</v>
      </c>
      <c r="E13" s="1" t="s">
        <v>28</v>
      </c>
      <c r="F13" s="1" t="s">
        <v>363</v>
      </c>
      <c r="G13" s="1" t="s">
        <v>80</v>
      </c>
      <c r="H13" s="1" t="s">
        <v>359</v>
      </c>
      <c r="I13" s="1" t="s">
        <v>0</v>
      </c>
      <c r="J13" s="1"/>
    </row>
    <row r="14" spans="1:10" x14ac:dyDescent="0.2">
      <c r="A14" s="1">
        <v>13</v>
      </c>
      <c r="B14" s="1" t="s">
        <v>168</v>
      </c>
      <c r="C14" s="1" t="s">
        <v>169</v>
      </c>
      <c r="D14" s="1" t="s">
        <v>18</v>
      </c>
      <c r="E14" s="1" t="s">
        <v>28</v>
      </c>
      <c r="F14" s="1" t="s">
        <v>548</v>
      </c>
      <c r="G14" s="1" t="s">
        <v>80</v>
      </c>
      <c r="H14" s="1" t="s">
        <v>358</v>
      </c>
      <c r="I14" s="1" t="s">
        <v>0</v>
      </c>
      <c r="J14" s="1"/>
    </row>
    <row r="15" spans="1:10" x14ac:dyDescent="0.2">
      <c r="A15" s="1">
        <v>14</v>
      </c>
      <c r="B15" s="1" t="s">
        <v>170</v>
      </c>
      <c r="C15" s="1" t="s">
        <v>171</v>
      </c>
      <c r="D15" s="1" t="s">
        <v>20</v>
      </c>
      <c r="E15" s="1" t="s">
        <v>29</v>
      </c>
      <c r="F15" s="1" t="s">
        <v>363</v>
      </c>
      <c r="G15" s="1" t="s">
        <v>74</v>
      </c>
      <c r="H15" s="1" t="s">
        <v>358</v>
      </c>
      <c r="I15" s="1" t="s">
        <v>1</v>
      </c>
      <c r="J15" s="1"/>
    </row>
    <row r="16" spans="1:10" x14ac:dyDescent="0.2">
      <c r="A16" s="1">
        <v>15</v>
      </c>
      <c r="B16" s="1" t="s">
        <v>172</v>
      </c>
      <c r="C16" s="1" t="s">
        <v>173</v>
      </c>
      <c r="D16" s="1" t="s">
        <v>14</v>
      </c>
      <c r="E16" s="1" t="s">
        <v>24</v>
      </c>
      <c r="F16" s="1" t="s">
        <v>548</v>
      </c>
      <c r="G16" s="1" t="s">
        <v>75</v>
      </c>
      <c r="H16" s="1" t="s">
        <v>361</v>
      </c>
      <c r="I16" s="1" t="s">
        <v>0</v>
      </c>
      <c r="J16" s="1"/>
    </row>
    <row r="17" spans="1:10" x14ac:dyDescent="0.2">
      <c r="A17" s="1">
        <v>16</v>
      </c>
      <c r="B17" s="1" t="s">
        <v>174</v>
      </c>
      <c r="C17" s="1" t="s">
        <v>175</v>
      </c>
      <c r="D17" s="1" t="s">
        <v>21</v>
      </c>
      <c r="E17" s="1" t="s">
        <v>29</v>
      </c>
      <c r="F17" s="1" t="s">
        <v>363</v>
      </c>
      <c r="G17" s="1" t="s">
        <v>74</v>
      </c>
      <c r="H17" s="1" t="s">
        <v>359</v>
      </c>
      <c r="I17" s="1" t="s">
        <v>0</v>
      </c>
      <c r="J17" s="1"/>
    </row>
    <row r="18" spans="1:10" x14ac:dyDescent="0.2">
      <c r="A18" s="1">
        <v>17</v>
      </c>
      <c r="B18" s="1" t="s">
        <v>176</v>
      </c>
      <c r="C18" s="1" t="s">
        <v>177</v>
      </c>
      <c r="D18" s="1" t="s">
        <v>19</v>
      </c>
      <c r="E18" s="1" t="s">
        <v>29</v>
      </c>
      <c r="F18" s="1" t="s">
        <v>548</v>
      </c>
      <c r="G18" s="1" t="s">
        <v>74</v>
      </c>
      <c r="H18" s="1" t="s">
        <v>359</v>
      </c>
      <c r="I18" s="1" t="s">
        <v>4</v>
      </c>
      <c r="J18" s="1"/>
    </row>
    <row r="19" spans="1:10" x14ac:dyDescent="0.2">
      <c r="A19" s="1">
        <v>18</v>
      </c>
      <c r="B19" s="1" t="s">
        <v>178</v>
      </c>
      <c r="C19" s="1" t="s">
        <v>179</v>
      </c>
      <c r="D19" s="1" t="s">
        <v>19</v>
      </c>
      <c r="E19" s="1" t="s">
        <v>29</v>
      </c>
      <c r="F19" s="1" t="s">
        <v>548</v>
      </c>
      <c r="G19" s="1" t="s">
        <v>74</v>
      </c>
      <c r="H19" s="1" t="s">
        <v>357</v>
      </c>
      <c r="I19" s="1" t="s">
        <v>0</v>
      </c>
      <c r="J19" s="1"/>
    </row>
    <row r="20" spans="1:10" x14ac:dyDescent="0.2">
      <c r="A20" s="1">
        <v>19</v>
      </c>
      <c r="B20" s="1" t="s">
        <v>180</v>
      </c>
      <c r="C20" s="1" t="s">
        <v>181</v>
      </c>
      <c r="D20" s="1" t="s">
        <v>18</v>
      </c>
      <c r="E20" s="1" t="s">
        <v>28</v>
      </c>
      <c r="F20" s="1" t="s">
        <v>548</v>
      </c>
      <c r="G20" s="1" t="s">
        <v>80</v>
      </c>
      <c r="H20" s="1" t="s">
        <v>357</v>
      </c>
      <c r="I20" s="1" t="s">
        <v>0</v>
      </c>
      <c r="J20" s="1"/>
    </row>
    <row r="21" spans="1:10" x14ac:dyDescent="0.2">
      <c r="A21" s="1">
        <v>20</v>
      </c>
      <c r="B21" s="1" t="s">
        <v>182</v>
      </c>
      <c r="C21" s="1" t="s">
        <v>183</v>
      </c>
      <c r="D21" s="1" t="s">
        <v>17</v>
      </c>
      <c r="E21" s="1" t="s">
        <v>27</v>
      </c>
      <c r="F21" s="1" t="s">
        <v>548</v>
      </c>
      <c r="G21" s="1" t="s">
        <v>78</v>
      </c>
      <c r="H21" s="1" t="s">
        <v>360</v>
      </c>
      <c r="I21" s="1" t="s">
        <v>1</v>
      </c>
      <c r="J21" s="1"/>
    </row>
    <row r="22" spans="1:10" x14ac:dyDescent="0.2">
      <c r="A22" s="1">
        <v>21</v>
      </c>
      <c r="B22" s="1" t="s">
        <v>184</v>
      </c>
      <c r="C22" s="1" t="s">
        <v>185</v>
      </c>
      <c r="D22" s="1" t="s">
        <v>22</v>
      </c>
      <c r="E22" s="1" t="s">
        <v>28</v>
      </c>
      <c r="F22" s="1" t="s">
        <v>363</v>
      </c>
      <c r="G22" s="1" t="s">
        <v>80</v>
      </c>
      <c r="H22" s="1" t="s">
        <v>358</v>
      </c>
      <c r="I22" s="1" t="s">
        <v>1</v>
      </c>
      <c r="J22" s="1"/>
    </row>
    <row r="23" spans="1:10" x14ac:dyDescent="0.2">
      <c r="A23" s="1">
        <v>22</v>
      </c>
      <c r="B23" s="1" t="s">
        <v>186</v>
      </c>
      <c r="C23" s="1" t="s">
        <v>187</v>
      </c>
      <c r="D23" s="1" t="s">
        <v>18</v>
      </c>
      <c r="E23" s="1" t="s">
        <v>28</v>
      </c>
      <c r="F23" s="1" t="s">
        <v>548</v>
      </c>
      <c r="G23" s="1" t="s">
        <v>80</v>
      </c>
      <c r="H23" s="1" t="s">
        <v>359</v>
      </c>
      <c r="I23" s="1" t="s">
        <v>4</v>
      </c>
      <c r="J23" s="1"/>
    </row>
    <row r="24" spans="1:10" x14ac:dyDescent="0.2">
      <c r="A24" s="1">
        <v>23</v>
      </c>
      <c r="B24" s="1" t="s">
        <v>188</v>
      </c>
      <c r="C24" s="1" t="s">
        <v>189</v>
      </c>
      <c r="D24" s="1" t="s">
        <v>18</v>
      </c>
      <c r="E24" s="1" t="s">
        <v>28</v>
      </c>
      <c r="F24" s="1" t="s">
        <v>548</v>
      </c>
      <c r="G24" s="1" t="s">
        <v>80</v>
      </c>
      <c r="H24" s="1" t="s">
        <v>359</v>
      </c>
      <c r="I24" s="1" t="s">
        <v>0</v>
      </c>
      <c r="J24" s="1"/>
    </row>
    <row r="25" spans="1:10" x14ac:dyDescent="0.2">
      <c r="A25" s="1">
        <v>24</v>
      </c>
      <c r="B25" s="1" t="s">
        <v>190</v>
      </c>
      <c r="C25" s="1" t="s">
        <v>191</v>
      </c>
      <c r="D25" s="1" t="s">
        <v>16</v>
      </c>
      <c r="E25" s="1" t="s">
        <v>26</v>
      </c>
      <c r="F25" s="1" t="s">
        <v>548</v>
      </c>
      <c r="G25" s="1" t="s">
        <v>77</v>
      </c>
      <c r="H25" s="1" t="s">
        <v>360</v>
      </c>
      <c r="I25" s="1" t="s">
        <v>0</v>
      </c>
      <c r="J25" s="1"/>
    </row>
    <row r="26" spans="1:10" x14ac:dyDescent="0.2">
      <c r="A26" s="1">
        <v>25</v>
      </c>
      <c r="B26" s="1" t="s">
        <v>192</v>
      </c>
      <c r="C26" s="1" t="s">
        <v>193</v>
      </c>
      <c r="D26" s="1" t="s">
        <v>16</v>
      </c>
      <c r="E26" s="1" t="s">
        <v>26</v>
      </c>
      <c r="F26" s="1" t="s">
        <v>548</v>
      </c>
      <c r="G26" s="1" t="s">
        <v>77</v>
      </c>
      <c r="H26" s="1" t="s">
        <v>360</v>
      </c>
      <c r="I26" s="1" t="s">
        <v>4</v>
      </c>
      <c r="J26" s="1"/>
    </row>
    <row r="27" spans="1:10" x14ac:dyDescent="0.2">
      <c r="A27" s="1">
        <v>26</v>
      </c>
      <c r="B27" s="1" t="s">
        <v>194</v>
      </c>
      <c r="C27" s="1" t="s">
        <v>195</v>
      </c>
      <c r="D27" s="1" t="s">
        <v>22</v>
      </c>
      <c r="E27" s="1" t="s">
        <v>28</v>
      </c>
      <c r="F27" s="1" t="s">
        <v>363</v>
      </c>
      <c r="G27" s="1" t="s">
        <v>80</v>
      </c>
      <c r="H27" s="1" t="s">
        <v>361</v>
      </c>
      <c r="I27" s="1" t="s">
        <v>4</v>
      </c>
      <c r="J27" s="1"/>
    </row>
    <row r="28" spans="1:10" x14ac:dyDescent="0.2">
      <c r="A28" s="1">
        <v>27</v>
      </c>
      <c r="B28" s="1" t="s">
        <v>196</v>
      </c>
      <c r="C28" s="1" t="s">
        <v>197</v>
      </c>
      <c r="D28" s="1" t="s">
        <v>20</v>
      </c>
      <c r="E28" s="1" t="s">
        <v>29</v>
      </c>
      <c r="F28" s="1" t="s">
        <v>363</v>
      </c>
      <c r="G28" s="1" t="s">
        <v>74</v>
      </c>
      <c r="H28" s="1" t="s">
        <v>360</v>
      </c>
      <c r="I28" s="1" t="s">
        <v>1</v>
      </c>
      <c r="J28" s="1"/>
    </row>
    <row r="29" spans="1:10" x14ac:dyDescent="0.2">
      <c r="A29" s="1">
        <v>28</v>
      </c>
      <c r="B29" s="1" t="s">
        <v>198</v>
      </c>
      <c r="C29" s="1" t="s">
        <v>199</v>
      </c>
      <c r="D29" s="1" t="s">
        <v>14</v>
      </c>
      <c r="E29" s="1" t="s">
        <v>24</v>
      </c>
      <c r="F29" s="1" t="s">
        <v>548</v>
      </c>
      <c r="G29" s="1" t="s">
        <v>75</v>
      </c>
      <c r="H29" s="1" t="s">
        <v>358</v>
      </c>
      <c r="I29" s="1" t="s">
        <v>1</v>
      </c>
      <c r="J29" s="1"/>
    </row>
    <row r="30" spans="1:10" x14ac:dyDescent="0.2">
      <c r="A30" s="1">
        <v>29</v>
      </c>
      <c r="B30" s="1" t="s">
        <v>200</v>
      </c>
      <c r="C30" s="1" t="s">
        <v>201</v>
      </c>
      <c r="D30" s="1" t="s">
        <v>15</v>
      </c>
      <c r="E30" s="1" t="s">
        <v>25</v>
      </c>
      <c r="F30" s="1" t="s">
        <v>548</v>
      </c>
      <c r="G30" s="1" t="s">
        <v>76</v>
      </c>
      <c r="H30" s="1" t="s">
        <v>358</v>
      </c>
      <c r="I30" s="1" t="s">
        <v>4</v>
      </c>
      <c r="J30" s="1"/>
    </row>
    <row r="31" spans="1:10" x14ac:dyDescent="0.2">
      <c r="A31" s="1">
        <v>30</v>
      </c>
      <c r="B31" s="1" t="s">
        <v>202</v>
      </c>
      <c r="C31" s="1" t="s">
        <v>203</v>
      </c>
      <c r="D31" s="1" t="s">
        <v>20</v>
      </c>
      <c r="E31" s="1" t="s">
        <v>29</v>
      </c>
      <c r="F31" s="1" t="s">
        <v>363</v>
      </c>
      <c r="G31" s="1" t="s">
        <v>74</v>
      </c>
      <c r="H31" s="1" t="s">
        <v>358</v>
      </c>
      <c r="I31" s="1" t="s">
        <v>4</v>
      </c>
      <c r="J31" s="1"/>
    </row>
    <row r="32" spans="1:10" x14ac:dyDescent="0.2">
      <c r="A32" s="1">
        <v>31</v>
      </c>
      <c r="B32" s="1" t="s">
        <v>204</v>
      </c>
      <c r="C32" s="1" t="s">
        <v>205</v>
      </c>
      <c r="D32" s="1" t="s">
        <v>14</v>
      </c>
      <c r="E32" s="1" t="s">
        <v>24</v>
      </c>
      <c r="F32" s="1" t="s">
        <v>548</v>
      </c>
      <c r="G32" s="1" t="s">
        <v>75</v>
      </c>
      <c r="H32" s="1" t="s">
        <v>358</v>
      </c>
      <c r="I32" s="1" t="s">
        <v>1</v>
      </c>
      <c r="J32" s="1"/>
    </row>
    <row r="33" spans="1:10" x14ac:dyDescent="0.2">
      <c r="A33" s="1">
        <v>32</v>
      </c>
      <c r="B33" s="1" t="s">
        <v>206</v>
      </c>
      <c r="C33" s="1" t="s">
        <v>207</v>
      </c>
      <c r="D33" s="1" t="s">
        <v>17</v>
      </c>
      <c r="E33" s="1" t="s">
        <v>27</v>
      </c>
      <c r="F33" s="1" t="s">
        <v>548</v>
      </c>
      <c r="G33" s="1" t="s">
        <v>78</v>
      </c>
      <c r="H33" s="1" t="s">
        <v>357</v>
      </c>
      <c r="I33" s="1" t="s">
        <v>4</v>
      </c>
      <c r="J33" s="1"/>
    </row>
    <row r="34" spans="1:10" x14ac:dyDescent="0.2">
      <c r="A34" s="1">
        <v>33</v>
      </c>
      <c r="B34" s="1" t="s">
        <v>208</v>
      </c>
      <c r="C34" s="1" t="s">
        <v>209</v>
      </c>
      <c r="D34" s="1" t="s">
        <v>18</v>
      </c>
      <c r="E34" s="1" t="s">
        <v>28</v>
      </c>
      <c r="F34" s="1" t="s">
        <v>548</v>
      </c>
      <c r="G34" s="1" t="s">
        <v>80</v>
      </c>
      <c r="H34" s="1" t="s">
        <v>361</v>
      </c>
      <c r="I34" s="1" t="s">
        <v>1</v>
      </c>
      <c r="J34" s="1"/>
    </row>
    <row r="35" spans="1:10" x14ac:dyDescent="0.2">
      <c r="A35" s="1">
        <v>34</v>
      </c>
      <c r="B35" s="1" t="s">
        <v>210</v>
      </c>
      <c r="C35" s="1" t="s">
        <v>211</v>
      </c>
      <c r="D35" s="1" t="s">
        <v>18</v>
      </c>
      <c r="E35" s="1" t="s">
        <v>28</v>
      </c>
      <c r="F35" s="1" t="s">
        <v>548</v>
      </c>
      <c r="G35" s="1" t="s">
        <v>80</v>
      </c>
      <c r="H35" s="1" t="s">
        <v>357</v>
      </c>
      <c r="I35" s="1" t="s">
        <v>4</v>
      </c>
      <c r="J35" s="1"/>
    </row>
    <row r="36" spans="1:10" x14ac:dyDescent="0.2">
      <c r="A36" s="1">
        <v>35</v>
      </c>
      <c r="B36" s="1" t="s">
        <v>212</v>
      </c>
      <c r="C36" s="1" t="s">
        <v>213</v>
      </c>
      <c r="D36" s="1" t="s">
        <v>22</v>
      </c>
      <c r="E36" s="1" t="s">
        <v>28</v>
      </c>
      <c r="F36" s="1" t="s">
        <v>363</v>
      </c>
      <c r="G36" s="1" t="s">
        <v>80</v>
      </c>
      <c r="H36" s="1" t="s">
        <v>358</v>
      </c>
      <c r="I36" s="1" t="s">
        <v>0</v>
      </c>
      <c r="J36" s="1"/>
    </row>
    <row r="37" spans="1:10" x14ac:dyDescent="0.2">
      <c r="A37" s="1">
        <v>36</v>
      </c>
      <c r="B37" s="1" t="s">
        <v>214</v>
      </c>
      <c r="C37" s="1" t="s">
        <v>215</v>
      </c>
      <c r="D37" s="1" t="s">
        <v>15</v>
      </c>
      <c r="E37" s="1" t="s">
        <v>25</v>
      </c>
      <c r="F37" s="1" t="s">
        <v>548</v>
      </c>
      <c r="G37" s="1" t="s">
        <v>76</v>
      </c>
      <c r="H37" s="1" t="s">
        <v>360</v>
      </c>
      <c r="I37" s="1" t="s">
        <v>4</v>
      </c>
      <c r="J37" s="1"/>
    </row>
    <row r="38" spans="1:10" x14ac:dyDescent="0.2">
      <c r="A38" s="1">
        <v>37</v>
      </c>
      <c r="B38" s="1" t="s">
        <v>216</v>
      </c>
      <c r="C38" s="1" t="s">
        <v>217</v>
      </c>
      <c r="D38" s="1" t="s">
        <v>19</v>
      </c>
      <c r="E38" s="1" t="s">
        <v>29</v>
      </c>
      <c r="F38" s="1" t="s">
        <v>548</v>
      </c>
      <c r="G38" s="1" t="s">
        <v>74</v>
      </c>
      <c r="H38" s="1" t="s">
        <v>361</v>
      </c>
      <c r="I38" s="1" t="s">
        <v>0</v>
      </c>
      <c r="J38" s="1"/>
    </row>
    <row r="39" spans="1:10" x14ac:dyDescent="0.2">
      <c r="A39" s="1">
        <v>38</v>
      </c>
      <c r="B39" s="1" t="s">
        <v>218</v>
      </c>
      <c r="C39" s="1" t="s">
        <v>219</v>
      </c>
      <c r="D39" s="1" t="s">
        <v>21</v>
      </c>
      <c r="E39" s="1" t="s">
        <v>29</v>
      </c>
      <c r="F39" s="1" t="s">
        <v>363</v>
      </c>
      <c r="G39" s="1" t="s">
        <v>74</v>
      </c>
      <c r="H39" s="1" t="s">
        <v>357</v>
      </c>
      <c r="I39" s="1" t="s">
        <v>0</v>
      </c>
      <c r="J39" s="1"/>
    </row>
    <row r="40" spans="1:10" x14ac:dyDescent="0.2">
      <c r="A40" s="1">
        <v>39</v>
      </c>
      <c r="B40" s="1" t="s">
        <v>220</v>
      </c>
      <c r="C40" s="1" t="s">
        <v>221</v>
      </c>
      <c r="D40" s="1" t="s">
        <v>14</v>
      </c>
      <c r="E40" s="1" t="s">
        <v>24</v>
      </c>
      <c r="F40" s="1" t="s">
        <v>548</v>
      </c>
      <c r="G40" s="1" t="s">
        <v>75</v>
      </c>
      <c r="H40" s="1" t="s">
        <v>357</v>
      </c>
      <c r="I40" s="1" t="s">
        <v>1</v>
      </c>
      <c r="J40" s="1"/>
    </row>
    <row r="41" spans="1:10" x14ac:dyDescent="0.2">
      <c r="A41" s="1">
        <v>40</v>
      </c>
      <c r="B41" s="1" t="s">
        <v>222</v>
      </c>
      <c r="C41" s="1" t="s">
        <v>223</v>
      </c>
      <c r="D41" s="1" t="s">
        <v>21</v>
      </c>
      <c r="E41" s="1" t="s">
        <v>29</v>
      </c>
      <c r="F41" s="1" t="s">
        <v>363</v>
      </c>
      <c r="G41" s="1" t="s">
        <v>74</v>
      </c>
      <c r="H41" s="1" t="s">
        <v>361</v>
      </c>
      <c r="I41" s="1" t="s">
        <v>0</v>
      </c>
      <c r="J41" s="1"/>
    </row>
    <row r="42" spans="1:10" x14ac:dyDescent="0.2">
      <c r="A42" s="1">
        <v>41</v>
      </c>
      <c r="B42" s="1" t="s">
        <v>224</v>
      </c>
      <c r="C42" s="1" t="s">
        <v>225</v>
      </c>
      <c r="D42" s="1" t="s">
        <v>18</v>
      </c>
      <c r="E42" s="1" t="s">
        <v>28</v>
      </c>
      <c r="F42" s="1" t="s">
        <v>548</v>
      </c>
      <c r="G42" s="1" t="s">
        <v>80</v>
      </c>
      <c r="H42" s="1" t="s">
        <v>357</v>
      </c>
      <c r="I42" s="1" t="s">
        <v>0</v>
      </c>
      <c r="J42" s="1"/>
    </row>
    <row r="43" spans="1:10" x14ac:dyDescent="0.2">
      <c r="A43" s="1">
        <v>42</v>
      </c>
      <c r="B43" s="1" t="s">
        <v>226</v>
      </c>
      <c r="C43" s="1" t="s">
        <v>227</v>
      </c>
      <c r="D43" s="1" t="s">
        <v>18</v>
      </c>
      <c r="E43" s="1" t="s">
        <v>28</v>
      </c>
      <c r="F43" s="1" t="s">
        <v>548</v>
      </c>
      <c r="G43" s="1" t="s">
        <v>80</v>
      </c>
      <c r="H43" s="1" t="s">
        <v>357</v>
      </c>
      <c r="I43" s="1" t="s">
        <v>1</v>
      </c>
      <c r="J43" s="1"/>
    </row>
    <row r="44" spans="1:10" x14ac:dyDescent="0.2">
      <c r="A44" s="1">
        <v>43</v>
      </c>
      <c r="B44" s="1" t="s">
        <v>228</v>
      </c>
      <c r="C44" s="1" t="s">
        <v>229</v>
      </c>
      <c r="D44" s="1" t="s">
        <v>16</v>
      </c>
      <c r="E44" s="1" t="s">
        <v>26</v>
      </c>
      <c r="F44" s="1" t="s">
        <v>548</v>
      </c>
      <c r="G44" s="1" t="s">
        <v>77</v>
      </c>
      <c r="H44" s="1" t="s">
        <v>358</v>
      </c>
      <c r="I44" s="1" t="s">
        <v>4</v>
      </c>
      <c r="J44" s="1"/>
    </row>
    <row r="45" spans="1:10" x14ac:dyDescent="0.2">
      <c r="A45" s="1">
        <v>44</v>
      </c>
      <c r="B45" s="1" t="s">
        <v>230</v>
      </c>
      <c r="C45" s="1" t="s">
        <v>231</v>
      </c>
      <c r="D45" s="1" t="s">
        <v>15</v>
      </c>
      <c r="E45" s="1" t="s">
        <v>25</v>
      </c>
      <c r="F45" s="1" t="s">
        <v>548</v>
      </c>
      <c r="G45" s="1" t="s">
        <v>76</v>
      </c>
      <c r="H45" s="1" t="s">
        <v>357</v>
      </c>
      <c r="I45" s="1" t="s">
        <v>0</v>
      </c>
      <c r="J45" s="1"/>
    </row>
    <row r="46" spans="1:10" x14ac:dyDescent="0.2">
      <c r="A46" s="1">
        <v>45</v>
      </c>
      <c r="B46" s="1" t="s">
        <v>232</v>
      </c>
      <c r="C46" s="1" t="s">
        <v>233</v>
      </c>
      <c r="D46" s="1" t="s">
        <v>19</v>
      </c>
      <c r="E46" s="1" t="s">
        <v>29</v>
      </c>
      <c r="F46" s="1" t="s">
        <v>548</v>
      </c>
      <c r="G46" s="1" t="s">
        <v>74</v>
      </c>
      <c r="H46" s="1" t="s">
        <v>357</v>
      </c>
      <c r="I46" s="1" t="s">
        <v>1</v>
      </c>
      <c r="J46" s="1"/>
    </row>
    <row r="47" spans="1:10" x14ac:dyDescent="0.2">
      <c r="A47" s="1">
        <v>46</v>
      </c>
      <c r="B47" s="1" t="s">
        <v>234</v>
      </c>
      <c r="C47" s="1" t="s">
        <v>235</v>
      </c>
      <c r="D47" s="1" t="s">
        <v>14</v>
      </c>
      <c r="E47" s="1" t="s">
        <v>24</v>
      </c>
      <c r="F47" s="1" t="s">
        <v>548</v>
      </c>
      <c r="G47" s="1" t="s">
        <v>75</v>
      </c>
      <c r="H47" s="1" t="s">
        <v>359</v>
      </c>
      <c r="I47" s="1" t="s">
        <v>1</v>
      </c>
      <c r="J47" s="1"/>
    </row>
    <row r="48" spans="1:10" x14ac:dyDescent="0.2">
      <c r="A48" s="1">
        <v>47</v>
      </c>
      <c r="B48" s="1" t="s">
        <v>236</v>
      </c>
      <c r="C48" s="1" t="s">
        <v>237</v>
      </c>
      <c r="D48" s="1" t="s">
        <v>14</v>
      </c>
      <c r="E48" s="1" t="s">
        <v>24</v>
      </c>
      <c r="F48" s="1" t="s">
        <v>548</v>
      </c>
      <c r="G48" s="1" t="s">
        <v>75</v>
      </c>
      <c r="H48" s="1" t="s">
        <v>360</v>
      </c>
      <c r="I48" s="1" t="s">
        <v>1</v>
      </c>
      <c r="J48" s="1"/>
    </row>
    <row r="49" spans="1:10" x14ac:dyDescent="0.2">
      <c r="A49" s="1">
        <v>48</v>
      </c>
      <c r="B49" s="1" t="s">
        <v>238</v>
      </c>
      <c r="C49" s="1" t="s">
        <v>239</v>
      </c>
      <c r="D49" s="1" t="s">
        <v>20</v>
      </c>
      <c r="E49" s="1" t="s">
        <v>29</v>
      </c>
      <c r="F49" s="1" t="s">
        <v>363</v>
      </c>
      <c r="G49" s="1" t="s">
        <v>74</v>
      </c>
      <c r="H49" s="1" t="s">
        <v>358</v>
      </c>
      <c r="I49" s="1" t="s">
        <v>4</v>
      </c>
      <c r="J49" s="1"/>
    </row>
    <row r="50" spans="1:10" x14ac:dyDescent="0.2">
      <c r="A50" s="1">
        <v>49</v>
      </c>
      <c r="B50" s="1" t="s">
        <v>240</v>
      </c>
      <c r="C50" s="1" t="s">
        <v>241</v>
      </c>
      <c r="D50" s="1" t="s">
        <v>20</v>
      </c>
      <c r="E50" s="1" t="s">
        <v>29</v>
      </c>
      <c r="F50" s="1" t="s">
        <v>363</v>
      </c>
      <c r="G50" s="1" t="s">
        <v>74</v>
      </c>
      <c r="H50" s="1" t="s">
        <v>360</v>
      </c>
      <c r="I50" s="1" t="s">
        <v>0</v>
      </c>
      <c r="J50" s="1"/>
    </row>
    <row r="51" spans="1:10" x14ac:dyDescent="0.2">
      <c r="A51" s="1">
        <v>50</v>
      </c>
      <c r="B51" s="1" t="s">
        <v>242</v>
      </c>
      <c r="C51" s="1" t="s">
        <v>243</v>
      </c>
      <c r="D51" s="1" t="s">
        <v>17</v>
      </c>
      <c r="E51" s="1" t="s">
        <v>27</v>
      </c>
      <c r="F51" s="1" t="s">
        <v>548</v>
      </c>
      <c r="G51" s="1" t="s">
        <v>78</v>
      </c>
      <c r="H51" s="1" t="s">
        <v>357</v>
      </c>
      <c r="I51" s="1" t="s">
        <v>4</v>
      </c>
      <c r="J51" s="1"/>
    </row>
    <row r="52" spans="1:10" x14ac:dyDescent="0.2">
      <c r="A52" s="1">
        <v>51</v>
      </c>
      <c r="B52" s="1" t="s">
        <v>244</v>
      </c>
      <c r="C52" s="1" t="s">
        <v>245</v>
      </c>
      <c r="D52" s="1" t="s">
        <v>14</v>
      </c>
      <c r="E52" s="1" t="s">
        <v>24</v>
      </c>
      <c r="F52" s="1" t="s">
        <v>548</v>
      </c>
      <c r="G52" s="1" t="s">
        <v>75</v>
      </c>
      <c r="H52" s="1" t="s">
        <v>357</v>
      </c>
      <c r="I52" s="1" t="s">
        <v>0</v>
      </c>
      <c r="J52" s="1"/>
    </row>
    <row r="53" spans="1:10" x14ac:dyDescent="0.2">
      <c r="A53" s="1">
        <v>52</v>
      </c>
      <c r="B53" s="1" t="s">
        <v>246</v>
      </c>
      <c r="C53" s="1" t="s">
        <v>247</v>
      </c>
      <c r="D53" s="1" t="s">
        <v>16</v>
      </c>
      <c r="E53" s="1" t="s">
        <v>26</v>
      </c>
      <c r="F53" s="1" t="s">
        <v>548</v>
      </c>
      <c r="G53" s="1" t="s">
        <v>77</v>
      </c>
      <c r="H53" s="1" t="s">
        <v>357</v>
      </c>
      <c r="I53" s="1" t="s">
        <v>1</v>
      </c>
      <c r="J53" s="1"/>
    </row>
    <row r="54" spans="1:10" x14ac:dyDescent="0.2">
      <c r="A54" s="1">
        <v>53</v>
      </c>
      <c r="B54" s="1" t="s">
        <v>248</v>
      </c>
      <c r="C54" s="1" t="s">
        <v>249</v>
      </c>
      <c r="D54" s="1" t="s">
        <v>17</v>
      </c>
      <c r="E54" s="1" t="s">
        <v>27</v>
      </c>
      <c r="F54" s="1" t="s">
        <v>548</v>
      </c>
      <c r="G54" s="1" t="s">
        <v>78</v>
      </c>
      <c r="H54" s="1" t="s">
        <v>358</v>
      </c>
      <c r="I54" s="1" t="s">
        <v>1</v>
      </c>
      <c r="J54" s="1"/>
    </row>
    <row r="55" spans="1:10" x14ac:dyDescent="0.2">
      <c r="A55" s="1">
        <v>54</v>
      </c>
      <c r="B55" s="1" t="s">
        <v>250</v>
      </c>
      <c r="C55" s="1" t="s">
        <v>251</v>
      </c>
      <c r="D55" s="1" t="s">
        <v>22</v>
      </c>
      <c r="E55" s="1" t="s">
        <v>28</v>
      </c>
      <c r="F55" s="1" t="s">
        <v>363</v>
      </c>
      <c r="G55" s="1" t="s">
        <v>80</v>
      </c>
      <c r="H55" s="1" t="s">
        <v>359</v>
      </c>
      <c r="I55" s="1" t="s">
        <v>1</v>
      </c>
      <c r="J55" s="1"/>
    </row>
    <row r="56" spans="1:10" x14ac:dyDescent="0.2">
      <c r="A56" s="1">
        <v>55</v>
      </c>
      <c r="B56" s="1" t="s">
        <v>252</v>
      </c>
      <c r="C56" s="1" t="s">
        <v>253</v>
      </c>
      <c r="D56" s="1" t="s">
        <v>15</v>
      </c>
      <c r="E56" s="1" t="s">
        <v>25</v>
      </c>
      <c r="F56" s="1" t="s">
        <v>548</v>
      </c>
      <c r="G56" s="1" t="s">
        <v>76</v>
      </c>
      <c r="H56" s="1" t="s">
        <v>361</v>
      </c>
      <c r="I56" s="1" t="s">
        <v>1</v>
      </c>
      <c r="J56" s="1"/>
    </row>
    <row r="57" spans="1:10" x14ac:dyDescent="0.2">
      <c r="A57" s="1">
        <v>56</v>
      </c>
      <c r="B57" s="1" t="s">
        <v>254</v>
      </c>
      <c r="C57" s="1" t="s">
        <v>255</v>
      </c>
      <c r="D57" s="1" t="s">
        <v>18</v>
      </c>
      <c r="E57" s="1" t="s">
        <v>28</v>
      </c>
      <c r="F57" s="1" t="s">
        <v>548</v>
      </c>
      <c r="G57" s="1" t="s">
        <v>80</v>
      </c>
      <c r="H57" s="1" t="s">
        <v>361</v>
      </c>
      <c r="I57" s="1" t="s">
        <v>4</v>
      </c>
      <c r="J57" s="1"/>
    </row>
    <row r="58" spans="1:10" x14ac:dyDescent="0.2">
      <c r="A58" s="1">
        <v>57</v>
      </c>
      <c r="B58" s="1" t="s">
        <v>256</v>
      </c>
      <c r="C58" s="1" t="s">
        <v>257</v>
      </c>
      <c r="D58" s="1" t="s">
        <v>18</v>
      </c>
      <c r="E58" s="1" t="s">
        <v>28</v>
      </c>
      <c r="F58" s="1" t="s">
        <v>548</v>
      </c>
      <c r="G58" s="1" t="s">
        <v>80</v>
      </c>
      <c r="H58" s="1" t="s">
        <v>361</v>
      </c>
      <c r="I58" s="1" t="s">
        <v>4</v>
      </c>
      <c r="J58" s="1"/>
    </row>
    <row r="59" spans="1:10" x14ac:dyDescent="0.2">
      <c r="A59" s="1">
        <v>58</v>
      </c>
      <c r="B59" s="1" t="s">
        <v>258</v>
      </c>
      <c r="C59" s="1" t="s">
        <v>259</v>
      </c>
      <c r="D59" s="1" t="s">
        <v>17</v>
      </c>
      <c r="E59" s="1" t="s">
        <v>27</v>
      </c>
      <c r="F59" s="1" t="s">
        <v>548</v>
      </c>
      <c r="G59" s="1" t="s">
        <v>78</v>
      </c>
      <c r="H59" s="1" t="s">
        <v>359</v>
      </c>
      <c r="I59" s="1" t="s">
        <v>4</v>
      </c>
      <c r="J59" s="1"/>
    </row>
    <row r="60" spans="1:10" x14ac:dyDescent="0.2">
      <c r="A60" s="1">
        <v>59</v>
      </c>
      <c r="B60" s="1" t="s">
        <v>260</v>
      </c>
      <c r="C60" s="1" t="s">
        <v>261</v>
      </c>
      <c r="D60" s="1" t="s">
        <v>21</v>
      </c>
      <c r="E60" s="1" t="s">
        <v>29</v>
      </c>
      <c r="F60" s="1" t="s">
        <v>363</v>
      </c>
      <c r="G60" s="1" t="s">
        <v>74</v>
      </c>
      <c r="H60" s="1" t="s">
        <v>361</v>
      </c>
      <c r="I60" s="1" t="s">
        <v>1</v>
      </c>
      <c r="J60" s="1"/>
    </row>
    <row r="61" spans="1:10" x14ac:dyDescent="0.2">
      <c r="A61" s="1">
        <v>60</v>
      </c>
      <c r="B61" s="1" t="s">
        <v>262</v>
      </c>
      <c r="C61" s="1" t="s">
        <v>263</v>
      </c>
      <c r="D61" s="1" t="s">
        <v>22</v>
      </c>
      <c r="E61" s="1" t="s">
        <v>28</v>
      </c>
      <c r="F61" s="1" t="s">
        <v>363</v>
      </c>
      <c r="G61" s="1" t="s">
        <v>80</v>
      </c>
      <c r="H61" s="1" t="s">
        <v>360</v>
      </c>
      <c r="I61" s="1" t="s">
        <v>4</v>
      </c>
      <c r="J61" s="1"/>
    </row>
    <row r="62" spans="1:10" x14ac:dyDescent="0.2">
      <c r="A62" s="1">
        <v>61</v>
      </c>
      <c r="B62" s="1" t="s">
        <v>264</v>
      </c>
      <c r="C62" s="1" t="s">
        <v>265</v>
      </c>
      <c r="D62" s="1" t="s">
        <v>17</v>
      </c>
      <c r="E62" s="1" t="s">
        <v>27</v>
      </c>
      <c r="F62" s="1" t="s">
        <v>548</v>
      </c>
      <c r="G62" s="1" t="s">
        <v>78</v>
      </c>
      <c r="H62" s="1" t="s">
        <v>357</v>
      </c>
      <c r="I62" s="1" t="s">
        <v>4</v>
      </c>
      <c r="J62" s="1"/>
    </row>
    <row r="63" spans="1:10" x14ac:dyDescent="0.2">
      <c r="A63" s="1">
        <v>62</v>
      </c>
      <c r="B63" s="1" t="s">
        <v>266</v>
      </c>
      <c r="C63" s="1" t="s">
        <v>267</v>
      </c>
      <c r="D63" s="1" t="s">
        <v>18</v>
      </c>
      <c r="E63" s="1" t="s">
        <v>28</v>
      </c>
      <c r="F63" s="1" t="s">
        <v>548</v>
      </c>
      <c r="G63" s="1" t="s">
        <v>80</v>
      </c>
      <c r="H63" s="1" t="s">
        <v>360</v>
      </c>
      <c r="I63" s="1" t="s">
        <v>1</v>
      </c>
      <c r="J63" s="1"/>
    </row>
    <row r="64" spans="1:10" x14ac:dyDescent="0.2">
      <c r="A64" s="1">
        <v>63</v>
      </c>
      <c r="B64" s="1" t="s">
        <v>268</v>
      </c>
      <c r="C64" s="1" t="s">
        <v>269</v>
      </c>
      <c r="D64" s="1" t="s">
        <v>20</v>
      </c>
      <c r="E64" s="1" t="s">
        <v>29</v>
      </c>
      <c r="F64" s="1" t="s">
        <v>363</v>
      </c>
      <c r="G64" s="1" t="s">
        <v>74</v>
      </c>
      <c r="H64" s="1" t="s">
        <v>360</v>
      </c>
      <c r="I64" s="1" t="s">
        <v>1</v>
      </c>
      <c r="J64" s="1"/>
    </row>
    <row r="65" spans="1:10" x14ac:dyDescent="0.2">
      <c r="A65" s="1">
        <v>64</v>
      </c>
      <c r="B65" s="1" t="s">
        <v>270</v>
      </c>
      <c r="C65" s="1" t="s">
        <v>271</v>
      </c>
      <c r="D65" s="1" t="s">
        <v>17</v>
      </c>
      <c r="E65" s="1" t="s">
        <v>27</v>
      </c>
      <c r="F65" s="1" t="s">
        <v>548</v>
      </c>
      <c r="G65" s="1" t="s">
        <v>78</v>
      </c>
      <c r="H65" s="1" t="s">
        <v>361</v>
      </c>
      <c r="I65" s="1" t="s">
        <v>4</v>
      </c>
      <c r="J65" s="1"/>
    </row>
    <row r="66" spans="1:10" x14ac:dyDescent="0.2">
      <c r="A66" s="1">
        <v>65</v>
      </c>
      <c r="B66" s="1" t="s">
        <v>272</v>
      </c>
      <c r="C66" s="1" t="s">
        <v>273</v>
      </c>
      <c r="D66" s="1" t="s">
        <v>14</v>
      </c>
      <c r="E66" s="1" t="s">
        <v>24</v>
      </c>
      <c r="F66" s="1" t="s">
        <v>548</v>
      </c>
      <c r="G66" s="1" t="s">
        <v>75</v>
      </c>
      <c r="H66" s="1" t="s">
        <v>358</v>
      </c>
      <c r="I66" s="1" t="s">
        <v>1</v>
      </c>
      <c r="J66" s="1"/>
    </row>
    <row r="67" spans="1:10" x14ac:dyDescent="0.2">
      <c r="A67" s="1">
        <v>66</v>
      </c>
      <c r="B67" s="1" t="s">
        <v>274</v>
      </c>
      <c r="C67" s="1" t="s">
        <v>275</v>
      </c>
      <c r="D67" s="1" t="s">
        <v>22</v>
      </c>
      <c r="E67" s="1" t="s">
        <v>28</v>
      </c>
      <c r="F67" s="1" t="s">
        <v>363</v>
      </c>
      <c r="G67" s="1" t="s">
        <v>80</v>
      </c>
      <c r="H67" s="1" t="s">
        <v>360</v>
      </c>
      <c r="I67" s="1" t="s">
        <v>0</v>
      </c>
      <c r="J67" s="1"/>
    </row>
    <row r="68" spans="1:10" x14ac:dyDescent="0.2">
      <c r="A68" s="1">
        <v>67</v>
      </c>
      <c r="B68" s="1" t="s">
        <v>276</v>
      </c>
      <c r="C68" s="1" t="s">
        <v>277</v>
      </c>
      <c r="D68" s="1" t="s">
        <v>20</v>
      </c>
      <c r="E68" s="1" t="s">
        <v>29</v>
      </c>
      <c r="F68" s="1" t="s">
        <v>363</v>
      </c>
      <c r="G68" s="1" t="s">
        <v>74</v>
      </c>
      <c r="H68" s="1" t="s">
        <v>357</v>
      </c>
      <c r="I68" s="1" t="s">
        <v>0</v>
      </c>
      <c r="J68" s="1"/>
    </row>
    <row r="69" spans="1:10" x14ac:dyDescent="0.2">
      <c r="A69" s="1">
        <v>68</v>
      </c>
      <c r="B69" s="1" t="s">
        <v>278</v>
      </c>
      <c r="C69" s="1" t="s">
        <v>279</v>
      </c>
      <c r="D69" s="1" t="s">
        <v>18</v>
      </c>
      <c r="E69" s="1" t="s">
        <v>28</v>
      </c>
      <c r="F69" s="1" t="s">
        <v>548</v>
      </c>
      <c r="G69" s="1" t="s">
        <v>80</v>
      </c>
      <c r="H69" s="1" t="s">
        <v>358</v>
      </c>
      <c r="I69" s="1" t="s">
        <v>0</v>
      </c>
      <c r="J69" s="1"/>
    </row>
    <row r="70" spans="1:10" x14ac:dyDescent="0.2">
      <c r="A70" s="1">
        <v>69</v>
      </c>
      <c r="B70" s="1" t="s">
        <v>280</v>
      </c>
      <c r="C70" s="1" t="s">
        <v>281</v>
      </c>
      <c r="D70" s="1" t="s">
        <v>22</v>
      </c>
      <c r="E70" s="1" t="s">
        <v>28</v>
      </c>
      <c r="F70" s="1" t="s">
        <v>363</v>
      </c>
      <c r="G70" s="1" t="s">
        <v>80</v>
      </c>
      <c r="H70" s="1" t="s">
        <v>359</v>
      </c>
      <c r="I70" s="1" t="s">
        <v>0</v>
      </c>
      <c r="J70" s="1"/>
    </row>
    <row r="71" spans="1:10" x14ac:dyDescent="0.2">
      <c r="A71" s="1">
        <v>70</v>
      </c>
      <c r="B71" s="1" t="s">
        <v>282</v>
      </c>
      <c r="C71" s="1" t="s">
        <v>283</v>
      </c>
      <c r="D71" s="1" t="s">
        <v>17</v>
      </c>
      <c r="E71" s="1" t="s">
        <v>27</v>
      </c>
      <c r="F71" s="1" t="s">
        <v>548</v>
      </c>
      <c r="G71" s="1" t="s">
        <v>78</v>
      </c>
      <c r="H71" s="1" t="s">
        <v>357</v>
      </c>
      <c r="I71" s="1" t="s">
        <v>1</v>
      </c>
      <c r="J71" s="1"/>
    </row>
    <row r="72" spans="1:10" x14ac:dyDescent="0.2">
      <c r="A72" s="1">
        <v>71</v>
      </c>
      <c r="B72" s="1" t="s">
        <v>284</v>
      </c>
      <c r="C72" s="1" t="s">
        <v>285</v>
      </c>
      <c r="D72" s="1" t="s">
        <v>16</v>
      </c>
      <c r="E72" s="1" t="s">
        <v>26</v>
      </c>
      <c r="F72" s="1" t="s">
        <v>548</v>
      </c>
      <c r="G72" s="1" t="s">
        <v>77</v>
      </c>
      <c r="H72" s="1" t="s">
        <v>360</v>
      </c>
      <c r="I72" s="1" t="s">
        <v>0</v>
      </c>
      <c r="J72" s="1"/>
    </row>
    <row r="73" spans="1:10" x14ac:dyDescent="0.2">
      <c r="A73" s="1">
        <v>72</v>
      </c>
      <c r="B73" s="1" t="s">
        <v>286</v>
      </c>
      <c r="C73" s="1" t="s">
        <v>287</v>
      </c>
      <c r="D73" s="1" t="s">
        <v>22</v>
      </c>
      <c r="E73" s="1" t="s">
        <v>28</v>
      </c>
      <c r="F73" s="1" t="s">
        <v>363</v>
      </c>
      <c r="G73" s="1" t="s">
        <v>80</v>
      </c>
      <c r="H73" s="1" t="s">
        <v>359</v>
      </c>
      <c r="I73" s="1" t="s">
        <v>1</v>
      </c>
      <c r="J73" s="1"/>
    </row>
    <row r="74" spans="1:10" x14ac:dyDescent="0.2">
      <c r="A74" s="1">
        <v>73</v>
      </c>
      <c r="B74" s="1" t="s">
        <v>288</v>
      </c>
      <c r="C74" s="1" t="s">
        <v>289</v>
      </c>
      <c r="D74" s="1" t="s">
        <v>21</v>
      </c>
      <c r="E74" s="1" t="s">
        <v>29</v>
      </c>
      <c r="F74" s="1" t="s">
        <v>363</v>
      </c>
      <c r="G74" s="1" t="s">
        <v>74</v>
      </c>
      <c r="H74" s="1" t="s">
        <v>357</v>
      </c>
      <c r="I74" s="1" t="s">
        <v>1</v>
      </c>
      <c r="J74" s="1"/>
    </row>
    <row r="75" spans="1:10" x14ac:dyDescent="0.2">
      <c r="A75" s="1">
        <v>74</v>
      </c>
      <c r="B75" s="1" t="s">
        <v>290</v>
      </c>
      <c r="C75" s="1" t="s">
        <v>291</v>
      </c>
      <c r="D75" s="1" t="s">
        <v>17</v>
      </c>
      <c r="E75" s="1" t="s">
        <v>27</v>
      </c>
      <c r="F75" s="1" t="s">
        <v>548</v>
      </c>
      <c r="G75" s="1" t="s">
        <v>78</v>
      </c>
      <c r="H75" s="1" t="s">
        <v>361</v>
      </c>
      <c r="I75" s="1" t="s">
        <v>1</v>
      </c>
      <c r="J75" s="1"/>
    </row>
    <row r="76" spans="1:10" x14ac:dyDescent="0.2">
      <c r="A76" s="1">
        <v>75</v>
      </c>
      <c r="B76" s="1" t="s">
        <v>292</v>
      </c>
      <c r="C76" s="1" t="s">
        <v>293</v>
      </c>
      <c r="D76" s="1" t="s">
        <v>14</v>
      </c>
      <c r="E76" s="1" t="s">
        <v>24</v>
      </c>
      <c r="F76" s="1" t="s">
        <v>548</v>
      </c>
      <c r="G76" s="1" t="s">
        <v>75</v>
      </c>
      <c r="H76" s="1" t="s">
        <v>357</v>
      </c>
      <c r="I76" s="1" t="s">
        <v>1</v>
      </c>
      <c r="J76" s="1"/>
    </row>
    <row r="77" spans="1:10" x14ac:dyDescent="0.2">
      <c r="A77" s="1">
        <v>76</v>
      </c>
      <c r="B77" s="1" t="s">
        <v>294</v>
      </c>
      <c r="C77" s="1" t="s">
        <v>295</v>
      </c>
      <c r="D77" s="1" t="s">
        <v>16</v>
      </c>
      <c r="E77" s="1" t="s">
        <v>26</v>
      </c>
      <c r="F77" s="1" t="s">
        <v>548</v>
      </c>
      <c r="G77" s="1" t="s">
        <v>77</v>
      </c>
      <c r="H77" s="1" t="s">
        <v>359</v>
      </c>
      <c r="I77" s="1" t="s">
        <v>1</v>
      </c>
      <c r="J77" s="1"/>
    </row>
    <row r="78" spans="1:10" x14ac:dyDescent="0.2">
      <c r="A78" s="1">
        <v>77</v>
      </c>
      <c r="B78" s="1" t="s">
        <v>296</v>
      </c>
      <c r="C78" s="1" t="s">
        <v>297</v>
      </c>
      <c r="D78" s="1" t="s">
        <v>16</v>
      </c>
      <c r="E78" s="1" t="s">
        <v>26</v>
      </c>
      <c r="F78" s="1" t="s">
        <v>548</v>
      </c>
      <c r="G78" s="1" t="s">
        <v>77</v>
      </c>
      <c r="H78" s="1" t="s">
        <v>357</v>
      </c>
      <c r="I78" s="1" t="s">
        <v>0</v>
      </c>
      <c r="J78" s="1"/>
    </row>
    <row r="79" spans="1:10" x14ac:dyDescent="0.2">
      <c r="A79" s="1">
        <v>78</v>
      </c>
      <c r="B79" s="1" t="s">
        <v>298</v>
      </c>
      <c r="C79" s="1" t="s">
        <v>299</v>
      </c>
      <c r="D79" s="1" t="s">
        <v>20</v>
      </c>
      <c r="E79" s="1" t="s">
        <v>29</v>
      </c>
      <c r="F79" s="1" t="s">
        <v>363</v>
      </c>
      <c r="G79" s="1" t="s">
        <v>74</v>
      </c>
      <c r="H79" s="1" t="s">
        <v>359</v>
      </c>
      <c r="I79" s="1" t="s">
        <v>1</v>
      </c>
      <c r="J79" s="1"/>
    </row>
    <row r="80" spans="1:10" x14ac:dyDescent="0.2">
      <c r="A80" s="1">
        <v>79</v>
      </c>
      <c r="B80" s="1" t="s">
        <v>300</v>
      </c>
      <c r="C80" s="1" t="s">
        <v>301</v>
      </c>
      <c r="D80" s="1" t="s">
        <v>22</v>
      </c>
      <c r="E80" s="1" t="s">
        <v>28</v>
      </c>
      <c r="F80" s="1" t="s">
        <v>363</v>
      </c>
      <c r="G80" s="1" t="s">
        <v>80</v>
      </c>
      <c r="H80" s="1" t="s">
        <v>357</v>
      </c>
      <c r="I80" s="1" t="s">
        <v>1</v>
      </c>
      <c r="J80" s="1"/>
    </row>
    <row r="81" spans="1:10" x14ac:dyDescent="0.2">
      <c r="A81" s="1">
        <v>80</v>
      </c>
      <c r="B81" s="1" t="s">
        <v>302</v>
      </c>
      <c r="C81" s="1" t="s">
        <v>303</v>
      </c>
      <c r="D81" s="1" t="s">
        <v>16</v>
      </c>
      <c r="E81" s="1" t="s">
        <v>26</v>
      </c>
      <c r="F81" s="1" t="s">
        <v>548</v>
      </c>
      <c r="G81" s="1" t="s">
        <v>77</v>
      </c>
      <c r="H81" s="1" t="s">
        <v>358</v>
      </c>
      <c r="I81" s="1" t="s">
        <v>0</v>
      </c>
      <c r="J81" s="1"/>
    </row>
    <row r="82" spans="1:10" x14ac:dyDescent="0.2">
      <c r="A82" s="1">
        <v>81</v>
      </c>
      <c r="B82" s="1" t="s">
        <v>304</v>
      </c>
      <c r="C82" s="1" t="s">
        <v>305</v>
      </c>
      <c r="D82" s="1" t="s">
        <v>15</v>
      </c>
      <c r="E82" s="1" t="s">
        <v>25</v>
      </c>
      <c r="F82" s="1" t="s">
        <v>548</v>
      </c>
      <c r="G82" s="1" t="s">
        <v>76</v>
      </c>
      <c r="H82" s="1" t="s">
        <v>360</v>
      </c>
      <c r="I82" s="1" t="s">
        <v>4</v>
      </c>
      <c r="J82" s="1"/>
    </row>
    <row r="83" spans="1:10" x14ac:dyDescent="0.2">
      <c r="A83" s="1">
        <v>82</v>
      </c>
      <c r="B83" s="1" t="s">
        <v>306</v>
      </c>
      <c r="C83" s="1" t="s">
        <v>307</v>
      </c>
      <c r="D83" s="1" t="s">
        <v>14</v>
      </c>
      <c r="E83" s="1" t="s">
        <v>24</v>
      </c>
      <c r="F83" s="1" t="s">
        <v>548</v>
      </c>
      <c r="G83" s="1" t="s">
        <v>75</v>
      </c>
      <c r="H83" s="1" t="s">
        <v>359</v>
      </c>
      <c r="I83" s="1" t="s">
        <v>0</v>
      </c>
      <c r="J83" s="1"/>
    </row>
    <row r="84" spans="1:10" x14ac:dyDescent="0.2">
      <c r="A84" s="1">
        <v>83</v>
      </c>
      <c r="B84" s="1" t="s">
        <v>308</v>
      </c>
      <c r="C84" s="1" t="s">
        <v>309</v>
      </c>
      <c r="D84" s="1" t="s">
        <v>17</v>
      </c>
      <c r="E84" s="1" t="s">
        <v>27</v>
      </c>
      <c r="F84" s="1" t="s">
        <v>548</v>
      </c>
      <c r="G84" s="1" t="s">
        <v>78</v>
      </c>
      <c r="H84" s="1" t="s">
        <v>358</v>
      </c>
      <c r="I84" s="1" t="s">
        <v>4</v>
      </c>
      <c r="J84" s="1"/>
    </row>
    <row r="85" spans="1:10" x14ac:dyDescent="0.2">
      <c r="A85" s="1">
        <v>84</v>
      </c>
      <c r="B85" s="1" t="s">
        <v>310</v>
      </c>
      <c r="C85" s="1" t="s">
        <v>311</v>
      </c>
      <c r="D85" s="1" t="s">
        <v>18</v>
      </c>
      <c r="E85" s="1" t="s">
        <v>28</v>
      </c>
      <c r="F85" s="1" t="s">
        <v>548</v>
      </c>
      <c r="G85" s="1" t="s">
        <v>80</v>
      </c>
      <c r="H85" s="1" t="s">
        <v>358</v>
      </c>
      <c r="I85" s="1" t="s">
        <v>1</v>
      </c>
      <c r="J85" s="1"/>
    </row>
    <row r="86" spans="1:10" x14ac:dyDescent="0.2">
      <c r="A86" s="1">
        <v>85</v>
      </c>
      <c r="B86" s="1" t="s">
        <v>312</v>
      </c>
      <c r="C86" s="1" t="s">
        <v>313</v>
      </c>
      <c r="D86" s="1" t="s">
        <v>21</v>
      </c>
      <c r="E86" s="1" t="s">
        <v>29</v>
      </c>
      <c r="F86" s="1" t="s">
        <v>363</v>
      </c>
      <c r="G86" s="1" t="s">
        <v>74</v>
      </c>
      <c r="H86" s="1" t="s">
        <v>361</v>
      </c>
      <c r="I86" s="1" t="s">
        <v>1</v>
      </c>
      <c r="J86" s="1"/>
    </row>
    <row r="87" spans="1:10" x14ac:dyDescent="0.2">
      <c r="A87" s="1">
        <v>86</v>
      </c>
      <c r="B87" s="1" t="s">
        <v>314</v>
      </c>
      <c r="C87" s="1" t="s">
        <v>315</v>
      </c>
      <c r="D87" s="1" t="s">
        <v>22</v>
      </c>
      <c r="E87" s="1" t="s">
        <v>28</v>
      </c>
      <c r="F87" s="1" t="s">
        <v>363</v>
      </c>
      <c r="G87" s="1" t="s">
        <v>80</v>
      </c>
      <c r="H87" s="1" t="s">
        <v>361</v>
      </c>
      <c r="I87" s="1" t="s">
        <v>1</v>
      </c>
      <c r="J87" s="1"/>
    </row>
    <row r="88" spans="1:10" x14ac:dyDescent="0.2">
      <c r="A88" s="1">
        <v>87</v>
      </c>
      <c r="B88" s="1" t="s">
        <v>316</v>
      </c>
      <c r="C88" s="1" t="s">
        <v>317</v>
      </c>
      <c r="D88" s="1" t="s">
        <v>14</v>
      </c>
      <c r="E88" s="1" t="s">
        <v>24</v>
      </c>
      <c r="F88" s="1" t="s">
        <v>548</v>
      </c>
      <c r="G88" s="1" t="s">
        <v>75</v>
      </c>
      <c r="H88" s="1" t="s">
        <v>358</v>
      </c>
      <c r="I88" s="1" t="s">
        <v>0</v>
      </c>
      <c r="J88" s="1"/>
    </row>
    <row r="89" spans="1:10" x14ac:dyDescent="0.2">
      <c r="A89" s="1">
        <v>88</v>
      </c>
      <c r="B89" s="1" t="s">
        <v>318</v>
      </c>
      <c r="C89" s="1" t="s">
        <v>319</v>
      </c>
      <c r="D89" s="1" t="s">
        <v>20</v>
      </c>
      <c r="E89" s="1" t="s">
        <v>29</v>
      </c>
      <c r="F89" s="1" t="s">
        <v>363</v>
      </c>
      <c r="G89" s="1" t="s">
        <v>74</v>
      </c>
      <c r="H89" s="1" t="s">
        <v>359</v>
      </c>
      <c r="I89" s="1" t="s">
        <v>4</v>
      </c>
      <c r="J89" s="1"/>
    </row>
    <row r="90" spans="1:10" x14ac:dyDescent="0.2">
      <c r="A90" s="1">
        <v>89</v>
      </c>
      <c r="B90" s="1" t="s">
        <v>320</v>
      </c>
      <c r="C90" s="1" t="s">
        <v>321</v>
      </c>
      <c r="D90" s="1" t="s">
        <v>16</v>
      </c>
      <c r="E90" s="1" t="s">
        <v>26</v>
      </c>
      <c r="F90" s="1" t="s">
        <v>548</v>
      </c>
      <c r="G90" s="1" t="s">
        <v>77</v>
      </c>
      <c r="H90" s="1" t="s">
        <v>358</v>
      </c>
      <c r="I90" s="1" t="s">
        <v>0</v>
      </c>
      <c r="J90" s="1"/>
    </row>
    <row r="91" spans="1:10" x14ac:dyDescent="0.2">
      <c r="A91" s="1">
        <v>90</v>
      </c>
      <c r="B91" s="1" t="s">
        <v>322</v>
      </c>
      <c r="C91" s="1" t="s">
        <v>323</v>
      </c>
      <c r="D91" s="1" t="s">
        <v>15</v>
      </c>
      <c r="E91" s="1" t="s">
        <v>25</v>
      </c>
      <c r="F91" s="1" t="s">
        <v>548</v>
      </c>
      <c r="G91" s="1" t="s">
        <v>76</v>
      </c>
      <c r="H91" s="1" t="s">
        <v>361</v>
      </c>
      <c r="I91" s="1" t="s">
        <v>1</v>
      </c>
      <c r="J91" s="1"/>
    </row>
    <row r="92" spans="1:10" x14ac:dyDescent="0.2">
      <c r="A92" s="1">
        <v>91</v>
      </c>
      <c r="B92" s="1" t="s">
        <v>324</v>
      </c>
      <c r="C92" s="1" t="s">
        <v>325</v>
      </c>
      <c r="D92" s="1" t="s">
        <v>21</v>
      </c>
      <c r="E92" s="1" t="s">
        <v>29</v>
      </c>
      <c r="F92" s="1" t="s">
        <v>363</v>
      </c>
      <c r="G92" s="1" t="s">
        <v>74</v>
      </c>
      <c r="H92" s="1" t="s">
        <v>360</v>
      </c>
      <c r="I92" s="1" t="s">
        <v>0</v>
      </c>
      <c r="J92" s="1"/>
    </row>
    <row r="93" spans="1:10" x14ac:dyDescent="0.2">
      <c r="A93" s="1">
        <v>92</v>
      </c>
      <c r="B93" s="1" t="s">
        <v>326</v>
      </c>
      <c r="C93" s="1" t="s">
        <v>327</v>
      </c>
      <c r="D93" s="1" t="s">
        <v>19</v>
      </c>
      <c r="E93" s="1" t="s">
        <v>29</v>
      </c>
      <c r="F93" s="1" t="s">
        <v>548</v>
      </c>
      <c r="G93" s="1" t="s">
        <v>74</v>
      </c>
      <c r="H93" s="1" t="s">
        <v>357</v>
      </c>
      <c r="I93" s="1" t="s">
        <v>4</v>
      </c>
      <c r="J93" s="1"/>
    </row>
    <row r="94" spans="1:10" x14ac:dyDescent="0.2">
      <c r="A94" s="1">
        <v>93</v>
      </c>
      <c r="B94" s="1" t="s">
        <v>328</v>
      </c>
      <c r="C94" s="1" t="s">
        <v>329</v>
      </c>
      <c r="D94" s="1" t="s">
        <v>22</v>
      </c>
      <c r="E94" s="1" t="s">
        <v>28</v>
      </c>
      <c r="F94" s="1" t="s">
        <v>363</v>
      </c>
      <c r="G94" s="1" t="s">
        <v>80</v>
      </c>
      <c r="H94" s="1" t="s">
        <v>360</v>
      </c>
      <c r="I94" s="1" t="s">
        <v>1</v>
      </c>
      <c r="J94" s="1"/>
    </row>
    <row r="95" spans="1:10" x14ac:dyDescent="0.2">
      <c r="A95" s="1">
        <v>94</v>
      </c>
      <c r="B95" s="1" t="s">
        <v>330</v>
      </c>
      <c r="C95" s="1" t="s">
        <v>331</v>
      </c>
      <c r="D95" s="1" t="s">
        <v>17</v>
      </c>
      <c r="E95" s="1" t="s">
        <v>27</v>
      </c>
      <c r="F95" s="1" t="s">
        <v>548</v>
      </c>
      <c r="G95" s="1" t="s">
        <v>78</v>
      </c>
      <c r="H95" s="1" t="s">
        <v>359</v>
      </c>
      <c r="I95" s="1" t="s">
        <v>1</v>
      </c>
      <c r="J95" s="1"/>
    </row>
    <row r="96" spans="1:10" x14ac:dyDescent="0.2">
      <c r="A96" s="1">
        <v>95</v>
      </c>
      <c r="B96" s="1" t="s">
        <v>332</v>
      </c>
      <c r="C96" s="1" t="s">
        <v>333</v>
      </c>
      <c r="D96" s="1" t="s">
        <v>15</v>
      </c>
      <c r="E96" s="1" t="s">
        <v>25</v>
      </c>
      <c r="F96" s="1" t="s">
        <v>548</v>
      </c>
      <c r="G96" s="1" t="s">
        <v>76</v>
      </c>
      <c r="H96" s="1" t="s">
        <v>358</v>
      </c>
      <c r="I96" s="1" t="s">
        <v>4</v>
      </c>
      <c r="J96" s="1"/>
    </row>
    <row r="97" spans="1:10" x14ac:dyDescent="0.2">
      <c r="A97" s="1">
        <v>96</v>
      </c>
      <c r="B97" s="1" t="s">
        <v>334</v>
      </c>
      <c r="C97" s="1" t="s">
        <v>335</v>
      </c>
      <c r="D97" s="1" t="s">
        <v>20</v>
      </c>
      <c r="E97" s="1" t="s">
        <v>29</v>
      </c>
      <c r="F97" s="1" t="s">
        <v>363</v>
      </c>
      <c r="G97" s="1" t="s">
        <v>74</v>
      </c>
      <c r="H97" s="1" t="s">
        <v>359</v>
      </c>
      <c r="I97" s="1" t="s">
        <v>1</v>
      </c>
      <c r="J97" s="1"/>
    </row>
    <row r="98" spans="1:10" x14ac:dyDescent="0.2">
      <c r="A98" s="1">
        <v>97</v>
      </c>
      <c r="B98" s="1" t="s">
        <v>336</v>
      </c>
      <c r="C98" s="1" t="s">
        <v>337</v>
      </c>
      <c r="D98" s="1" t="s">
        <v>19</v>
      </c>
      <c r="E98" s="1" t="s">
        <v>29</v>
      </c>
      <c r="F98" s="1" t="s">
        <v>548</v>
      </c>
      <c r="G98" s="1" t="s">
        <v>74</v>
      </c>
      <c r="H98" s="1" t="s">
        <v>358</v>
      </c>
      <c r="I98" s="1" t="s">
        <v>0</v>
      </c>
      <c r="J98" s="1"/>
    </row>
    <row r="99" spans="1:10" x14ac:dyDescent="0.2">
      <c r="A99" s="1">
        <v>98</v>
      </c>
      <c r="B99" s="1" t="s">
        <v>338</v>
      </c>
      <c r="C99" s="1" t="s">
        <v>339</v>
      </c>
      <c r="D99" s="1" t="s">
        <v>15</v>
      </c>
      <c r="E99" s="1" t="s">
        <v>25</v>
      </c>
      <c r="F99" s="1" t="s">
        <v>548</v>
      </c>
      <c r="G99" s="1" t="s">
        <v>76</v>
      </c>
      <c r="H99" s="1" t="s">
        <v>358</v>
      </c>
      <c r="I99" s="1" t="s">
        <v>4</v>
      </c>
      <c r="J99" s="1"/>
    </row>
    <row r="100" spans="1:10" x14ac:dyDescent="0.2">
      <c r="A100" s="1">
        <v>99</v>
      </c>
      <c r="B100" s="1" t="s">
        <v>340</v>
      </c>
      <c r="C100" s="1" t="s">
        <v>341</v>
      </c>
      <c r="D100" s="1" t="s">
        <v>20</v>
      </c>
      <c r="E100" s="1" t="s">
        <v>29</v>
      </c>
      <c r="F100" s="1" t="s">
        <v>363</v>
      </c>
      <c r="G100" s="1" t="s">
        <v>74</v>
      </c>
      <c r="H100" s="1" t="s">
        <v>361</v>
      </c>
      <c r="I100" s="1" t="s">
        <v>1</v>
      </c>
      <c r="J100" s="1"/>
    </row>
    <row r="101" spans="1:10" x14ac:dyDescent="0.2">
      <c r="A101" s="1">
        <v>100</v>
      </c>
      <c r="B101" s="1" t="s">
        <v>342</v>
      </c>
      <c r="C101" s="1" t="s">
        <v>343</v>
      </c>
      <c r="D101" s="1" t="s">
        <v>21</v>
      </c>
      <c r="E101" s="1" t="s">
        <v>29</v>
      </c>
      <c r="F101" s="1" t="s">
        <v>363</v>
      </c>
      <c r="G101" s="1" t="s">
        <v>74</v>
      </c>
      <c r="H101" s="1" t="s">
        <v>359</v>
      </c>
      <c r="I101" s="1" t="s">
        <v>0</v>
      </c>
      <c r="J101" s="1"/>
    </row>
    <row r="102" spans="1:10" x14ac:dyDescent="0.2">
      <c r="A102" s="1">
        <v>101</v>
      </c>
      <c r="B102" s="1" t="s">
        <v>557</v>
      </c>
      <c r="C102" s="1" t="s">
        <v>558</v>
      </c>
      <c r="D102" s="1" t="s">
        <v>21</v>
      </c>
      <c r="E102" s="1" t="s">
        <v>29</v>
      </c>
      <c r="F102" s="1" t="s">
        <v>363</v>
      </c>
      <c r="G102" s="1" t="s">
        <v>74</v>
      </c>
      <c r="H102" s="1" t="s">
        <v>358</v>
      </c>
      <c r="I102" s="1" t="s">
        <v>0</v>
      </c>
      <c r="J102" s="1"/>
    </row>
    <row r="103" spans="1:10" x14ac:dyDescent="0.2">
      <c r="A103" s="1">
        <v>102</v>
      </c>
      <c r="B103" s="1" t="s">
        <v>559</v>
      </c>
      <c r="C103" s="1" t="s">
        <v>560</v>
      </c>
      <c r="D103" s="1" t="s">
        <v>16</v>
      </c>
      <c r="E103" s="1" t="s">
        <v>26</v>
      </c>
      <c r="F103" s="1" t="s">
        <v>548</v>
      </c>
      <c r="G103" s="1" t="s">
        <v>77</v>
      </c>
      <c r="H103" s="1" t="s">
        <v>357</v>
      </c>
      <c r="I103" s="1" t="s">
        <v>1</v>
      </c>
      <c r="J103" s="1"/>
    </row>
    <row r="104" spans="1:10" x14ac:dyDescent="0.2">
      <c r="A104" s="1">
        <v>103</v>
      </c>
      <c r="B104" s="1" t="s">
        <v>561</v>
      </c>
      <c r="C104" s="1" t="s">
        <v>562</v>
      </c>
      <c r="D104" s="1" t="s">
        <v>17</v>
      </c>
      <c r="E104" s="1" t="s">
        <v>27</v>
      </c>
      <c r="F104" s="1" t="s">
        <v>548</v>
      </c>
      <c r="G104" s="1" t="s">
        <v>78</v>
      </c>
      <c r="H104" s="1" t="s">
        <v>361</v>
      </c>
      <c r="I104" s="1" t="s">
        <v>4</v>
      </c>
      <c r="J104" s="1"/>
    </row>
    <row r="105" spans="1:10" x14ac:dyDescent="0.2">
      <c r="A105" s="1">
        <v>104</v>
      </c>
      <c r="B105" s="1" t="s">
        <v>563</v>
      </c>
      <c r="C105" s="1" t="s">
        <v>564</v>
      </c>
      <c r="D105" s="1" t="s">
        <v>19</v>
      </c>
      <c r="E105" s="1" t="s">
        <v>29</v>
      </c>
      <c r="F105" s="1" t="s">
        <v>548</v>
      </c>
      <c r="G105" s="1" t="s">
        <v>74</v>
      </c>
      <c r="H105" s="1" t="s">
        <v>359</v>
      </c>
      <c r="I105" s="1" t="s">
        <v>0</v>
      </c>
      <c r="J105" s="1"/>
    </row>
    <row r="106" spans="1:10" x14ac:dyDescent="0.2">
      <c r="A106" s="1">
        <v>105</v>
      </c>
      <c r="B106" s="1" t="s">
        <v>565</v>
      </c>
      <c r="C106" s="1" t="s">
        <v>566</v>
      </c>
      <c r="D106" s="1" t="s">
        <v>18</v>
      </c>
      <c r="E106" s="1" t="s">
        <v>28</v>
      </c>
      <c r="F106" s="1" t="s">
        <v>548</v>
      </c>
      <c r="G106" s="1" t="s">
        <v>80</v>
      </c>
      <c r="H106" s="1" t="s">
        <v>357</v>
      </c>
      <c r="I106" s="1" t="s">
        <v>1</v>
      </c>
      <c r="J106" s="1"/>
    </row>
    <row r="107" spans="1:1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</sheetData>
  <sheetProtection algorithmName="SHA-512" hashValue="9j/QslH3LBamlS7WWEZ/CiNR/pDUlmGFQQk+9U5PEdM9JrXpM4gDUizatPwd9pgtsHsZfD4RJ1twY/dIOIg5NA==" saltValue="itD9HU0CNc8PPjKlBgzIfw==" spinCount="100000" sheet="1" objects="1" scenarios="1" sort="0" autoFilter="0"/>
  <dataValidations count="1">
    <dataValidation type="list" errorStyle="warning" allowBlank="1" showInputMessage="1" showErrorMessage="1" errorTitle="قيمة غير صالحة" error="الرجاء اختيار رقم الخدمة من جدول الخدمات." sqref="H107:H1100" xr:uid="{00000000-0002-0000-0000-000000000000}">
      <formula1>#REF!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errorStyle="warning" allowBlank="1" showInputMessage="1" showErrorMessage="1" errorTitle="قيمة غير صالحة" error="القيمة غير موجودة في القائمة المرجعية." xr:uid="{00000000-0002-0000-0000-000001000000}">
          <x14:formula1>
            <xm:f>'القوائم المرجعية'!$F$5:$F$8</xm:f>
          </x14:formula1>
          <xm:sqref>I107:I1100 H2:H106</xm:sqref>
        </x14:dataValidation>
        <x14:dataValidation type="list" errorStyle="warning" allowBlank="1" showInputMessage="1" showErrorMessage="1" errorTitle="قيمة غير صالحة" error="القيمة غير موجودة في القائمة المرجعية." xr:uid="{00000000-0002-0000-0000-000002000000}">
          <x14:formula1>
            <xm:f>'القوائم المرجعية'!$G$5:$G$7</xm:f>
          </x14:formula1>
          <xm:sqref>I2:I106</xm:sqref>
        </x14:dataValidation>
        <x14:dataValidation type="list" errorStyle="warning" allowBlank="1" showInputMessage="1" showErrorMessage="1" errorTitle="قيمة غير صالحة" error="القيمة غير موجودة في القائمة المرجعية." xr:uid="{00000000-0002-0000-0000-000003000000}">
          <x14:formula1>
            <xm:f>'القوائم المرجعية'!#REF!</xm:f>
          </x14:formula1>
          <xm:sqref>J107:J1100</xm:sqref>
        </x14:dataValidation>
        <x14:dataValidation type="list" errorStyle="warning" allowBlank="1" showInputMessage="1" showErrorMessage="1" errorTitle="قيمة غير صالحة" error="القيمة غير موجودة في القائمة المرجعية." xr:uid="{00000000-0002-0000-0000-000004000000}">
          <x14:formula1>
            <xm:f>'القوائم المرجعية'!$H$4:$H$24</xm:f>
          </x14:formula1>
          <xm:sqref>D2:D1048576</xm:sqref>
        </x14:dataValidation>
        <x14:dataValidation type="list" allowBlank="1" showInputMessage="1" showErrorMessage="1" xr:uid="{00000000-0002-0000-0000-000005000000}">
          <x14:formula1>
            <xm:f>'القوائم المرجعية'!$K$4:$K$24</xm:f>
          </x14:formula1>
          <xm:sqref>E2:E1048576</xm:sqref>
        </x14:dataValidation>
        <x14:dataValidation type="list" errorStyle="warning" allowBlank="1" showInputMessage="1" showErrorMessage="1" errorTitle="قيمة غير صالحة" error="القيمة غير موجودة في القائمة المرجعية." xr:uid="{00000000-0002-0000-0000-000006000000}">
          <x14:formula1>
            <xm:f>'القوائم المرجعية'!$T$5:$T$24</xm:f>
          </x14:formula1>
          <xm:sqref>F2:F1048576</xm:sqref>
        </x14:dataValidation>
        <x14:dataValidation type="list" errorStyle="warning" allowBlank="1" showInputMessage="1" showErrorMessage="1" errorTitle="قيمة غير صالحة" error="الرجاء اختيار رقم الخدمة من جدول الخدمات." xr:uid="{00000000-0002-0000-0000-000007000000}">
          <x14:formula1>
            <xm:f>'القوائم المرجعية'!$L$5:$L$24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1"/>
  <sheetViews>
    <sheetView rightToLeft="1" topLeftCell="H1" workbookViewId="0">
      <selection activeCell="H18" sqref="H17:Q18"/>
    </sheetView>
  </sheetViews>
  <sheetFormatPr defaultRowHeight="14.25" x14ac:dyDescent="0.2"/>
  <cols>
    <col min="1" max="1" width="4.5" customWidth="1"/>
    <col min="2" max="2" width="15.25" customWidth="1"/>
    <col min="3" max="3" width="7.75" bestFit="1" customWidth="1"/>
    <col min="4" max="4" width="7" bestFit="1" customWidth="1"/>
    <col min="5" max="5" width="11" bestFit="1" customWidth="1"/>
    <col min="6" max="6" width="38.25" bestFit="1" customWidth="1"/>
    <col min="7" max="7" width="6.375" bestFit="1" customWidth="1"/>
    <col min="8" max="8" width="12.125" bestFit="1" customWidth="1"/>
    <col min="9" max="9" width="62.875" bestFit="1" customWidth="1"/>
    <col min="10" max="10" width="7.875" customWidth="1"/>
    <col min="11" max="11" width="16.625" bestFit="1" customWidth="1"/>
    <col min="12" max="12" width="10.875" bestFit="1" customWidth="1"/>
    <col min="13" max="13" width="13.5" customWidth="1"/>
    <col min="14" max="14" width="13.125" style="1" bestFit="1" customWidth="1"/>
    <col min="15" max="15" width="14.125" style="1" bestFit="1" customWidth="1"/>
    <col min="16" max="16" width="12.875" style="1" bestFit="1" customWidth="1"/>
    <col min="17" max="17" width="13.25" style="1" bestFit="1" customWidth="1"/>
    <col min="18" max="18" width="13" style="1" bestFit="1" customWidth="1"/>
    <col min="19" max="19" width="18.125" style="1" bestFit="1" customWidth="1"/>
    <col min="20" max="20" width="13.125" bestFit="1" customWidth="1"/>
  </cols>
  <sheetData>
    <row r="1" spans="1:24" ht="18" customHeight="1" x14ac:dyDescent="0.2">
      <c r="A1" t="s">
        <v>356</v>
      </c>
      <c r="B1" t="s">
        <v>366</v>
      </c>
      <c r="C1" t="s">
        <v>55</v>
      </c>
      <c r="D1" t="s">
        <v>2</v>
      </c>
      <c r="E1" t="s">
        <v>56</v>
      </c>
      <c r="F1" t="s">
        <v>54</v>
      </c>
      <c r="G1" t="s">
        <v>57</v>
      </c>
      <c r="H1" t="s">
        <v>58</v>
      </c>
      <c r="I1" t="s">
        <v>60</v>
      </c>
      <c r="J1" t="s">
        <v>61</v>
      </c>
      <c r="K1" t="s">
        <v>347</v>
      </c>
      <c r="L1" t="s">
        <v>63</v>
      </c>
      <c r="M1" t="s">
        <v>349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t="s">
        <v>348</v>
      </c>
    </row>
    <row r="2" spans="1:24" x14ac:dyDescent="0.2">
      <c r="A2" s="1">
        <v>1</v>
      </c>
      <c r="B2" s="1">
        <v>1025469854</v>
      </c>
      <c r="C2" s="1" t="s">
        <v>83</v>
      </c>
      <c r="D2" s="1" t="s">
        <v>7</v>
      </c>
      <c r="E2" s="2">
        <v>42882</v>
      </c>
      <c r="F2" s="1" t="s">
        <v>357</v>
      </c>
      <c r="G2" s="1" t="s">
        <v>1</v>
      </c>
      <c r="H2" s="2">
        <v>45106</v>
      </c>
      <c r="I2" t="str">
        <f>IFERROR(INDEX('تشخيص الحالات'!$D$2:$D$1001,SUMPRODUCT(('تشخيص الحالات'!$B$2:$B$1001=B2)*('تشخيص الحالات'!$G$2:$G$1001=1)*ROW('تشخيص الحالات'!$B$2:$B$1001))-1),"")&amp;IF(SUMPRODUCT(('تشخيص الحالات'!$B$2:$B$1001=B2)*('تشخيص الحالات'!$G$2:$G$1001=2))&gt;0,"، "&amp;IFERROR(INDEX('تشخيص الحالات'!$D$2:$D$1001,SUMPRODUCT(('تشخيص الحالات'!$B$2:$B$1001=B2)*('تشخيص الحالات'!$G$2:$G$1001=2)*ROW('تشخيص الحالات'!$B$2:$B$1001))-1),""),"")&amp;IF(SUMPRODUCT(('تشخيص الحالات'!$B$2:$B$1001=B2)*('تشخيص الحالات'!$G$2:$G$1001=3))&gt;0,"، "&amp;IFERROR(INDEX('تشخيص الحالات'!$D$2:$D$1001,SUMPRODUCT(('تشخيص الحالات'!$B$2:$B$1001=B2)*('تشخيص الحالات'!$G$2:$G$1001=3)*ROW('تشخيص الحالات'!$B$2:$B$1001))-1),""),"")&amp;IF(SUMPRODUCT(('تشخيص الحالات'!$B$2:$B$1001=B2)*('تشخيص الحالات'!$G$2:$G$1001=4))&gt;0,"، "&amp;IFERROR(INDEX('تشخيص الحالات'!$D$2:$D$1001,SUMPRODUCT(('تشخيص الحالات'!$B$2:$B$1001=B2)*('تشخيص الحالات'!$G$2:$G$1001=4)*ROW('تشخيص الحالات'!$B$2:$B$1001))-1),""),"")&amp;IF(SUMPRODUCT(('تشخيص الحالات'!$B$2:$B$1001=B2)*('تشخيص الحالات'!$G$2:$G$1001=5))&gt;0,"، "&amp;IFERROR(INDEX('تشخيص الحالات'!$D$2:$D$1001,SUMPRODUCT(('تشخيص الحالات'!$B$2:$B$1001=B2)*('تشخيص الحالات'!$G$2:$G$1001=5)*ROW('تشخيص الحالات'!$B$2:$B$1001))-1),""),"")&amp;IF(SUMPRODUCT(('تشخيص الحالات'!$B$2:$B$1001=B2)*('تشخيص الحالات'!$G$2:$G$1001=6))&gt;0,"، "&amp;IFERROR(INDEX('تشخيص الحالات'!$D$2:$D$1001,SUMPRODUCT(('تشخيص الحالات'!$B$2:$B$1001=B2)*('تشخيص الحالات'!$G$2:$G$1001=6)*ROW('تشخيص الحالات'!$B$2:$B$1001))-1),""),"")&amp;IF(SUMPRODUCT(('تشخيص الحالات'!$B$2:$B$1001=B2)*('تشخيص الحالات'!$G$2:$G$1001=7))&gt;0,"، "&amp;IFERROR(INDEX('تشخيص الحالات'!$D$2:$D$1001,SUMPRODUCT(('تشخيص الحالات'!$B$2:$B$1001=B2)*('تشخيص الحالات'!$G$2:$G$1001=7)*ROW('تشخيص الحالات'!$B$2:$B$1001))-1),""),"")&amp;IF(SUMPRODUCT(('تشخيص الحالات'!$B$2:$B$1001=B2)*('تشخيص الحالات'!$G$2:$G$1001=8))&gt;0,"، "&amp;IFERROR(INDEX('تشخيص الحالات'!$D$2:$D$1001,SUMPRODUCT(('تشخيص الحالات'!$B$2:$B$1001=B2)*('تشخيص الحالات'!$G$2:$G$1001=8)*ROW('تشخيص الحالات'!$B$2:$B$1001))-1),""),"")</f>
        <v>اضطراب تواصل اجتماعي، شلل دماغي</v>
      </c>
      <c r="J2" s="1">
        <f>LEN(I2)</f>
        <v>31</v>
      </c>
      <c r="K2" s="1" t="s">
        <v>38</v>
      </c>
      <c r="L2" s="1">
        <v>2000</v>
      </c>
      <c r="M2" s="1" t="s">
        <v>42</v>
      </c>
      <c r="N2" s="1">
        <v>1</v>
      </c>
      <c r="O2" s="1">
        <v>0</v>
      </c>
      <c r="P2" s="1">
        <v>0</v>
      </c>
      <c r="Q2" s="1">
        <v>1</v>
      </c>
      <c r="R2" s="1">
        <v>0</v>
      </c>
      <c r="S2" s="1">
        <v>5</v>
      </c>
      <c r="T2">
        <f>SUM(tbl_Beneficiaries[[#This Row],[ التربية الخاصة ]:[ التأهيل النفسي الحركي ]])</f>
        <v>7</v>
      </c>
      <c r="V2" t="str">
        <f>_xlfn.TEXTJOIN("، ",TRUE,"a","b")</f>
        <v>a، b</v>
      </c>
      <c r="W2" t="str">
        <f>_xlfn.CONCAT("a","b","c")</f>
        <v>abc</v>
      </c>
      <c r="X2">
        <f>_xlfn.AGGREGATE(15,6,1/('تشخيص الحالات'!$B$2:$B$493=B2)*ROW('تشخيص الحالات'!$B$2:$B$493),1)</f>
        <v>2</v>
      </c>
    </row>
    <row r="3" spans="1:24" x14ac:dyDescent="0.2">
      <c r="A3" s="1">
        <v>2</v>
      </c>
      <c r="B3" s="1">
        <v>1065397512</v>
      </c>
      <c r="C3" s="1" t="s">
        <v>84</v>
      </c>
      <c r="D3" s="1" t="s">
        <v>7</v>
      </c>
      <c r="E3" s="2">
        <v>42398</v>
      </c>
      <c r="F3" s="1" t="s">
        <v>361</v>
      </c>
      <c r="G3" s="1" t="s">
        <v>1</v>
      </c>
      <c r="H3" s="2">
        <v>45068</v>
      </c>
      <c r="I3" t="str">
        <f>IFERROR(INDEX('تشخيص الحالات'!$D$2:$D$1001,SUMPRODUCT(('تشخيص الحالات'!$B$2:$B$1001=B3)*('تشخيص الحالات'!$G$2:$G$1001=1)*ROW('تشخيص الحالات'!$B$2:$B$1001))-1),"")&amp;IF(SUMPRODUCT(('تشخيص الحالات'!$B$2:$B$1001=B3)*('تشخيص الحالات'!$G$2:$G$1001=2))&gt;0,"، "&amp;IFERROR(INDEX('تشخيص الحالات'!$D$2:$D$1001,SUMPRODUCT(('تشخيص الحالات'!$B$2:$B$1001=B3)*('تشخيص الحالات'!$G$2:$G$1001=2)*ROW('تشخيص الحالات'!$B$2:$B$1001))-1),""),"")&amp;IF(SUMPRODUCT(('تشخيص الحالات'!$B$2:$B$1001=B3)*('تشخيص الحالات'!$G$2:$G$1001=3))&gt;0,"، "&amp;IFERROR(INDEX('تشخيص الحالات'!$D$2:$D$1001,SUMPRODUCT(('تشخيص الحالات'!$B$2:$B$1001=B3)*('تشخيص الحالات'!$G$2:$G$1001=3)*ROW('تشخيص الحالات'!$B$2:$B$1001))-1),""),"")&amp;IF(SUMPRODUCT(('تشخيص الحالات'!$B$2:$B$1001=B3)*('تشخيص الحالات'!$G$2:$G$1001=4))&gt;0,"، "&amp;IFERROR(INDEX('تشخيص الحالات'!$D$2:$D$1001,SUMPRODUCT(('تشخيص الحالات'!$B$2:$B$1001=B3)*('تشخيص الحالات'!$G$2:$G$1001=4)*ROW('تشخيص الحالات'!$B$2:$B$1001))-1),""),"")&amp;IF(SUMPRODUCT(('تشخيص الحالات'!$B$2:$B$1001=B3)*('تشخيص الحالات'!$G$2:$G$1001=5))&gt;0,"، "&amp;IFERROR(INDEX('تشخيص الحالات'!$D$2:$D$1001,SUMPRODUCT(('تشخيص الحالات'!$B$2:$B$1001=B3)*('تشخيص الحالات'!$G$2:$G$1001=5)*ROW('تشخيص الحالات'!$B$2:$B$1001))-1),""),"")&amp;IF(SUMPRODUCT(('تشخيص الحالات'!$B$2:$B$1001=B3)*('تشخيص الحالات'!$G$2:$G$1001=6))&gt;0,"، "&amp;IFERROR(INDEX('تشخيص الحالات'!$D$2:$D$1001,SUMPRODUCT(('تشخيص الحالات'!$B$2:$B$1001=B3)*('تشخيص الحالات'!$G$2:$G$1001=6)*ROW('تشخيص الحالات'!$B$2:$B$1001))-1),""),"")&amp;IF(SUMPRODUCT(('تشخيص الحالات'!$B$2:$B$1001=B3)*('تشخيص الحالات'!$G$2:$G$1001=7))&gt;0,"، "&amp;IFERROR(INDEX('تشخيص الحالات'!$D$2:$D$1001,SUMPRODUCT(('تشخيص الحالات'!$B$2:$B$1001=B3)*('تشخيص الحالات'!$G$2:$G$1001=7)*ROW('تشخيص الحالات'!$B$2:$B$1001))-1),""),"")&amp;IF(SUMPRODUCT(('تشخيص الحالات'!$B$2:$B$1001=B3)*('تشخيص الحالات'!$G$2:$G$1001=8))&gt;0,"، "&amp;IFERROR(INDEX('تشخيص الحالات'!$D$2:$D$1001,SUMPRODUCT(('تشخيص الحالات'!$B$2:$B$1001=B3)*('تشخيص الحالات'!$G$2:$G$1001=8)*ROW('تشخيص الحالات'!$B$2:$B$1001))-1),""),"")</f>
        <v>اضطراب نفسي، إعاقة ذهنية</v>
      </c>
      <c r="J3" s="1">
        <v>85</v>
      </c>
      <c r="K3" s="1" t="s">
        <v>39</v>
      </c>
      <c r="L3" s="1">
        <v>2500</v>
      </c>
      <c r="M3" s="1" t="s">
        <v>44</v>
      </c>
      <c r="N3" s="1">
        <v>1</v>
      </c>
      <c r="O3" s="1">
        <v>1</v>
      </c>
      <c r="P3" s="1">
        <v>5</v>
      </c>
      <c r="Q3" s="1">
        <v>2</v>
      </c>
      <c r="R3" s="1">
        <v>0</v>
      </c>
      <c r="S3" s="1">
        <v>0</v>
      </c>
      <c r="T3">
        <f>SUM(tbl_Beneficiaries[[#This Row],[ التربية الخاصة ]:[ التأهيل النفسي الحركي ]])</f>
        <v>9</v>
      </c>
    </row>
    <row r="4" spans="1:24" x14ac:dyDescent="0.2">
      <c r="A4" s="1">
        <v>3</v>
      </c>
      <c r="B4" s="1">
        <v>1069735216</v>
      </c>
      <c r="C4" s="1" t="s">
        <v>85</v>
      </c>
      <c r="D4" s="1" t="s">
        <v>7</v>
      </c>
      <c r="E4" s="2">
        <v>41766</v>
      </c>
      <c r="F4" s="1" t="s">
        <v>357</v>
      </c>
      <c r="G4" s="1" t="s">
        <v>1</v>
      </c>
      <c r="H4" s="2">
        <v>44032</v>
      </c>
      <c r="I4" t="str">
        <f>IFERROR(INDEX('تشخيص الحالات'!$D$2:$D$1001,SUMPRODUCT(('تشخيص الحالات'!$B$2:$B$1001=B4)*('تشخيص الحالات'!$G$2:$G$1001=1)*ROW('تشخيص الحالات'!$B$2:$B$1001))-1),"")&amp;IF(SUMPRODUCT(('تشخيص الحالات'!$B$2:$B$1001=B4)*('تشخيص الحالات'!$G$2:$G$1001=2))&gt;0,"، "&amp;IFERROR(INDEX('تشخيص الحالات'!$D$2:$D$1001,SUMPRODUCT(('تشخيص الحالات'!$B$2:$B$1001=B4)*('تشخيص الحالات'!$G$2:$G$1001=2)*ROW('تشخيص الحالات'!$B$2:$B$1001))-1),""),"")&amp;IF(SUMPRODUCT(('تشخيص الحالات'!$B$2:$B$1001=B4)*('تشخيص الحالات'!$G$2:$G$1001=3))&gt;0,"، "&amp;IFERROR(INDEX('تشخيص الحالات'!$D$2:$D$1001,SUMPRODUCT(('تشخيص الحالات'!$B$2:$B$1001=B4)*('تشخيص الحالات'!$G$2:$G$1001=3)*ROW('تشخيص الحالات'!$B$2:$B$1001))-1),""),"")&amp;IF(SUMPRODUCT(('تشخيص الحالات'!$B$2:$B$1001=B4)*('تشخيص الحالات'!$G$2:$G$1001=4))&gt;0,"، "&amp;IFERROR(INDEX('تشخيص الحالات'!$D$2:$D$1001,SUMPRODUCT(('تشخيص الحالات'!$B$2:$B$1001=B4)*('تشخيص الحالات'!$G$2:$G$1001=4)*ROW('تشخيص الحالات'!$B$2:$B$1001))-1),""),"")&amp;IF(SUMPRODUCT(('تشخيص الحالات'!$B$2:$B$1001=B4)*('تشخيص الحالات'!$G$2:$G$1001=5))&gt;0,"، "&amp;IFERROR(INDEX('تشخيص الحالات'!$D$2:$D$1001,SUMPRODUCT(('تشخيص الحالات'!$B$2:$B$1001=B4)*('تشخيص الحالات'!$G$2:$G$1001=5)*ROW('تشخيص الحالات'!$B$2:$B$1001))-1),""),"")&amp;IF(SUMPRODUCT(('تشخيص الحالات'!$B$2:$B$1001=B4)*('تشخيص الحالات'!$G$2:$G$1001=6))&gt;0,"، "&amp;IFERROR(INDEX('تشخيص الحالات'!$D$2:$D$1001,SUMPRODUCT(('تشخيص الحالات'!$B$2:$B$1001=B4)*('تشخيص الحالات'!$G$2:$G$1001=6)*ROW('تشخيص الحالات'!$B$2:$B$1001))-1),""),"")&amp;IF(SUMPRODUCT(('تشخيص الحالات'!$B$2:$B$1001=B4)*('تشخيص الحالات'!$G$2:$G$1001=7))&gt;0,"، "&amp;IFERROR(INDEX('تشخيص الحالات'!$D$2:$D$1001,SUMPRODUCT(('تشخيص الحالات'!$B$2:$B$1001=B4)*('تشخيص الحالات'!$G$2:$G$1001=7)*ROW('تشخيص الحالات'!$B$2:$B$1001))-1),""),"")&amp;IF(SUMPRODUCT(('تشخيص الحالات'!$B$2:$B$1001=B4)*('تشخيص الحالات'!$G$2:$G$1001=8))&gt;0,"، "&amp;IFERROR(INDEX('تشخيص الحالات'!$D$2:$D$1001,SUMPRODUCT(('تشخيص الحالات'!$B$2:$B$1001=B4)*('تشخيص الحالات'!$G$2:$G$1001=8)*ROW('تشخيص الحالات'!$B$2:$B$1001))-1),""),"")</f>
        <v>متلازمة داون، فرط الحركة وتشتت الانتباه</v>
      </c>
      <c r="J4" s="1">
        <v>60</v>
      </c>
      <c r="K4" s="1" t="s">
        <v>38</v>
      </c>
      <c r="L4" s="1">
        <v>3000</v>
      </c>
      <c r="M4" s="1" t="s">
        <v>43</v>
      </c>
      <c r="N4" s="1">
        <v>5</v>
      </c>
      <c r="O4" s="1">
        <v>5</v>
      </c>
      <c r="P4" s="1">
        <v>0</v>
      </c>
      <c r="Q4" s="1">
        <v>0</v>
      </c>
      <c r="R4" s="1">
        <v>0</v>
      </c>
      <c r="S4" s="1">
        <v>1</v>
      </c>
      <c r="T4">
        <f>SUM(tbl_Beneficiaries[[#This Row],[ التربية الخاصة ]:[ التأهيل النفسي الحركي ]])</f>
        <v>11</v>
      </c>
    </row>
    <row r="5" spans="1:24" x14ac:dyDescent="0.2">
      <c r="A5" s="1">
        <v>4</v>
      </c>
      <c r="B5" s="1">
        <v>1096348523</v>
      </c>
      <c r="C5" s="1" t="s">
        <v>86</v>
      </c>
      <c r="D5" s="1" t="s">
        <v>3</v>
      </c>
      <c r="E5" s="2">
        <v>43463</v>
      </c>
      <c r="F5" s="1" t="s">
        <v>359</v>
      </c>
      <c r="G5" s="1" t="s">
        <v>1</v>
      </c>
      <c r="H5" s="2">
        <v>45091</v>
      </c>
      <c r="I5" t="str">
        <f>IFERROR(INDEX('تشخيص الحالات'!$D$2:$D$1001,SUMPRODUCT(('تشخيص الحالات'!$B$2:$B$1001=B5)*('تشخيص الحالات'!$G$2:$G$1001=1)*ROW('تشخيص الحالات'!$B$2:$B$1001))-1),"")&amp;IF(SUMPRODUCT(('تشخيص الحالات'!$B$2:$B$1001=B5)*('تشخيص الحالات'!$G$2:$G$1001=2))&gt;0,"، "&amp;IFERROR(INDEX('تشخيص الحالات'!$D$2:$D$1001,SUMPRODUCT(('تشخيص الحالات'!$B$2:$B$1001=B5)*('تشخيص الحالات'!$G$2:$G$1001=2)*ROW('تشخيص الحالات'!$B$2:$B$1001))-1),""),"")&amp;IF(SUMPRODUCT(('تشخيص الحالات'!$B$2:$B$1001=B5)*('تشخيص الحالات'!$G$2:$G$1001=3))&gt;0,"، "&amp;IFERROR(INDEX('تشخيص الحالات'!$D$2:$D$1001,SUMPRODUCT(('تشخيص الحالات'!$B$2:$B$1001=B5)*('تشخيص الحالات'!$G$2:$G$1001=3)*ROW('تشخيص الحالات'!$B$2:$B$1001))-1),""),"")&amp;IF(SUMPRODUCT(('تشخيص الحالات'!$B$2:$B$1001=B5)*('تشخيص الحالات'!$G$2:$G$1001=4))&gt;0,"، "&amp;IFERROR(INDEX('تشخيص الحالات'!$D$2:$D$1001,SUMPRODUCT(('تشخيص الحالات'!$B$2:$B$1001=B5)*('تشخيص الحالات'!$G$2:$G$1001=4)*ROW('تشخيص الحالات'!$B$2:$B$1001))-1),""),"")&amp;IF(SUMPRODUCT(('تشخيص الحالات'!$B$2:$B$1001=B5)*('تشخيص الحالات'!$G$2:$G$1001=5))&gt;0,"، "&amp;IFERROR(INDEX('تشخيص الحالات'!$D$2:$D$1001,SUMPRODUCT(('تشخيص الحالات'!$B$2:$B$1001=B5)*('تشخيص الحالات'!$G$2:$G$1001=5)*ROW('تشخيص الحالات'!$B$2:$B$1001))-1),""),"")&amp;IF(SUMPRODUCT(('تشخيص الحالات'!$B$2:$B$1001=B5)*('تشخيص الحالات'!$G$2:$G$1001=6))&gt;0,"، "&amp;IFERROR(INDEX('تشخيص الحالات'!$D$2:$D$1001,SUMPRODUCT(('تشخيص الحالات'!$B$2:$B$1001=B5)*('تشخيص الحالات'!$G$2:$G$1001=6)*ROW('تشخيص الحالات'!$B$2:$B$1001))-1),""),"")&amp;IF(SUMPRODUCT(('تشخيص الحالات'!$B$2:$B$1001=B5)*('تشخيص الحالات'!$G$2:$G$1001=7))&gt;0,"، "&amp;IFERROR(INDEX('تشخيص الحالات'!$D$2:$D$1001,SUMPRODUCT(('تشخيص الحالات'!$B$2:$B$1001=B5)*('تشخيص الحالات'!$G$2:$G$1001=7)*ROW('تشخيص الحالات'!$B$2:$B$1001))-1),""),"")&amp;IF(SUMPRODUCT(('تشخيص الحالات'!$B$2:$B$1001=B5)*('تشخيص الحالات'!$G$2:$G$1001=8))&gt;0,"، "&amp;IFERROR(INDEX('تشخيص الحالات'!$D$2:$D$1001,SUMPRODUCT(('تشخيص الحالات'!$B$2:$B$1001=B5)*('تشخيص الحالات'!$G$2:$G$1001=8)*ROW('تشخيص الحالات'!$B$2:$B$1001))-1),""),"")</f>
        <v>متلازمة داون، اضطرابات سلوكية، إعاقة ذهنية</v>
      </c>
      <c r="J5" s="1">
        <v>70</v>
      </c>
      <c r="K5" s="1" t="s">
        <v>39</v>
      </c>
      <c r="L5" s="1">
        <v>2000</v>
      </c>
      <c r="M5" s="1" t="s">
        <v>43</v>
      </c>
      <c r="N5" s="1">
        <v>0</v>
      </c>
      <c r="O5" s="1">
        <v>0</v>
      </c>
      <c r="P5" s="1">
        <v>0</v>
      </c>
      <c r="Q5" s="1">
        <v>2</v>
      </c>
      <c r="R5" s="1">
        <v>3</v>
      </c>
      <c r="S5" s="1">
        <v>0</v>
      </c>
      <c r="T5">
        <f>SUM(tbl_Beneficiaries[[#This Row],[ التربية الخاصة ]:[ التأهيل النفسي الحركي ]])</f>
        <v>5</v>
      </c>
    </row>
    <row r="6" spans="1:24" x14ac:dyDescent="0.2">
      <c r="A6" s="1">
        <v>5</v>
      </c>
      <c r="B6" s="1">
        <v>1124422216</v>
      </c>
      <c r="C6" s="1" t="s">
        <v>87</v>
      </c>
      <c r="D6" s="1" t="s">
        <v>7</v>
      </c>
      <c r="E6" s="3">
        <v>43191</v>
      </c>
      <c r="F6" s="1" t="s">
        <v>360</v>
      </c>
      <c r="G6" s="1" t="s">
        <v>0</v>
      </c>
      <c r="H6" s="3">
        <v>45376</v>
      </c>
      <c r="I6" t="str">
        <f>IFERROR(INDEX('تشخيص الحالات'!$D$2:$D$1001,SUMPRODUCT(('تشخيص الحالات'!$B$2:$B$1001=B6)*('تشخيص الحالات'!$G$2:$G$1001=1)*ROW('تشخيص الحالات'!$B$2:$B$1001))-1),"")&amp;IF(SUMPRODUCT(('تشخيص الحالات'!$B$2:$B$1001=B6)*('تشخيص الحالات'!$G$2:$G$1001=2))&gt;0,"، "&amp;IFERROR(INDEX('تشخيص الحالات'!$D$2:$D$1001,SUMPRODUCT(('تشخيص الحالات'!$B$2:$B$1001=B6)*('تشخيص الحالات'!$G$2:$G$1001=2)*ROW('تشخيص الحالات'!$B$2:$B$1001))-1),""),"")&amp;IF(SUMPRODUCT(('تشخيص الحالات'!$B$2:$B$1001=B6)*('تشخيص الحالات'!$G$2:$G$1001=3))&gt;0,"، "&amp;IFERROR(INDEX('تشخيص الحالات'!$D$2:$D$1001,SUMPRODUCT(('تشخيص الحالات'!$B$2:$B$1001=B6)*('تشخيص الحالات'!$G$2:$G$1001=3)*ROW('تشخيص الحالات'!$B$2:$B$1001))-1),""),"")&amp;IF(SUMPRODUCT(('تشخيص الحالات'!$B$2:$B$1001=B6)*('تشخيص الحالات'!$G$2:$G$1001=4))&gt;0,"، "&amp;IFERROR(INDEX('تشخيص الحالات'!$D$2:$D$1001,SUMPRODUCT(('تشخيص الحالات'!$B$2:$B$1001=B6)*('تشخيص الحالات'!$G$2:$G$1001=4)*ROW('تشخيص الحالات'!$B$2:$B$1001))-1),""),"")&amp;IF(SUMPRODUCT(('تشخيص الحالات'!$B$2:$B$1001=B6)*('تشخيص الحالات'!$G$2:$G$1001=5))&gt;0,"، "&amp;IFERROR(INDEX('تشخيص الحالات'!$D$2:$D$1001,SUMPRODUCT(('تشخيص الحالات'!$B$2:$B$1001=B6)*('تشخيص الحالات'!$G$2:$G$1001=5)*ROW('تشخيص الحالات'!$B$2:$B$1001))-1),""),"")&amp;IF(SUMPRODUCT(('تشخيص الحالات'!$B$2:$B$1001=B6)*('تشخيص الحالات'!$G$2:$G$1001=6))&gt;0,"، "&amp;IFERROR(INDEX('تشخيص الحالات'!$D$2:$D$1001,SUMPRODUCT(('تشخيص الحالات'!$B$2:$B$1001=B6)*('تشخيص الحالات'!$G$2:$G$1001=6)*ROW('تشخيص الحالات'!$B$2:$B$1001))-1),""),"")&amp;IF(SUMPRODUCT(('تشخيص الحالات'!$B$2:$B$1001=B6)*('تشخيص الحالات'!$G$2:$G$1001=7))&gt;0,"، "&amp;IFERROR(INDEX('تشخيص الحالات'!$D$2:$D$1001,SUMPRODUCT(('تشخيص الحالات'!$B$2:$B$1001=B6)*('تشخيص الحالات'!$G$2:$G$1001=7)*ROW('تشخيص الحالات'!$B$2:$B$1001))-1),""),"")&amp;IF(SUMPRODUCT(('تشخيص الحالات'!$B$2:$B$1001=B6)*('تشخيص الحالات'!$G$2:$G$1001=8))&gt;0,"، "&amp;IFERROR(INDEX('تشخيص الحالات'!$D$2:$D$1001,SUMPRODUCT(('تشخيص الحالات'!$B$2:$B$1001=B6)*('تشخيص الحالات'!$G$2:$G$1001=8)*ROW('تشخيص الحالات'!$B$2:$B$1001))-1),""),"")</f>
        <v>مشكلات أسرية / اجتماعية، صعوبات تعلم، إعاقة بصرية، اضطراب تكامل حسي</v>
      </c>
      <c r="J6" s="1">
        <v>100</v>
      </c>
      <c r="K6" s="1" t="s">
        <v>4</v>
      </c>
      <c r="L6" s="1">
        <v>1500</v>
      </c>
      <c r="M6" s="1" t="s">
        <v>41</v>
      </c>
      <c r="N6" s="1">
        <v>0</v>
      </c>
      <c r="O6" s="1">
        <v>2</v>
      </c>
      <c r="P6" s="1">
        <v>0</v>
      </c>
      <c r="Q6" s="1">
        <v>0</v>
      </c>
      <c r="R6" s="1">
        <v>0</v>
      </c>
      <c r="S6" s="1">
        <v>0</v>
      </c>
      <c r="T6">
        <f>SUM(tbl_Beneficiaries[[#This Row],[ التربية الخاصة ]:[ التأهيل النفسي الحركي ]])</f>
        <v>2</v>
      </c>
    </row>
    <row r="7" spans="1:24" x14ac:dyDescent="0.2">
      <c r="A7" s="1">
        <v>6</v>
      </c>
      <c r="B7" s="1">
        <v>1889143921</v>
      </c>
      <c r="C7" s="1" t="s">
        <v>88</v>
      </c>
      <c r="D7" s="1" t="s">
        <v>7</v>
      </c>
      <c r="E7" s="3">
        <v>41369</v>
      </c>
      <c r="F7" s="1" t="s">
        <v>358</v>
      </c>
      <c r="G7" s="1" t="s">
        <v>0</v>
      </c>
      <c r="H7" s="3">
        <v>45377</v>
      </c>
      <c r="I7" t="str">
        <f>IFERROR(INDEX('تشخيص الحالات'!$D$2:$D$1001,SUMPRODUCT(('تشخيص الحالات'!$B$2:$B$1001=B7)*('تشخيص الحالات'!$G$2:$G$1001=1)*ROW('تشخيص الحالات'!$B$2:$B$1001))-1),"")&amp;IF(SUMPRODUCT(('تشخيص الحالات'!$B$2:$B$1001=B7)*('تشخيص الحالات'!$G$2:$G$1001=2))&gt;0,"، "&amp;IFERROR(INDEX('تشخيص الحالات'!$D$2:$D$1001,SUMPRODUCT(('تشخيص الحالات'!$B$2:$B$1001=B7)*('تشخيص الحالات'!$G$2:$G$1001=2)*ROW('تشخيص الحالات'!$B$2:$B$1001))-1),""),"")&amp;IF(SUMPRODUCT(('تشخيص الحالات'!$B$2:$B$1001=B7)*('تشخيص الحالات'!$G$2:$G$1001=3))&gt;0,"، "&amp;IFERROR(INDEX('تشخيص الحالات'!$D$2:$D$1001,SUMPRODUCT(('تشخيص الحالات'!$B$2:$B$1001=B7)*('تشخيص الحالات'!$G$2:$G$1001=3)*ROW('تشخيص الحالات'!$B$2:$B$1001))-1),""),"")&amp;IF(SUMPRODUCT(('تشخيص الحالات'!$B$2:$B$1001=B7)*('تشخيص الحالات'!$G$2:$G$1001=4))&gt;0,"، "&amp;IFERROR(INDEX('تشخيص الحالات'!$D$2:$D$1001,SUMPRODUCT(('تشخيص الحالات'!$B$2:$B$1001=B7)*('تشخيص الحالات'!$G$2:$G$1001=4)*ROW('تشخيص الحالات'!$B$2:$B$1001))-1),""),"")&amp;IF(SUMPRODUCT(('تشخيص الحالات'!$B$2:$B$1001=B7)*('تشخيص الحالات'!$G$2:$G$1001=5))&gt;0,"، "&amp;IFERROR(INDEX('تشخيص الحالات'!$D$2:$D$1001,SUMPRODUCT(('تشخيص الحالات'!$B$2:$B$1001=B7)*('تشخيص الحالات'!$G$2:$G$1001=5)*ROW('تشخيص الحالات'!$B$2:$B$1001))-1),""),"")&amp;IF(SUMPRODUCT(('تشخيص الحالات'!$B$2:$B$1001=B7)*('تشخيص الحالات'!$G$2:$G$1001=6))&gt;0,"، "&amp;IFERROR(INDEX('تشخيص الحالات'!$D$2:$D$1001,SUMPRODUCT(('تشخيص الحالات'!$B$2:$B$1001=B7)*('تشخيص الحالات'!$G$2:$G$1001=6)*ROW('تشخيص الحالات'!$B$2:$B$1001))-1),""),"")&amp;IF(SUMPRODUCT(('تشخيص الحالات'!$B$2:$B$1001=B7)*('تشخيص الحالات'!$G$2:$G$1001=7))&gt;0,"، "&amp;IFERROR(INDEX('تشخيص الحالات'!$D$2:$D$1001,SUMPRODUCT(('تشخيص الحالات'!$B$2:$B$1001=B7)*('تشخيص الحالات'!$G$2:$G$1001=7)*ROW('تشخيص الحالات'!$B$2:$B$1001))-1),""),"")&amp;IF(SUMPRODUCT(('تشخيص الحالات'!$B$2:$B$1001=B7)*('تشخيص الحالات'!$G$2:$G$1001=8))&gt;0,"، "&amp;IFERROR(INDEX('تشخيص الحالات'!$D$2:$D$1001,SUMPRODUCT(('تشخيص الحالات'!$B$2:$B$1001=B7)*('تشخيص الحالات'!$G$2:$G$1001=8)*ROW('تشخيص الحالات'!$B$2:$B$1001))-1),""),"")</f>
        <v>شلل دماغي، اضطراب تواصل اجتماعي، اضطرابات سلوكية، فرط الحركة وتشتت الانتباه</v>
      </c>
      <c r="J7" s="1">
        <v>96</v>
      </c>
      <c r="K7" s="1" t="s">
        <v>39</v>
      </c>
      <c r="L7" s="1">
        <v>2500</v>
      </c>
      <c r="M7" s="1" t="s">
        <v>42</v>
      </c>
      <c r="N7" s="1">
        <v>0</v>
      </c>
      <c r="O7" s="1">
        <v>0</v>
      </c>
      <c r="P7" s="1">
        <v>2</v>
      </c>
      <c r="Q7" s="1">
        <v>8</v>
      </c>
      <c r="R7" s="1">
        <v>3</v>
      </c>
      <c r="S7" s="1">
        <v>1</v>
      </c>
      <c r="T7">
        <f>SUM(tbl_Beneficiaries[[#This Row],[ التربية الخاصة ]:[ التأهيل النفسي الحركي ]])</f>
        <v>14</v>
      </c>
    </row>
    <row r="8" spans="1:24" x14ac:dyDescent="0.2">
      <c r="A8" s="1">
        <v>7</v>
      </c>
      <c r="B8" s="1">
        <v>1854312995</v>
      </c>
      <c r="C8" s="1" t="s">
        <v>371</v>
      </c>
      <c r="D8" s="1" t="s">
        <v>3</v>
      </c>
      <c r="E8" s="3">
        <v>41308</v>
      </c>
      <c r="F8" s="1" t="s">
        <v>361</v>
      </c>
      <c r="G8" s="1" t="s">
        <v>1</v>
      </c>
      <c r="H8" s="3">
        <v>45298</v>
      </c>
      <c r="I8" t="str">
        <f>IFERROR(INDEX('تشخيص الحالات'!$D$2:$D$1001,SUMPRODUCT(('تشخيص الحالات'!$B$2:$B$1001=B8)*('تشخيص الحالات'!$G$2:$G$1001=1)*ROW('تشخيص الحالات'!$B$2:$B$1001))-1),"")&amp;IF(SUMPRODUCT(('تشخيص الحالات'!$B$2:$B$1001=B8)*('تشخيص الحالات'!$G$2:$G$1001=2))&gt;0,"، "&amp;IFERROR(INDEX('تشخيص الحالات'!$D$2:$D$1001,SUMPRODUCT(('تشخيص الحالات'!$B$2:$B$1001=B8)*('تشخيص الحالات'!$G$2:$G$1001=2)*ROW('تشخيص الحالات'!$B$2:$B$1001))-1),""),"")&amp;IF(SUMPRODUCT(('تشخيص الحالات'!$B$2:$B$1001=B8)*('تشخيص الحالات'!$G$2:$G$1001=3))&gt;0,"، "&amp;IFERROR(INDEX('تشخيص الحالات'!$D$2:$D$1001,SUMPRODUCT(('تشخيص الحالات'!$B$2:$B$1001=B8)*('تشخيص الحالات'!$G$2:$G$1001=3)*ROW('تشخيص الحالات'!$B$2:$B$1001))-1),""),"")&amp;IF(SUMPRODUCT(('تشخيص الحالات'!$B$2:$B$1001=B8)*('تشخيص الحالات'!$G$2:$G$1001=4))&gt;0,"، "&amp;IFERROR(INDEX('تشخيص الحالات'!$D$2:$D$1001,SUMPRODUCT(('تشخيص الحالات'!$B$2:$B$1001=B8)*('تشخيص الحالات'!$G$2:$G$1001=4)*ROW('تشخيص الحالات'!$B$2:$B$1001))-1),""),"")&amp;IF(SUMPRODUCT(('تشخيص الحالات'!$B$2:$B$1001=B8)*('تشخيص الحالات'!$G$2:$G$1001=5))&gt;0,"، "&amp;IFERROR(INDEX('تشخيص الحالات'!$D$2:$D$1001,SUMPRODUCT(('تشخيص الحالات'!$B$2:$B$1001=B8)*('تشخيص الحالات'!$G$2:$G$1001=5)*ROW('تشخيص الحالات'!$B$2:$B$1001))-1),""),"")&amp;IF(SUMPRODUCT(('تشخيص الحالات'!$B$2:$B$1001=B8)*('تشخيص الحالات'!$G$2:$G$1001=6))&gt;0,"، "&amp;IFERROR(INDEX('تشخيص الحالات'!$D$2:$D$1001,SUMPRODUCT(('تشخيص الحالات'!$B$2:$B$1001=B8)*('تشخيص الحالات'!$G$2:$G$1001=6)*ROW('تشخيص الحالات'!$B$2:$B$1001))-1),""),"")&amp;IF(SUMPRODUCT(('تشخيص الحالات'!$B$2:$B$1001=B8)*('تشخيص الحالات'!$G$2:$G$1001=7))&gt;0,"، "&amp;IFERROR(INDEX('تشخيص الحالات'!$D$2:$D$1001,SUMPRODUCT(('تشخيص الحالات'!$B$2:$B$1001=B8)*('تشخيص الحالات'!$G$2:$G$1001=7)*ROW('تشخيص الحالات'!$B$2:$B$1001))-1),""),"")&amp;IF(SUMPRODUCT(('تشخيص الحالات'!$B$2:$B$1001=B8)*('تشخيص الحالات'!$G$2:$G$1001=8))&gt;0,"، "&amp;IFERROR(INDEX('تشخيص الحالات'!$D$2:$D$1001,SUMPRODUCT(('تشخيص الحالات'!$B$2:$B$1001=B8)*('تشخيص الحالات'!$G$2:$G$1001=8)*ROW('تشخيص الحالات'!$B$2:$B$1001))-1),""),"")</f>
        <v>تأخر حركي</v>
      </c>
      <c r="J8" s="1">
        <v>50</v>
      </c>
      <c r="K8" s="1" t="s">
        <v>4</v>
      </c>
      <c r="L8" s="1">
        <v>4000</v>
      </c>
      <c r="M8" s="1" t="s">
        <v>40</v>
      </c>
      <c r="N8" s="1">
        <v>0</v>
      </c>
      <c r="O8" s="1">
        <v>0</v>
      </c>
      <c r="P8" s="1">
        <v>0</v>
      </c>
      <c r="Q8" s="1">
        <v>7</v>
      </c>
      <c r="R8" s="1">
        <v>0</v>
      </c>
      <c r="S8" s="1">
        <v>0</v>
      </c>
      <c r="T8">
        <f>SUM(tbl_Beneficiaries[[#This Row],[ التربية الخاصة ]:[ التأهيل النفسي الحركي ]])</f>
        <v>7</v>
      </c>
    </row>
    <row r="9" spans="1:24" x14ac:dyDescent="0.2">
      <c r="A9" s="1">
        <v>8</v>
      </c>
      <c r="B9" s="1">
        <v>1911743491</v>
      </c>
      <c r="C9" s="1" t="s">
        <v>372</v>
      </c>
      <c r="D9" s="1" t="s">
        <v>7</v>
      </c>
      <c r="E9" s="3">
        <v>43747</v>
      </c>
      <c r="F9" s="1" t="s">
        <v>360</v>
      </c>
      <c r="G9" s="1" t="s">
        <v>4</v>
      </c>
      <c r="H9" s="3">
        <v>45368</v>
      </c>
      <c r="I9" t="str">
        <f>IFERROR(INDEX('تشخيص الحالات'!$D$2:$D$1001,SUMPRODUCT(('تشخيص الحالات'!$B$2:$B$1001=B9)*('تشخيص الحالات'!$G$2:$G$1001=1)*ROW('تشخيص الحالات'!$B$2:$B$1001))-1),"")&amp;IF(SUMPRODUCT(('تشخيص الحالات'!$B$2:$B$1001=B9)*('تشخيص الحالات'!$G$2:$G$1001=2))&gt;0,"، "&amp;IFERROR(INDEX('تشخيص الحالات'!$D$2:$D$1001,SUMPRODUCT(('تشخيص الحالات'!$B$2:$B$1001=B9)*('تشخيص الحالات'!$G$2:$G$1001=2)*ROW('تشخيص الحالات'!$B$2:$B$1001))-1),""),"")&amp;IF(SUMPRODUCT(('تشخيص الحالات'!$B$2:$B$1001=B9)*('تشخيص الحالات'!$G$2:$G$1001=3))&gt;0,"، "&amp;IFERROR(INDEX('تشخيص الحالات'!$D$2:$D$1001,SUMPRODUCT(('تشخيص الحالات'!$B$2:$B$1001=B9)*('تشخيص الحالات'!$G$2:$G$1001=3)*ROW('تشخيص الحالات'!$B$2:$B$1001))-1),""),"")&amp;IF(SUMPRODUCT(('تشخيص الحالات'!$B$2:$B$1001=B9)*('تشخيص الحالات'!$G$2:$G$1001=4))&gt;0,"، "&amp;IFERROR(INDEX('تشخيص الحالات'!$D$2:$D$1001,SUMPRODUCT(('تشخيص الحالات'!$B$2:$B$1001=B9)*('تشخيص الحالات'!$G$2:$G$1001=4)*ROW('تشخيص الحالات'!$B$2:$B$1001))-1),""),"")&amp;IF(SUMPRODUCT(('تشخيص الحالات'!$B$2:$B$1001=B9)*('تشخيص الحالات'!$G$2:$G$1001=5))&gt;0,"، "&amp;IFERROR(INDEX('تشخيص الحالات'!$D$2:$D$1001,SUMPRODUCT(('تشخيص الحالات'!$B$2:$B$1001=B9)*('تشخيص الحالات'!$G$2:$G$1001=5)*ROW('تشخيص الحالات'!$B$2:$B$1001))-1),""),"")&amp;IF(SUMPRODUCT(('تشخيص الحالات'!$B$2:$B$1001=B9)*('تشخيص الحالات'!$G$2:$G$1001=6))&gt;0,"، "&amp;IFERROR(INDEX('تشخيص الحالات'!$D$2:$D$1001,SUMPRODUCT(('تشخيص الحالات'!$B$2:$B$1001=B9)*('تشخيص الحالات'!$G$2:$G$1001=6)*ROW('تشخيص الحالات'!$B$2:$B$1001))-1),""),"")&amp;IF(SUMPRODUCT(('تشخيص الحالات'!$B$2:$B$1001=B9)*('تشخيص الحالات'!$G$2:$G$1001=7))&gt;0,"، "&amp;IFERROR(INDEX('تشخيص الحالات'!$D$2:$D$1001,SUMPRODUCT(('تشخيص الحالات'!$B$2:$B$1001=B9)*('تشخيص الحالات'!$G$2:$G$1001=7)*ROW('تشخيص الحالات'!$B$2:$B$1001))-1),""),"")&amp;IF(SUMPRODUCT(('تشخيص الحالات'!$B$2:$B$1001=B9)*('تشخيص الحالات'!$G$2:$G$1001=8))&gt;0,"، "&amp;IFERROR(INDEX('تشخيص الحالات'!$D$2:$D$1001,SUMPRODUCT(('تشخيص الحالات'!$B$2:$B$1001=B9)*('تشخيص الحالات'!$G$2:$G$1001=8)*ROW('تشخيص الحالات'!$B$2:$B$1001))-1),""),"")</f>
        <v>فرط الحركة وتشتت الانتباه</v>
      </c>
      <c r="J9" s="1">
        <v>69</v>
      </c>
      <c r="K9" s="1" t="s">
        <v>39</v>
      </c>
      <c r="L9" s="1">
        <v>2500</v>
      </c>
      <c r="M9" s="1" t="s">
        <v>42</v>
      </c>
      <c r="N9" s="1">
        <v>0</v>
      </c>
      <c r="O9" s="1">
        <v>8</v>
      </c>
      <c r="P9" s="1">
        <v>0</v>
      </c>
      <c r="Q9" s="1">
        <v>8</v>
      </c>
      <c r="R9" s="1">
        <v>7</v>
      </c>
      <c r="S9" s="1">
        <v>0</v>
      </c>
      <c r="T9">
        <f>SUM(tbl_Beneficiaries[[#This Row],[ التربية الخاصة ]:[ التأهيل النفسي الحركي ]])</f>
        <v>23</v>
      </c>
    </row>
    <row r="10" spans="1:24" x14ac:dyDescent="0.2">
      <c r="A10" s="1">
        <v>9</v>
      </c>
      <c r="B10" s="1">
        <v>1347584820</v>
      </c>
      <c r="C10" s="1" t="s">
        <v>373</v>
      </c>
      <c r="D10" s="1" t="s">
        <v>3</v>
      </c>
      <c r="E10" s="3">
        <v>40730</v>
      </c>
      <c r="F10" s="1" t="s">
        <v>357</v>
      </c>
      <c r="G10" s="1" t="s">
        <v>1</v>
      </c>
      <c r="H10" s="3">
        <v>44924</v>
      </c>
      <c r="I10" t="str">
        <f>IFERROR(INDEX('تشخيص الحالات'!$D$2:$D$1001,SUMPRODUCT(('تشخيص الحالات'!$B$2:$B$1001=B10)*('تشخيص الحالات'!$G$2:$G$1001=1)*ROW('تشخيص الحالات'!$B$2:$B$1001))-1),"")&amp;IF(SUMPRODUCT(('تشخيص الحالات'!$B$2:$B$1001=B10)*('تشخيص الحالات'!$G$2:$G$1001=2))&gt;0,"، "&amp;IFERROR(INDEX('تشخيص الحالات'!$D$2:$D$1001,SUMPRODUCT(('تشخيص الحالات'!$B$2:$B$1001=B10)*('تشخيص الحالات'!$G$2:$G$1001=2)*ROW('تشخيص الحالات'!$B$2:$B$1001))-1),""),"")&amp;IF(SUMPRODUCT(('تشخيص الحالات'!$B$2:$B$1001=B10)*('تشخيص الحالات'!$G$2:$G$1001=3))&gt;0,"، "&amp;IFERROR(INDEX('تشخيص الحالات'!$D$2:$D$1001,SUMPRODUCT(('تشخيص الحالات'!$B$2:$B$1001=B10)*('تشخيص الحالات'!$G$2:$G$1001=3)*ROW('تشخيص الحالات'!$B$2:$B$1001))-1),""),"")&amp;IF(SUMPRODUCT(('تشخيص الحالات'!$B$2:$B$1001=B10)*('تشخيص الحالات'!$G$2:$G$1001=4))&gt;0,"، "&amp;IFERROR(INDEX('تشخيص الحالات'!$D$2:$D$1001,SUMPRODUCT(('تشخيص الحالات'!$B$2:$B$1001=B10)*('تشخيص الحالات'!$G$2:$G$1001=4)*ROW('تشخيص الحالات'!$B$2:$B$1001))-1),""),"")&amp;IF(SUMPRODUCT(('تشخيص الحالات'!$B$2:$B$1001=B10)*('تشخيص الحالات'!$G$2:$G$1001=5))&gt;0,"، "&amp;IFERROR(INDEX('تشخيص الحالات'!$D$2:$D$1001,SUMPRODUCT(('تشخيص الحالات'!$B$2:$B$1001=B10)*('تشخيص الحالات'!$G$2:$G$1001=5)*ROW('تشخيص الحالات'!$B$2:$B$1001))-1),""),"")&amp;IF(SUMPRODUCT(('تشخيص الحالات'!$B$2:$B$1001=B10)*('تشخيص الحالات'!$G$2:$G$1001=6))&gt;0,"، "&amp;IFERROR(INDEX('تشخيص الحالات'!$D$2:$D$1001,SUMPRODUCT(('تشخيص الحالات'!$B$2:$B$1001=B10)*('تشخيص الحالات'!$G$2:$G$1001=6)*ROW('تشخيص الحالات'!$B$2:$B$1001))-1),""),"")&amp;IF(SUMPRODUCT(('تشخيص الحالات'!$B$2:$B$1001=B10)*('تشخيص الحالات'!$G$2:$G$1001=7))&gt;0,"، "&amp;IFERROR(INDEX('تشخيص الحالات'!$D$2:$D$1001,SUMPRODUCT(('تشخيص الحالات'!$B$2:$B$1001=B10)*('تشخيص الحالات'!$G$2:$G$1001=7)*ROW('تشخيص الحالات'!$B$2:$B$1001))-1),""),"")&amp;IF(SUMPRODUCT(('تشخيص الحالات'!$B$2:$B$1001=B10)*('تشخيص الحالات'!$G$2:$G$1001=8))&gt;0,"، "&amp;IFERROR(INDEX('تشخيص الحالات'!$D$2:$D$1001,SUMPRODUCT(('تشخيص الحالات'!$B$2:$B$1001=B10)*('تشخيص الحالات'!$G$2:$G$1001=8)*ROW('تشخيص الحالات'!$B$2:$B$1001))-1),""),"")</f>
        <v>إعاقة بصرية، تأخر حركي</v>
      </c>
      <c r="J10" s="1">
        <v>80</v>
      </c>
      <c r="K10" s="1" t="s">
        <v>39</v>
      </c>
      <c r="L10" s="1">
        <v>3500</v>
      </c>
      <c r="M10" s="1" t="s">
        <v>43</v>
      </c>
      <c r="N10" s="1">
        <v>0</v>
      </c>
      <c r="O10" s="1">
        <v>3</v>
      </c>
      <c r="P10" s="1">
        <v>0</v>
      </c>
      <c r="Q10" s="1">
        <v>7</v>
      </c>
      <c r="R10" s="1">
        <v>0</v>
      </c>
      <c r="S10" s="1">
        <v>0</v>
      </c>
      <c r="T10">
        <f>SUM(tbl_Beneficiaries[[#This Row],[ التربية الخاصة ]:[ التأهيل النفسي الحركي ]])</f>
        <v>10</v>
      </c>
    </row>
    <row r="11" spans="1:24" x14ac:dyDescent="0.2">
      <c r="A11" s="1">
        <v>10</v>
      </c>
      <c r="B11" s="1">
        <v>1763354093</v>
      </c>
      <c r="C11" s="1" t="s">
        <v>89</v>
      </c>
      <c r="D11" s="1" t="s">
        <v>3</v>
      </c>
      <c r="E11" s="3">
        <v>40726</v>
      </c>
      <c r="F11" s="1" t="s">
        <v>357</v>
      </c>
      <c r="G11" s="1" t="s">
        <v>1</v>
      </c>
      <c r="H11" s="3">
        <v>44963</v>
      </c>
      <c r="I11" t="str">
        <f>IFERROR(INDEX('تشخيص الحالات'!$D$2:$D$1001,SUMPRODUCT(('تشخيص الحالات'!$B$2:$B$1001=B11)*('تشخيص الحالات'!$G$2:$G$1001=1)*ROW('تشخيص الحالات'!$B$2:$B$1001))-1),"")&amp;IF(SUMPRODUCT(('تشخيص الحالات'!$B$2:$B$1001=B11)*('تشخيص الحالات'!$G$2:$G$1001=2))&gt;0,"، "&amp;IFERROR(INDEX('تشخيص الحالات'!$D$2:$D$1001,SUMPRODUCT(('تشخيص الحالات'!$B$2:$B$1001=B11)*('تشخيص الحالات'!$G$2:$G$1001=2)*ROW('تشخيص الحالات'!$B$2:$B$1001))-1),""),"")&amp;IF(SUMPRODUCT(('تشخيص الحالات'!$B$2:$B$1001=B11)*('تشخيص الحالات'!$G$2:$G$1001=3))&gt;0,"، "&amp;IFERROR(INDEX('تشخيص الحالات'!$D$2:$D$1001,SUMPRODUCT(('تشخيص الحالات'!$B$2:$B$1001=B11)*('تشخيص الحالات'!$G$2:$G$1001=3)*ROW('تشخيص الحالات'!$B$2:$B$1001))-1),""),"")&amp;IF(SUMPRODUCT(('تشخيص الحالات'!$B$2:$B$1001=B11)*('تشخيص الحالات'!$G$2:$G$1001=4))&gt;0,"، "&amp;IFERROR(INDEX('تشخيص الحالات'!$D$2:$D$1001,SUMPRODUCT(('تشخيص الحالات'!$B$2:$B$1001=B11)*('تشخيص الحالات'!$G$2:$G$1001=4)*ROW('تشخيص الحالات'!$B$2:$B$1001))-1),""),"")&amp;IF(SUMPRODUCT(('تشخيص الحالات'!$B$2:$B$1001=B11)*('تشخيص الحالات'!$G$2:$G$1001=5))&gt;0,"، "&amp;IFERROR(INDEX('تشخيص الحالات'!$D$2:$D$1001,SUMPRODUCT(('تشخيص الحالات'!$B$2:$B$1001=B11)*('تشخيص الحالات'!$G$2:$G$1001=5)*ROW('تشخيص الحالات'!$B$2:$B$1001))-1),""),"")&amp;IF(SUMPRODUCT(('تشخيص الحالات'!$B$2:$B$1001=B11)*('تشخيص الحالات'!$G$2:$G$1001=6))&gt;0,"، "&amp;IFERROR(INDEX('تشخيص الحالات'!$D$2:$D$1001,SUMPRODUCT(('تشخيص الحالات'!$B$2:$B$1001=B11)*('تشخيص الحالات'!$G$2:$G$1001=6)*ROW('تشخيص الحالات'!$B$2:$B$1001))-1),""),"")&amp;IF(SUMPRODUCT(('تشخيص الحالات'!$B$2:$B$1001=B11)*('تشخيص الحالات'!$G$2:$G$1001=7))&gt;0,"، "&amp;IFERROR(INDEX('تشخيص الحالات'!$D$2:$D$1001,SUMPRODUCT(('تشخيص الحالات'!$B$2:$B$1001=B11)*('تشخيص الحالات'!$G$2:$G$1001=7)*ROW('تشخيص الحالات'!$B$2:$B$1001))-1),""),"")&amp;IF(SUMPRODUCT(('تشخيص الحالات'!$B$2:$B$1001=B11)*('تشخيص الحالات'!$G$2:$G$1001=8))&gt;0,"، "&amp;IFERROR(INDEX('تشخيص الحالات'!$D$2:$D$1001,SUMPRODUCT(('تشخيص الحالات'!$B$2:$B$1001=B11)*('تشخيص الحالات'!$G$2:$G$1001=8)*ROW('تشخيص الحالات'!$B$2:$B$1001))-1),""),"")</f>
        <v>اضطرابات سلوكية، تأخر نمائي، اضطراب نفسي حركي، متلازمة داون</v>
      </c>
      <c r="J11" s="1">
        <v>105</v>
      </c>
      <c r="K11" s="1" t="s">
        <v>38</v>
      </c>
      <c r="L11" s="1">
        <v>1500</v>
      </c>
      <c r="M11" s="1" t="s">
        <v>41</v>
      </c>
      <c r="N11" s="1">
        <v>0</v>
      </c>
      <c r="O11" s="1">
        <v>0</v>
      </c>
      <c r="P11" s="1">
        <v>0</v>
      </c>
      <c r="Q11" s="1">
        <v>8</v>
      </c>
      <c r="R11" s="1">
        <v>0</v>
      </c>
      <c r="S11" s="1">
        <v>0</v>
      </c>
      <c r="T11">
        <f>SUM(tbl_Beneficiaries[[#This Row],[ التربية الخاصة ]:[ التأهيل النفسي الحركي ]])</f>
        <v>8</v>
      </c>
    </row>
    <row r="12" spans="1:24" x14ac:dyDescent="0.2">
      <c r="A12" s="1">
        <v>11</v>
      </c>
      <c r="B12" s="1">
        <v>1231607400</v>
      </c>
      <c r="C12" s="1" t="s">
        <v>374</v>
      </c>
      <c r="D12" s="1" t="s">
        <v>7</v>
      </c>
      <c r="E12" s="3">
        <v>40537</v>
      </c>
      <c r="F12" s="1" t="s">
        <v>360</v>
      </c>
      <c r="G12" s="1" t="s">
        <v>0</v>
      </c>
      <c r="H12" s="3">
        <v>45210</v>
      </c>
      <c r="I12" t="str">
        <f>IFERROR(INDEX('تشخيص الحالات'!$D$2:$D$1001,SUMPRODUCT(('تشخيص الحالات'!$B$2:$B$1001=B12)*('تشخيص الحالات'!$G$2:$G$1001=1)*ROW('تشخيص الحالات'!$B$2:$B$1001))-1),"")&amp;IF(SUMPRODUCT(('تشخيص الحالات'!$B$2:$B$1001=B12)*('تشخيص الحالات'!$G$2:$G$1001=2))&gt;0,"، "&amp;IFERROR(INDEX('تشخيص الحالات'!$D$2:$D$1001,SUMPRODUCT(('تشخيص الحالات'!$B$2:$B$1001=B12)*('تشخيص الحالات'!$G$2:$G$1001=2)*ROW('تشخيص الحالات'!$B$2:$B$1001))-1),""),"")&amp;IF(SUMPRODUCT(('تشخيص الحالات'!$B$2:$B$1001=B12)*('تشخيص الحالات'!$G$2:$G$1001=3))&gt;0,"، "&amp;IFERROR(INDEX('تشخيص الحالات'!$D$2:$D$1001,SUMPRODUCT(('تشخيص الحالات'!$B$2:$B$1001=B12)*('تشخيص الحالات'!$G$2:$G$1001=3)*ROW('تشخيص الحالات'!$B$2:$B$1001))-1),""),"")&amp;IF(SUMPRODUCT(('تشخيص الحالات'!$B$2:$B$1001=B12)*('تشخيص الحالات'!$G$2:$G$1001=4))&gt;0,"، "&amp;IFERROR(INDEX('تشخيص الحالات'!$D$2:$D$1001,SUMPRODUCT(('تشخيص الحالات'!$B$2:$B$1001=B12)*('تشخيص الحالات'!$G$2:$G$1001=4)*ROW('تشخيص الحالات'!$B$2:$B$1001))-1),""),"")&amp;IF(SUMPRODUCT(('تشخيص الحالات'!$B$2:$B$1001=B12)*('تشخيص الحالات'!$G$2:$G$1001=5))&gt;0,"، "&amp;IFERROR(INDEX('تشخيص الحالات'!$D$2:$D$1001,SUMPRODUCT(('تشخيص الحالات'!$B$2:$B$1001=B12)*('تشخيص الحالات'!$G$2:$G$1001=5)*ROW('تشخيص الحالات'!$B$2:$B$1001))-1),""),"")&amp;IF(SUMPRODUCT(('تشخيص الحالات'!$B$2:$B$1001=B12)*('تشخيص الحالات'!$G$2:$G$1001=6))&gt;0,"، "&amp;IFERROR(INDEX('تشخيص الحالات'!$D$2:$D$1001,SUMPRODUCT(('تشخيص الحالات'!$B$2:$B$1001=B12)*('تشخيص الحالات'!$G$2:$G$1001=6)*ROW('تشخيص الحالات'!$B$2:$B$1001))-1),""),"")&amp;IF(SUMPRODUCT(('تشخيص الحالات'!$B$2:$B$1001=B12)*('تشخيص الحالات'!$G$2:$G$1001=7))&gt;0,"، "&amp;IFERROR(INDEX('تشخيص الحالات'!$D$2:$D$1001,SUMPRODUCT(('تشخيص الحالات'!$B$2:$B$1001=B12)*('تشخيص الحالات'!$G$2:$G$1001=7)*ROW('تشخيص الحالات'!$B$2:$B$1001))-1),""),"")&amp;IF(SUMPRODUCT(('تشخيص الحالات'!$B$2:$B$1001=B12)*('تشخيص الحالات'!$G$2:$G$1001=8))&gt;0,"، "&amp;IFERROR(INDEX('تشخيص الحالات'!$D$2:$D$1001,SUMPRODUCT(('تشخيص الحالات'!$B$2:$B$1001=B12)*('تشخيص الحالات'!$G$2:$G$1001=8)*ROW('تشخيص الحالات'!$B$2:$B$1001))-1),""),"")</f>
        <v>إعاقة ذهنية، اضطراب طيف التوحد</v>
      </c>
      <c r="J12" s="1">
        <v>61</v>
      </c>
      <c r="K12" s="1" t="s">
        <v>4</v>
      </c>
      <c r="L12" s="1">
        <v>1500</v>
      </c>
      <c r="M12" s="1" t="s">
        <v>43</v>
      </c>
      <c r="N12" s="1">
        <v>3</v>
      </c>
      <c r="O12" s="1">
        <v>6</v>
      </c>
      <c r="P12" s="1">
        <v>0</v>
      </c>
      <c r="Q12" s="1">
        <v>7</v>
      </c>
      <c r="R12" s="1">
        <v>5</v>
      </c>
      <c r="S12" s="1">
        <v>0</v>
      </c>
      <c r="T12">
        <f>SUM(tbl_Beneficiaries[[#This Row],[ التربية الخاصة ]:[ التأهيل النفسي الحركي ]])</f>
        <v>21</v>
      </c>
    </row>
    <row r="13" spans="1:24" x14ac:dyDescent="0.2">
      <c r="A13" s="1">
        <v>12</v>
      </c>
      <c r="B13" s="1">
        <v>1777789161</v>
      </c>
      <c r="C13" s="1" t="s">
        <v>375</v>
      </c>
      <c r="D13" s="1" t="s">
        <v>7</v>
      </c>
      <c r="E13" s="3">
        <v>42840</v>
      </c>
      <c r="F13" s="1" t="s">
        <v>359</v>
      </c>
      <c r="G13" s="1" t="s">
        <v>4</v>
      </c>
      <c r="H13" s="3">
        <v>44820</v>
      </c>
      <c r="I13" t="str">
        <f>IFERROR(INDEX('تشخيص الحالات'!$D$2:$D$1001,SUMPRODUCT(('تشخيص الحالات'!$B$2:$B$1001=B13)*('تشخيص الحالات'!$G$2:$G$1001=1)*ROW('تشخيص الحالات'!$B$2:$B$1001))-1),"")&amp;IF(SUMPRODUCT(('تشخيص الحالات'!$B$2:$B$1001=B13)*('تشخيص الحالات'!$G$2:$G$1001=2))&gt;0,"، "&amp;IFERROR(INDEX('تشخيص الحالات'!$D$2:$D$1001,SUMPRODUCT(('تشخيص الحالات'!$B$2:$B$1001=B13)*('تشخيص الحالات'!$G$2:$G$1001=2)*ROW('تشخيص الحالات'!$B$2:$B$1001))-1),""),"")&amp;IF(SUMPRODUCT(('تشخيص الحالات'!$B$2:$B$1001=B13)*('تشخيص الحالات'!$G$2:$G$1001=3))&gt;0,"، "&amp;IFERROR(INDEX('تشخيص الحالات'!$D$2:$D$1001,SUMPRODUCT(('تشخيص الحالات'!$B$2:$B$1001=B13)*('تشخيص الحالات'!$G$2:$G$1001=3)*ROW('تشخيص الحالات'!$B$2:$B$1001))-1),""),"")&amp;IF(SUMPRODUCT(('تشخيص الحالات'!$B$2:$B$1001=B13)*('تشخيص الحالات'!$G$2:$G$1001=4))&gt;0,"، "&amp;IFERROR(INDEX('تشخيص الحالات'!$D$2:$D$1001,SUMPRODUCT(('تشخيص الحالات'!$B$2:$B$1001=B13)*('تشخيص الحالات'!$G$2:$G$1001=4)*ROW('تشخيص الحالات'!$B$2:$B$1001))-1),""),"")&amp;IF(SUMPRODUCT(('تشخيص الحالات'!$B$2:$B$1001=B13)*('تشخيص الحالات'!$G$2:$G$1001=5))&gt;0,"، "&amp;IFERROR(INDEX('تشخيص الحالات'!$D$2:$D$1001,SUMPRODUCT(('تشخيص الحالات'!$B$2:$B$1001=B13)*('تشخيص الحالات'!$G$2:$G$1001=5)*ROW('تشخيص الحالات'!$B$2:$B$1001))-1),""),"")&amp;IF(SUMPRODUCT(('تشخيص الحالات'!$B$2:$B$1001=B13)*('تشخيص الحالات'!$G$2:$G$1001=6))&gt;0,"، "&amp;IFERROR(INDEX('تشخيص الحالات'!$D$2:$D$1001,SUMPRODUCT(('تشخيص الحالات'!$B$2:$B$1001=B13)*('تشخيص الحالات'!$G$2:$G$1001=6)*ROW('تشخيص الحالات'!$B$2:$B$1001))-1),""),"")&amp;IF(SUMPRODUCT(('تشخيص الحالات'!$B$2:$B$1001=B13)*('تشخيص الحالات'!$G$2:$G$1001=7))&gt;0,"، "&amp;IFERROR(INDEX('تشخيص الحالات'!$D$2:$D$1001,SUMPRODUCT(('تشخيص الحالات'!$B$2:$B$1001=B13)*('تشخيص الحالات'!$G$2:$G$1001=7)*ROW('تشخيص الحالات'!$B$2:$B$1001))-1),""),"")&amp;IF(SUMPRODUCT(('تشخيص الحالات'!$B$2:$B$1001=B13)*('تشخيص الحالات'!$G$2:$G$1001=8))&gt;0,"، "&amp;IFERROR(INDEX('تشخيص الحالات'!$D$2:$D$1001,SUMPRODUCT(('تشخيص الحالات'!$B$2:$B$1001=B13)*('تشخيص الحالات'!$G$2:$G$1001=8)*ROW('تشخيص الحالات'!$B$2:$B$1001))-1),""),"")</f>
        <v>تأخر نمائي، اضطراب نفسي حركي، صعوبات تعلم</v>
      </c>
      <c r="J13" s="1">
        <v>91</v>
      </c>
      <c r="K13" s="1" t="s">
        <v>38</v>
      </c>
      <c r="L13" s="1">
        <v>3500</v>
      </c>
      <c r="M13" s="1" t="s">
        <v>40</v>
      </c>
      <c r="N13" s="1">
        <v>1</v>
      </c>
      <c r="O13" s="1">
        <v>9</v>
      </c>
      <c r="P13" s="1">
        <v>0</v>
      </c>
      <c r="Q13" s="1">
        <v>8</v>
      </c>
      <c r="R13" s="1">
        <v>0</v>
      </c>
      <c r="S13" s="1">
        <v>1</v>
      </c>
      <c r="T13">
        <f>SUM(tbl_Beneficiaries[[#This Row],[ التربية الخاصة ]:[ التأهيل النفسي الحركي ]])</f>
        <v>19</v>
      </c>
    </row>
    <row r="14" spans="1:24" x14ac:dyDescent="0.2">
      <c r="A14" s="1">
        <v>13</v>
      </c>
      <c r="B14" s="1">
        <v>1239383239</v>
      </c>
      <c r="C14" s="1" t="s">
        <v>90</v>
      </c>
      <c r="D14" s="1" t="s">
        <v>3</v>
      </c>
      <c r="E14" s="3">
        <v>41957</v>
      </c>
      <c r="F14" s="1" t="s">
        <v>358</v>
      </c>
      <c r="G14" s="1" t="s">
        <v>0</v>
      </c>
      <c r="H14" s="3">
        <v>45063</v>
      </c>
      <c r="I14" t="str">
        <f>IFERROR(INDEX('تشخيص الحالات'!$D$2:$D$1001,SUMPRODUCT(('تشخيص الحالات'!$B$2:$B$1001=B14)*('تشخيص الحالات'!$G$2:$G$1001=1)*ROW('تشخيص الحالات'!$B$2:$B$1001))-1),"")&amp;IF(SUMPRODUCT(('تشخيص الحالات'!$B$2:$B$1001=B14)*('تشخيص الحالات'!$G$2:$G$1001=2))&gt;0,"، "&amp;IFERROR(INDEX('تشخيص الحالات'!$D$2:$D$1001,SUMPRODUCT(('تشخيص الحالات'!$B$2:$B$1001=B14)*('تشخيص الحالات'!$G$2:$G$1001=2)*ROW('تشخيص الحالات'!$B$2:$B$1001))-1),""),"")&amp;IF(SUMPRODUCT(('تشخيص الحالات'!$B$2:$B$1001=B14)*('تشخيص الحالات'!$G$2:$G$1001=3))&gt;0,"، "&amp;IFERROR(INDEX('تشخيص الحالات'!$D$2:$D$1001,SUMPRODUCT(('تشخيص الحالات'!$B$2:$B$1001=B14)*('تشخيص الحالات'!$G$2:$G$1001=3)*ROW('تشخيص الحالات'!$B$2:$B$1001))-1),""),"")&amp;IF(SUMPRODUCT(('تشخيص الحالات'!$B$2:$B$1001=B14)*('تشخيص الحالات'!$G$2:$G$1001=4))&gt;0,"، "&amp;IFERROR(INDEX('تشخيص الحالات'!$D$2:$D$1001,SUMPRODUCT(('تشخيص الحالات'!$B$2:$B$1001=B14)*('تشخيص الحالات'!$G$2:$G$1001=4)*ROW('تشخيص الحالات'!$B$2:$B$1001))-1),""),"")&amp;IF(SUMPRODUCT(('تشخيص الحالات'!$B$2:$B$1001=B14)*('تشخيص الحالات'!$G$2:$G$1001=5))&gt;0,"، "&amp;IFERROR(INDEX('تشخيص الحالات'!$D$2:$D$1001,SUMPRODUCT(('تشخيص الحالات'!$B$2:$B$1001=B14)*('تشخيص الحالات'!$G$2:$G$1001=5)*ROW('تشخيص الحالات'!$B$2:$B$1001))-1),""),"")&amp;IF(SUMPRODUCT(('تشخيص الحالات'!$B$2:$B$1001=B14)*('تشخيص الحالات'!$G$2:$G$1001=6))&gt;0,"، "&amp;IFERROR(INDEX('تشخيص الحالات'!$D$2:$D$1001,SUMPRODUCT(('تشخيص الحالات'!$B$2:$B$1001=B14)*('تشخيص الحالات'!$G$2:$G$1001=6)*ROW('تشخيص الحالات'!$B$2:$B$1001))-1),""),"")&amp;IF(SUMPRODUCT(('تشخيص الحالات'!$B$2:$B$1001=B14)*('تشخيص الحالات'!$G$2:$G$1001=7))&gt;0,"، "&amp;IFERROR(INDEX('تشخيص الحالات'!$D$2:$D$1001,SUMPRODUCT(('تشخيص الحالات'!$B$2:$B$1001=B14)*('تشخيص الحالات'!$G$2:$G$1001=7)*ROW('تشخيص الحالات'!$B$2:$B$1001))-1),""),"")&amp;IF(SUMPRODUCT(('تشخيص الحالات'!$B$2:$B$1001=B14)*('تشخيص الحالات'!$G$2:$G$1001=8))&gt;0,"، "&amp;IFERROR(INDEX('تشخيص الحالات'!$D$2:$D$1001,SUMPRODUCT(('تشخيص الحالات'!$B$2:$B$1001=B14)*('تشخيص الحالات'!$G$2:$G$1001=8)*ROW('تشخيص الحالات'!$B$2:$B$1001))-1),""),"")</f>
        <v>تأخر حركي، إعاقة بصرية</v>
      </c>
      <c r="J14" s="1">
        <v>54</v>
      </c>
      <c r="K14" s="1" t="s">
        <v>38</v>
      </c>
      <c r="L14" s="1">
        <v>2000</v>
      </c>
      <c r="M14" s="1" t="s">
        <v>44</v>
      </c>
      <c r="N14" s="1">
        <v>5</v>
      </c>
      <c r="O14" s="1">
        <v>6</v>
      </c>
      <c r="P14" s="1">
        <v>0</v>
      </c>
      <c r="Q14" s="1">
        <v>0</v>
      </c>
      <c r="R14" s="1">
        <v>0</v>
      </c>
      <c r="S14" s="1">
        <v>8</v>
      </c>
      <c r="T14">
        <f>SUM(tbl_Beneficiaries[[#This Row],[ التربية الخاصة ]:[ التأهيل النفسي الحركي ]])</f>
        <v>19</v>
      </c>
    </row>
    <row r="15" spans="1:24" x14ac:dyDescent="0.2">
      <c r="A15" s="1">
        <v>14</v>
      </c>
      <c r="B15" s="1">
        <v>1839924869</v>
      </c>
      <c r="C15" s="1" t="s">
        <v>376</v>
      </c>
      <c r="D15" s="1" t="s">
        <v>7</v>
      </c>
      <c r="E15" s="3">
        <v>43316</v>
      </c>
      <c r="F15" s="1" t="s">
        <v>361</v>
      </c>
      <c r="G15" s="1" t="s">
        <v>4</v>
      </c>
      <c r="H15" s="3">
        <v>45097</v>
      </c>
      <c r="I15" t="str">
        <f>IFERROR(INDEX('تشخيص الحالات'!$D$2:$D$1001,SUMPRODUCT(('تشخيص الحالات'!$B$2:$B$1001=B15)*('تشخيص الحالات'!$G$2:$G$1001=1)*ROW('تشخيص الحالات'!$B$2:$B$1001))-1),"")&amp;IF(SUMPRODUCT(('تشخيص الحالات'!$B$2:$B$1001=B15)*('تشخيص الحالات'!$G$2:$G$1001=2))&gt;0,"، "&amp;IFERROR(INDEX('تشخيص الحالات'!$D$2:$D$1001,SUMPRODUCT(('تشخيص الحالات'!$B$2:$B$1001=B15)*('تشخيص الحالات'!$G$2:$G$1001=2)*ROW('تشخيص الحالات'!$B$2:$B$1001))-1),""),"")&amp;IF(SUMPRODUCT(('تشخيص الحالات'!$B$2:$B$1001=B15)*('تشخيص الحالات'!$G$2:$G$1001=3))&gt;0,"، "&amp;IFERROR(INDEX('تشخيص الحالات'!$D$2:$D$1001,SUMPRODUCT(('تشخيص الحالات'!$B$2:$B$1001=B15)*('تشخيص الحالات'!$G$2:$G$1001=3)*ROW('تشخيص الحالات'!$B$2:$B$1001))-1),""),"")&amp;IF(SUMPRODUCT(('تشخيص الحالات'!$B$2:$B$1001=B15)*('تشخيص الحالات'!$G$2:$G$1001=4))&gt;0,"، "&amp;IFERROR(INDEX('تشخيص الحالات'!$D$2:$D$1001,SUMPRODUCT(('تشخيص الحالات'!$B$2:$B$1001=B15)*('تشخيص الحالات'!$G$2:$G$1001=4)*ROW('تشخيص الحالات'!$B$2:$B$1001))-1),""),"")&amp;IF(SUMPRODUCT(('تشخيص الحالات'!$B$2:$B$1001=B15)*('تشخيص الحالات'!$G$2:$G$1001=5))&gt;0,"، "&amp;IFERROR(INDEX('تشخيص الحالات'!$D$2:$D$1001,SUMPRODUCT(('تشخيص الحالات'!$B$2:$B$1001=B15)*('تشخيص الحالات'!$G$2:$G$1001=5)*ROW('تشخيص الحالات'!$B$2:$B$1001))-1),""),"")&amp;IF(SUMPRODUCT(('تشخيص الحالات'!$B$2:$B$1001=B15)*('تشخيص الحالات'!$G$2:$G$1001=6))&gt;0,"، "&amp;IFERROR(INDEX('تشخيص الحالات'!$D$2:$D$1001,SUMPRODUCT(('تشخيص الحالات'!$B$2:$B$1001=B15)*('تشخيص الحالات'!$G$2:$G$1001=6)*ROW('تشخيص الحالات'!$B$2:$B$1001))-1),""),"")&amp;IF(SUMPRODUCT(('تشخيص الحالات'!$B$2:$B$1001=B15)*('تشخيص الحالات'!$G$2:$G$1001=7))&gt;0,"، "&amp;IFERROR(INDEX('تشخيص الحالات'!$D$2:$D$1001,SUMPRODUCT(('تشخيص الحالات'!$B$2:$B$1001=B15)*('تشخيص الحالات'!$G$2:$G$1001=7)*ROW('تشخيص الحالات'!$B$2:$B$1001))-1),""),"")&amp;IF(SUMPRODUCT(('تشخيص الحالات'!$B$2:$B$1001=B15)*('تشخيص الحالات'!$G$2:$G$1001=8))&gt;0,"، "&amp;IFERROR(INDEX('تشخيص الحالات'!$D$2:$D$1001,SUMPRODUCT(('تشخيص الحالات'!$B$2:$B$1001=B15)*('تشخيص الحالات'!$G$2:$G$1001=8)*ROW('تشخيص الحالات'!$B$2:$B$1001))-1),""),"")</f>
        <v>إعاقة ذهنية، اضطراب نفسي، مشكلات لغوية</v>
      </c>
      <c r="J15" s="1">
        <v>44</v>
      </c>
      <c r="K15" s="1" t="s">
        <v>39</v>
      </c>
      <c r="L15" s="1">
        <v>3000</v>
      </c>
      <c r="M15" s="1" t="s">
        <v>43</v>
      </c>
      <c r="N15" s="1">
        <v>0</v>
      </c>
      <c r="O15" s="1">
        <v>0</v>
      </c>
      <c r="P15" s="1">
        <v>2</v>
      </c>
      <c r="Q15" s="1">
        <v>0</v>
      </c>
      <c r="R15" s="1">
        <v>8</v>
      </c>
      <c r="S15" s="1">
        <v>6</v>
      </c>
      <c r="T15">
        <f>SUM(tbl_Beneficiaries[[#This Row],[ التربية الخاصة ]:[ التأهيل النفسي الحركي ]])</f>
        <v>16</v>
      </c>
    </row>
    <row r="16" spans="1:24" x14ac:dyDescent="0.2">
      <c r="A16" s="1">
        <v>15</v>
      </c>
      <c r="B16" s="1">
        <v>1617014847</v>
      </c>
      <c r="C16" s="1" t="s">
        <v>377</v>
      </c>
      <c r="D16" s="1" t="s">
        <v>3</v>
      </c>
      <c r="E16" s="3">
        <v>40226</v>
      </c>
      <c r="F16" s="1" t="s">
        <v>359</v>
      </c>
      <c r="G16" s="1" t="s">
        <v>1</v>
      </c>
      <c r="H16" s="3">
        <v>44938</v>
      </c>
      <c r="I16" t="str">
        <f>IFERROR(INDEX('تشخيص الحالات'!$D$2:$D$1001,SUMPRODUCT(('تشخيص الحالات'!$B$2:$B$1001=B16)*('تشخيص الحالات'!$G$2:$G$1001=1)*ROW('تشخيص الحالات'!$B$2:$B$1001))-1),"")&amp;IF(SUMPRODUCT(('تشخيص الحالات'!$B$2:$B$1001=B16)*('تشخيص الحالات'!$G$2:$G$1001=2))&gt;0,"، "&amp;IFERROR(INDEX('تشخيص الحالات'!$D$2:$D$1001,SUMPRODUCT(('تشخيص الحالات'!$B$2:$B$1001=B16)*('تشخيص الحالات'!$G$2:$G$1001=2)*ROW('تشخيص الحالات'!$B$2:$B$1001))-1),""),"")&amp;IF(SUMPRODUCT(('تشخيص الحالات'!$B$2:$B$1001=B16)*('تشخيص الحالات'!$G$2:$G$1001=3))&gt;0,"، "&amp;IFERROR(INDEX('تشخيص الحالات'!$D$2:$D$1001,SUMPRODUCT(('تشخيص الحالات'!$B$2:$B$1001=B16)*('تشخيص الحالات'!$G$2:$G$1001=3)*ROW('تشخيص الحالات'!$B$2:$B$1001))-1),""),"")&amp;IF(SUMPRODUCT(('تشخيص الحالات'!$B$2:$B$1001=B16)*('تشخيص الحالات'!$G$2:$G$1001=4))&gt;0,"، "&amp;IFERROR(INDEX('تشخيص الحالات'!$D$2:$D$1001,SUMPRODUCT(('تشخيص الحالات'!$B$2:$B$1001=B16)*('تشخيص الحالات'!$G$2:$G$1001=4)*ROW('تشخيص الحالات'!$B$2:$B$1001))-1),""),"")&amp;IF(SUMPRODUCT(('تشخيص الحالات'!$B$2:$B$1001=B16)*('تشخيص الحالات'!$G$2:$G$1001=5))&gt;0,"، "&amp;IFERROR(INDEX('تشخيص الحالات'!$D$2:$D$1001,SUMPRODUCT(('تشخيص الحالات'!$B$2:$B$1001=B16)*('تشخيص الحالات'!$G$2:$G$1001=5)*ROW('تشخيص الحالات'!$B$2:$B$1001))-1),""),"")&amp;IF(SUMPRODUCT(('تشخيص الحالات'!$B$2:$B$1001=B16)*('تشخيص الحالات'!$G$2:$G$1001=6))&gt;0,"، "&amp;IFERROR(INDEX('تشخيص الحالات'!$D$2:$D$1001,SUMPRODUCT(('تشخيص الحالات'!$B$2:$B$1001=B16)*('تشخيص الحالات'!$G$2:$G$1001=6)*ROW('تشخيص الحالات'!$B$2:$B$1001))-1),""),"")&amp;IF(SUMPRODUCT(('تشخيص الحالات'!$B$2:$B$1001=B16)*('تشخيص الحالات'!$G$2:$G$1001=7))&gt;0,"، "&amp;IFERROR(INDEX('تشخيص الحالات'!$D$2:$D$1001,SUMPRODUCT(('تشخيص الحالات'!$B$2:$B$1001=B16)*('تشخيص الحالات'!$G$2:$G$1001=7)*ROW('تشخيص الحالات'!$B$2:$B$1001))-1),""),"")&amp;IF(SUMPRODUCT(('تشخيص الحالات'!$B$2:$B$1001=B16)*('تشخيص الحالات'!$G$2:$G$1001=8))&gt;0,"، "&amp;IFERROR(INDEX('تشخيص الحالات'!$D$2:$D$1001,SUMPRODUCT(('تشخيص الحالات'!$B$2:$B$1001=B16)*('تشخيص الحالات'!$G$2:$G$1001=8)*ROW('تشخيص الحالات'!$B$2:$B$1001))-1),""),"")</f>
        <v>إعاقة ذهنية، اضطراب تكامل حسي، مشكلات أسرية / اجتماعية</v>
      </c>
      <c r="J16" s="1">
        <v>103</v>
      </c>
      <c r="K16" s="1" t="s">
        <v>4</v>
      </c>
      <c r="L16" s="1">
        <v>1500</v>
      </c>
      <c r="M16" s="1" t="s">
        <v>40</v>
      </c>
      <c r="N16" s="1">
        <v>8</v>
      </c>
      <c r="O16" s="1">
        <v>0</v>
      </c>
      <c r="P16" s="1">
        <v>0</v>
      </c>
      <c r="Q16" s="1">
        <v>0</v>
      </c>
      <c r="R16" s="1">
        <v>4</v>
      </c>
      <c r="S16" s="1">
        <v>0</v>
      </c>
      <c r="T16">
        <f>SUM(tbl_Beneficiaries[[#This Row],[ التربية الخاصة ]:[ التأهيل النفسي الحركي ]])</f>
        <v>12</v>
      </c>
    </row>
    <row r="17" spans="1:20" x14ac:dyDescent="0.2">
      <c r="A17" s="1">
        <v>16</v>
      </c>
      <c r="B17" s="1">
        <v>1688005726</v>
      </c>
      <c r="C17" s="1" t="s">
        <v>378</v>
      </c>
      <c r="D17" s="1" t="s">
        <v>3</v>
      </c>
      <c r="E17" s="3">
        <v>41921</v>
      </c>
      <c r="F17" s="1" t="s">
        <v>358</v>
      </c>
      <c r="G17" s="1" t="s">
        <v>4</v>
      </c>
      <c r="H17" s="3">
        <v>45477</v>
      </c>
      <c r="I17" t="str">
        <f>IFERROR(INDEX('تشخيص الحالات'!$D$2:$D$1001,SUMPRODUCT(('تشخيص الحالات'!$B$2:$B$1001=B17)*('تشخيص الحالات'!$G$2:$G$1001=1)*ROW('تشخيص الحالات'!$B$2:$B$1001))-1),"")&amp;IF(SUMPRODUCT(('تشخيص الحالات'!$B$2:$B$1001=B17)*('تشخيص الحالات'!$G$2:$G$1001=2))&gt;0,"، "&amp;IFERROR(INDEX('تشخيص الحالات'!$D$2:$D$1001,SUMPRODUCT(('تشخيص الحالات'!$B$2:$B$1001=B17)*('تشخيص الحالات'!$G$2:$G$1001=2)*ROW('تشخيص الحالات'!$B$2:$B$1001))-1),""),"")&amp;IF(SUMPRODUCT(('تشخيص الحالات'!$B$2:$B$1001=B17)*('تشخيص الحالات'!$G$2:$G$1001=3))&gt;0,"، "&amp;IFERROR(INDEX('تشخيص الحالات'!$D$2:$D$1001,SUMPRODUCT(('تشخيص الحالات'!$B$2:$B$1001=B17)*('تشخيص الحالات'!$G$2:$G$1001=3)*ROW('تشخيص الحالات'!$B$2:$B$1001))-1),""),"")&amp;IF(SUMPRODUCT(('تشخيص الحالات'!$B$2:$B$1001=B17)*('تشخيص الحالات'!$G$2:$G$1001=4))&gt;0,"، "&amp;IFERROR(INDEX('تشخيص الحالات'!$D$2:$D$1001,SUMPRODUCT(('تشخيص الحالات'!$B$2:$B$1001=B17)*('تشخيص الحالات'!$G$2:$G$1001=4)*ROW('تشخيص الحالات'!$B$2:$B$1001))-1),""),"")&amp;IF(SUMPRODUCT(('تشخيص الحالات'!$B$2:$B$1001=B17)*('تشخيص الحالات'!$G$2:$G$1001=5))&gt;0,"، "&amp;IFERROR(INDEX('تشخيص الحالات'!$D$2:$D$1001,SUMPRODUCT(('تشخيص الحالات'!$B$2:$B$1001=B17)*('تشخيص الحالات'!$G$2:$G$1001=5)*ROW('تشخيص الحالات'!$B$2:$B$1001))-1),""),"")&amp;IF(SUMPRODUCT(('تشخيص الحالات'!$B$2:$B$1001=B17)*('تشخيص الحالات'!$G$2:$G$1001=6))&gt;0,"، "&amp;IFERROR(INDEX('تشخيص الحالات'!$D$2:$D$1001,SUMPRODUCT(('تشخيص الحالات'!$B$2:$B$1001=B17)*('تشخيص الحالات'!$G$2:$G$1001=6)*ROW('تشخيص الحالات'!$B$2:$B$1001))-1),""),"")&amp;IF(SUMPRODUCT(('تشخيص الحالات'!$B$2:$B$1001=B17)*('تشخيص الحالات'!$G$2:$G$1001=7))&gt;0,"، "&amp;IFERROR(INDEX('تشخيص الحالات'!$D$2:$D$1001,SUMPRODUCT(('تشخيص الحالات'!$B$2:$B$1001=B17)*('تشخيص الحالات'!$G$2:$G$1001=7)*ROW('تشخيص الحالات'!$B$2:$B$1001))-1),""),"")&amp;IF(SUMPRODUCT(('تشخيص الحالات'!$B$2:$B$1001=B17)*('تشخيص الحالات'!$G$2:$G$1001=8))&gt;0,"، "&amp;IFERROR(INDEX('تشخيص الحالات'!$D$2:$D$1001,SUMPRODUCT(('تشخيص الحالات'!$B$2:$B$1001=B17)*('تشخيص الحالات'!$G$2:$G$1001=8)*ROW('تشخيص الحالات'!$B$2:$B$1001))-1),""),"")</f>
        <v>فرط الحركة وتشتت الانتباه، صعوبات تعلم، اضطراب نفسي</v>
      </c>
      <c r="J17" s="1">
        <v>106</v>
      </c>
      <c r="K17" s="1" t="s">
        <v>38</v>
      </c>
      <c r="L17" s="1">
        <v>3000</v>
      </c>
      <c r="M17" s="1" t="s">
        <v>42</v>
      </c>
      <c r="N17" s="1">
        <v>4</v>
      </c>
      <c r="O17" s="1">
        <v>0</v>
      </c>
      <c r="P17" s="1">
        <v>0</v>
      </c>
      <c r="Q17" s="1">
        <v>0</v>
      </c>
      <c r="R17" s="1">
        <v>5</v>
      </c>
      <c r="S17" s="1">
        <v>0</v>
      </c>
      <c r="T17">
        <f>SUM(tbl_Beneficiaries[[#This Row],[ التربية الخاصة ]:[ التأهيل النفسي الحركي ]])</f>
        <v>9</v>
      </c>
    </row>
    <row r="18" spans="1:20" x14ac:dyDescent="0.2">
      <c r="A18" s="1">
        <v>17</v>
      </c>
      <c r="B18" s="1">
        <v>1488518976</v>
      </c>
      <c r="C18" s="1" t="s">
        <v>379</v>
      </c>
      <c r="D18" s="1" t="s">
        <v>3</v>
      </c>
      <c r="E18" s="3">
        <v>43942</v>
      </c>
      <c r="F18" s="1" t="s">
        <v>361</v>
      </c>
      <c r="G18" s="1" t="s">
        <v>0</v>
      </c>
      <c r="H18" s="3">
        <v>44630</v>
      </c>
      <c r="I18" t="str">
        <f>IFERROR(INDEX('تشخيص الحالات'!$D$2:$D$1001,SUMPRODUCT(('تشخيص الحالات'!$B$2:$B$1001=B18)*('تشخيص الحالات'!$G$2:$G$1001=1)*ROW('تشخيص الحالات'!$B$2:$B$1001))-1),"")&amp;IF(SUMPRODUCT(('تشخيص الحالات'!$B$2:$B$1001=B18)*('تشخيص الحالات'!$G$2:$G$1001=2))&gt;0,"، "&amp;IFERROR(INDEX('تشخيص الحالات'!$D$2:$D$1001,SUMPRODUCT(('تشخيص الحالات'!$B$2:$B$1001=B18)*('تشخيص الحالات'!$G$2:$G$1001=2)*ROW('تشخيص الحالات'!$B$2:$B$1001))-1),""),"")&amp;IF(SUMPRODUCT(('تشخيص الحالات'!$B$2:$B$1001=B18)*('تشخيص الحالات'!$G$2:$G$1001=3))&gt;0,"، "&amp;IFERROR(INDEX('تشخيص الحالات'!$D$2:$D$1001,SUMPRODUCT(('تشخيص الحالات'!$B$2:$B$1001=B18)*('تشخيص الحالات'!$G$2:$G$1001=3)*ROW('تشخيص الحالات'!$B$2:$B$1001))-1),""),"")&amp;IF(SUMPRODUCT(('تشخيص الحالات'!$B$2:$B$1001=B18)*('تشخيص الحالات'!$G$2:$G$1001=4))&gt;0,"، "&amp;IFERROR(INDEX('تشخيص الحالات'!$D$2:$D$1001,SUMPRODUCT(('تشخيص الحالات'!$B$2:$B$1001=B18)*('تشخيص الحالات'!$G$2:$G$1001=4)*ROW('تشخيص الحالات'!$B$2:$B$1001))-1),""),"")&amp;IF(SUMPRODUCT(('تشخيص الحالات'!$B$2:$B$1001=B18)*('تشخيص الحالات'!$G$2:$G$1001=5))&gt;0,"، "&amp;IFERROR(INDEX('تشخيص الحالات'!$D$2:$D$1001,SUMPRODUCT(('تشخيص الحالات'!$B$2:$B$1001=B18)*('تشخيص الحالات'!$G$2:$G$1001=5)*ROW('تشخيص الحالات'!$B$2:$B$1001))-1),""),"")&amp;IF(SUMPRODUCT(('تشخيص الحالات'!$B$2:$B$1001=B18)*('تشخيص الحالات'!$G$2:$G$1001=6))&gt;0,"، "&amp;IFERROR(INDEX('تشخيص الحالات'!$D$2:$D$1001,SUMPRODUCT(('تشخيص الحالات'!$B$2:$B$1001=B18)*('تشخيص الحالات'!$G$2:$G$1001=6)*ROW('تشخيص الحالات'!$B$2:$B$1001))-1),""),"")&amp;IF(SUMPRODUCT(('تشخيص الحالات'!$B$2:$B$1001=B18)*('تشخيص الحالات'!$G$2:$G$1001=7))&gt;0,"، "&amp;IFERROR(INDEX('تشخيص الحالات'!$D$2:$D$1001,SUMPRODUCT(('تشخيص الحالات'!$B$2:$B$1001=B18)*('تشخيص الحالات'!$G$2:$G$1001=7)*ROW('تشخيص الحالات'!$B$2:$B$1001))-1),""),"")&amp;IF(SUMPRODUCT(('تشخيص الحالات'!$B$2:$B$1001=B18)*('تشخيص الحالات'!$G$2:$G$1001=8))&gt;0,"، "&amp;IFERROR(INDEX('تشخيص الحالات'!$D$2:$D$1001,SUMPRODUCT(('تشخيص الحالات'!$B$2:$B$1001=B18)*('تشخيص الحالات'!$G$2:$G$1001=8)*ROW('تشخيص الحالات'!$B$2:$B$1001))-1),""),"")</f>
        <v>اضطراب طيف التوحد</v>
      </c>
      <c r="J18" s="1">
        <v>89</v>
      </c>
      <c r="K18" s="1" t="s">
        <v>4</v>
      </c>
      <c r="L18" s="1">
        <v>3500</v>
      </c>
      <c r="M18" s="1" t="s">
        <v>42</v>
      </c>
      <c r="N18" s="1">
        <v>9</v>
      </c>
      <c r="O18" s="1">
        <v>0</v>
      </c>
      <c r="P18" s="1">
        <v>4</v>
      </c>
      <c r="Q18" s="1">
        <v>1</v>
      </c>
      <c r="R18" s="1">
        <v>0</v>
      </c>
      <c r="S18" s="1">
        <v>0</v>
      </c>
      <c r="T18">
        <f>SUM(tbl_Beneficiaries[[#This Row],[ التربية الخاصة ]:[ التأهيل النفسي الحركي ]])</f>
        <v>14</v>
      </c>
    </row>
    <row r="19" spans="1:20" x14ac:dyDescent="0.2">
      <c r="A19" s="1">
        <v>18</v>
      </c>
      <c r="B19" s="1">
        <v>1215214714</v>
      </c>
      <c r="C19" s="1" t="s">
        <v>91</v>
      </c>
      <c r="D19" s="1" t="s">
        <v>7</v>
      </c>
      <c r="E19" s="3">
        <v>44116</v>
      </c>
      <c r="F19" s="1" t="s">
        <v>358</v>
      </c>
      <c r="G19" s="1" t="s">
        <v>0</v>
      </c>
      <c r="H19" s="3">
        <v>45274</v>
      </c>
      <c r="I19" t="str">
        <f>IFERROR(INDEX('تشخيص الحالات'!$D$2:$D$1001,SUMPRODUCT(('تشخيص الحالات'!$B$2:$B$1001=B19)*('تشخيص الحالات'!$G$2:$G$1001=1)*ROW('تشخيص الحالات'!$B$2:$B$1001))-1),"")&amp;IF(SUMPRODUCT(('تشخيص الحالات'!$B$2:$B$1001=B19)*('تشخيص الحالات'!$G$2:$G$1001=2))&gt;0,"، "&amp;IFERROR(INDEX('تشخيص الحالات'!$D$2:$D$1001,SUMPRODUCT(('تشخيص الحالات'!$B$2:$B$1001=B19)*('تشخيص الحالات'!$G$2:$G$1001=2)*ROW('تشخيص الحالات'!$B$2:$B$1001))-1),""),"")&amp;IF(SUMPRODUCT(('تشخيص الحالات'!$B$2:$B$1001=B19)*('تشخيص الحالات'!$G$2:$G$1001=3))&gt;0,"، "&amp;IFERROR(INDEX('تشخيص الحالات'!$D$2:$D$1001,SUMPRODUCT(('تشخيص الحالات'!$B$2:$B$1001=B19)*('تشخيص الحالات'!$G$2:$G$1001=3)*ROW('تشخيص الحالات'!$B$2:$B$1001))-1),""),"")&amp;IF(SUMPRODUCT(('تشخيص الحالات'!$B$2:$B$1001=B19)*('تشخيص الحالات'!$G$2:$G$1001=4))&gt;0,"، "&amp;IFERROR(INDEX('تشخيص الحالات'!$D$2:$D$1001,SUMPRODUCT(('تشخيص الحالات'!$B$2:$B$1001=B19)*('تشخيص الحالات'!$G$2:$G$1001=4)*ROW('تشخيص الحالات'!$B$2:$B$1001))-1),""),"")&amp;IF(SUMPRODUCT(('تشخيص الحالات'!$B$2:$B$1001=B19)*('تشخيص الحالات'!$G$2:$G$1001=5))&gt;0,"، "&amp;IFERROR(INDEX('تشخيص الحالات'!$D$2:$D$1001,SUMPRODUCT(('تشخيص الحالات'!$B$2:$B$1001=B19)*('تشخيص الحالات'!$G$2:$G$1001=5)*ROW('تشخيص الحالات'!$B$2:$B$1001))-1),""),"")&amp;IF(SUMPRODUCT(('تشخيص الحالات'!$B$2:$B$1001=B19)*('تشخيص الحالات'!$G$2:$G$1001=6))&gt;0,"، "&amp;IFERROR(INDEX('تشخيص الحالات'!$D$2:$D$1001,SUMPRODUCT(('تشخيص الحالات'!$B$2:$B$1001=B19)*('تشخيص الحالات'!$G$2:$G$1001=6)*ROW('تشخيص الحالات'!$B$2:$B$1001))-1),""),"")&amp;IF(SUMPRODUCT(('تشخيص الحالات'!$B$2:$B$1001=B19)*('تشخيص الحالات'!$G$2:$G$1001=7))&gt;0,"، "&amp;IFERROR(INDEX('تشخيص الحالات'!$D$2:$D$1001,SUMPRODUCT(('تشخيص الحالات'!$B$2:$B$1001=B19)*('تشخيص الحالات'!$G$2:$G$1001=7)*ROW('تشخيص الحالات'!$B$2:$B$1001))-1),""),"")&amp;IF(SUMPRODUCT(('تشخيص الحالات'!$B$2:$B$1001=B19)*('تشخيص الحالات'!$G$2:$G$1001=8))&gt;0,"، "&amp;IFERROR(INDEX('تشخيص الحالات'!$D$2:$D$1001,SUMPRODUCT(('تشخيص الحالات'!$B$2:$B$1001=B19)*('تشخيص الحالات'!$G$2:$G$1001=8)*ROW('تشخيص الحالات'!$B$2:$B$1001))-1),""),"")</f>
        <v>تأخر حركي</v>
      </c>
      <c r="J19" s="1">
        <v>66</v>
      </c>
      <c r="K19" s="1" t="s">
        <v>4</v>
      </c>
      <c r="L19" s="1">
        <v>3000</v>
      </c>
      <c r="M19" s="1" t="s">
        <v>42</v>
      </c>
      <c r="N19" s="1">
        <v>0</v>
      </c>
      <c r="O19" s="1">
        <v>1</v>
      </c>
      <c r="P19" s="1">
        <v>0</v>
      </c>
      <c r="Q19" s="1">
        <v>7</v>
      </c>
      <c r="R19" s="1">
        <v>0</v>
      </c>
      <c r="S19" s="1">
        <v>0</v>
      </c>
      <c r="T19">
        <f>SUM(tbl_Beneficiaries[[#This Row],[ التربية الخاصة ]:[ التأهيل النفسي الحركي ]])</f>
        <v>8</v>
      </c>
    </row>
    <row r="20" spans="1:20" x14ac:dyDescent="0.2">
      <c r="A20" s="1">
        <v>19</v>
      </c>
      <c r="B20" s="1">
        <v>1284752099</v>
      </c>
      <c r="C20" s="1" t="s">
        <v>380</v>
      </c>
      <c r="D20" s="1" t="s">
        <v>3</v>
      </c>
      <c r="E20" s="3">
        <v>43449</v>
      </c>
      <c r="F20" s="1" t="s">
        <v>360</v>
      </c>
      <c r="G20" s="1" t="s">
        <v>1</v>
      </c>
      <c r="H20" s="3">
        <v>44604</v>
      </c>
      <c r="I20" t="str">
        <f>IFERROR(INDEX('تشخيص الحالات'!$D$2:$D$1001,SUMPRODUCT(('تشخيص الحالات'!$B$2:$B$1001=B20)*('تشخيص الحالات'!$G$2:$G$1001=1)*ROW('تشخيص الحالات'!$B$2:$B$1001))-1),"")&amp;IF(SUMPRODUCT(('تشخيص الحالات'!$B$2:$B$1001=B20)*('تشخيص الحالات'!$G$2:$G$1001=2))&gt;0,"، "&amp;IFERROR(INDEX('تشخيص الحالات'!$D$2:$D$1001,SUMPRODUCT(('تشخيص الحالات'!$B$2:$B$1001=B20)*('تشخيص الحالات'!$G$2:$G$1001=2)*ROW('تشخيص الحالات'!$B$2:$B$1001))-1),""),"")&amp;IF(SUMPRODUCT(('تشخيص الحالات'!$B$2:$B$1001=B20)*('تشخيص الحالات'!$G$2:$G$1001=3))&gt;0,"، "&amp;IFERROR(INDEX('تشخيص الحالات'!$D$2:$D$1001,SUMPRODUCT(('تشخيص الحالات'!$B$2:$B$1001=B20)*('تشخيص الحالات'!$G$2:$G$1001=3)*ROW('تشخيص الحالات'!$B$2:$B$1001))-1),""),"")&amp;IF(SUMPRODUCT(('تشخيص الحالات'!$B$2:$B$1001=B20)*('تشخيص الحالات'!$G$2:$G$1001=4))&gt;0,"، "&amp;IFERROR(INDEX('تشخيص الحالات'!$D$2:$D$1001,SUMPRODUCT(('تشخيص الحالات'!$B$2:$B$1001=B20)*('تشخيص الحالات'!$G$2:$G$1001=4)*ROW('تشخيص الحالات'!$B$2:$B$1001))-1),""),"")&amp;IF(SUMPRODUCT(('تشخيص الحالات'!$B$2:$B$1001=B20)*('تشخيص الحالات'!$G$2:$G$1001=5))&gt;0,"، "&amp;IFERROR(INDEX('تشخيص الحالات'!$D$2:$D$1001,SUMPRODUCT(('تشخيص الحالات'!$B$2:$B$1001=B20)*('تشخيص الحالات'!$G$2:$G$1001=5)*ROW('تشخيص الحالات'!$B$2:$B$1001))-1),""),"")&amp;IF(SUMPRODUCT(('تشخيص الحالات'!$B$2:$B$1001=B20)*('تشخيص الحالات'!$G$2:$G$1001=6))&gt;0,"، "&amp;IFERROR(INDEX('تشخيص الحالات'!$D$2:$D$1001,SUMPRODUCT(('تشخيص الحالات'!$B$2:$B$1001=B20)*('تشخيص الحالات'!$G$2:$G$1001=6)*ROW('تشخيص الحالات'!$B$2:$B$1001))-1),""),"")&amp;IF(SUMPRODUCT(('تشخيص الحالات'!$B$2:$B$1001=B20)*('تشخيص الحالات'!$G$2:$G$1001=7))&gt;0,"، "&amp;IFERROR(INDEX('تشخيص الحالات'!$D$2:$D$1001,SUMPRODUCT(('تشخيص الحالات'!$B$2:$B$1001=B20)*('تشخيص الحالات'!$G$2:$G$1001=7)*ROW('تشخيص الحالات'!$B$2:$B$1001))-1),""),"")&amp;IF(SUMPRODUCT(('تشخيص الحالات'!$B$2:$B$1001=B20)*('تشخيص الحالات'!$G$2:$G$1001=8))&gt;0,"، "&amp;IFERROR(INDEX('تشخيص الحالات'!$D$2:$D$1001,SUMPRODUCT(('تشخيص الحالات'!$B$2:$B$1001=B20)*('تشخيص الحالات'!$G$2:$G$1001=8)*ROW('تشخيص الحالات'!$B$2:$B$1001))-1),""),"")</f>
        <v>مشكلات أسرية / اجتماعية، اضطراب نفسي حركي</v>
      </c>
      <c r="J20" s="1">
        <v>79</v>
      </c>
      <c r="K20" s="1" t="s">
        <v>39</v>
      </c>
      <c r="L20" s="1">
        <v>2500</v>
      </c>
      <c r="M20" s="1" t="s">
        <v>40</v>
      </c>
      <c r="N20" s="1">
        <v>0</v>
      </c>
      <c r="O20" s="1">
        <v>0</v>
      </c>
      <c r="P20" s="1">
        <v>0</v>
      </c>
      <c r="Q20" s="1">
        <v>3</v>
      </c>
      <c r="R20" s="1">
        <v>0</v>
      </c>
      <c r="S20" s="1">
        <v>0</v>
      </c>
      <c r="T20">
        <f>SUM(tbl_Beneficiaries[[#This Row],[ التربية الخاصة ]:[ التأهيل النفسي الحركي ]])</f>
        <v>3</v>
      </c>
    </row>
    <row r="21" spans="1:20" x14ac:dyDescent="0.2">
      <c r="A21" s="1">
        <v>20</v>
      </c>
      <c r="B21" s="1">
        <v>1668099269</v>
      </c>
      <c r="C21" s="1" t="s">
        <v>381</v>
      </c>
      <c r="D21" s="1" t="s">
        <v>7</v>
      </c>
      <c r="E21" s="3">
        <v>40660</v>
      </c>
      <c r="F21" s="1" t="s">
        <v>358</v>
      </c>
      <c r="G21" s="1" t="s">
        <v>0</v>
      </c>
      <c r="H21" s="3">
        <v>44709</v>
      </c>
      <c r="I21" t="str">
        <f>IFERROR(INDEX('تشخيص الحالات'!$D$2:$D$1001,SUMPRODUCT(('تشخيص الحالات'!$B$2:$B$1001=B21)*('تشخيص الحالات'!$G$2:$G$1001=1)*ROW('تشخيص الحالات'!$B$2:$B$1001))-1),"")&amp;IF(SUMPRODUCT(('تشخيص الحالات'!$B$2:$B$1001=B21)*('تشخيص الحالات'!$G$2:$G$1001=2))&gt;0,"، "&amp;IFERROR(INDEX('تشخيص الحالات'!$D$2:$D$1001,SUMPRODUCT(('تشخيص الحالات'!$B$2:$B$1001=B21)*('تشخيص الحالات'!$G$2:$G$1001=2)*ROW('تشخيص الحالات'!$B$2:$B$1001))-1),""),"")&amp;IF(SUMPRODUCT(('تشخيص الحالات'!$B$2:$B$1001=B21)*('تشخيص الحالات'!$G$2:$G$1001=3))&gt;0,"، "&amp;IFERROR(INDEX('تشخيص الحالات'!$D$2:$D$1001,SUMPRODUCT(('تشخيص الحالات'!$B$2:$B$1001=B21)*('تشخيص الحالات'!$G$2:$G$1001=3)*ROW('تشخيص الحالات'!$B$2:$B$1001))-1),""),"")&amp;IF(SUMPRODUCT(('تشخيص الحالات'!$B$2:$B$1001=B21)*('تشخيص الحالات'!$G$2:$G$1001=4))&gt;0,"، "&amp;IFERROR(INDEX('تشخيص الحالات'!$D$2:$D$1001,SUMPRODUCT(('تشخيص الحالات'!$B$2:$B$1001=B21)*('تشخيص الحالات'!$G$2:$G$1001=4)*ROW('تشخيص الحالات'!$B$2:$B$1001))-1),""),"")&amp;IF(SUMPRODUCT(('تشخيص الحالات'!$B$2:$B$1001=B21)*('تشخيص الحالات'!$G$2:$G$1001=5))&gt;0,"، "&amp;IFERROR(INDEX('تشخيص الحالات'!$D$2:$D$1001,SUMPRODUCT(('تشخيص الحالات'!$B$2:$B$1001=B21)*('تشخيص الحالات'!$G$2:$G$1001=5)*ROW('تشخيص الحالات'!$B$2:$B$1001))-1),""),"")&amp;IF(SUMPRODUCT(('تشخيص الحالات'!$B$2:$B$1001=B21)*('تشخيص الحالات'!$G$2:$G$1001=6))&gt;0,"، "&amp;IFERROR(INDEX('تشخيص الحالات'!$D$2:$D$1001,SUMPRODUCT(('تشخيص الحالات'!$B$2:$B$1001=B21)*('تشخيص الحالات'!$G$2:$G$1001=6)*ROW('تشخيص الحالات'!$B$2:$B$1001))-1),""),"")&amp;IF(SUMPRODUCT(('تشخيص الحالات'!$B$2:$B$1001=B21)*('تشخيص الحالات'!$G$2:$G$1001=7))&gt;0,"، "&amp;IFERROR(INDEX('تشخيص الحالات'!$D$2:$D$1001,SUMPRODUCT(('تشخيص الحالات'!$B$2:$B$1001=B21)*('تشخيص الحالات'!$G$2:$G$1001=7)*ROW('تشخيص الحالات'!$B$2:$B$1001))-1),""),"")&amp;IF(SUMPRODUCT(('تشخيص الحالات'!$B$2:$B$1001=B21)*('تشخيص الحالات'!$G$2:$G$1001=8))&gt;0,"، "&amp;IFERROR(INDEX('تشخيص الحالات'!$D$2:$D$1001,SUMPRODUCT(('تشخيص الحالات'!$B$2:$B$1001=B21)*('تشخيص الحالات'!$G$2:$G$1001=8)*ROW('تشخيص الحالات'!$B$2:$B$1001))-1),""),"")</f>
        <v>مشكلات أسرية / اجتماعية، اضطرابات سلوكية، اضطراب نفسي، اضطراب نفسي حركي</v>
      </c>
      <c r="J21" s="1">
        <v>109</v>
      </c>
      <c r="K21" s="1" t="s">
        <v>39</v>
      </c>
      <c r="L21" s="1">
        <v>1500</v>
      </c>
      <c r="M21" s="1" t="s">
        <v>43</v>
      </c>
      <c r="N21" s="1">
        <v>5</v>
      </c>
      <c r="O21" s="1">
        <v>2</v>
      </c>
      <c r="P21" s="1">
        <v>9</v>
      </c>
      <c r="Q21" s="1">
        <v>1</v>
      </c>
      <c r="R21" s="1">
        <v>0</v>
      </c>
      <c r="S21" s="1">
        <v>8</v>
      </c>
      <c r="T21">
        <f>SUM(tbl_Beneficiaries[[#This Row],[ التربية الخاصة ]:[ التأهيل النفسي الحركي ]])</f>
        <v>25</v>
      </c>
    </row>
    <row r="22" spans="1:20" x14ac:dyDescent="0.2">
      <c r="A22" s="1">
        <v>21</v>
      </c>
      <c r="B22" s="1">
        <v>1095920856</v>
      </c>
      <c r="C22" s="1" t="s">
        <v>382</v>
      </c>
      <c r="D22" s="1" t="s">
        <v>7</v>
      </c>
      <c r="E22" s="3">
        <v>41874</v>
      </c>
      <c r="F22" s="1" t="s">
        <v>358</v>
      </c>
      <c r="G22" s="1" t="s">
        <v>4</v>
      </c>
      <c r="H22" s="3">
        <v>45239</v>
      </c>
      <c r="I22" t="str">
        <f>IFERROR(INDEX('تشخيص الحالات'!$D$2:$D$1001,SUMPRODUCT(('تشخيص الحالات'!$B$2:$B$1001=B22)*('تشخيص الحالات'!$G$2:$G$1001=1)*ROW('تشخيص الحالات'!$B$2:$B$1001))-1),"")&amp;IF(SUMPRODUCT(('تشخيص الحالات'!$B$2:$B$1001=B22)*('تشخيص الحالات'!$G$2:$G$1001=2))&gt;0,"، "&amp;IFERROR(INDEX('تشخيص الحالات'!$D$2:$D$1001,SUMPRODUCT(('تشخيص الحالات'!$B$2:$B$1001=B22)*('تشخيص الحالات'!$G$2:$G$1001=2)*ROW('تشخيص الحالات'!$B$2:$B$1001))-1),""),"")&amp;IF(SUMPRODUCT(('تشخيص الحالات'!$B$2:$B$1001=B22)*('تشخيص الحالات'!$G$2:$G$1001=3))&gt;0,"، "&amp;IFERROR(INDEX('تشخيص الحالات'!$D$2:$D$1001,SUMPRODUCT(('تشخيص الحالات'!$B$2:$B$1001=B22)*('تشخيص الحالات'!$G$2:$G$1001=3)*ROW('تشخيص الحالات'!$B$2:$B$1001))-1),""),"")&amp;IF(SUMPRODUCT(('تشخيص الحالات'!$B$2:$B$1001=B22)*('تشخيص الحالات'!$G$2:$G$1001=4))&gt;0,"، "&amp;IFERROR(INDEX('تشخيص الحالات'!$D$2:$D$1001,SUMPRODUCT(('تشخيص الحالات'!$B$2:$B$1001=B22)*('تشخيص الحالات'!$G$2:$G$1001=4)*ROW('تشخيص الحالات'!$B$2:$B$1001))-1),""),"")&amp;IF(SUMPRODUCT(('تشخيص الحالات'!$B$2:$B$1001=B22)*('تشخيص الحالات'!$G$2:$G$1001=5))&gt;0,"، "&amp;IFERROR(INDEX('تشخيص الحالات'!$D$2:$D$1001,SUMPRODUCT(('تشخيص الحالات'!$B$2:$B$1001=B22)*('تشخيص الحالات'!$G$2:$G$1001=5)*ROW('تشخيص الحالات'!$B$2:$B$1001))-1),""),"")&amp;IF(SUMPRODUCT(('تشخيص الحالات'!$B$2:$B$1001=B22)*('تشخيص الحالات'!$G$2:$G$1001=6))&gt;0,"، "&amp;IFERROR(INDEX('تشخيص الحالات'!$D$2:$D$1001,SUMPRODUCT(('تشخيص الحالات'!$B$2:$B$1001=B22)*('تشخيص الحالات'!$G$2:$G$1001=6)*ROW('تشخيص الحالات'!$B$2:$B$1001))-1),""),"")&amp;IF(SUMPRODUCT(('تشخيص الحالات'!$B$2:$B$1001=B22)*('تشخيص الحالات'!$G$2:$G$1001=7))&gt;0,"، "&amp;IFERROR(INDEX('تشخيص الحالات'!$D$2:$D$1001,SUMPRODUCT(('تشخيص الحالات'!$B$2:$B$1001=B22)*('تشخيص الحالات'!$G$2:$G$1001=7)*ROW('تشخيص الحالات'!$B$2:$B$1001))-1),""),"")&amp;IF(SUMPRODUCT(('تشخيص الحالات'!$B$2:$B$1001=B22)*('تشخيص الحالات'!$G$2:$G$1001=8))&gt;0,"، "&amp;IFERROR(INDEX('تشخيص الحالات'!$D$2:$D$1001,SUMPRODUCT(('تشخيص الحالات'!$B$2:$B$1001=B22)*('تشخيص الحالات'!$G$2:$G$1001=8)*ROW('تشخيص الحالات'!$B$2:$B$1001))-1),""),"")</f>
        <v>اضطراب تكامل حسي، متلازمة داون، تأخر نمائي، مشكلات لغوية</v>
      </c>
      <c r="J22" s="1">
        <v>56</v>
      </c>
      <c r="K22" s="1" t="s">
        <v>38</v>
      </c>
      <c r="L22" s="1">
        <v>1500</v>
      </c>
      <c r="M22" s="1" t="s">
        <v>43</v>
      </c>
      <c r="N22" s="1">
        <v>2</v>
      </c>
      <c r="O22" s="1">
        <v>8</v>
      </c>
      <c r="P22" s="1">
        <v>0</v>
      </c>
      <c r="Q22" s="1">
        <v>0</v>
      </c>
      <c r="R22" s="1">
        <v>0</v>
      </c>
      <c r="S22" s="1">
        <v>0</v>
      </c>
      <c r="T22">
        <f>SUM(tbl_Beneficiaries[[#This Row],[ التربية الخاصة ]:[ التأهيل النفسي الحركي ]])</f>
        <v>10</v>
      </c>
    </row>
    <row r="23" spans="1:20" x14ac:dyDescent="0.2">
      <c r="A23" s="1">
        <v>22</v>
      </c>
      <c r="B23" s="1">
        <v>1611059558</v>
      </c>
      <c r="C23" s="1" t="s">
        <v>383</v>
      </c>
      <c r="D23" s="1" t="s">
        <v>7</v>
      </c>
      <c r="E23" s="3">
        <v>40338</v>
      </c>
      <c r="F23" s="1" t="s">
        <v>360</v>
      </c>
      <c r="G23" s="1" t="s">
        <v>4</v>
      </c>
      <c r="H23" s="3">
        <v>44724</v>
      </c>
      <c r="I23" t="str">
        <f>IFERROR(INDEX('تشخيص الحالات'!$D$2:$D$1001,SUMPRODUCT(('تشخيص الحالات'!$B$2:$B$1001=B23)*('تشخيص الحالات'!$G$2:$G$1001=1)*ROW('تشخيص الحالات'!$B$2:$B$1001))-1),"")&amp;IF(SUMPRODUCT(('تشخيص الحالات'!$B$2:$B$1001=B23)*('تشخيص الحالات'!$G$2:$G$1001=2))&gt;0,"، "&amp;IFERROR(INDEX('تشخيص الحالات'!$D$2:$D$1001,SUMPRODUCT(('تشخيص الحالات'!$B$2:$B$1001=B23)*('تشخيص الحالات'!$G$2:$G$1001=2)*ROW('تشخيص الحالات'!$B$2:$B$1001))-1),""),"")&amp;IF(SUMPRODUCT(('تشخيص الحالات'!$B$2:$B$1001=B23)*('تشخيص الحالات'!$G$2:$G$1001=3))&gt;0,"، "&amp;IFERROR(INDEX('تشخيص الحالات'!$D$2:$D$1001,SUMPRODUCT(('تشخيص الحالات'!$B$2:$B$1001=B23)*('تشخيص الحالات'!$G$2:$G$1001=3)*ROW('تشخيص الحالات'!$B$2:$B$1001))-1),""),"")&amp;IF(SUMPRODUCT(('تشخيص الحالات'!$B$2:$B$1001=B23)*('تشخيص الحالات'!$G$2:$G$1001=4))&gt;0,"، "&amp;IFERROR(INDEX('تشخيص الحالات'!$D$2:$D$1001,SUMPRODUCT(('تشخيص الحالات'!$B$2:$B$1001=B23)*('تشخيص الحالات'!$G$2:$G$1001=4)*ROW('تشخيص الحالات'!$B$2:$B$1001))-1),""),"")&amp;IF(SUMPRODUCT(('تشخيص الحالات'!$B$2:$B$1001=B23)*('تشخيص الحالات'!$G$2:$G$1001=5))&gt;0,"، "&amp;IFERROR(INDEX('تشخيص الحالات'!$D$2:$D$1001,SUMPRODUCT(('تشخيص الحالات'!$B$2:$B$1001=B23)*('تشخيص الحالات'!$G$2:$G$1001=5)*ROW('تشخيص الحالات'!$B$2:$B$1001))-1),""),"")&amp;IF(SUMPRODUCT(('تشخيص الحالات'!$B$2:$B$1001=B23)*('تشخيص الحالات'!$G$2:$G$1001=6))&gt;0,"، "&amp;IFERROR(INDEX('تشخيص الحالات'!$D$2:$D$1001,SUMPRODUCT(('تشخيص الحالات'!$B$2:$B$1001=B23)*('تشخيص الحالات'!$G$2:$G$1001=6)*ROW('تشخيص الحالات'!$B$2:$B$1001))-1),""),"")&amp;IF(SUMPRODUCT(('تشخيص الحالات'!$B$2:$B$1001=B23)*('تشخيص الحالات'!$G$2:$G$1001=7))&gt;0,"، "&amp;IFERROR(INDEX('تشخيص الحالات'!$D$2:$D$1001,SUMPRODUCT(('تشخيص الحالات'!$B$2:$B$1001=B23)*('تشخيص الحالات'!$G$2:$G$1001=7)*ROW('تشخيص الحالات'!$B$2:$B$1001))-1),""),"")&amp;IF(SUMPRODUCT(('تشخيص الحالات'!$B$2:$B$1001=B23)*('تشخيص الحالات'!$G$2:$G$1001=8))&gt;0,"، "&amp;IFERROR(INDEX('تشخيص الحالات'!$D$2:$D$1001,SUMPRODUCT(('تشخيص الحالات'!$B$2:$B$1001=B23)*('تشخيص الحالات'!$G$2:$G$1001=8)*ROW('تشخيص الحالات'!$B$2:$B$1001))-1),""),"")</f>
        <v>اضطرابات سلوكية، تأخر نمائي، إعاقة سمعية</v>
      </c>
      <c r="J23" s="1">
        <v>40</v>
      </c>
      <c r="K23" s="1" t="s">
        <v>4</v>
      </c>
      <c r="L23" s="1">
        <v>1500</v>
      </c>
      <c r="M23" s="1" t="s">
        <v>41</v>
      </c>
      <c r="N23" s="1">
        <v>0</v>
      </c>
      <c r="O23" s="1">
        <v>4</v>
      </c>
      <c r="P23" s="1">
        <v>1</v>
      </c>
      <c r="Q23" s="1">
        <v>7</v>
      </c>
      <c r="R23" s="1">
        <v>0</v>
      </c>
      <c r="S23" s="1">
        <v>6</v>
      </c>
      <c r="T23">
        <f>SUM(tbl_Beneficiaries[[#This Row],[ التربية الخاصة ]:[ التأهيل النفسي الحركي ]])</f>
        <v>18</v>
      </c>
    </row>
    <row r="24" spans="1:20" x14ac:dyDescent="0.2">
      <c r="A24" s="1">
        <v>23</v>
      </c>
      <c r="B24" s="1">
        <v>1050635578</v>
      </c>
      <c r="C24" s="1" t="s">
        <v>92</v>
      </c>
      <c r="D24" s="1" t="s">
        <v>7</v>
      </c>
      <c r="E24" s="3">
        <v>42708</v>
      </c>
      <c r="F24" s="1" t="s">
        <v>359</v>
      </c>
      <c r="G24" s="1" t="s">
        <v>1</v>
      </c>
      <c r="H24" s="3">
        <v>45268</v>
      </c>
      <c r="I24" t="str">
        <f>IFERROR(INDEX('تشخيص الحالات'!$D$2:$D$1001,SUMPRODUCT(('تشخيص الحالات'!$B$2:$B$1001=B24)*('تشخيص الحالات'!$G$2:$G$1001=1)*ROW('تشخيص الحالات'!$B$2:$B$1001))-1),"")&amp;IF(SUMPRODUCT(('تشخيص الحالات'!$B$2:$B$1001=B24)*('تشخيص الحالات'!$G$2:$G$1001=2))&gt;0,"، "&amp;IFERROR(INDEX('تشخيص الحالات'!$D$2:$D$1001,SUMPRODUCT(('تشخيص الحالات'!$B$2:$B$1001=B24)*('تشخيص الحالات'!$G$2:$G$1001=2)*ROW('تشخيص الحالات'!$B$2:$B$1001))-1),""),"")&amp;IF(SUMPRODUCT(('تشخيص الحالات'!$B$2:$B$1001=B24)*('تشخيص الحالات'!$G$2:$G$1001=3))&gt;0,"، "&amp;IFERROR(INDEX('تشخيص الحالات'!$D$2:$D$1001,SUMPRODUCT(('تشخيص الحالات'!$B$2:$B$1001=B24)*('تشخيص الحالات'!$G$2:$G$1001=3)*ROW('تشخيص الحالات'!$B$2:$B$1001))-1),""),"")&amp;IF(SUMPRODUCT(('تشخيص الحالات'!$B$2:$B$1001=B24)*('تشخيص الحالات'!$G$2:$G$1001=4))&gt;0,"، "&amp;IFERROR(INDEX('تشخيص الحالات'!$D$2:$D$1001,SUMPRODUCT(('تشخيص الحالات'!$B$2:$B$1001=B24)*('تشخيص الحالات'!$G$2:$G$1001=4)*ROW('تشخيص الحالات'!$B$2:$B$1001))-1),""),"")&amp;IF(SUMPRODUCT(('تشخيص الحالات'!$B$2:$B$1001=B24)*('تشخيص الحالات'!$G$2:$G$1001=5))&gt;0,"، "&amp;IFERROR(INDEX('تشخيص الحالات'!$D$2:$D$1001,SUMPRODUCT(('تشخيص الحالات'!$B$2:$B$1001=B24)*('تشخيص الحالات'!$G$2:$G$1001=5)*ROW('تشخيص الحالات'!$B$2:$B$1001))-1),""),"")&amp;IF(SUMPRODUCT(('تشخيص الحالات'!$B$2:$B$1001=B24)*('تشخيص الحالات'!$G$2:$G$1001=6))&gt;0,"، "&amp;IFERROR(INDEX('تشخيص الحالات'!$D$2:$D$1001,SUMPRODUCT(('تشخيص الحالات'!$B$2:$B$1001=B24)*('تشخيص الحالات'!$G$2:$G$1001=6)*ROW('تشخيص الحالات'!$B$2:$B$1001))-1),""),"")&amp;IF(SUMPRODUCT(('تشخيص الحالات'!$B$2:$B$1001=B24)*('تشخيص الحالات'!$G$2:$G$1001=7))&gt;0,"، "&amp;IFERROR(INDEX('تشخيص الحالات'!$D$2:$D$1001,SUMPRODUCT(('تشخيص الحالات'!$B$2:$B$1001=B24)*('تشخيص الحالات'!$G$2:$G$1001=7)*ROW('تشخيص الحالات'!$B$2:$B$1001))-1),""),"")&amp;IF(SUMPRODUCT(('تشخيص الحالات'!$B$2:$B$1001=B24)*('تشخيص الحالات'!$G$2:$G$1001=8))&gt;0,"، "&amp;IFERROR(INDEX('تشخيص الحالات'!$D$2:$D$1001,SUMPRODUCT(('تشخيص الحالات'!$B$2:$B$1001=B24)*('تشخيص الحالات'!$G$2:$G$1001=8)*ROW('تشخيص الحالات'!$B$2:$B$1001))-1),""),"")</f>
        <v>إعاقة بصرية</v>
      </c>
      <c r="J24" s="1">
        <v>106</v>
      </c>
      <c r="K24" s="1" t="s">
        <v>4</v>
      </c>
      <c r="L24" s="1">
        <v>1500</v>
      </c>
      <c r="M24" s="1" t="s">
        <v>43</v>
      </c>
      <c r="N24" s="1">
        <v>0</v>
      </c>
      <c r="O24" s="1">
        <v>4</v>
      </c>
      <c r="P24" s="1">
        <v>0</v>
      </c>
      <c r="Q24" s="1">
        <v>6</v>
      </c>
      <c r="R24" s="1">
        <v>0</v>
      </c>
      <c r="S24" s="1">
        <v>0</v>
      </c>
      <c r="T24">
        <f>SUM(tbl_Beneficiaries[[#This Row],[ التربية الخاصة ]:[ التأهيل النفسي الحركي ]])</f>
        <v>10</v>
      </c>
    </row>
    <row r="25" spans="1:20" x14ac:dyDescent="0.2">
      <c r="A25" s="1">
        <v>24</v>
      </c>
      <c r="B25" s="1">
        <v>1151017514</v>
      </c>
      <c r="C25" s="1" t="s">
        <v>384</v>
      </c>
      <c r="D25" s="1" t="s">
        <v>7</v>
      </c>
      <c r="E25" s="3">
        <v>43856</v>
      </c>
      <c r="F25" s="1" t="s">
        <v>357</v>
      </c>
      <c r="G25" s="1" t="s">
        <v>0</v>
      </c>
      <c r="H25" s="3">
        <v>45490</v>
      </c>
      <c r="I25" t="str">
        <f>IFERROR(INDEX('تشخيص الحالات'!$D$2:$D$1001,SUMPRODUCT(('تشخيص الحالات'!$B$2:$B$1001=B25)*('تشخيص الحالات'!$G$2:$G$1001=1)*ROW('تشخيص الحالات'!$B$2:$B$1001))-1),"")&amp;IF(SUMPRODUCT(('تشخيص الحالات'!$B$2:$B$1001=B25)*('تشخيص الحالات'!$G$2:$G$1001=2))&gt;0,"، "&amp;IFERROR(INDEX('تشخيص الحالات'!$D$2:$D$1001,SUMPRODUCT(('تشخيص الحالات'!$B$2:$B$1001=B25)*('تشخيص الحالات'!$G$2:$G$1001=2)*ROW('تشخيص الحالات'!$B$2:$B$1001))-1),""),"")&amp;IF(SUMPRODUCT(('تشخيص الحالات'!$B$2:$B$1001=B25)*('تشخيص الحالات'!$G$2:$G$1001=3))&gt;0,"، "&amp;IFERROR(INDEX('تشخيص الحالات'!$D$2:$D$1001,SUMPRODUCT(('تشخيص الحالات'!$B$2:$B$1001=B25)*('تشخيص الحالات'!$G$2:$G$1001=3)*ROW('تشخيص الحالات'!$B$2:$B$1001))-1),""),"")&amp;IF(SUMPRODUCT(('تشخيص الحالات'!$B$2:$B$1001=B25)*('تشخيص الحالات'!$G$2:$G$1001=4))&gt;0,"، "&amp;IFERROR(INDEX('تشخيص الحالات'!$D$2:$D$1001,SUMPRODUCT(('تشخيص الحالات'!$B$2:$B$1001=B25)*('تشخيص الحالات'!$G$2:$G$1001=4)*ROW('تشخيص الحالات'!$B$2:$B$1001))-1),""),"")&amp;IF(SUMPRODUCT(('تشخيص الحالات'!$B$2:$B$1001=B25)*('تشخيص الحالات'!$G$2:$G$1001=5))&gt;0,"، "&amp;IFERROR(INDEX('تشخيص الحالات'!$D$2:$D$1001,SUMPRODUCT(('تشخيص الحالات'!$B$2:$B$1001=B25)*('تشخيص الحالات'!$G$2:$G$1001=5)*ROW('تشخيص الحالات'!$B$2:$B$1001))-1),""),"")&amp;IF(SUMPRODUCT(('تشخيص الحالات'!$B$2:$B$1001=B25)*('تشخيص الحالات'!$G$2:$G$1001=6))&gt;0,"، "&amp;IFERROR(INDEX('تشخيص الحالات'!$D$2:$D$1001,SUMPRODUCT(('تشخيص الحالات'!$B$2:$B$1001=B25)*('تشخيص الحالات'!$G$2:$G$1001=6)*ROW('تشخيص الحالات'!$B$2:$B$1001))-1),""),"")&amp;IF(SUMPRODUCT(('تشخيص الحالات'!$B$2:$B$1001=B25)*('تشخيص الحالات'!$G$2:$G$1001=7))&gt;0,"، "&amp;IFERROR(INDEX('تشخيص الحالات'!$D$2:$D$1001,SUMPRODUCT(('تشخيص الحالات'!$B$2:$B$1001=B25)*('تشخيص الحالات'!$G$2:$G$1001=7)*ROW('تشخيص الحالات'!$B$2:$B$1001))-1),""),"")&amp;IF(SUMPRODUCT(('تشخيص الحالات'!$B$2:$B$1001=B25)*('تشخيص الحالات'!$G$2:$G$1001=8))&gt;0,"، "&amp;IFERROR(INDEX('تشخيص الحالات'!$D$2:$D$1001,SUMPRODUCT(('تشخيص الحالات'!$B$2:$B$1001=B25)*('تشخيص الحالات'!$G$2:$G$1001=8)*ROW('تشخيص الحالات'!$B$2:$B$1001))-1),""),"")</f>
        <v>مشكلات أسرية / اجتماعية</v>
      </c>
      <c r="J25" s="1">
        <v>57</v>
      </c>
      <c r="K25" s="1" t="s">
        <v>4</v>
      </c>
      <c r="L25" s="1">
        <v>1500</v>
      </c>
      <c r="M25" s="1" t="s">
        <v>41</v>
      </c>
      <c r="N25" s="1">
        <v>9</v>
      </c>
      <c r="O25" s="1">
        <v>0</v>
      </c>
      <c r="P25" s="1">
        <v>0</v>
      </c>
      <c r="Q25" s="1">
        <v>0</v>
      </c>
      <c r="R25" s="1">
        <v>3</v>
      </c>
      <c r="S25" s="1">
        <v>0</v>
      </c>
      <c r="T25">
        <f>SUM(tbl_Beneficiaries[[#This Row],[ التربية الخاصة ]:[ التأهيل النفسي الحركي ]])</f>
        <v>12</v>
      </c>
    </row>
    <row r="26" spans="1:20" x14ac:dyDescent="0.2">
      <c r="A26" s="1">
        <v>25</v>
      </c>
      <c r="B26" s="1">
        <v>1814840095</v>
      </c>
      <c r="C26" s="1" t="s">
        <v>385</v>
      </c>
      <c r="D26" s="1" t="s">
        <v>3</v>
      </c>
      <c r="E26" s="3">
        <v>41477</v>
      </c>
      <c r="F26" s="1" t="s">
        <v>357</v>
      </c>
      <c r="G26" s="1" t="s">
        <v>0</v>
      </c>
      <c r="H26" s="3">
        <v>44961</v>
      </c>
      <c r="I26" t="str">
        <f>IFERROR(INDEX('تشخيص الحالات'!$D$2:$D$1001,SUMPRODUCT(('تشخيص الحالات'!$B$2:$B$1001=B26)*('تشخيص الحالات'!$G$2:$G$1001=1)*ROW('تشخيص الحالات'!$B$2:$B$1001))-1),"")&amp;IF(SUMPRODUCT(('تشخيص الحالات'!$B$2:$B$1001=B26)*('تشخيص الحالات'!$G$2:$G$1001=2))&gt;0,"، "&amp;IFERROR(INDEX('تشخيص الحالات'!$D$2:$D$1001,SUMPRODUCT(('تشخيص الحالات'!$B$2:$B$1001=B26)*('تشخيص الحالات'!$G$2:$G$1001=2)*ROW('تشخيص الحالات'!$B$2:$B$1001))-1),""),"")&amp;IF(SUMPRODUCT(('تشخيص الحالات'!$B$2:$B$1001=B26)*('تشخيص الحالات'!$G$2:$G$1001=3))&gt;0,"، "&amp;IFERROR(INDEX('تشخيص الحالات'!$D$2:$D$1001,SUMPRODUCT(('تشخيص الحالات'!$B$2:$B$1001=B26)*('تشخيص الحالات'!$G$2:$G$1001=3)*ROW('تشخيص الحالات'!$B$2:$B$1001))-1),""),"")&amp;IF(SUMPRODUCT(('تشخيص الحالات'!$B$2:$B$1001=B26)*('تشخيص الحالات'!$G$2:$G$1001=4))&gt;0,"، "&amp;IFERROR(INDEX('تشخيص الحالات'!$D$2:$D$1001,SUMPRODUCT(('تشخيص الحالات'!$B$2:$B$1001=B26)*('تشخيص الحالات'!$G$2:$G$1001=4)*ROW('تشخيص الحالات'!$B$2:$B$1001))-1),""),"")&amp;IF(SUMPRODUCT(('تشخيص الحالات'!$B$2:$B$1001=B26)*('تشخيص الحالات'!$G$2:$G$1001=5))&gt;0,"، "&amp;IFERROR(INDEX('تشخيص الحالات'!$D$2:$D$1001,SUMPRODUCT(('تشخيص الحالات'!$B$2:$B$1001=B26)*('تشخيص الحالات'!$G$2:$G$1001=5)*ROW('تشخيص الحالات'!$B$2:$B$1001))-1),""),"")&amp;IF(SUMPRODUCT(('تشخيص الحالات'!$B$2:$B$1001=B26)*('تشخيص الحالات'!$G$2:$G$1001=6))&gt;0,"، "&amp;IFERROR(INDEX('تشخيص الحالات'!$D$2:$D$1001,SUMPRODUCT(('تشخيص الحالات'!$B$2:$B$1001=B26)*('تشخيص الحالات'!$G$2:$G$1001=6)*ROW('تشخيص الحالات'!$B$2:$B$1001))-1),""),"")&amp;IF(SUMPRODUCT(('تشخيص الحالات'!$B$2:$B$1001=B26)*('تشخيص الحالات'!$G$2:$G$1001=7))&gt;0,"، "&amp;IFERROR(INDEX('تشخيص الحالات'!$D$2:$D$1001,SUMPRODUCT(('تشخيص الحالات'!$B$2:$B$1001=B26)*('تشخيص الحالات'!$G$2:$G$1001=7)*ROW('تشخيص الحالات'!$B$2:$B$1001))-1),""),"")&amp;IF(SUMPRODUCT(('تشخيص الحالات'!$B$2:$B$1001=B26)*('تشخيص الحالات'!$G$2:$G$1001=8))&gt;0,"، "&amp;IFERROR(INDEX('تشخيص الحالات'!$D$2:$D$1001,SUMPRODUCT(('تشخيص الحالات'!$B$2:$B$1001=B26)*('تشخيص الحالات'!$G$2:$G$1001=8)*ROW('تشخيص الحالات'!$B$2:$B$1001))-1),""),"")</f>
        <v>اضطراب نفسي حركي، إعاقة سمعية</v>
      </c>
      <c r="J26" s="1">
        <v>80</v>
      </c>
      <c r="K26" s="1" t="s">
        <v>4</v>
      </c>
      <c r="L26" s="1">
        <v>3500</v>
      </c>
      <c r="M26" s="1" t="s">
        <v>44</v>
      </c>
      <c r="N26" s="1">
        <v>1</v>
      </c>
      <c r="O26" s="1">
        <v>0</v>
      </c>
      <c r="P26" s="1">
        <v>6</v>
      </c>
      <c r="Q26" s="1">
        <v>0</v>
      </c>
      <c r="R26" s="1">
        <v>7</v>
      </c>
      <c r="S26" s="1">
        <v>0</v>
      </c>
      <c r="T26">
        <f>SUM(tbl_Beneficiaries[[#This Row],[ التربية الخاصة ]:[ التأهيل النفسي الحركي ]])</f>
        <v>14</v>
      </c>
    </row>
    <row r="27" spans="1:20" x14ac:dyDescent="0.2">
      <c r="A27" s="1">
        <v>26</v>
      </c>
      <c r="B27" s="1">
        <v>1057659923</v>
      </c>
      <c r="C27" s="1" t="s">
        <v>93</v>
      </c>
      <c r="D27" s="1" t="s">
        <v>7</v>
      </c>
      <c r="E27" s="3">
        <v>42251</v>
      </c>
      <c r="F27" s="1" t="s">
        <v>359</v>
      </c>
      <c r="G27" s="1" t="s">
        <v>1</v>
      </c>
      <c r="H27" s="3">
        <v>44915</v>
      </c>
      <c r="I27" t="str">
        <f>IFERROR(INDEX('تشخيص الحالات'!$D$2:$D$1001,SUMPRODUCT(('تشخيص الحالات'!$B$2:$B$1001=B27)*('تشخيص الحالات'!$G$2:$G$1001=1)*ROW('تشخيص الحالات'!$B$2:$B$1001))-1),"")&amp;IF(SUMPRODUCT(('تشخيص الحالات'!$B$2:$B$1001=B27)*('تشخيص الحالات'!$G$2:$G$1001=2))&gt;0,"، "&amp;IFERROR(INDEX('تشخيص الحالات'!$D$2:$D$1001,SUMPRODUCT(('تشخيص الحالات'!$B$2:$B$1001=B27)*('تشخيص الحالات'!$G$2:$G$1001=2)*ROW('تشخيص الحالات'!$B$2:$B$1001))-1),""),"")&amp;IF(SUMPRODUCT(('تشخيص الحالات'!$B$2:$B$1001=B27)*('تشخيص الحالات'!$G$2:$G$1001=3))&gt;0,"، "&amp;IFERROR(INDEX('تشخيص الحالات'!$D$2:$D$1001,SUMPRODUCT(('تشخيص الحالات'!$B$2:$B$1001=B27)*('تشخيص الحالات'!$G$2:$G$1001=3)*ROW('تشخيص الحالات'!$B$2:$B$1001))-1),""),"")&amp;IF(SUMPRODUCT(('تشخيص الحالات'!$B$2:$B$1001=B27)*('تشخيص الحالات'!$G$2:$G$1001=4))&gt;0,"، "&amp;IFERROR(INDEX('تشخيص الحالات'!$D$2:$D$1001,SUMPRODUCT(('تشخيص الحالات'!$B$2:$B$1001=B27)*('تشخيص الحالات'!$G$2:$G$1001=4)*ROW('تشخيص الحالات'!$B$2:$B$1001))-1),""),"")&amp;IF(SUMPRODUCT(('تشخيص الحالات'!$B$2:$B$1001=B27)*('تشخيص الحالات'!$G$2:$G$1001=5))&gt;0,"، "&amp;IFERROR(INDEX('تشخيص الحالات'!$D$2:$D$1001,SUMPRODUCT(('تشخيص الحالات'!$B$2:$B$1001=B27)*('تشخيص الحالات'!$G$2:$G$1001=5)*ROW('تشخيص الحالات'!$B$2:$B$1001))-1),""),"")&amp;IF(SUMPRODUCT(('تشخيص الحالات'!$B$2:$B$1001=B27)*('تشخيص الحالات'!$G$2:$G$1001=6))&gt;0,"، "&amp;IFERROR(INDEX('تشخيص الحالات'!$D$2:$D$1001,SUMPRODUCT(('تشخيص الحالات'!$B$2:$B$1001=B27)*('تشخيص الحالات'!$G$2:$G$1001=6)*ROW('تشخيص الحالات'!$B$2:$B$1001))-1),""),"")&amp;IF(SUMPRODUCT(('تشخيص الحالات'!$B$2:$B$1001=B27)*('تشخيص الحالات'!$G$2:$G$1001=7))&gt;0,"، "&amp;IFERROR(INDEX('تشخيص الحالات'!$D$2:$D$1001,SUMPRODUCT(('تشخيص الحالات'!$B$2:$B$1001=B27)*('تشخيص الحالات'!$G$2:$G$1001=7)*ROW('تشخيص الحالات'!$B$2:$B$1001))-1),""),"")&amp;IF(SUMPRODUCT(('تشخيص الحالات'!$B$2:$B$1001=B27)*('تشخيص الحالات'!$G$2:$G$1001=8))&gt;0,"، "&amp;IFERROR(INDEX('تشخيص الحالات'!$D$2:$D$1001,SUMPRODUCT(('تشخيص الحالات'!$B$2:$B$1001=B27)*('تشخيص الحالات'!$G$2:$G$1001=8)*ROW('تشخيص الحالات'!$B$2:$B$1001))-1),""),"")</f>
        <v>مشكلات لغوية، إعاقة ذهنية، اضطرابات سلوكية</v>
      </c>
      <c r="J27" s="1">
        <v>91</v>
      </c>
      <c r="K27" s="1" t="s">
        <v>4</v>
      </c>
      <c r="L27" s="1">
        <v>4000</v>
      </c>
      <c r="M27" s="1" t="s">
        <v>44</v>
      </c>
      <c r="N27" s="1">
        <v>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>
        <f>SUM(tbl_Beneficiaries[[#This Row],[ التربية الخاصة ]:[ التأهيل النفسي الحركي ]])</f>
        <v>2</v>
      </c>
    </row>
    <row r="28" spans="1:20" x14ac:dyDescent="0.2">
      <c r="A28" s="1">
        <v>27</v>
      </c>
      <c r="B28" s="1">
        <v>1590618188</v>
      </c>
      <c r="C28" s="1" t="s">
        <v>386</v>
      </c>
      <c r="D28" s="1" t="s">
        <v>7</v>
      </c>
      <c r="E28" s="3">
        <v>41999</v>
      </c>
      <c r="F28" s="1" t="s">
        <v>361</v>
      </c>
      <c r="G28" s="1" t="s">
        <v>4</v>
      </c>
      <c r="H28" s="3">
        <v>45510</v>
      </c>
      <c r="I28" t="str">
        <f>IFERROR(INDEX('تشخيص الحالات'!$D$2:$D$1001,SUMPRODUCT(('تشخيص الحالات'!$B$2:$B$1001=B28)*('تشخيص الحالات'!$G$2:$G$1001=1)*ROW('تشخيص الحالات'!$B$2:$B$1001))-1),"")&amp;IF(SUMPRODUCT(('تشخيص الحالات'!$B$2:$B$1001=B28)*('تشخيص الحالات'!$G$2:$G$1001=2))&gt;0,"، "&amp;IFERROR(INDEX('تشخيص الحالات'!$D$2:$D$1001,SUMPRODUCT(('تشخيص الحالات'!$B$2:$B$1001=B28)*('تشخيص الحالات'!$G$2:$G$1001=2)*ROW('تشخيص الحالات'!$B$2:$B$1001))-1),""),"")&amp;IF(SUMPRODUCT(('تشخيص الحالات'!$B$2:$B$1001=B28)*('تشخيص الحالات'!$G$2:$G$1001=3))&gt;0,"، "&amp;IFERROR(INDEX('تشخيص الحالات'!$D$2:$D$1001,SUMPRODUCT(('تشخيص الحالات'!$B$2:$B$1001=B28)*('تشخيص الحالات'!$G$2:$G$1001=3)*ROW('تشخيص الحالات'!$B$2:$B$1001))-1),""),"")&amp;IF(SUMPRODUCT(('تشخيص الحالات'!$B$2:$B$1001=B28)*('تشخيص الحالات'!$G$2:$G$1001=4))&gt;0,"، "&amp;IFERROR(INDEX('تشخيص الحالات'!$D$2:$D$1001,SUMPRODUCT(('تشخيص الحالات'!$B$2:$B$1001=B28)*('تشخيص الحالات'!$G$2:$G$1001=4)*ROW('تشخيص الحالات'!$B$2:$B$1001))-1),""),"")&amp;IF(SUMPRODUCT(('تشخيص الحالات'!$B$2:$B$1001=B28)*('تشخيص الحالات'!$G$2:$G$1001=5))&gt;0,"، "&amp;IFERROR(INDEX('تشخيص الحالات'!$D$2:$D$1001,SUMPRODUCT(('تشخيص الحالات'!$B$2:$B$1001=B28)*('تشخيص الحالات'!$G$2:$G$1001=5)*ROW('تشخيص الحالات'!$B$2:$B$1001))-1),""),"")&amp;IF(SUMPRODUCT(('تشخيص الحالات'!$B$2:$B$1001=B28)*('تشخيص الحالات'!$G$2:$G$1001=6))&gt;0,"، "&amp;IFERROR(INDEX('تشخيص الحالات'!$D$2:$D$1001,SUMPRODUCT(('تشخيص الحالات'!$B$2:$B$1001=B28)*('تشخيص الحالات'!$G$2:$G$1001=6)*ROW('تشخيص الحالات'!$B$2:$B$1001))-1),""),"")&amp;IF(SUMPRODUCT(('تشخيص الحالات'!$B$2:$B$1001=B28)*('تشخيص الحالات'!$G$2:$G$1001=7))&gt;0,"، "&amp;IFERROR(INDEX('تشخيص الحالات'!$D$2:$D$1001,SUMPRODUCT(('تشخيص الحالات'!$B$2:$B$1001=B28)*('تشخيص الحالات'!$G$2:$G$1001=7)*ROW('تشخيص الحالات'!$B$2:$B$1001))-1),""),"")&amp;IF(SUMPRODUCT(('تشخيص الحالات'!$B$2:$B$1001=B28)*('تشخيص الحالات'!$G$2:$G$1001=8))&gt;0,"، "&amp;IFERROR(INDEX('تشخيص الحالات'!$D$2:$D$1001,SUMPRODUCT(('تشخيص الحالات'!$B$2:$B$1001=B28)*('تشخيص الحالات'!$G$2:$G$1001=8)*ROW('تشخيص الحالات'!$B$2:$B$1001))-1),""),"")</f>
        <v>اضطراب طيف التوحد، اضطراب نفسي حركي، اضطراب نفسي، اضطراب تواصل اجتماعي</v>
      </c>
      <c r="J28" s="1">
        <v>63</v>
      </c>
      <c r="K28" s="1" t="s">
        <v>38</v>
      </c>
      <c r="L28" s="1">
        <v>2000</v>
      </c>
      <c r="M28" s="1" t="s">
        <v>41</v>
      </c>
      <c r="N28" s="1">
        <v>0</v>
      </c>
      <c r="O28" s="1">
        <v>8</v>
      </c>
      <c r="P28" s="1">
        <v>3</v>
      </c>
      <c r="Q28" s="1">
        <v>8</v>
      </c>
      <c r="R28" s="1">
        <v>9</v>
      </c>
      <c r="S28" s="1">
        <v>1</v>
      </c>
      <c r="T28">
        <f>SUM(tbl_Beneficiaries[[#This Row],[ التربية الخاصة ]:[ التأهيل النفسي الحركي ]])</f>
        <v>29</v>
      </c>
    </row>
    <row r="29" spans="1:20" x14ac:dyDescent="0.2">
      <c r="A29" s="1">
        <v>28</v>
      </c>
      <c r="B29" s="1">
        <v>1998973443</v>
      </c>
      <c r="C29" s="1" t="s">
        <v>387</v>
      </c>
      <c r="D29" s="1" t="s">
        <v>3</v>
      </c>
      <c r="E29" s="3">
        <v>44041</v>
      </c>
      <c r="F29" s="1" t="s">
        <v>361</v>
      </c>
      <c r="G29" s="1" t="s">
        <v>4</v>
      </c>
      <c r="H29" s="3">
        <v>45533</v>
      </c>
      <c r="I29" t="str">
        <f>IFERROR(INDEX('تشخيص الحالات'!$D$2:$D$1001,SUMPRODUCT(('تشخيص الحالات'!$B$2:$B$1001=B29)*('تشخيص الحالات'!$G$2:$G$1001=1)*ROW('تشخيص الحالات'!$B$2:$B$1001))-1),"")&amp;IF(SUMPRODUCT(('تشخيص الحالات'!$B$2:$B$1001=B29)*('تشخيص الحالات'!$G$2:$G$1001=2))&gt;0,"، "&amp;IFERROR(INDEX('تشخيص الحالات'!$D$2:$D$1001,SUMPRODUCT(('تشخيص الحالات'!$B$2:$B$1001=B29)*('تشخيص الحالات'!$G$2:$G$1001=2)*ROW('تشخيص الحالات'!$B$2:$B$1001))-1),""),"")&amp;IF(SUMPRODUCT(('تشخيص الحالات'!$B$2:$B$1001=B29)*('تشخيص الحالات'!$G$2:$G$1001=3))&gt;0,"، "&amp;IFERROR(INDEX('تشخيص الحالات'!$D$2:$D$1001,SUMPRODUCT(('تشخيص الحالات'!$B$2:$B$1001=B29)*('تشخيص الحالات'!$G$2:$G$1001=3)*ROW('تشخيص الحالات'!$B$2:$B$1001))-1),""),"")&amp;IF(SUMPRODUCT(('تشخيص الحالات'!$B$2:$B$1001=B29)*('تشخيص الحالات'!$G$2:$G$1001=4))&gt;0,"، "&amp;IFERROR(INDEX('تشخيص الحالات'!$D$2:$D$1001,SUMPRODUCT(('تشخيص الحالات'!$B$2:$B$1001=B29)*('تشخيص الحالات'!$G$2:$G$1001=4)*ROW('تشخيص الحالات'!$B$2:$B$1001))-1),""),"")&amp;IF(SUMPRODUCT(('تشخيص الحالات'!$B$2:$B$1001=B29)*('تشخيص الحالات'!$G$2:$G$1001=5))&gt;0,"، "&amp;IFERROR(INDEX('تشخيص الحالات'!$D$2:$D$1001,SUMPRODUCT(('تشخيص الحالات'!$B$2:$B$1001=B29)*('تشخيص الحالات'!$G$2:$G$1001=5)*ROW('تشخيص الحالات'!$B$2:$B$1001))-1),""),"")&amp;IF(SUMPRODUCT(('تشخيص الحالات'!$B$2:$B$1001=B29)*('تشخيص الحالات'!$G$2:$G$1001=6))&gt;0,"، "&amp;IFERROR(INDEX('تشخيص الحالات'!$D$2:$D$1001,SUMPRODUCT(('تشخيص الحالات'!$B$2:$B$1001=B29)*('تشخيص الحالات'!$G$2:$G$1001=6)*ROW('تشخيص الحالات'!$B$2:$B$1001))-1),""),"")&amp;IF(SUMPRODUCT(('تشخيص الحالات'!$B$2:$B$1001=B29)*('تشخيص الحالات'!$G$2:$G$1001=7))&gt;0,"، "&amp;IFERROR(INDEX('تشخيص الحالات'!$D$2:$D$1001,SUMPRODUCT(('تشخيص الحالات'!$B$2:$B$1001=B29)*('تشخيص الحالات'!$G$2:$G$1001=7)*ROW('تشخيص الحالات'!$B$2:$B$1001))-1),""),"")&amp;IF(SUMPRODUCT(('تشخيص الحالات'!$B$2:$B$1001=B29)*('تشخيص الحالات'!$G$2:$G$1001=8))&gt;0,"، "&amp;IFERROR(INDEX('تشخيص الحالات'!$D$2:$D$1001,SUMPRODUCT(('تشخيص الحالات'!$B$2:$B$1001=B29)*('تشخيص الحالات'!$G$2:$G$1001=8)*ROW('تشخيص الحالات'!$B$2:$B$1001))-1),""),"")</f>
        <v>اضطرابات سلوكية، إعاقة ذهنية</v>
      </c>
      <c r="J29" s="1">
        <v>94</v>
      </c>
      <c r="K29" s="1" t="s">
        <v>38</v>
      </c>
      <c r="L29" s="1">
        <v>2500</v>
      </c>
      <c r="M29" s="1" t="s">
        <v>40</v>
      </c>
      <c r="N29" s="1">
        <v>0</v>
      </c>
      <c r="O29" s="1">
        <v>1</v>
      </c>
      <c r="P29" s="1">
        <v>5</v>
      </c>
      <c r="Q29" s="1">
        <v>0</v>
      </c>
      <c r="R29" s="1">
        <v>0</v>
      </c>
      <c r="S29" s="1">
        <v>7</v>
      </c>
      <c r="T29">
        <f>SUM(tbl_Beneficiaries[[#This Row],[ التربية الخاصة ]:[ التأهيل النفسي الحركي ]])</f>
        <v>13</v>
      </c>
    </row>
    <row r="30" spans="1:20" x14ac:dyDescent="0.2">
      <c r="A30" s="1">
        <v>29</v>
      </c>
      <c r="B30" s="1">
        <v>1838907615</v>
      </c>
      <c r="C30" s="1" t="s">
        <v>388</v>
      </c>
      <c r="D30" s="1" t="s">
        <v>7</v>
      </c>
      <c r="E30" s="3">
        <v>43477</v>
      </c>
      <c r="F30" s="1" t="s">
        <v>358</v>
      </c>
      <c r="G30" s="1" t="s">
        <v>4</v>
      </c>
      <c r="H30" s="3">
        <v>44972</v>
      </c>
      <c r="I30" t="str">
        <f>IFERROR(INDEX('تشخيص الحالات'!$D$2:$D$1001,SUMPRODUCT(('تشخيص الحالات'!$B$2:$B$1001=B30)*('تشخيص الحالات'!$G$2:$G$1001=1)*ROW('تشخيص الحالات'!$B$2:$B$1001))-1),"")&amp;IF(SUMPRODUCT(('تشخيص الحالات'!$B$2:$B$1001=B30)*('تشخيص الحالات'!$G$2:$G$1001=2))&gt;0,"، "&amp;IFERROR(INDEX('تشخيص الحالات'!$D$2:$D$1001,SUMPRODUCT(('تشخيص الحالات'!$B$2:$B$1001=B30)*('تشخيص الحالات'!$G$2:$G$1001=2)*ROW('تشخيص الحالات'!$B$2:$B$1001))-1),""),"")&amp;IF(SUMPRODUCT(('تشخيص الحالات'!$B$2:$B$1001=B30)*('تشخيص الحالات'!$G$2:$G$1001=3))&gt;0,"، "&amp;IFERROR(INDEX('تشخيص الحالات'!$D$2:$D$1001,SUMPRODUCT(('تشخيص الحالات'!$B$2:$B$1001=B30)*('تشخيص الحالات'!$G$2:$G$1001=3)*ROW('تشخيص الحالات'!$B$2:$B$1001))-1),""),"")&amp;IF(SUMPRODUCT(('تشخيص الحالات'!$B$2:$B$1001=B30)*('تشخيص الحالات'!$G$2:$G$1001=4))&gt;0,"، "&amp;IFERROR(INDEX('تشخيص الحالات'!$D$2:$D$1001,SUMPRODUCT(('تشخيص الحالات'!$B$2:$B$1001=B30)*('تشخيص الحالات'!$G$2:$G$1001=4)*ROW('تشخيص الحالات'!$B$2:$B$1001))-1),""),"")&amp;IF(SUMPRODUCT(('تشخيص الحالات'!$B$2:$B$1001=B30)*('تشخيص الحالات'!$G$2:$G$1001=5))&gt;0,"، "&amp;IFERROR(INDEX('تشخيص الحالات'!$D$2:$D$1001,SUMPRODUCT(('تشخيص الحالات'!$B$2:$B$1001=B30)*('تشخيص الحالات'!$G$2:$G$1001=5)*ROW('تشخيص الحالات'!$B$2:$B$1001))-1),""),"")&amp;IF(SUMPRODUCT(('تشخيص الحالات'!$B$2:$B$1001=B30)*('تشخيص الحالات'!$G$2:$G$1001=6))&gt;0,"، "&amp;IFERROR(INDEX('تشخيص الحالات'!$D$2:$D$1001,SUMPRODUCT(('تشخيص الحالات'!$B$2:$B$1001=B30)*('تشخيص الحالات'!$G$2:$G$1001=6)*ROW('تشخيص الحالات'!$B$2:$B$1001))-1),""),"")&amp;IF(SUMPRODUCT(('تشخيص الحالات'!$B$2:$B$1001=B30)*('تشخيص الحالات'!$G$2:$G$1001=7))&gt;0,"، "&amp;IFERROR(INDEX('تشخيص الحالات'!$D$2:$D$1001,SUMPRODUCT(('تشخيص الحالات'!$B$2:$B$1001=B30)*('تشخيص الحالات'!$G$2:$G$1001=7)*ROW('تشخيص الحالات'!$B$2:$B$1001))-1),""),"")&amp;IF(SUMPRODUCT(('تشخيص الحالات'!$B$2:$B$1001=B30)*('تشخيص الحالات'!$G$2:$G$1001=8))&gt;0,"، "&amp;IFERROR(INDEX('تشخيص الحالات'!$D$2:$D$1001,SUMPRODUCT(('تشخيص الحالات'!$B$2:$B$1001=B30)*('تشخيص الحالات'!$G$2:$G$1001=8)*ROW('تشخيص الحالات'!$B$2:$B$1001))-1),""),"")</f>
        <v>فرط الحركة وتشتت الانتباه، تأخر حركي، صعوبات تعلم، إعاقة ذهنية</v>
      </c>
      <c r="J30" s="1">
        <v>90</v>
      </c>
      <c r="K30" s="1" t="s">
        <v>4</v>
      </c>
      <c r="L30" s="1">
        <v>1500</v>
      </c>
      <c r="M30" s="1" t="s">
        <v>44</v>
      </c>
      <c r="N30" s="1">
        <v>0</v>
      </c>
      <c r="O30" s="1">
        <v>7</v>
      </c>
      <c r="P30" s="1">
        <v>5</v>
      </c>
      <c r="Q30" s="1">
        <v>0</v>
      </c>
      <c r="R30" s="1">
        <v>0</v>
      </c>
      <c r="S30" s="1">
        <v>4</v>
      </c>
      <c r="T30">
        <f>SUM(tbl_Beneficiaries[[#This Row],[ التربية الخاصة ]:[ التأهيل النفسي الحركي ]])</f>
        <v>16</v>
      </c>
    </row>
    <row r="31" spans="1:20" x14ac:dyDescent="0.2">
      <c r="A31" s="1">
        <v>30</v>
      </c>
      <c r="B31" s="1">
        <v>1252971687</v>
      </c>
      <c r="C31" s="1" t="s">
        <v>94</v>
      </c>
      <c r="D31" s="1" t="s">
        <v>7</v>
      </c>
      <c r="E31" s="3">
        <v>42209</v>
      </c>
      <c r="F31" s="1" t="s">
        <v>359</v>
      </c>
      <c r="G31" s="1" t="s">
        <v>0</v>
      </c>
      <c r="H31" s="3">
        <v>44660</v>
      </c>
      <c r="I31" t="str">
        <f>IFERROR(INDEX('تشخيص الحالات'!$D$2:$D$1001,SUMPRODUCT(('تشخيص الحالات'!$B$2:$B$1001=B31)*('تشخيص الحالات'!$G$2:$G$1001=1)*ROW('تشخيص الحالات'!$B$2:$B$1001))-1),"")&amp;IF(SUMPRODUCT(('تشخيص الحالات'!$B$2:$B$1001=B31)*('تشخيص الحالات'!$G$2:$G$1001=2))&gt;0,"، "&amp;IFERROR(INDEX('تشخيص الحالات'!$D$2:$D$1001,SUMPRODUCT(('تشخيص الحالات'!$B$2:$B$1001=B31)*('تشخيص الحالات'!$G$2:$G$1001=2)*ROW('تشخيص الحالات'!$B$2:$B$1001))-1),""),"")&amp;IF(SUMPRODUCT(('تشخيص الحالات'!$B$2:$B$1001=B31)*('تشخيص الحالات'!$G$2:$G$1001=3))&gt;0,"، "&amp;IFERROR(INDEX('تشخيص الحالات'!$D$2:$D$1001,SUMPRODUCT(('تشخيص الحالات'!$B$2:$B$1001=B31)*('تشخيص الحالات'!$G$2:$G$1001=3)*ROW('تشخيص الحالات'!$B$2:$B$1001))-1),""),"")&amp;IF(SUMPRODUCT(('تشخيص الحالات'!$B$2:$B$1001=B31)*('تشخيص الحالات'!$G$2:$G$1001=4))&gt;0,"، "&amp;IFERROR(INDEX('تشخيص الحالات'!$D$2:$D$1001,SUMPRODUCT(('تشخيص الحالات'!$B$2:$B$1001=B31)*('تشخيص الحالات'!$G$2:$G$1001=4)*ROW('تشخيص الحالات'!$B$2:$B$1001))-1),""),"")&amp;IF(SUMPRODUCT(('تشخيص الحالات'!$B$2:$B$1001=B31)*('تشخيص الحالات'!$G$2:$G$1001=5))&gt;0,"، "&amp;IFERROR(INDEX('تشخيص الحالات'!$D$2:$D$1001,SUMPRODUCT(('تشخيص الحالات'!$B$2:$B$1001=B31)*('تشخيص الحالات'!$G$2:$G$1001=5)*ROW('تشخيص الحالات'!$B$2:$B$1001))-1),""),"")&amp;IF(SUMPRODUCT(('تشخيص الحالات'!$B$2:$B$1001=B31)*('تشخيص الحالات'!$G$2:$G$1001=6))&gt;0,"، "&amp;IFERROR(INDEX('تشخيص الحالات'!$D$2:$D$1001,SUMPRODUCT(('تشخيص الحالات'!$B$2:$B$1001=B31)*('تشخيص الحالات'!$G$2:$G$1001=6)*ROW('تشخيص الحالات'!$B$2:$B$1001))-1),""),"")&amp;IF(SUMPRODUCT(('تشخيص الحالات'!$B$2:$B$1001=B31)*('تشخيص الحالات'!$G$2:$G$1001=7))&gt;0,"، "&amp;IFERROR(INDEX('تشخيص الحالات'!$D$2:$D$1001,SUMPRODUCT(('تشخيص الحالات'!$B$2:$B$1001=B31)*('تشخيص الحالات'!$G$2:$G$1001=7)*ROW('تشخيص الحالات'!$B$2:$B$1001))-1),""),"")&amp;IF(SUMPRODUCT(('تشخيص الحالات'!$B$2:$B$1001=B31)*('تشخيص الحالات'!$G$2:$G$1001=8))&gt;0,"، "&amp;IFERROR(INDEX('تشخيص الحالات'!$D$2:$D$1001,SUMPRODUCT(('تشخيص الحالات'!$B$2:$B$1001=B31)*('تشخيص الحالات'!$G$2:$G$1001=8)*ROW('تشخيص الحالات'!$B$2:$B$1001))-1),""),"")</f>
        <v>فرط الحركة وتشتت الانتباه، تأخر حركي، اضطراب طيف التوحد، اضطراب نفسي</v>
      </c>
      <c r="J31" s="1">
        <v>71</v>
      </c>
      <c r="K31" s="1" t="s">
        <v>4</v>
      </c>
      <c r="L31" s="1">
        <v>1500</v>
      </c>
      <c r="M31" s="1" t="s">
        <v>44</v>
      </c>
      <c r="N31" s="1">
        <v>3</v>
      </c>
      <c r="O31" s="1">
        <v>0</v>
      </c>
      <c r="P31" s="1">
        <v>6</v>
      </c>
      <c r="Q31" s="1">
        <v>9</v>
      </c>
      <c r="R31" s="1">
        <v>4</v>
      </c>
      <c r="S31" s="1">
        <v>0</v>
      </c>
      <c r="T31">
        <f>SUM(tbl_Beneficiaries[[#This Row],[ التربية الخاصة ]:[ التأهيل النفسي الحركي ]])</f>
        <v>22</v>
      </c>
    </row>
    <row r="32" spans="1:20" x14ac:dyDescent="0.2">
      <c r="A32" s="1">
        <v>31</v>
      </c>
      <c r="B32" s="1">
        <v>1737713745</v>
      </c>
      <c r="C32" s="1" t="s">
        <v>95</v>
      </c>
      <c r="D32" s="1" t="s">
        <v>7</v>
      </c>
      <c r="E32" s="3">
        <v>41886</v>
      </c>
      <c r="F32" s="1" t="s">
        <v>359</v>
      </c>
      <c r="G32" s="1" t="s">
        <v>4</v>
      </c>
      <c r="H32" s="3">
        <v>45053</v>
      </c>
      <c r="I32" t="str">
        <f>IFERROR(INDEX('تشخيص الحالات'!$D$2:$D$1001,SUMPRODUCT(('تشخيص الحالات'!$B$2:$B$1001=B32)*('تشخيص الحالات'!$G$2:$G$1001=1)*ROW('تشخيص الحالات'!$B$2:$B$1001))-1),"")&amp;IF(SUMPRODUCT(('تشخيص الحالات'!$B$2:$B$1001=B32)*('تشخيص الحالات'!$G$2:$G$1001=2))&gt;0,"، "&amp;IFERROR(INDEX('تشخيص الحالات'!$D$2:$D$1001,SUMPRODUCT(('تشخيص الحالات'!$B$2:$B$1001=B32)*('تشخيص الحالات'!$G$2:$G$1001=2)*ROW('تشخيص الحالات'!$B$2:$B$1001))-1),""),"")&amp;IF(SUMPRODUCT(('تشخيص الحالات'!$B$2:$B$1001=B32)*('تشخيص الحالات'!$G$2:$G$1001=3))&gt;0,"، "&amp;IFERROR(INDEX('تشخيص الحالات'!$D$2:$D$1001,SUMPRODUCT(('تشخيص الحالات'!$B$2:$B$1001=B32)*('تشخيص الحالات'!$G$2:$G$1001=3)*ROW('تشخيص الحالات'!$B$2:$B$1001))-1),""),"")&amp;IF(SUMPRODUCT(('تشخيص الحالات'!$B$2:$B$1001=B32)*('تشخيص الحالات'!$G$2:$G$1001=4))&gt;0,"، "&amp;IFERROR(INDEX('تشخيص الحالات'!$D$2:$D$1001,SUMPRODUCT(('تشخيص الحالات'!$B$2:$B$1001=B32)*('تشخيص الحالات'!$G$2:$G$1001=4)*ROW('تشخيص الحالات'!$B$2:$B$1001))-1),""),"")&amp;IF(SUMPRODUCT(('تشخيص الحالات'!$B$2:$B$1001=B32)*('تشخيص الحالات'!$G$2:$G$1001=5))&gt;0,"، "&amp;IFERROR(INDEX('تشخيص الحالات'!$D$2:$D$1001,SUMPRODUCT(('تشخيص الحالات'!$B$2:$B$1001=B32)*('تشخيص الحالات'!$G$2:$G$1001=5)*ROW('تشخيص الحالات'!$B$2:$B$1001))-1),""),"")&amp;IF(SUMPRODUCT(('تشخيص الحالات'!$B$2:$B$1001=B32)*('تشخيص الحالات'!$G$2:$G$1001=6))&gt;0,"، "&amp;IFERROR(INDEX('تشخيص الحالات'!$D$2:$D$1001,SUMPRODUCT(('تشخيص الحالات'!$B$2:$B$1001=B32)*('تشخيص الحالات'!$G$2:$G$1001=6)*ROW('تشخيص الحالات'!$B$2:$B$1001))-1),""),"")&amp;IF(SUMPRODUCT(('تشخيص الحالات'!$B$2:$B$1001=B32)*('تشخيص الحالات'!$G$2:$G$1001=7))&gt;0,"، "&amp;IFERROR(INDEX('تشخيص الحالات'!$D$2:$D$1001,SUMPRODUCT(('تشخيص الحالات'!$B$2:$B$1001=B32)*('تشخيص الحالات'!$G$2:$G$1001=7)*ROW('تشخيص الحالات'!$B$2:$B$1001))-1),""),"")&amp;IF(SUMPRODUCT(('تشخيص الحالات'!$B$2:$B$1001=B32)*('تشخيص الحالات'!$G$2:$G$1001=8))&gt;0,"، "&amp;IFERROR(INDEX('تشخيص الحالات'!$D$2:$D$1001,SUMPRODUCT(('تشخيص الحالات'!$B$2:$B$1001=B32)*('تشخيص الحالات'!$G$2:$G$1001=8)*ROW('تشخيص الحالات'!$B$2:$B$1001))-1),""),"")</f>
        <v>اضطراب نفسي حركي</v>
      </c>
      <c r="J32" s="1">
        <v>62</v>
      </c>
      <c r="K32" s="1" t="s">
        <v>38</v>
      </c>
      <c r="L32" s="1">
        <v>2500</v>
      </c>
      <c r="M32" s="1" t="s">
        <v>43</v>
      </c>
      <c r="N32" s="1">
        <v>3</v>
      </c>
      <c r="O32" s="1">
        <v>0</v>
      </c>
      <c r="P32" s="1">
        <v>0</v>
      </c>
      <c r="Q32" s="1">
        <v>9</v>
      </c>
      <c r="R32" s="1">
        <v>0</v>
      </c>
      <c r="S32" s="1">
        <v>0</v>
      </c>
      <c r="T32">
        <f>SUM(tbl_Beneficiaries[[#This Row],[ التربية الخاصة ]:[ التأهيل النفسي الحركي ]])</f>
        <v>12</v>
      </c>
    </row>
    <row r="33" spans="1:20" x14ac:dyDescent="0.2">
      <c r="A33" s="1">
        <v>32</v>
      </c>
      <c r="B33" s="1">
        <v>1020269730</v>
      </c>
      <c r="C33" s="1" t="s">
        <v>389</v>
      </c>
      <c r="D33" s="1" t="s">
        <v>3</v>
      </c>
      <c r="E33" s="3">
        <v>43834</v>
      </c>
      <c r="F33" s="1" t="s">
        <v>359</v>
      </c>
      <c r="G33" s="1" t="s">
        <v>1</v>
      </c>
      <c r="H33" s="3">
        <v>45408</v>
      </c>
      <c r="I33" t="str">
        <f>IFERROR(INDEX('تشخيص الحالات'!$D$2:$D$1001,SUMPRODUCT(('تشخيص الحالات'!$B$2:$B$1001=B33)*('تشخيص الحالات'!$G$2:$G$1001=1)*ROW('تشخيص الحالات'!$B$2:$B$1001))-1),"")&amp;IF(SUMPRODUCT(('تشخيص الحالات'!$B$2:$B$1001=B33)*('تشخيص الحالات'!$G$2:$G$1001=2))&gt;0,"، "&amp;IFERROR(INDEX('تشخيص الحالات'!$D$2:$D$1001,SUMPRODUCT(('تشخيص الحالات'!$B$2:$B$1001=B33)*('تشخيص الحالات'!$G$2:$G$1001=2)*ROW('تشخيص الحالات'!$B$2:$B$1001))-1),""),"")&amp;IF(SUMPRODUCT(('تشخيص الحالات'!$B$2:$B$1001=B33)*('تشخيص الحالات'!$G$2:$G$1001=3))&gt;0,"، "&amp;IFERROR(INDEX('تشخيص الحالات'!$D$2:$D$1001,SUMPRODUCT(('تشخيص الحالات'!$B$2:$B$1001=B33)*('تشخيص الحالات'!$G$2:$G$1001=3)*ROW('تشخيص الحالات'!$B$2:$B$1001))-1),""),"")&amp;IF(SUMPRODUCT(('تشخيص الحالات'!$B$2:$B$1001=B33)*('تشخيص الحالات'!$G$2:$G$1001=4))&gt;0,"، "&amp;IFERROR(INDEX('تشخيص الحالات'!$D$2:$D$1001,SUMPRODUCT(('تشخيص الحالات'!$B$2:$B$1001=B33)*('تشخيص الحالات'!$G$2:$G$1001=4)*ROW('تشخيص الحالات'!$B$2:$B$1001))-1),""),"")&amp;IF(SUMPRODUCT(('تشخيص الحالات'!$B$2:$B$1001=B33)*('تشخيص الحالات'!$G$2:$G$1001=5))&gt;0,"، "&amp;IFERROR(INDEX('تشخيص الحالات'!$D$2:$D$1001,SUMPRODUCT(('تشخيص الحالات'!$B$2:$B$1001=B33)*('تشخيص الحالات'!$G$2:$G$1001=5)*ROW('تشخيص الحالات'!$B$2:$B$1001))-1),""),"")&amp;IF(SUMPRODUCT(('تشخيص الحالات'!$B$2:$B$1001=B33)*('تشخيص الحالات'!$G$2:$G$1001=6))&gt;0,"، "&amp;IFERROR(INDEX('تشخيص الحالات'!$D$2:$D$1001,SUMPRODUCT(('تشخيص الحالات'!$B$2:$B$1001=B33)*('تشخيص الحالات'!$G$2:$G$1001=6)*ROW('تشخيص الحالات'!$B$2:$B$1001))-1),""),"")&amp;IF(SUMPRODUCT(('تشخيص الحالات'!$B$2:$B$1001=B33)*('تشخيص الحالات'!$G$2:$G$1001=7))&gt;0,"، "&amp;IFERROR(INDEX('تشخيص الحالات'!$D$2:$D$1001,SUMPRODUCT(('تشخيص الحالات'!$B$2:$B$1001=B33)*('تشخيص الحالات'!$G$2:$G$1001=7)*ROW('تشخيص الحالات'!$B$2:$B$1001))-1),""),"")&amp;IF(SUMPRODUCT(('تشخيص الحالات'!$B$2:$B$1001=B33)*('تشخيص الحالات'!$G$2:$G$1001=8))&gt;0,"، "&amp;IFERROR(INDEX('تشخيص الحالات'!$D$2:$D$1001,SUMPRODUCT(('تشخيص الحالات'!$B$2:$B$1001=B33)*('تشخيص الحالات'!$G$2:$G$1001=8)*ROW('تشخيص الحالات'!$B$2:$B$1001))-1),""),"")</f>
        <v>اضطراب طيف التوحد</v>
      </c>
      <c r="J33" s="1">
        <v>96</v>
      </c>
      <c r="K33" s="1" t="s">
        <v>39</v>
      </c>
      <c r="L33" s="1">
        <v>3000</v>
      </c>
      <c r="M33" s="1" t="s">
        <v>44</v>
      </c>
      <c r="N33" s="1">
        <v>7</v>
      </c>
      <c r="O33" s="1">
        <v>0</v>
      </c>
      <c r="P33" s="1">
        <v>0</v>
      </c>
      <c r="Q33" s="1">
        <v>0</v>
      </c>
      <c r="R33" s="1">
        <v>7</v>
      </c>
      <c r="S33" s="1">
        <v>1</v>
      </c>
      <c r="T33">
        <f>SUM(tbl_Beneficiaries[[#This Row],[ التربية الخاصة ]:[ التأهيل النفسي الحركي ]])</f>
        <v>15</v>
      </c>
    </row>
    <row r="34" spans="1:20" x14ac:dyDescent="0.2">
      <c r="A34" s="1">
        <v>33</v>
      </c>
      <c r="B34" s="1">
        <v>1859263783</v>
      </c>
      <c r="C34" s="1" t="s">
        <v>390</v>
      </c>
      <c r="D34" s="1" t="s">
        <v>3</v>
      </c>
      <c r="E34" s="3">
        <v>43473</v>
      </c>
      <c r="F34" s="1" t="s">
        <v>359</v>
      </c>
      <c r="G34" s="1" t="s">
        <v>0</v>
      </c>
      <c r="H34" s="3">
        <v>44624</v>
      </c>
      <c r="I34" t="str">
        <f>IFERROR(INDEX('تشخيص الحالات'!$D$2:$D$1001,SUMPRODUCT(('تشخيص الحالات'!$B$2:$B$1001=B34)*('تشخيص الحالات'!$G$2:$G$1001=1)*ROW('تشخيص الحالات'!$B$2:$B$1001))-1),"")&amp;IF(SUMPRODUCT(('تشخيص الحالات'!$B$2:$B$1001=B34)*('تشخيص الحالات'!$G$2:$G$1001=2))&gt;0,"، "&amp;IFERROR(INDEX('تشخيص الحالات'!$D$2:$D$1001,SUMPRODUCT(('تشخيص الحالات'!$B$2:$B$1001=B34)*('تشخيص الحالات'!$G$2:$G$1001=2)*ROW('تشخيص الحالات'!$B$2:$B$1001))-1),""),"")&amp;IF(SUMPRODUCT(('تشخيص الحالات'!$B$2:$B$1001=B34)*('تشخيص الحالات'!$G$2:$G$1001=3))&gt;0,"، "&amp;IFERROR(INDEX('تشخيص الحالات'!$D$2:$D$1001,SUMPRODUCT(('تشخيص الحالات'!$B$2:$B$1001=B34)*('تشخيص الحالات'!$G$2:$G$1001=3)*ROW('تشخيص الحالات'!$B$2:$B$1001))-1),""),"")&amp;IF(SUMPRODUCT(('تشخيص الحالات'!$B$2:$B$1001=B34)*('تشخيص الحالات'!$G$2:$G$1001=4))&gt;0,"، "&amp;IFERROR(INDEX('تشخيص الحالات'!$D$2:$D$1001,SUMPRODUCT(('تشخيص الحالات'!$B$2:$B$1001=B34)*('تشخيص الحالات'!$G$2:$G$1001=4)*ROW('تشخيص الحالات'!$B$2:$B$1001))-1),""),"")&amp;IF(SUMPRODUCT(('تشخيص الحالات'!$B$2:$B$1001=B34)*('تشخيص الحالات'!$G$2:$G$1001=5))&gt;0,"، "&amp;IFERROR(INDEX('تشخيص الحالات'!$D$2:$D$1001,SUMPRODUCT(('تشخيص الحالات'!$B$2:$B$1001=B34)*('تشخيص الحالات'!$G$2:$G$1001=5)*ROW('تشخيص الحالات'!$B$2:$B$1001))-1),""),"")&amp;IF(SUMPRODUCT(('تشخيص الحالات'!$B$2:$B$1001=B34)*('تشخيص الحالات'!$G$2:$G$1001=6))&gt;0,"، "&amp;IFERROR(INDEX('تشخيص الحالات'!$D$2:$D$1001,SUMPRODUCT(('تشخيص الحالات'!$B$2:$B$1001=B34)*('تشخيص الحالات'!$G$2:$G$1001=6)*ROW('تشخيص الحالات'!$B$2:$B$1001))-1),""),"")&amp;IF(SUMPRODUCT(('تشخيص الحالات'!$B$2:$B$1001=B34)*('تشخيص الحالات'!$G$2:$G$1001=7))&gt;0,"، "&amp;IFERROR(INDEX('تشخيص الحالات'!$D$2:$D$1001,SUMPRODUCT(('تشخيص الحالات'!$B$2:$B$1001=B34)*('تشخيص الحالات'!$G$2:$G$1001=7)*ROW('تشخيص الحالات'!$B$2:$B$1001))-1),""),"")&amp;IF(SUMPRODUCT(('تشخيص الحالات'!$B$2:$B$1001=B34)*('تشخيص الحالات'!$G$2:$G$1001=8))&gt;0,"، "&amp;IFERROR(INDEX('تشخيص الحالات'!$D$2:$D$1001,SUMPRODUCT(('تشخيص الحالات'!$B$2:$B$1001=B34)*('تشخيص الحالات'!$G$2:$G$1001=8)*ROW('تشخيص الحالات'!$B$2:$B$1001))-1),""),"")</f>
        <v>صعوبات تعلم، تأخر حركي، إعاقة ذهنية، اضطراب تكامل حسي</v>
      </c>
      <c r="J34" s="1">
        <v>98</v>
      </c>
      <c r="K34" s="1" t="s">
        <v>38</v>
      </c>
      <c r="L34" s="1">
        <v>3500</v>
      </c>
      <c r="M34" s="1" t="s">
        <v>44</v>
      </c>
      <c r="N34" s="1">
        <v>0</v>
      </c>
      <c r="O34" s="1">
        <v>0</v>
      </c>
      <c r="P34" s="1">
        <v>3</v>
      </c>
      <c r="Q34" s="1">
        <v>8</v>
      </c>
      <c r="R34" s="1">
        <v>0</v>
      </c>
      <c r="S34" s="1">
        <v>4</v>
      </c>
      <c r="T34">
        <f>SUM(tbl_Beneficiaries[[#This Row],[ التربية الخاصة ]:[ التأهيل النفسي الحركي ]])</f>
        <v>15</v>
      </c>
    </row>
    <row r="35" spans="1:20" x14ac:dyDescent="0.2">
      <c r="A35" s="1">
        <v>34</v>
      </c>
      <c r="B35" s="1">
        <v>1110215725</v>
      </c>
      <c r="C35" s="1" t="s">
        <v>391</v>
      </c>
      <c r="D35" s="1" t="s">
        <v>3</v>
      </c>
      <c r="E35" s="3">
        <v>43892</v>
      </c>
      <c r="F35" s="1" t="s">
        <v>358</v>
      </c>
      <c r="G35" s="1" t="s">
        <v>4</v>
      </c>
      <c r="H35" s="3">
        <v>45509</v>
      </c>
      <c r="I35" t="str">
        <f>IFERROR(INDEX('تشخيص الحالات'!$D$2:$D$1001,SUMPRODUCT(('تشخيص الحالات'!$B$2:$B$1001=B35)*('تشخيص الحالات'!$G$2:$G$1001=1)*ROW('تشخيص الحالات'!$B$2:$B$1001))-1),"")&amp;IF(SUMPRODUCT(('تشخيص الحالات'!$B$2:$B$1001=B35)*('تشخيص الحالات'!$G$2:$G$1001=2))&gt;0,"، "&amp;IFERROR(INDEX('تشخيص الحالات'!$D$2:$D$1001,SUMPRODUCT(('تشخيص الحالات'!$B$2:$B$1001=B35)*('تشخيص الحالات'!$G$2:$G$1001=2)*ROW('تشخيص الحالات'!$B$2:$B$1001))-1),""),"")&amp;IF(SUMPRODUCT(('تشخيص الحالات'!$B$2:$B$1001=B35)*('تشخيص الحالات'!$G$2:$G$1001=3))&gt;0,"، "&amp;IFERROR(INDEX('تشخيص الحالات'!$D$2:$D$1001,SUMPRODUCT(('تشخيص الحالات'!$B$2:$B$1001=B35)*('تشخيص الحالات'!$G$2:$G$1001=3)*ROW('تشخيص الحالات'!$B$2:$B$1001))-1),""),"")&amp;IF(SUMPRODUCT(('تشخيص الحالات'!$B$2:$B$1001=B35)*('تشخيص الحالات'!$G$2:$G$1001=4))&gt;0,"، "&amp;IFERROR(INDEX('تشخيص الحالات'!$D$2:$D$1001,SUMPRODUCT(('تشخيص الحالات'!$B$2:$B$1001=B35)*('تشخيص الحالات'!$G$2:$G$1001=4)*ROW('تشخيص الحالات'!$B$2:$B$1001))-1),""),"")&amp;IF(SUMPRODUCT(('تشخيص الحالات'!$B$2:$B$1001=B35)*('تشخيص الحالات'!$G$2:$G$1001=5))&gt;0,"، "&amp;IFERROR(INDEX('تشخيص الحالات'!$D$2:$D$1001,SUMPRODUCT(('تشخيص الحالات'!$B$2:$B$1001=B35)*('تشخيص الحالات'!$G$2:$G$1001=5)*ROW('تشخيص الحالات'!$B$2:$B$1001))-1),""),"")&amp;IF(SUMPRODUCT(('تشخيص الحالات'!$B$2:$B$1001=B35)*('تشخيص الحالات'!$G$2:$G$1001=6))&gt;0,"، "&amp;IFERROR(INDEX('تشخيص الحالات'!$D$2:$D$1001,SUMPRODUCT(('تشخيص الحالات'!$B$2:$B$1001=B35)*('تشخيص الحالات'!$G$2:$G$1001=6)*ROW('تشخيص الحالات'!$B$2:$B$1001))-1),""),"")&amp;IF(SUMPRODUCT(('تشخيص الحالات'!$B$2:$B$1001=B35)*('تشخيص الحالات'!$G$2:$G$1001=7))&gt;0,"، "&amp;IFERROR(INDEX('تشخيص الحالات'!$D$2:$D$1001,SUMPRODUCT(('تشخيص الحالات'!$B$2:$B$1001=B35)*('تشخيص الحالات'!$G$2:$G$1001=7)*ROW('تشخيص الحالات'!$B$2:$B$1001))-1),""),"")&amp;IF(SUMPRODUCT(('تشخيص الحالات'!$B$2:$B$1001=B35)*('تشخيص الحالات'!$G$2:$G$1001=8))&gt;0,"، "&amp;IFERROR(INDEX('تشخيص الحالات'!$D$2:$D$1001,SUMPRODUCT(('تشخيص الحالات'!$B$2:$B$1001=B35)*('تشخيص الحالات'!$G$2:$G$1001=8)*ROW('تشخيص الحالات'!$B$2:$B$1001))-1),""),"")</f>
        <v>إعاقة بصرية، اضطراب نفسي حركي، إعاقة ذهنية، اضطراب طيف التوحد</v>
      </c>
      <c r="J35" s="1">
        <v>88</v>
      </c>
      <c r="K35" s="1" t="s">
        <v>39</v>
      </c>
      <c r="L35" s="1">
        <v>4000</v>
      </c>
      <c r="M35" s="1" t="s">
        <v>42</v>
      </c>
      <c r="N35" s="1">
        <v>8</v>
      </c>
      <c r="O35" s="1">
        <v>6</v>
      </c>
      <c r="P35" s="1">
        <v>4</v>
      </c>
      <c r="Q35" s="1">
        <v>7</v>
      </c>
      <c r="R35" s="1">
        <v>0</v>
      </c>
      <c r="S35" s="1">
        <v>9</v>
      </c>
      <c r="T35">
        <f>SUM(tbl_Beneficiaries[[#This Row],[ التربية الخاصة ]:[ التأهيل النفسي الحركي ]])</f>
        <v>34</v>
      </c>
    </row>
    <row r="36" spans="1:20" x14ac:dyDescent="0.2">
      <c r="A36" s="1">
        <v>35</v>
      </c>
      <c r="B36" s="1">
        <v>1531942049</v>
      </c>
      <c r="C36" s="1" t="s">
        <v>96</v>
      </c>
      <c r="D36" s="1" t="s">
        <v>7</v>
      </c>
      <c r="E36" s="3">
        <v>41085</v>
      </c>
      <c r="F36" s="1" t="s">
        <v>361</v>
      </c>
      <c r="G36" s="1" t="s">
        <v>1</v>
      </c>
      <c r="H36" s="3">
        <v>45139</v>
      </c>
      <c r="I36" t="str">
        <f>IFERROR(INDEX('تشخيص الحالات'!$D$2:$D$1001,SUMPRODUCT(('تشخيص الحالات'!$B$2:$B$1001=B36)*('تشخيص الحالات'!$G$2:$G$1001=1)*ROW('تشخيص الحالات'!$B$2:$B$1001))-1),"")&amp;IF(SUMPRODUCT(('تشخيص الحالات'!$B$2:$B$1001=B36)*('تشخيص الحالات'!$G$2:$G$1001=2))&gt;0,"، "&amp;IFERROR(INDEX('تشخيص الحالات'!$D$2:$D$1001,SUMPRODUCT(('تشخيص الحالات'!$B$2:$B$1001=B36)*('تشخيص الحالات'!$G$2:$G$1001=2)*ROW('تشخيص الحالات'!$B$2:$B$1001))-1),""),"")&amp;IF(SUMPRODUCT(('تشخيص الحالات'!$B$2:$B$1001=B36)*('تشخيص الحالات'!$G$2:$G$1001=3))&gt;0,"، "&amp;IFERROR(INDEX('تشخيص الحالات'!$D$2:$D$1001,SUMPRODUCT(('تشخيص الحالات'!$B$2:$B$1001=B36)*('تشخيص الحالات'!$G$2:$G$1001=3)*ROW('تشخيص الحالات'!$B$2:$B$1001))-1),""),"")&amp;IF(SUMPRODUCT(('تشخيص الحالات'!$B$2:$B$1001=B36)*('تشخيص الحالات'!$G$2:$G$1001=4))&gt;0,"، "&amp;IFERROR(INDEX('تشخيص الحالات'!$D$2:$D$1001,SUMPRODUCT(('تشخيص الحالات'!$B$2:$B$1001=B36)*('تشخيص الحالات'!$G$2:$G$1001=4)*ROW('تشخيص الحالات'!$B$2:$B$1001))-1),""),"")&amp;IF(SUMPRODUCT(('تشخيص الحالات'!$B$2:$B$1001=B36)*('تشخيص الحالات'!$G$2:$G$1001=5))&gt;0,"، "&amp;IFERROR(INDEX('تشخيص الحالات'!$D$2:$D$1001,SUMPRODUCT(('تشخيص الحالات'!$B$2:$B$1001=B36)*('تشخيص الحالات'!$G$2:$G$1001=5)*ROW('تشخيص الحالات'!$B$2:$B$1001))-1),""),"")&amp;IF(SUMPRODUCT(('تشخيص الحالات'!$B$2:$B$1001=B36)*('تشخيص الحالات'!$G$2:$G$1001=6))&gt;0,"، "&amp;IFERROR(INDEX('تشخيص الحالات'!$D$2:$D$1001,SUMPRODUCT(('تشخيص الحالات'!$B$2:$B$1001=B36)*('تشخيص الحالات'!$G$2:$G$1001=6)*ROW('تشخيص الحالات'!$B$2:$B$1001))-1),""),"")&amp;IF(SUMPRODUCT(('تشخيص الحالات'!$B$2:$B$1001=B36)*('تشخيص الحالات'!$G$2:$G$1001=7))&gt;0,"، "&amp;IFERROR(INDEX('تشخيص الحالات'!$D$2:$D$1001,SUMPRODUCT(('تشخيص الحالات'!$B$2:$B$1001=B36)*('تشخيص الحالات'!$G$2:$G$1001=7)*ROW('تشخيص الحالات'!$B$2:$B$1001))-1),""),"")&amp;IF(SUMPRODUCT(('تشخيص الحالات'!$B$2:$B$1001=B36)*('تشخيص الحالات'!$G$2:$G$1001=8))&gt;0,"، "&amp;IFERROR(INDEX('تشخيص الحالات'!$D$2:$D$1001,SUMPRODUCT(('تشخيص الحالات'!$B$2:$B$1001=B36)*('تشخيص الحالات'!$G$2:$G$1001=8)*ROW('تشخيص الحالات'!$B$2:$B$1001))-1),""),"")</f>
        <v>مشكلات لغوية</v>
      </c>
      <c r="J36" s="1">
        <v>49</v>
      </c>
      <c r="K36" s="1" t="s">
        <v>39</v>
      </c>
      <c r="L36" s="1">
        <v>3000</v>
      </c>
      <c r="M36" s="1" t="s">
        <v>44</v>
      </c>
      <c r="N36" s="1">
        <v>1</v>
      </c>
      <c r="O36" s="1">
        <v>0</v>
      </c>
      <c r="P36" s="1">
        <v>4</v>
      </c>
      <c r="Q36" s="1">
        <v>0</v>
      </c>
      <c r="R36" s="1">
        <v>8</v>
      </c>
      <c r="S36" s="1">
        <v>9</v>
      </c>
      <c r="T36">
        <f>SUM(tbl_Beneficiaries[[#This Row],[ التربية الخاصة ]:[ التأهيل النفسي الحركي ]])</f>
        <v>22</v>
      </c>
    </row>
    <row r="37" spans="1:20" x14ac:dyDescent="0.2">
      <c r="A37" s="1">
        <v>36</v>
      </c>
      <c r="B37" s="1">
        <v>1618104695</v>
      </c>
      <c r="C37" s="1" t="s">
        <v>392</v>
      </c>
      <c r="D37" s="1" t="s">
        <v>3</v>
      </c>
      <c r="E37" s="3">
        <v>40710</v>
      </c>
      <c r="F37" s="1" t="s">
        <v>361</v>
      </c>
      <c r="G37" s="1" t="s">
        <v>1</v>
      </c>
      <c r="H37" s="3">
        <v>45068</v>
      </c>
      <c r="I37" t="str">
        <f>IFERROR(INDEX('تشخيص الحالات'!$D$2:$D$1001,SUMPRODUCT(('تشخيص الحالات'!$B$2:$B$1001=B37)*('تشخيص الحالات'!$G$2:$G$1001=1)*ROW('تشخيص الحالات'!$B$2:$B$1001))-1),"")&amp;IF(SUMPRODUCT(('تشخيص الحالات'!$B$2:$B$1001=B37)*('تشخيص الحالات'!$G$2:$G$1001=2))&gt;0,"، "&amp;IFERROR(INDEX('تشخيص الحالات'!$D$2:$D$1001,SUMPRODUCT(('تشخيص الحالات'!$B$2:$B$1001=B37)*('تشخيص الحالات'!$G$2:$G$1001=2)*ROW('تشخيص الحالات'!$B$2:$B$1001))-1),""),"")&amp;IF(SUMPRODUCT(('تشخيص الحالات'!$B$2:$B$1001=B37)*('تشخيص الحالات'!$G$2:$G$1001=3))&gt;0,"، "&amp;IFERROR(INDEX('تشخيص الحالات'!$D$2:$D$1001,SUMPRODUCT(('تشخيص الحالات'!$B$2:$B$1001=B37)*('تشخيص الحالات'!$G$2:$G$1001=3)*ROW('تشخيص الحالات'!$B$2:$B$1001))-1),""),"")&amp;IF(SUMPRODUCT(('تشخيص الحالات'!$B$2:$B$1001=B37)*('تشخيص الحالات'!$G$2:$G$1001=4))&gt;0,"، "&amp;IFERROR(INDEX('تشخيص الحالات'!$D$2:$D$1001,SUMPRODUCT(('تشخيص الحالات'!$B$2:$B$1001=B37)*('تشخيص الحالات'!$G$2:$G$1001=4)*ROW('تشخيص الحالات'!$B$2:$B$1001))-1),""),"")&amp;IF(SUMPRODUCT(('تشخيص الحالات'!$B$2:$B$1001=B37)*('تشخيص الحالات'!$G$2:$G$1001=5))&gt;0,"، "&amp;IFERROR(INDEX('تشخيص الحالات'!$D$2:$D$1001,SUMPRODUCT(('تشخيص الحالات'!$B$2:$B$1001=B37)*('تشخيص الحالات'!$G$2:$G$1001=5)*ROW('تشخيص الحالات'!$B$2:$B$1001))-1),""),"")&amp;IF(SUMPRODUCT(('تشخيص الحالات'!$B$2:$B$1001=B37)*('تشخيص الحالات'!$G$2:$G$1001=6))&gt;0,"، "&amp;IFERROR(INDEX('تشخيص الحالات'!$D$2:$D$1001,SUMPRODUCT(('تشخيص الحالات'!$B$2:$B$1001=B37)*('تشخيص الحالات'!$G$2:$G$1001=6)*ROW('تشخيص الحالات'!$B$2:$B$1001))-1),""),"")&amp;IF(SUMPRODUCT(('تشخيص الحالات'!$B$2:$B$1001=B37)*('تشخيص الحالات'!$G$2:$G$1001=7))&gt;0,"، "&amp;IFERROR(INDEX('تشخيص الحالات'!$D$2:$D$1001,SUMPRODUCT(('تشخيص الحالات'!$B$2:$B$1001=B37)*('تشخيص الحالات'!$G$2:$G$1001=7)*ROW('تشخيص الحالات'!$B$2:$B$1001))-1),""),"")&amp;IF(SUMPRODUCT(('تشخيص الحالات'!$B$2:$B$1001=B37)*('تشخيص الحالات'!$G$2:$G$1001=8))&gt;0,"، "&amp;IFERROR(INDEX('تشخيص الحالات'!$D$2:$D$1001,SUMPRODUCT(('تشخيص الحالات'!$B$2:$B$1001=B37)*('تشخيص الحالات'!$G$2:$G$1001=8)*ROW('تشخيص الحالات'!$B$2:$B$1001))-1),""),"")</f>
        <v>إعاقة ذهنية، اضطراب طيف التوحد، صعوبات تعلم</v>
      </c>
      <c r="J37" s="1">
        <v>92</v>
      </c>
      <c r="K37" s="1" t="s">
        <v>38</v>
      </c>
      <c r="L37" s="1">
        <v>4000</v>
      </c>
      <c r="M37" s="1" t="s">
        <v>41</v>
      </c>
      <c r="N37" s="1">
        <v>2</v>
      </c>
      <c r="O37" s="1">
        <v>8</v>
      </c>
      <c r="P37" s="1">
        <v>6</v>
      </c>
      <c r="Q37" s="1">
        <v>0</v>
      </c>
      <c r="R37" s="1">
        <v>0</v>
      </c>
      <c r="S37" s="1">
        <v>4</v>
      </c>
      <c r="T37">
        <f>SUM(tbl_Beneficiaries[[#This Row],[ التربية الخاصة ]:[ التأهيل النفسي الحركي ]])</f>
        <v>20</v>
      </c>
    </row>
    <row r="38" spans="1:20" x14ac:dyDescent="0.2">
      <c r="A38" s="1">
        <v>37</v>
      </c>
      <c r="B38" s="1">
        <v>1511480692</v>
      </c>
      <c r="C38" s="1" t="s">
        <v>393</v>
      </c>
      <c r="D38" s="1" t="s">
        <v>3</v>
      </c>
      <c r="E38" s="3">
        <v>41042</v>
      </c>
      <c r="F38" s="1" t="s">
        <v>361</v>
      </c>
      <c r="G38" s="1" t="s">
        <v>4</v>
      </c>
      <c r="H38" s="3">
        <v>44979</v>
      </c>
      <c r="I38" t="str">
        <f>IFERROR(INDEX('تشخيص الحالات'!$D$2:$D$1001,SUMPRODUCT(('تشخيص الحالات'!$B$2:$B$1001=B38)*('تشخيص الحالات'!$G$2:$G$1001=1)*ROW('تشخيص الحالات'!$B$2:$B$1001))-1),"")&amp;IF(SUMPRODUCT(('تشخيص الحالات'!$B$2:$B$1001=B38)*('تشخيص الحالات'!$G$2:$G$1001=2))&gt;0,"، "&amp;IFERROR(INDEX('تشخيص الحالات'!$D$2:$D$1001,SUMPRODUCT(('تشخيص الحالات'!$B$2:$B$1001=B38)*('تشخيص الحالات'!$G$2:$G$1001=2)*ROW('تشخيص الحالات'!$B$2:$B$1001))-1),""),"")&amp;IF(SUMPRODUCT(('تشخيص الحالات'!$B$2:$B$1001=B38)*('تشخيص الحالات'!$G$2:$G$1001=3))&gt;0,"، "&amp;IFERROR(INDEX('تشخيص الحالات'!$D$2:$D$1001,SUMPRODUCT(('تشخيص الحالات'!$B$2:$B$1001=B38)*('تشخيص الحالات'!$G$2:$G$1001=3)*ROW('تشخيص الحالات'!$B$2:$B$1001))-1),""),"")&amp;IF(SUMPRODUCT(('تشخيص الحالات'!$B$2:$B$1001=B38)*('تشخيص الحالات'!$G$2:$G$1001=4))&gt;0,"، "&amp;IFERROR(INDEX('تشخيص الحالات'!$D$2:$D$1001,SUMPRODUCT(('تشخيص الحالات'!$B$2:$B$1001=B38)*('تشخيص الحالات'!$G$2:$G$1001=4)*ROW('تشخيص الحالات'!$B$2:$B$1001))-1),""),"")&amp;IF(SUMPRODUCT(('تشخيص الحالات'!$B$2:$B$1001=B38)*('تشخيص الحالات'!$G$2:$G$1001=5))&gt;0,"، "&amp;IFERROR(INDEX('تشخيص الحالات'!$D$2:$D$1001,SUMPRODUCT(('تشخيص الحالات'!$B$2:$B$1001=B38)*('تشخيص الحالات'!$G$2:$G$1001=5)*ROW('تشخيص الحالات'!$B$2:$B$1001))-1),""),"")&amp;IF(SUMPRODUCT(('تشخيص الحالات'!$B$2:$B$1001=B38)*('تشخيص الحالات'!$G$2:$G$1001=6))&gt;0,"، "&amp;IFERROR(INDEX('تشخيص الحالات'!$D$2:$D$1001,SUMPRODUCT(('تشخيص الحالات'!$B$2:$B$1001=B38)*('تشخيص الحالات'!$G$2:$G$1001=6)*ROW('تشخيص الحالات'!$B$2:$B$1001))-1),""),"")&amp;IF(SUMPRODUCT(('تشخيص الحالات'!$B$2:$B$1001=B38)*('تشخيص الحالات'!$G$2:$G$1001=7))&gt;0,"، "&amp;IFERROR(INDEX('تشخيص الحالات'!$D$2:$D$1001,SUMPRODUCT(('تشخيص الحالات'!$B$2:$B$1001=B38)*('تشخيص الحالات'!$G$2:$G$1001=7)*ROW('تشخيص الحالات'!$B$2:$B$1001))-1),""),"")&amp;IF(SUMPRODUCT(('تشخيص الحالات'!$B$2:$B$1001=B38)*('تشخيص الحالات'!$G$2:$G$1001=8))&gt;0,"، "&amp;IFERROR(INDEX('تشخيص الحالات'!$D$2:$D$1001,SUMPRODUCT(('تشخيص الحالات'!$B$2:$B$1001=B38)*('تشخيص الحالات'!$G$2:$G$1001=8)*ROW('تشخيص الحالات'!$B$2:$B$1001))-1),""),"")</f>
        <v>مشكلات أسرية / اجتماعية، مشكلات لغوية، اضطراب تواصل اجتماعي</v>
      </c>
      <c r="J38" s="1">
        <v>94</v>
      </c>
      <c r="K38" s="1" t="s">
        <v>38</v>
      </c>
      <c r="L38" s="1">
        <v>2000</v>
      </c>
      <c r="M38" s="1" t="s">
        <v>43</v>
      </c>
      <c r="N38" s="1">
        <v>6</v>
      </c>
      <c r="O38" s="1">
        <v>5</v>
      </c>
      <c r="P38" s="1">
        <v>0</v>
      </c>
      <c r="Q38" s="1">
        <v>2</v>
      </c>
      <c r="R38" s="1">
        <v>5</v>
      </c>
      <c r="S38" s="1">
        <v>0</v>
      </c>
      <c r="T38">
        <f>SUM(tbl_Beneficiaries[[#This Row],[ التربية الخاصة ]:[ التأهيل النفسي الحركي ]])</f>
        <v>18</v>
      </c>
    </row>
    <row r="39" spans="1:20" x14ac:dyDescent="0.2">
      <c r="A39" s="1">
        <v>38</v>
      </c>
      <c r="B39" s="1">
        <v>1597351109</v>
      </c>
      <c r="C39" s="1" t="s">
        <v>394</v>
      </c>
      <c r="D39" s="1" t="s">
        <v>3</v>
      </c>
      <c r="E39" s="3">
        <v>42645</v>
      </c>
      <c r="F39" s="1" t="s">
        <v>357</v>
      </c>
      <c r="G39" s="1" t="s">
        <v>0</v>
      </c>
      <c r="H39" s="3">
        <v>44771</v>
      </c>
      <c r="I39" t="str">
        <f>IFERROR(INDEX('تشخيص الحالات'!$D$2:$D$1001,SUMPRODUCT(('تشخيص الحالات'!$B$2:$B$1001=B39)*('تشخيص الحالات'!$G$2:$G$1001=1)*ROW('تشخيص الحالات'!$B$2:$B$1001))-1),"")&amp;IF(SUMPRODUCT(('تشخيص الحالات'!$B$2:$B$1001=B39)*('تشخيص الحالات'!$G$2:$G$1001=2))&gt;0,"، "&amp;IFERROR(INDEX('تشخيص الحالات'!$D$2:$D$1001,SUMPRODUCT(('تشخيص الحالات'!$B$2:$B$1001=B39)*('تشخيص الحالات'!$G$2:$G$1001=2)*ROW('تشخيص الحالات'!$B$2:$B$1001))-1),""),"")&amp;IF(SUMPRODUCT(('تشخيص الحالات'!$B$2:$B$1001=B39)*('تشخيص الحالات'!$G$2:$G$1001=3))&gt;0,"، "&amp;IFERROR(INDEX('تشخيص الحالات'!$D$2:$D$1001,SUMPRODUCT(('تشخيص الحالات'!$B$2:$B$1001=B39)*('تشخيص الحالات'!$G$2:$G$1001=3)*ROW('تشخيص الحالات'!$B$2:$B$1001))-1),""),"")&amp;IF(SUMPRODUCT(('تشخيص الحالات'!$B$2:$B$1001=B39)*('تشخيص الحالات'!$G$2:$G$1001=4))&gt;0,"، "&amp;IFERROR(INDEX('تشخيص الحالات'!$D$2:$D$1001,SUMPRODUCT(('تشخيص الحالات'!$B$2:$B$1001=B39)*('تشخيص الحالات'!$G$2:$G$1001=4)*ROW('تشخيص الحالات'!$B$2:$B$1001))-1),""),"")&amp;IF(SUMPRODUCT(('تشخيص الحالات'!$B$2:$B$1001=B39)*('تشخيص الحالات'!$G$2:$G$1001=5))&gt;0,"، "&amp;IFERROR(INDEX('تشخيص الحالات'!$D$2:$D$1001,SUMPRODUCT(('تشخيص الحالات'!$B$2:$B$1001=B39)*('تشخيص الحالات'!$G$2:$G$1001=5)*ROW('تشخيص الحالات'!$B$2:$B$1001))-1),""),"")&amp;IF(SUMPRODUCT(('تشخيص الحالات'!$B$2:$B$1001=B39)*('تشخيص الحالات'!$G$2:$G$1001=6))&gt;0,"، "&amp;IFERROR(INDEX('تشخيص الحالات'!$D$2:$D$1001,SUMPRODUCT(('تشخيص الحالات'!$B$2:$B$1001=B39)*('تشخيص الحالات'!$G$2:$G$1001=6)*ROW('تشخيص الحالات'!$B$2:$B$1001))-1),""),"")&amp;IF(SUMPRODUCT(('تشخيص الحالات'!$B$2:$B$1001=B39)*('تشخيص الحالات'!$G$2:$G$1001=7))&gt;0,"، "&amp;IFERROR(INDEX('تشخيص الحالات'!$D$2:$D$1001,SUMPRODUCT(('تشخيص الحالات'!$B$2:$B$1001=B39)*('تشخيص الحالات'!$G$2:$G$1001=7)*ROW('تشخيص الحالات'!$B$2:$B$1001))-1),""),"")&amp;IF(SUMPRODUCT(('تشخيص الحالات'!$B$2:$B$1001=B39)*('تشخيص الحالات'!$G$2:$G$1001=8))&gt;0,"، "&amp;IFERROR(INDEX('تشخيص الحالات'!$D$2:$D$1001,SUMPRODUCT(('تشخيص الحالات'!$B$2:$B$1001=B39)*('تشخيص الحالات'!$G$2:$G$1001=8)*ROW('تشخيص الحالات'!$B$2:$B$1001))-1),""),"")</f>
        <v>تأخر حركي</v>
      </c>
      <c r="J39" s="1">
        <v>66</v>
      </c>
      <c r="K39" s="1" t="s">
        <v>38</v>
      </c>
      <c r="L39" s="1">
        <v>2500</v>
      </c>
      <c r="M39" s="1" t="s">
        <v>44</v>
      </c>
      <c r="N39" s="1">
        <v>1</v>
      </c>
      <c r="O39" s="1">
        <v>4</v>
      </c>
      <c r="P39" s="1">
        <v>0</v>
      </c>
      <c r="Q39" s="1">
        <v>9</v>
      </c>
      <c r="R39" s="1">
        <v>0</v>
      </c>
      <c r="S39" s="1">
        <v>8</v>
      </c>
      <c r="T39">
        <f>SUM(tbl_Beneficiaries[[#This Row],[ التربية الخاصة ]:[ التأهيل النفسي الحركي ]])</f>
        <v>22</v>
      </c>
    </row>
    <row r="40" spans="1:20" x14ac:dyDescent="0.2">
      <c r="A40" s="1">
        <v>39</v>
      </c>
      <c r="B40" s="1">
        <v>1061601642</v>
      </c>
      <c r="C40" s="1" t="s">
        <v>395</v>
      </c>
      <c r="D40" s="1" t="s">
        <v>3</v>
      </c>
      <c r="E40" s="3">
        <v>42473</v>
      </c>
      <c r="F40" s="1" t="s">
        <v>360</v>
      </c>
      <c r="G40" s="1" t="s">
        <v>0</v>
      </c>
      <c r="H40" s="3">
        <v>45149</v>
      </c>
      <c r="I40" t="str">
        <f>IFERROR(INDEX('تشخيص الحالات'!$D$2:$D$1001,SUMPRODUCT(('تشخيص الحالات'!$B$2:$B$1001=B40)*('تشخيص الحالات'!$G$2:$G$1001=1)*ROW('تشخيص الحالات'!$B$2:$B$1001))-1),"")&amp;IF(SUMPRODUCT(('تشخيص الحالات'!$B$2:$B$1001=B40)*('تشخيص الحالات'!$G$2:$G$1001=2))&gt;0,"، "&amp;IFERROR(INDEX('تشخيص الحالات'!$D$2:$D$1001,SUMPRODUCT(('تشخيص الحالات'!$B$2:$B$1001=B40)*('تشخيص الحالات'!$G$2:$G$1001=2)*ROW('تشخيص الحالات'!$B$2:$B$1001))-1),""),"")&amp;IF(SUMPRODUCT(('تشخيص الحالات'!$B$2:$B$1001=B40)*('تشخيص الحالات'!$G$2:$G$1001=3))&gt;0,"، "&amp;IFERROR(INDEX('تشخيص الحالات'!$D$2:$D$1001,SUMPRODUCT(('تشخيص الحالات'!$B$2:$B$1001=B40)*('تشخيص الحالات'!$G$2:$G$1001=3)*ROW('تشخيص الحالات'!$B$2:$B$1001))-1),""),"")&amp;IF(SUMPRODUCT(('تشخيص الحالات'!$B$2:$B$1001=B40)*('تشخيص الحالات'!$G$2:$G$1001=4))&gt;0,"، "&amp;IFERROR(INDEX('تشخيص الحالات'!$D$2:$D$1001,SUMPRODUCT(('تشخيص الحالات'!$B$2:$B$1001=B40)*('تشخيص الحالات'!$G$2:$G$1001=4)*ROW('تشخيص الحالات'!$B$2:$B$1001))-1),""),"")&amp;IF(SUMPRODUCT(('تشخيص الحالات'!$B$2:$B$1001=B40)*('تشخيص الحالات'!$G$2:$G$1001=5))&gt;0,"، "&amp;IFERROR(INDEX('تشخيص الحالات'!$D$2:$D$1001,SUMPRODUCT(('تشخيص الحالات'!$B$2:$B$1001=B40)*('تشخيص الحالات'!$G$2:$G$1001=5)*ROW('تشخيص الحالات'!$B$2:$B$1001))-1),""),"")&amp;IF(SUMPRODUCT(('تشخيص الحالات'!$B$2:$B$1001=B40)*('تشخيص الحالات'!$G$2:$G$1001=6))&gt;0,"، "&amp;IFERROR(INDEX('تشخيص الحالات'!$D$2:$D$1001,SUMPRODUCT(('تشخيص الحالات'!$B$2:$B$1001=B40)*('تشخيص الحالات'!$G$2:$G$1001=6)*ROW('تشخيص الحالات'!$B$2:$B$1001))-1),""),"")&amp;IF(SUMPRODUCT(('تشخيص الحالات'!$B$2:$B$1001=B40)*('تشخيص الحالات'!$G$2:$G$1001=7))&gt;0,"، "&amp;IFERROR(INDEX('تشخيص الحالات'!$D$2:$D$1001,SUMPRODUCT(('تشخيص الحالات'!$B$2:$B$1001=B40)*('تشخيص الحالات'!$G$2:$G$1001=7)*ROW('تشخيص الحالات'!$B$2:$B$1001))-1),""),"")&amp;IF(SUMPRODUCT(('تشخيص الحالات'!$B$2:$B$1001=B40)*('تشخيص الحالات'!$G$2:$G$1001=8))&gt;0,"، "&amp;IFERROR(INDEX('تشخيص الحالات'!$D$2:$D$1001,SUMPRODUCT(('تشخيص الحالات'!$B$2:$B$1001=B40)*('تشخيص الحالات'!$G$2:$G$1001=8)*ROW('تشخيص الحالات'!$B$2:$B$1001))-1),""),"")</f>
        <v>تأخر حركي، اضطراب نفسي حركي</v>
      </c>
      <c r="J40" s="1">
        <v>45</v>
      </c>
      <c r="K40" s="1" t="s">
        <v>4</v>
      </c>
      <c r="L40" s="1">
        <v>2500</v>
      </c>
      <c r="M40" s="1" t="s">
        <v>41</v>
      </c>
      <c r="N40" s="1">
        <v>8</v>
      </c>
      <c r="O40" s="1">
        <v>0</v>
      </c>
      <c r="P40" s="1">
        <v>0</v>
      </c>
      <c r="Q40" s="1">
        <v>0</v>
      </c>
      <c r="R40" s="1">
        <v>9</v>
      </c>
      <c r="S40" s="1">
        <v>0</v>
      </c>
      <c r="T40">
        <f>SUM(tbl_Beneficiaries[[#This Row],[ التربية الخاصة ]:[ التأهيل النفسي الحركي ]])</f>
        <v>17</v>
      </c>
    </row>
    <row r="41" spans="1:20" x14ac:dyDescent="0.2">
      <c r="A41" s="1">
        <v>40</v>
      </c>
      <c r="B41" s="1">
        <v>1035556284</v>
      </c>
      <c r="C41" s="1" t="s">
        <v>97</v>
      </c>
      <c r="D41" s="1" t="s">
        <v>3</v>
      </c>
      <c r="E41" s="3">
        <v>40700</v>
      </c>
      <c r="F41" s="1" t="s">
        <v>358</v>
      </c>
      <c r="G41" s="1" t="s">
        <v>4</v>
      </c>
      <c r="H41" s="3">
        <v>45268</v>
      </c>
      <c r="I41" t="str">
        <f>IFERROR(INDEX('تشخيص الحالات'!$D$2:$D$1001,SUMPRODUCT(('تشخيص الحالات'!$B$2:$B$1001=B41)*('تشخيص الحالات'!$G$2:$G$1001=1)*ROW('تشخيص الحالات'!$B$2:$B$1001))-1),"")&amp;IF(SUMPRODUCT(('تشخيص الحالات'!$B$2:$B$1001=B41)*('تشخيص الحالات'!$G$2:$G$1001=2))&gt;0,"، "&amp;IFERROR(INDEX('تشخيص الحالات'!$D$2:$D$1001,SUMPRODUCT(('تشخيص الحالات'!$B$2:$B$1001=B41)*('تشخيص الحالات'!$G$2:$G$1001=2)*ROW('تشخيص الحالات'!$B$2:$B$1001))-1),""),"")&amp;IF(SUMPRODUCT(('تشخيص الحالات'!$B$2:$B$1001=B41)*('تشخيص الحالات'!$G$2:$G$1001=3))&gt;0,"، "&amp;IFERROR(INDEX('تشخيص الحالات'!$D$2:$D$1001,SUMPRODUCT(('تشخيص الحالات'!$B$2:$B$1001=B41)*('تشخيص الحالات'!$G$2:$G$1001=3)*ROW('تشخيص الحالات'!$B$2:$B$1001))-1),""),"")&amp;IF(SUMPRODUCT(('تشخيص الحالات'!$B$2:$B$1001=B41)*('تشخيص الحالات'!$G$2:$G$1001=4))&gt;0,"، "&amp;IFERROR(INDEX('تشخيص الحالات'!$D$2:$D$1001,SUMPRODUCT(('تشخيص الحالات'!$B$2:$B$1001=B41)*('تشخيص الحالات'!$G$2:$G$1001=4)*ROW('تشخيص الحالات'!$B$2:$B$1001))-1),""),"")&amp;IF(SUMPRODUCT(('تشخيص الحالات'!$B$2:$B$1001=B41)*('تشخيص الحالات'!$G$2:$G$1001=5))&gt;0,"، "&amp;IFERROR(INDEX('تشخيص الحالات'!$D$2:$D$1001,SUMPRODUCT(('تشخيص الحالات'!$B$2:$B$1001=B41)*('تشخيص الحالات'!$G$2:$G$1001=5)*ROW('تشخيص الحالات'!$B$2:$B$1001))-1),""),"")&amp;IF(SUMPRODUCT(('تشخيص الحالات'!$B$2:$B$1001=B41)*('تشخيص الحالات'!$G$2:$G$1001=6))&gt;0,"، "&amp;IFERROR(INDEX('تشخيص الحالات'!$D$2:$D$1001,SUMPRODUCT(('تشخيص الحالات'!$B$2:$B$1001=B41)*('تشخيص الحالات'!$G$2:$G$1001=6)*ROW('تشخيص الحالات'!$B$2:$B$1001))-1),""),"")&amp;IF(SUMPRODUCT(('تشخيص الحالات'!$B$2:$B$1001=B41)*('تشخيص الحالات'!$G$2:$G$1001=7))&gt;0,"، "&amp;IFERROR(INDEX('تشخيص الحالات'!$D$2:$D$1001,SUMPRODUCT(('تشخيص الحالات'!$B$2:$B$1001=B41)*('تشخيص الحالات'!$G$2:$G$1001=7)*ROW('تشخيص الحالات'!$B$2:$B$1001))-1),""),"")&amp;IF(SUMPRODUCT(('تشخيص الحالات'!$B$2:$B$1001=B41)*('تشخيص الحالات'!$G$2:$G$1001=8))&gt;0,"، "&amp;IFERROR(INDEX('تشخيص الحالات'!$D$2:$D$1001,SUMPRODUCT(('تشخيص الحالات'!$B$2:$B$1001=B41)*('تشخيص الحالات'!$G$2:$G$1001=8)*ROW('تشخيص الحالات'!$B$2:$B$1001))-1),""),"")</f>
        <v>إعاقة ذهنية، فرط الحركة وتشتت الانتباه، متلازمة داون</v>
      </c>
      <c r="J41" s="1">
        <v>102</v>
      </c>
      <c r="K41" s="1" t="s">
        <v>4</v>
      </c>
      <c r="L41" s="1">
        <v>4000</v>
      </c>
      <c r="M41" s="1" t="s">
        <v>41</v>
      </c>
      <c r="N41" s="1">
        <v>4</v>
      </c>
      <c r="O41" s="1">
        <v>6</v>
      </c>
      <c r="P41" s="1">
        <v>0</v>
      </c>
      <c r="Q41" s="1">
        <v>8</v>
      </c>
      <c r="R41" s="1">
        <v>0</v>
      </c>
      <c r="S41" s="1">
        <v>0</v>
      </c>
      <c r="T41">
        <f>SUM(tbl_Beneficiaries[[#This Row],[ التربية الخاصة ]:[ التأهيل النفسي الحركي ]])</f>
        <v>18</v>
      </c>
    </row>
    <row r="42" spans="1:20" x14ac:dyDescent="0.2">
      <c r="A42" s="1">
        <v>41</v>
      </c>
      <c r="B42" s="1">
        <v>1402220485</v>
      </c>
      <c r="C42" s="1" t="s">
        <v>396</v>
      </c>
      <c r="D42" s="1" t="s">
        <v>3</v>
      </c>
      <c r="E42" s="3">
        <v>40247</v>
      </c>
      <c r="F42" s="1" t="s">
        <v>361</v>
      </c>
      <c r="G42" s="1" t="s">
        <v>4</v>
      </c>
      <c r="H42" s="3">
        <v>45363</v>
      </c>
      <c r="I42" t="str">
        <f>IFERROR(INDEX('تشخيص الحالات'!$D$2:$D$1001,SUMPRODUCT(('تشخيص الحالات'!$B$2:$B$1001=B42)*('تشخيص الحالات'!$G$2:$G$1001=1)*ROW('تشخيص الحالات'!$B$2:$B$1001))-1),"")&amp;IF(SUMPRODUCT(('تشخيص الحالات'!$B$2:$B$1001=B42)*('تشخيص الحالات'!$G$2:$G$1001=2))&gt;0,"، "&amp;IFERROR(INDEX('تشخيص الحالات'!$D$2:$D$1001,SUMPRODUCT(('تشخيص الحالات'!$B$2:$B$1001=B42)*('تشخيص الحالات'!$G$2:$G$1001=2)*ROW('تشخيص الحالات'!$B$2:$B$1001))-1),""),"")&amp;IF(SUMPRODUCT(('تشخيص الحالات'!$B$2:$B$1001=B42)*('تشخيص الحالات'!$G$2:$G$1001=3))&gt;0,"، "&amp;IFERROR(INDEX('تشخيص الحالات'!$D$2:$D$1001,SUMPRODUCT(('تشخيص الحالات'!$B$2:$B$1001=B42)*('تشخيص الحالات'!$G$2:$G$1001=3)*ROW('تشخيص الحالات'!$B$2:$B$1001))-1),""),"")&amp;IF(SUMPRODUCT(('تشخيص الحالات'!$B$2:$B$1001=B42)*('تشخيص الحالات'!$G$2:$G$1001=4))&gt;0,"، "&amp;IFERROR(INDEX('تشخيص الحالات'!$D$2:$D$1001,SUMPRODUCT(('تشخيص الحالات'!$B$2:$B$1001=B42)*('تشخيص الحالات'!$G$2:$G$1001=4)*ROW('تشخيص الحالات'!$B$2:$B$1001))-1),""),"")&amp;IF(SUMPRODUCT(('تشخيص الحالات'!$B$2:$B$1001=B42)*('تشخيص الحالات'!$G$2:$G$1001=5))&gt;0,"، "&amp;IFERROR(INDEX('تشخيص الحالات'!$D$2:$D$1001,SUMPRODUCT(('تشخيص الحالات'!$B$2:$B$1001=B42)*('تشخيص الحالات'!$G$2:$G$1001=5)*ROW('تشخيص الحالات'!$B$2:$B$1001))-1),""),"")&amp;IF(SUMPRODUCT(('تشخيص الحالات'!$B$2:$B$1001=B42)*('تشخيص الحالات'!$G$2:$G$1001=6))&gt;0,"، "&amp;IFERROR(INDEX('تشخيص الحالات'!$D$2:$D$1001,SUMPRODUCT(('تشخيص الحالات'!$B$2:$B$1001=B42)*('تشخيص الحالات'!$G$2:$G$1001=6)*ROW('تشخيص الحالات'!$B$2:$B$1001))-1),""),"")&amp;IF(SUMPRODUCT(('تشخيص الحالات'!$B$2:$B$1001=B42)*('تشخيص الحالات'!$G$2:$G$1001=7))&gt;0,"، "&amp;IFERROR(INDEX('تشخيص الحالات'!$D$2:$D$1001,SUMPRODUCT(('تشخيص الحالات'!$B$2:$B$1001=B42)*('تشخيص الحالات'!$G$2:$G$1001=7)*ROW('تشخيص الحالات'!$B$2:$B$1001))-1),""),"")&amp;IF(SUMPRODUCT(('تشخيص الحالات'!$B$2:$B$1001=B42)*('تشخيص الحالات'!$G$2:$G$1001=8))&gt;0,"، "&amp;IFERROR(INDEX('تشخيص الحالات'!$D$2:$D$1001,SUMPRODUCT(('تشخيص الحالات'!$B$2:$B$1001=B42)*('تشخيص الحالات'!$G$2:$G$1001=8)*ROW('تشخيص الحالات'!$B$2:$B$1001))-1),""),"")</f>
        <v>إعاقة ذهنية، صعوبات تعلم</v>
      </c>
      <c r="J42" s="1">
        <v>79</v>
      </c>
      <c r="K42" s="1" t="s">
        <v>38</v>
      </c>
      <c r="L42" s="1">
        <v>1500</v>
      </c>
      <c r="M42" s="1" t="s">
        <v>42</v>
      </c>
      <c r="N42" s="1">
        <v>8</v>
      </c>
      <c r="O42" s="1">
        <v>8</v>
      </c>
      <c r="P42" s="1">
        <v>0</v>
      </c>
      <c r="Q42" s="1">
        <v>1</v>
      </c>
      <c r="R42" s="1">
        <v>5</v>
      </c>
      <c r="S42" s="1">
        <v>1</v>
      </c>
      <c r="T42">
        <f>SUM(tbl_Beneficiaries[[#This Row],[ التربية الخاصة ]:[ التأهيل النفسي الحركي ]])</f>
        <v>23</v>
      </c>
    </row>
    <row r="43" spans="1:20" x14ac:dyDescent="0.2">
      <c r="A43" s="1">
        <v>42</v>
      </c>
      <c r="B43" s="1">
        <v>1009443870</v>
      </c>
      <c r="C43" s="1" t="s">
        <v>397</v>
      </c>
      <c r="D43" s="1" t="s">
        <v>3</v>
      </c>
      <c r="E43" s="3">
        <v>41467</v>
      </c>
      <c r="F43" s="1" t="s">
        <v>360</v>
      </c>
      <c r="G43" s="1" t="s">
        <v>0</v>
      </c>
      <c r="H43" s="3">
        <v>44708</v>
      </c>
      <c r="I43" t="str">
        <f>IFERROR(INDEX('تشخيص الحالات'!$D$2:$D$1001,SUMPRODUCT(('تشخيص الحالات'!$B$2:$B$1001=B43)*('تشخيص الحالات'!$G$2:$G$1001=1)*ROW('تشخيص الحالات'!$B$2:$B$1001))-1),"")&amp;IF(SUMPRODUCT(('تشخيص الحالات'!$B$2:$B$1001=B43)*('تشخيص الحالات'!$G$2:$G$1001=2))&gt;0,"، "&amp;IFERROR(INDEX('تشخيص الحالات'!$D$2:$D$1001,SUMPRODUCT(('تشخيص الحالات'!$B$2:$B$1001=B43)*('تشخيص الحالات'!$G$2:$G$1001=2)*ROW('تشخيص الحالات'!$B$2:$B$1001))-1),""),"")&amp;IF(SUMPRODUCT(('تشخيص الحالات'!$B$2:$B$1001=B43)*('تشخيص الحالات'!$G$2:$G$1001=3))&gt;0,"، "&amp;IFERROR(INDEX('تشخيص الحالات'!$D$2:$D$1001,SUMPRODUCT(('تشخيص الحالات'!$B$2:$B$1001=B43)*('تشخيص الحالات'!$G$2:$G$1001=3)*ROW('تشخيص الحالات'!$B$2:$B$1001))-1),""),"")&amp;IF(SUMPRODUCT(('تشخيص الحالات'!$B$2:$B$1001=B43)*('تشخيص الحالات'!$G$2:$G$1001=4))&gt;0,"، "&amp;IFERROR(INDEX('تشخيص الحالات'!$D$2:$D$1001,SUMPRODUCT(('تشخيص الحالات'!$B$2:$B$1001=B43)*('تشخيص الحالات'!$G$2:$G$1001=4)*ROW('تشخيص الحالات'!$B$2:$B$1001))-1),""),"")&amp;IF(SUMPRODUCT(('تشخيص الحالات'!$B$2:$B$1001=B43)*('تشخيص الحالات'!$G$2:$G$1001=5))&gt;0,"، "&amp;IFERROR(INDEX('تشخيص الحالات'!$D$2:$D$1001,SUMPRODUCT(('تشخيص الحالات'!$B$2:$B$1001=B43)*('تشخيص الحالات'!$G$2:$G$1001=5)*ROW('تشخيص الحالات'!$B$2:$B$1001))-1),""),"")&amp;IF(SUMPRODUCT(('تشخيص الحالات'!$B$2:$B$1001=B43)*('تشخيص الحالات'!$G$2:$G$1001=6))&gt;0,"، "&amp;IFERROR(INDEX('تشخيص الحالات'!$D$2:$D$1001,SUMPRODUCT(('تشخيص الحالات'!$B$2:$B$1001=B43)*('تشخيص الحالات'!$G$2:$G$1001=6)*ROW('تشخيص الحالات'!$B$2:$B$1001))-1),""),"")&amp;IF(SUMPRODUCT(('تشخيص الحالات'!$B$2:$B$1001=B43)*('تشخيص الحالات'!$G$2:$G$1001=7))&gt;0,"، "&amp;IFERROR(INDEX('تشخيص الحالات'!$D$2:$D$1001,SUMPRODUCT(('تشخيص الحالات'!$B$2:$B$1001=B43)*('تشخيص الحالات'!$G$2:$G$1001=7)*ROW('تشخيص الحالات'!$B$2:$B$1001))-1),""),"")&amp;IF(SUMPRODUCT(('تشخيص الحالات'!$B$2:$B$1001=B43)*('تشخيص الحالات'!$G$2:$G$1001=8))&gt;0,"، "&amp;IFERROR(INDEX('تشخيص الحالات'!$D$2:$D$1001,SUMPRODUCT(('تشخيص الحالات'!$B$2:$B$1001=B43)*('تشخيص الحالات'!$G$2:$G$1001=8)*ROW('تشخيص الحالات'!$B$2:$B$1001))-1),""),"")</f>
        <v>اضطرابات سلوكية</v>
      </c>
      <c r="J43" s="1">
        <v>64</v>
      </c>
      <c r="K43" s="1" t="s">
        <v>39</v>
      </c>
      <c r="L43" s="1">
        <v>3000</v>
      </c>
      <c r="M43" s="1" t="s">
        <v>41</v>
      </c>
      <c r="N43" s="1">
        <v>4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>
        <f>SUM(tbl_Beneficiaries[[#This Row],[ التربية الخاصة ]:[ التأهيل النفسي الحركي ]])</f>
        <v>4</v>
      </c>
    </row>
    <row r="44" spans="1:20" x14ac:dyDescent="0.2">
      <c r="A44" s="1">
        <v>43</v>
      </c>
      <c r="B44" s="1">
        <v>1376850558</v>
      </c>
      <c r="C44" s="1" t="s">
        <v>98</v>
      </c>
      <c r="D44" s="1" t="s">
        <v>3</v>
      </c>
      <c r="E44" s="3">
        <v>41002</v>
      </c>
      <c r="F44" s="1" t="s">
        <v>358</v>
      </c>
      <c r="G44" s="1" t="s">
        <v>1</v>
      </c>
      <c r="H44" s="3">
        <v>45269</v>
      </c>
      <c r="I44" t="str">
        <f>IFERROR(INDEX('تشخيص الحالات'!$D$2:$D$1001,SUMPRODUCT(('تشخيص الحالات'!$B$2:$B$1001=B44)*('تشخيص الحالات'!$G$2:$G$1001=1)*ROW('تشخيص الحالات'!$B$2:$B$1001))-1),"")&amp;IF(SUMPRODUCT(('تشخيص الحالات'!$B$2:$B$1001=B44)*('تشخيص الحالات'!$G$2:$G$1001=2))&gt;0,"، "&amp;IFERROR(INDEX('تشخيص الحالات'!$D$2:$D$1001,SUMPRODUCT(('تشخيص الحالات'!$B$2:$B$1001=B44)*('تشخيص الحالات'!$G$2:$G$1001=2)*ROW('تشخيص الحالات'!$B$2:$B$1001))-1),""),"")&amp;IF(SUMPRODUCT(('تشخيص الحالات'!$B$2:$B$1001=B44)*('تشخيص الحالات'!$G$2:$G$1001=3))&gt;0,"، "&amp;IFERROR(INDEX('تشخيص الحالات'!$D$2:$D$1001,SUMPRODUCT(('تشخيص الحالات'!$B$2:$B$1001=B44)*('تشخيص الحالات'!$G$2:$G$1001=3)*ROW('تشخيص الحالات'!$B$2:$B$1001))-1),""),"")&amp;IF(SUMPRODUCT(('تشخيص الحالات'!$B$2:$B$1001=B44)*('تشخيص الحالات'!$G$2:$G$1001=4))&gt;0,"، "&amp;IFERROR(INDEX('تشخيص الحالات'!$D$2:$D$1001,SUMPRODUCT(('تشخيص الحالات'!$B$2:$B$1001=B44)*('تشخيص الحالات'!$G$2:$G$1001=4)*ROW('تشخيص الحالات'!$B$2:$B$1001))-1),""),"")&amp;IF(SUMPRODUCT(('تشخيص الحالات'!$B$2:$B$1001=B44)*('تشخيص الحالات'!$G$2:$G$1001=5))&gt;0,"، "&amp;IFERROR(INDEX('تشخيص الحالات'!$D$2:$D$1001,SUMPRODUCT(('تشخيص الحالات'!$B$2:$B$1001=B44)*('تشخيص الحالات'!$G$2:$G$1001=5)*ROW('تشخيص الحالات'!$B$2:$B$1001))-1),""),"")&amp;IF(SUMPRODUCT(('تشخيص الحالات'!$B$2:$B$1001=B44)*('تشخيص الحالات'!$G$2:$G$1001=6))&gt;0,"، "&amp;IFERROR(INDEX('تشخيص الحالات'!$D$2:$D$1001,SUMPRODUCT(('تشخيص الحالات'!$B$2:$B$1001=B44)*('تشخيص الحالات'!$G$2:$G$1001=6)*ROW('تشخيص الحالات'!$B$2:$B$1001))-1),""),"")&amp;IF(SUMPRODUCT(('تشخيص الحالات'!$B$2:$B$1001=B44)*('تشخيص الحالات'!$G$2:$G$1001=7))&gt;0,"، "&amp;IFERROR(INDEX('تشخيص الحالات'!$D$2:$D$1001,SUMPRODUCT(('تشخيص الحالات'!$B$2:$B$1001=B44)*('تشخيص الحالات'!$G$2:$G$1001=7)*ROW('تشخيص الحالات'!$B$2:$B$1001))-1),""),"")&amp;IF(SUMPRODUCT(('تشخيص الحالات'!$B$2:$B$1001=B44)*('تشخيص الحالات'!$G$2:$G$1001=8))&gt;0,"، "&amp;IFERROR(INDEX('تشخيص الحالات'!$D$2:$D$1001,SUMPRODUCT(('تشخيص الحالات'!$B$2:$B$1001=B44)*('تشخيص الحالات'!$G$2:$G$1001=8)*ROW('تشخيص الحالات'!$B$2:$B$1001))-1),""),"")</f>
        <v>اضطراب نفسي، تأخر نمائي</v>
      </c>
      <c r="J44" s="1">
        <v>106</v>
      </c>
      <c r="K44" s="1" t="s">
        <v>4</v>
      </c>
      <c r="L44" s="1">
        <v>4000</v>
      </c>
      <c r="M44" s="1" t="s">
        <v>41</v>
      </c>
      <c r="N44" s="1">
        <v>4</v>
      </c>
      <c r="O44" s="1">
        <v>0</v>
      </c>
      <c r="P44" s="1">
        <v>0</v>
      </c>
      <c r="Q44" s="1">
        <v>0</v>
      </c>
      <c r="R44" s="1">
        <v>7</v>
      </c>
      <c r="S44" s="1">
        <v>0</v>
      </c>
      <c r="T44">
        <f>SUM(tbl_Beneficiaries[[#This Row],[ التربية الخاصة ]:[ التأهيل النفسي الحركي ]])</f>
        <v>11</v>
      </c>
    </row>
    <row r="45" spans="1:20" x14ac:dyDescent="0.2">
      <c r="A45" s="1">
        <v>44</v>
      </c>
      <c r="B45" s="1">
        <v>1216681476</v>
      </c>
      <c r="C45" s="1" t="s">
        <v>398</v>
      </c>
      <c r="D45" s="1" t="s">
        <v>7</v>
      </c>
      <c r="E45" s="3">
        <v>42194</v>
      </c>
      <c r="F45" s="1" t="s">
        <v>359</v>
      </c>
      <c r="G45" s="1" t="s">
        <v>0</v>
      </c>
      <c r="H45" s="3">
        <v>44703</v>
      </c>
      <c r="I45" t="str">
        <f>IFERROR(INDEX('تشخيص الحالات'!$D$2:$D$1001,SUMPRODUCT(('تشخيص الحالات'!$B$2:$B$1001=B45)*('تشخيص الحالات'!$G$2:$G$1001=1)*ROW('تشخيص الحالات'!$B$2:$B$1001))-1),"")&amp;IF(SUMPRODUCT(('تشخيص الحالات'!$B$2:$B$1001=B45)*('تشخيص الحالات'!$G$2:$G$1001=2))&gt;0,"، "&amp;IFERROR(INDEX('تشخيص الحالات'!$D$2:$D$1001,SUMPRODUCT(('تشخيص الحالات'!$B$2:$B$1001=B45)*('تشخيص الحالات'!$G$2:$G$1001=2)*ROW('تشخيص الحالات'!$B$2:$B$1001))-1),""),"")&amp;IF(SUMPRODUCT(('تشخيص الحالات'!$B$2:$B$1001=B45)*('تشخيص الحالات'!$G$2:$G$1001=3))&gt;0,"، "&amp;IFERROR(INDEX('تشخيص الحالات'!$D$2:$D$1001,SUMPRODUCT(('تشخيص الحالات'!$B$2:$B$1001=B45)*('تشخيص الحالات'!$G$2:$G$1001=3)*ROW('تشخيص الحالات'!$B$2:$B$1001))-1),""),"")&amp;IF(SUMPRODUCT(('تشخيص الحالات'!$B$2:$B$1001=B45)*('تشخيص الحالات'!$G$2:$G$1001=4))&gt;0,"، "&amp;IFERROR(INDEX('تشخيص الحالات'!$D$2:$D$1001,SUMPRODUCT(('تشخيص الحالات'!$B$2:$B$1001=B45)*('تشخيص الحالات'!$G$2:$G$1001=4)*ROW('تشخيص الحالات'!$B$2:$B$1001))-1),""),"")&amp;IF(SUMPRODUCT(('تشخيص الحالات'!$B$2:$B$1001=B45)*('تشخيص الحالات'!$G$2:$G$1001=5))&gt;0,"، "&amp;IFERROR(INDEX('تشخيص الحالات'!$D$2:$D$1001,SUMPRODUCT(('تشخيص الحالات'!$B$2:$B$1001=B45)*('تشخيص الحالات'!$G$2:$G$1001=5)*ROW('تشخيص الحالات'!$B$2:$B$1001))-1),""),"")&amp;IF(SUMPRODUCT(('تشخيص الحالات'!$B$2:$B$1001=B45)*('تشخيص الحالات'!$G$2:$G$1001=6))&gt;0,"، "&amp;IFERROR(INDEX('تشخيص الحالات'!$D$2:$D$1001,SUMPRODUCT(('تشخيص الحالات'!$B$2:$B$1001=B45)*('تشخيص الحالات'!$G$2:$G$1001=6)*ROW('تشخيص الحالات'!$B$2:$B$1001))-1),""),"")&amp;IF(SUMPRODUCT(('تشخيص الحالات'!$B$2:$B$1001=B45)*('تشخيص الحالات'!$G$2:$G$1001=7))&gt;0,"، "&amp;IFERROR(INDEX('تشخيص الحالات'!$D$2:$D$1001,SUMPRODUCT(('تشخيص الحالات'!$B$2:$B$1001=B45)*('تشخيص الحالات'!$G$2:$G$1001=7)*ROW('تشخيص الحالات'!$B$2:$B$1001))-1),""),"")&amp;IF(SUMPRODUCT(('تشخيص الحالات'!$B$2:$B$1001=B45)*('تشخيص الحالات'!$G$2:$G$1001=8))&gt;0,"، "&amp;IFERROR(INDEX('تشخيص الحالات'!$D$2:$D$1001,SUMPRODUCT(('تشخيص الحالات'!$B$2:$B$1001=B45)*('تشخيص الحالات'!$G$2:$G$1001=8)*ROW('تشخيص الحالات'!$B$2:$B$1001))-1),""),"")</f>
        <v>فرط الحركة وتشتت الانتباه، صعوبات تعلم</v>
      </c>
      <c r="J45" s="1">
        <v>68</v>
      </c>
      <c r="K45" s="1" t="s">
        <v>4</v>
      </c>
      <c r="L45" s="1">
        <v>3500</v>
      </c>
      <c r="M45" s="1" t="s">
        <v>42</v>
      </c>
      <c r="N45" s="1">
        <v>0</v>
      </c>
      <c r="O45" s="1">
        <v>2</v>
      </c>
      <c r="P45" s="1">
        <v>0</v>
      </c>
      <c r="Q45" s="1">
        <v>1</v>
      </c>
      <c r="R45" s="1">
        <v>5</v>
      </c>
      <c r="S45" s="1">
        <v>0</v>
      </c>
      <c r="T45">
        <f>SUM(tbl_Beneficiaries[[#This Row],[ التربية الخاصة ]:[ التأهيل النفسي الحركي ]])</f>
        <v>8</v>
      </c>
    </row>
    <row r="46" spans="1:20" x14ac:dyDescent="0.2">
      <c r="A46" s="1">
        <v>45</v>
      </c>
      <c r="B46" s="1">
        <v>1330656105</v>
      </c>
      <c r="C46" s="1" t="s">
        <v>399</v>
      </c>
      <c r="D46" s="1" t="s">
        <v>7</v>
      </c>
      <c r="E46" s="3">
        <v>40917</v>
      </c>
      <c r="F46" s="1" t="s">
        <v>360</v>
      </c>
      <c r="G46" s="1" t="s">
        <v>0</v>
      </c>
      <c r="H46" s="3">
        <v>45105</v>
      </c>
      <c r="I46" t="str">
        <f>IFERROR(INDEX('تشخيص الحالات'!$D$2:$D$1001,SUMPRODUCT(('تشخيص الحالات'!$B$2:$B$1001=B46)*('تشخيص الحالات'!$G$2:$G$1001=1)*ROW('تشخيص الحالات'!$B$2:$B$1001))-1),"")&amp;IF(SUMPRODUCT(('تشخيص الحالات'!$B$2:$B$1001=B46)*('تشخيص الحالات'!$G$2:$G$1001=2))&gt;0,"، "&amp;IFERROR(INDEX('تشخيص الحالات'!$D$2:$D$1001,SUMPRODUCT(('تشخيص الحالات'!$B$2:$B$1001=B46)*('تشخيص الحالات'!$G$2:$G$1001=2)*ROW('تشخيص الحالات'!$B$2:$B$1001))-1),""),"")&amp;IF(SUMPRODUCT(('تشخيص الحالات'!$B$2:$B$1001=B46)*('تشخيص الحالات'!$G$2:$G$1001=3))&gt;0,"، "&amp;IFERROR(INDEX('تشخيص الحالات'!$D$2:$D$1001,SUMPRODUCT(('تشخيص الحالات'!$B$2:$B$1001=B46)*('تشخيص الحالات'!$G$2:$G$1001=3)*ROW('تشخيص الحالات'!$B$2:$B$1001))-1),""),"")&amp;IF(SUMPRODUCT(('تشخيص الحالات'!$B$2:$B$1001=B46)*('تشخيص الحالات'!$G$2:$G$1001=4))&gt;0,"، "&amp;IFERROR(INDEX('تشخيص الحالات'!$D$2:$D$1001,SUMPRODUCT(('تشخيص الحالات'!$B$2:$B$1001=B46)*('تشخيص الحالات'!$G$2:$G$1001=4)*ROW('تشخيص الحالات'!$B$2:$B$1001))-1),""),"")&amp;IF(SUMPRODUCT(('تشخيص الحالات'!$B$2:$B$1001=B46)*('تشخيص الحالات'!$G$2:$G$1001=5))&gt;0,"، "&amp;IFERROR(INDEX('تشخيص الحالات'!$D$2:$D$1001,SUMPRODUCT(('تشخيص الحالات'!$B$2:$B$1001=B46)*('تشخيص الحالات'!$G$2:$G$1001=5)*ROW('تشخيص الحالات'!$B$2:$B$1001))-1),""),"")&amp;IF(SUMPRODUCT(('تشخيص الحالات'!$B$2:$B$1001=B46)*('تشخيص الحالات'!$G$2:$G$1001=6))&gt;0,"، "&amp;IFERROR(INDEX('تشخيص الحالات'!$D$2:$D$1001,SUMPRODUCT(('تشخيص الحالات'!$B$2:$B$1001=B46)*('تشخيص الحالات'!$G$2:$G$1001=6)*ROW('تشخيص الحالات'!$B$2:$B$1001))-1),""),"")&amp;IF(SUMPRODUCT(('تشخيص الحالات'!$B$2:$B$1001=B46)*('تشخيص الحالات'!$G$2:$G$1001=7))&gt;0,"، "&amp;IFERROR(INDEX('تشخيص الحالات'!$D$2:$D$1001,SUMPRODUCT(('تشخيص الحالات'!$B$2:$B$1001=B46)*('تشخيص الحالات'!$G$2:$G$1001=7)*ROW('تشخيص الحالات'!$B$2:$B$1001))-1),""),"")&amp;IF(SUMPRODUCT(('تشخيص الحالات'!$B$2:$B$1001=B46)*('تشخيص الحالات'!$G$2:$G$1001=8))&gt;0,"، "&amp;IFERROR(INDEX('تشخيص الحالات'!$D$2:$D$1001,SUMPRODUCT(('تشخيص الحالات'!$B$2:$B$1001=B46)*('تشخيص الحالات'!$G$2:$G$1001=8)*ROW('تشخيص الحالات'!$B$2:$B$1001))-1),""),"")</f>
        <v>متلازمة داون</v>
      </c>
      <c r="J46" s="1">
        <v>76</v>
      </c>
      <c r="K46" s="1" t="s">
        <v>38</v>
      </c>
      <c r="L46" s="1">
        <v>2000</v>
      </c>
      <c r="M46" s="1" t="s">
        <v>43</v>
      </c>
      <c r="N46" s="1">
        <v>0</v>
      </c>
      <c r="O46" s="1">
        <v>4</v>
      </c>
      <c r="P46" s="1">
        <v>4</v>
      </c>
      <c r="Q46" s="1">
        <v>4</v>
      </c>
      <c r="R46" s="1">
        <v>0</v>
      </c>
      <c r="S46" s="1">
        <v>2</v>
      </c>
      <c r="T46">
        <f>SUM(tbl_Beneficiaries[[#This Row],[ التربية الخاصة ]:[ التأهيل النفسي الحركي ]])</f>
        <v>14</v>
      </c>
    </row>
    <row r="47" spans="1:20" x14ac:dyDescent="0.2">
      <c r="A47" s="1">
        <v>46</v>
      </c>
      <c r="B47" s="1">
        <v>1977823774</v>
      </c>
      <c r="C47" s="1" t="s">
        <v>400</v>
      </c>
      <c r="D47" s="1" t="s">
        <v>3</v>
      </c>
      <c r="E47" s="3">
        <v>42610</v>
      </c>
      <c r="F47" s="1" t="s">
        <v>358</v>
      </c>
      <c r="G47" s="1" t="s">
        <v>4</v>
      </c>
      <c r="H47" s="3">
        <v>44868</v>
      </c>
      <c r="I47" t="str">
        <f>IFERROR(INDEX('تشخيص الحالات'!$D$2:$D$1001,SUMPRODUCT(('تشخيص الحالات'!$B$2:$B$1001=B47)*('تشخيص الحالات'!$G$2:$G$1001=1)*ROW('تشخيص الحالات'!$B$2:$B$1001))-1),"")&amp;IF(SUMPRODUCT(('تشخيص الحالات'!$B$2:$B$1001=B47)*('تشخيص الحالات'!$G$2:$G$1001=2))&gt;0,"، "&amp;IFERROR(INDEX('تشخيص الحالات'!$D$2:$D$1001,SUMPRODUCT(('تشخيص الحالات'!$B$2:$B$1001=B47)*('تشخيص الحالات'!$G$2:$G$1001=2)*ROW('تشخيص الحالات'!$B$2:$B$1001))-1),""),"")&amp;IF(SUMPRODUCT(('تشخيص الحالات'!$B$2:$B$1001=B47)*('تشخيص الحالات'!$G$2:$G$1001=3))&gt;0,"، "&amp;IFERROR(INDEX('تشخيص الحالات'!$D$2:$D$1001,SUMPRODUCT(('تشخيص الحالات'!$B$2:$B$1001=B47)*('تشخيص الحالات'!$G$2:$G$1001=3)*ROW('تشخيص الحالات'!$B$2:$B$1001))-1),""),"")&amp;IF(SUMPRODUCT(('تشخيص الحالات'!$B$2:$B$1001=B47)*('تشخيص الحالات'!$G$2:$G$1001=4))&gt;0,"، "&amp;IFERROR(INDEX('تشخيص الحالات'!$D$2:$D$1001,SUMPRODUCT(('تشخيص الحالات'!$B$2:$B$1001=B47)*('تشخيص الحالات'!$G$2:$G$1001=4)*ROW('تشخيص الحالات'!$B$2:$B$1001))-1),""),"")&amp;IF(SUMPRODUCT(('تشخيص الحالات'!$B$2:$B$1001=B47)*('تشخيص الحالات'!$G$2:$G$1001=5))&gt;0,"، "&amp;IFERROR(INDEX('تشخيص الحالات'!$D$2:$D$1001,SUMPRODUCT(('تشخيص الحالات'!$B$2:$B$1001=B47)*('تشخيص الحالات'!$G$2:$G$1001=5)*ROW('تشخيص الحالات'!$B$2:$B$1001))-1),""),"")&amp;IF(SUMPRODUCT(('تشخيص الحالات'!$B$2:$B$1001=B47)*('تشخيص الحالات'!$G$2:$G$1001=6))&gt;0,"، "&amp;IFERROR(INDEX('تشخيص الحالات'!$D$2:$D$1001,SUMPRODUCT(('تشخيص الحالات'!$B$2:$B$1001=B47)*('تشخيص الحالات'!$G$2:$G$1001=6)*ROW('تشخيص الحالات'!$B$2:$B$1001))-1),""),"")&amp;IF(SUMPRODUCT(('تشخيص الحالات'!$B$2:$B$1001=B47)*('تشخيص الحالات'!$G$2:$G$1001=7))&gt;0,"، "&amp;IFERROR(INDEX('تشخيص الحالات'!$D$2:$D$1001,SUMPRODUCT(('تشخيص الحالات'!$B$2:$B$1001=B47)*('تشخيص الحالات'!$G$2:$G$1001=7)*ROW('تشخيص الحالات'!$B$2:$B$1001))-1),""),"")&amp;IF(SUMPRODUCT(('تشخيص الحالات'!$B$2:$B$1001=B47)*('تشخيص الحالات'!$G$2:$G$1001=8))&gt;0,"، "&amp;IFERROR(INDEX('تشخيص الحالات'!$D$2:$D$1001,SUMPRODUCT(('تشخيص الحالات'!$B$2:$B$1001=B47)*('تشخيص الحالات'!$G$2:$G$1001=8)*ROW('تشخيص الحالات'!$B$2:$B$1001))-1),""),"")</f>
        <v>اضطراب نفسي، صعوبات تعلم، اضطراب نفسي حركي</v>
      </c>
      <c r="J47" s="1">
        <v>43</v>
      </c>
      <c r="K47" s="1" t="s">
        <v>4</v>
      </c>
      <c r="L47" s="1">
        <v>3000</v>
      </c>
      <c r="M47" s="1" t="s">
        <v>41</v>
      </c>
      <c r="N47" s="1">
        <v>4</v>
      </c>
      <c r="O47" s="1">
        <v>4</v>
      </c>
      <c r="P47" s="1">
        <v>0</v>
      </c>
      <c r="Q47" s="1">
        <v>0</v>
      </c>
      <c r="R47" s="1">
        <v>7</v>
      </c>
      <c r="S47" s="1">
        <v>9</v>
      </c>
      <c r="T47">
        <f>SUM(tbl_Beneficiaries[[#This Row],[ التربية الخاصة ]:[ التأهيل النفسي الحركي ]])</f>
        <v>24</v>
      </c>
    </row>
    <row r="48" spans="1:20" x14ac:dyDescent="0.2">
      <c r="A48" s="1">
        <v>47</v>
      </c>
      <c r="B48" s="1">
        <v>1863051572</v>
      </c>
      <c r="C48" s="1" t="s">
        <v>401</v>
      </c>
      <c r="D48" s="1" t="s">
        <v>7</v>
      </c>
      <c r="E48" s="3">
        <v>42175</v>
      </c>
      <c r="F48" s="1" t="s">
        <v>357</v>
      </c>
      <c r="G48" s="1" t="s">
        <v>4</v>
      </c>
      <c r="H48" s="3">
        <v>44605</v>
      </c>
      <c r="I48" t="str">
        <f>IFERROR(INDEX('تشخيص الحالات'!$D$2:$D$1001,SUMPRODUCT(('تشخيص الحالات'!$B$2:$B$1001=B48)*('تشخيص الحالات'!$G$2:$G$1001=1)*ROW('تشخيص الحالات'!$B$2:$B$1001))-1),"")&amp;IF(SUMPRODUCT(('تشخيص الحالات'!$B$2:$B$1001=B48)*('تشخيص الحالات'!$G$2:$G$1001=2))&gt;0,"، "&amp;IFERROR(INDEX('تشخيص الحالات'!$D$2:$D$1001,SUMPRODUCT(('تشخيص الحالات'!$B$2:$B$1001=B48)*('تشخيص الحالات'!$G$2:$G$1001=2)*ROW('تشخيص الحالات'!$B$2:$B$1001))-1),""),"")&amp;IF(SUMPRODUCT(('تشخيص الحالات'!$B$2:$B$1001=B48)*('تشخيص الحالات'!$G$2:$G$1001=3))&gt;0,"، "&amp;IFERROR(INDEX('تشخيص الحالات'!$D$2:$D$1001,SUMPRODUCT(('تشخيص الحالات'!$B$2:$B$1001=B48)*('تشخيص الحالات'!$G$2:$G$1001=3)*ROW('تشخيص الحالات'!$B$2:$B$1001))-1),""),"")&amp;IF(SUMPRODUCT(('تشخيص الحالات'!$B$2:$B$1001=B48)*('تشخيص الحالات'!$G$2:$G$1001=4))&gt;0,"، "&amp;IFERROR(INDEX('تشخيص الحالات'!$D$2:$D$1001,SUMPRODUCT(('تشخيص الحالات'!$B$2:$B$1001=B48)*('تشخيص الحالات'!$G$2:$G$1001=4)*ROW('تشخيص الحالات'!$B$2:$B$1001))-1),""),"")&amp;IF(SUMPRODUCT(('تشخيص الحالات'!$B$2:$B$1001=B48)*('تشخيص الحالات'!$G$2:$G$1001=5))&gt;0,"، "&amp;IFERROR(INDEX('تشخيص الحالات'!$D$2:$D$1001,SUMPRODUCT(('تشخيص الحالات'!$B$2:$B$1001=B48)*('تشخيص الحالات'!$G$2:$G$1001=5)*ROW('تشخيص الحالات'!$B$2:$B$1001))-1),""),"")&amp;IF(SUMPRODUCT(('تشخيص الحالات'!$B$2:$B$1001=B48)*('تشخيص الحالات'!$G$2:$G$1001=6))&gt;0,"، "&amp;IFERROR(INDEX('تشخيص الحالات'!$D$2:$D$1001,SUMPRODUCT(('تشخيص الحالات'!$B$2:$B$1001=B48)*('تشخيص الحالات'!$G$2:$G$1001=6)*ROW('تشخيص الحالات'!$B$2:$B$1001))-1),""),"")&amp;IF(SUMPRODUCT(('تشخيص الحالات'!$B$2:$B$1001=B48)*('تشخيص الحالات'!$G$2:$G$1001=7))&gt;0,"، "&amp;IFERROR(INDEX('تشخيص الحالات'!$D$2:$D$1001,SUMPRODUCT(('تشخيص الحالات'!$B$2:$B$1001=B48)*('تشخيص الحالات'!$G$2:$G$1001=7)*ROW('تشخيص الحالات'!$B$2:$B$1001))-1),""),"")&amp;IF(SUMPRODUCT(('تشخيص الحالات'!$B$2:$B$1001=B48)*('تشخيص الحالات'!$G$2:$G$1001=8))&gt;0,"، "&amp;IFERROR(INDEX('تشخيص الحالات'!$D$2:$D$1001,SUMPRODUCT(('تشخيص الحالات'!$B$2:$B$1001=B48)*('تشخيص الحالات'!$G$2:$G$1001=8)*ROW('تشخيص الحالات'!$B$2:$B$1001))-1),""),"")</f>
        <v>اضطراب تكامل حسي، اضطراب تواصل اجتماعي، إعاقة ذهنية</v>
      </c>
      <c r="J48" s="1">
        <v>62</v>
      </c>
      <c r="K48" s="1" t="s">
        <v>39</v>
      </c>
      <c r="L48" s="1">
        <v>4000</v>
      </c>
      <c r="M48" s="1" t="s">
        <v>40</v>
      </c>
      <c r="N48" s="1">
        <v>0</v>
      </c>
      <c r="O48" s="1">
        <v>9</v>
      </c>
      <c r="P48" s="1">
        <v>9</v>
      </c>
      <c r="Q48" s="1">
        <v>0</v>
      </c>
      <c r="R48" s="1">
        <v>4</v>
      </c>
      <c r="S48" s="1">
        <v>0</v>
      </c>
      <c r="T48">
        <f>SUM(tbl_Beneficiaries[[#This Row],[ التربية الخاصة ]:[ التأهيل النفسي الحركي ]])</f>
        <v>22</v>
      </c>
    </row>
    <row r="49" spans="1:20" x14ac:dyDescent="0.2">
      <c r="A49" s="1">
        <v>48</v>
      </c>
      <c r="B49" s="1">
        <v>1588971066</v>
      </c>
      <c r="C49" s="1" t="s">
        <v>99</v>
      </c>
      <c r="D49" s="1" t="s">
        <v>7</v>
      </c>
      <c r="E49" s="3">
        <v>43277</v>
      </c>
      <c r="F49" s="1" t="s">
        <v>357</v>
      </c>
      <c r="G49" s="1" t="s">
        <v>0</v>
      </c>
      <c r="H49" s="3">
        <v>44769</v>
      </c>
      <c r="I49" t="str">
        <f>IFERROR(INDEX('تشخيص الحالات'!$D$2:$D$1001,SUMPRODUCT(('تشخيص الحالات'!$B$2:$B$1001=B49)*('تشخيص الحالات'!$G$2:$G$1001=1)*ROW('تشخيص الحالات'!$B$2:$B$1001))-1),"")&amp;IF(SUMPRODUCT(('تشخيص الحالات'!$B$2:$B$1001=B49)*('تشخيص الحالات'!$G$2:$G$1001=2))&gt;0,"، "&amp;IFERROR(INDEX('تشخيص الحالات'!$D$2:$D$1001,SUMPRODUCT(('تشخيص الحالات'!$B$2:$B$1001=B49)*('تشخيص الحالات'!$G$2:$G$1001=2)*ROW('تشخيص الحالات'!$B$2:$B$1001))-1),""),"")&amp;IF(SUMPRODUCT(('تشخيص الحالات'!$B$2:$B$1001=B49)*('تشخيص الحالات'!$G$2:$G$1001=3))&gt;0,"، "&amp;IFERROR(INDEX('تشخيص الحالات'!$D$2:$D$1001,SUMPRODUCT(('تشخيص الحالات'!$B$2:$B$1001=B49)*('تشخيص الحالات'!$G$2:$G$1001=3)*ROW('تشخيص الحالات'!$B$2:$B$1001))-1),""),"")&amp;IF(SUMPRODUCT(('تشخيص الحالات'!$B$2:$B$1001=B49)*('تشخيص الحالات'!$G$2:$G$1001=4))&gt;0,"، "&amp;IFERROR(INDEX('تشخيص الحالات'!$D$2:$D$1001,SUMPRODUCT(('تشخيص الحالات'!$B$2:$B$1001=B49)*('تشخيص الحالات'!$G$2:$G$1001=4)*ROW('تشخيص الحالات'!$B$2:$B$1001))-1),""),"")&amp;IF(SUMPRODUCT(('تشخيص الحالات'!$B$2:$B$1001=B49)*('تشخيص الحالات'!$G$2:$G$1001=5))&gt;0,"، "&amp;IFERROR(INDEX('تشخيص الحالات'!$D$2:$D$1001,SUMPRODUCT(('تشخيص الحالات'!$B$2:$B$1001=B49)*('تشخيص الحالات'!$G$2:$G$1001=5)*ROW('تشخيص الحالات'!$B$2:$B$1001))-1),""),"")&amp;IF(SUMPRODUCT(('تشخيص الحالات'!$B$2:$B$1001=B49)*('تشخيص الحالات'!$G$2:$G$1001=6))&gt;0,"، "&amp;IFERROR(INDEX('تشخيص الحالات'!$D$2:$D$1001,SUMPRODUCT(('تشخيص الحالات'!$B$2:$B$1001=B49)*('تشخيص الحالات'!$G$2:$G$1001=6)*ROW('تشخيص الحالات'!$B$2:$B$1001))-1),""),"")&amp;IF(SUMPRODUCT(('تشخيص الحالات'!$B$2:$B$1001=B49)*('تشخيص الحالات'!$G$2:$G$1001=7))&gt;0,"، "&amp;IFERROR(INDEX('تشخيص الحالات'!$D$2:$D$1001,SUMPRODUCT(('تشخيص الحالات'!$B$2:$B$1001=B49)*('تشخيص الحالات'!$G$2:$G$1001=7)*ROW('تشخيص الحالات'!$B$2:$B$1001))-1),""),"")&amp;IF(SUMPRODUCT(('تشخيص الحالات'!$B$2:$B$1001=B49)*('تشخيص الحالات'!$G$2:$G$1001=8))&gt;0,"، "&amp;IFERROR(INDEX('تشخيص الحالات'!$D$2:$D$1001,SUMPRODUCT(('تشخيص الحالات'!$B$2:$B$1001=B49)*('تشخيص الحالات'!$G$2:$G$1001=8)*ROW('تشخيص الحالات'!$B$2:$B$1001))-1),""),"")</f>
        <v>اضطراب طيف التوحد، فرط الحركة وتشتت الانتباه، اضطراب تكامل حسي، اضطراب نفسي</v>
      </c>
      <c r="J49" s="1">
        <v>50</v>
      </c>
      <c r="K49" s="1" t="s">
        <v>38</v>
      </c>
      <c r="L49" s="1">
        <v>3500</v>
      </c>
      <c r="M49" s="1" t="s">
        <v>43</v>
      </c>
      <c r="N49" s="1">
        <v>0</v>
      </c>
      <c r="O49" s="1">
        <v>8</v>
      </c>
      <c r="P49" s="1">
        <v>0</v>
      </c>
      <c r="Q49" s="1">
        <v>2</v>
      </c>
      <c r="R49" s="1">
        <v>0</v>
      </c>
      <c r="S49" s="1">
        <v>0</v>
      </c>
      <c r="T49">
        <f>SUM(tbl_Beneficiaries[[#This Row],[ التربية الخاصة ]:[ التأهيل النفسي الحركي ]])</f>
        <v>10</v>
      </c>
    </row>
    <row r="50" spans="1:20" x14ac:dyDescent="0.2">
      <c r="A50" s="1">
        <v>49</v>
      </c>
      <c r="B50" s="1">
        <v>1846066363</v>
      </c>
      <c r="C50" s="1" t="s">
        <v>402</v>
      </c>
      <c r="D50" s="1" t="s">
        <v>7</v>
      </c>
      <c r="E50" s="3">
        <v>42682</v>
      </c>
      <c r="F50" s="1" t="s">
        <v>361</v>
      </c>
      <c r="G50" s="1" t="s">
        <v>4</v>
      </c>
      <c r="H50" s="3">
        <v>44927</v>
      </c>
      <c r="I50" t="str">
        <f>IFERROR(INDEX('تشخيص الحالات'!$D$2:$D$1001,SUMPRODUCT(('تشخيص الحالات'!$B$2:$B$1001=B50)*('تشخيص الحالات'!$G$2:$G$1001=1)*ROW('تشخيص الحالات'!$B$2:$B$1001))-1),"")&amp;IF(SUMPRODUCT(('تشخيص الحالات'!$B$2:$B$1001=B50)*('تشخيص الحالات'!$G$2:$G$1001=2))&gt;0,"، "&amp;IFERROR(INDEX('تشخيص الحالات'!$D$2:$D$1001,SUMPRODUCT(('تشخيص الحالات'!$B$2:$B$1001=B50)*('تشخيص الحالات'!$G$2:$G$1001=2)*ROW('تشخيص الحالات'!$B$2:$B$1001))-1),""),"")&amp;IF(SUMPRODUCT(('تشخيص الحالات'!$B$2:$B$1001=B50)*('تشخيص الحالات'!$G$2:$G$1001=3))&gt;0,"، "&amp;IFERROR(INDEX('تشخيص الحالات'!$D$2:$D$1001,SUMPRODUCT(('تشخيص الحالات'!$B$2:$B$1001=B50)*('تشخيص الحالات'!$G$2:$G$1001=3)*ROW('تشخيص الحالات'!$B$2:$B$1001))-1),""),"")&amp;IF(SUMPRODUCT(('تشخيص الحالات'!$B$2:$B$1001=B50)*('تشخيص الحالات'!$G$2:$G$1001=4))&gt;0,"، "&amp;IFERROR(INDEX('تشخيص الحالات'!$D$2:$D$1001,SUMPRODUCT(('تشخيص الحالات'!$B$2:$B$1001=B50)*('تشخيص الحالات'!$G$2:$G$1001=4)*ROW('تشخيص الحالات'!$B$2:$B$1001))-1),""),"")&amp;IF(SUMPRODUCT(('تشخيص الحالات'!$B$2:$B$1001=B50)*('تشخيص الحالات'!$G$2:$G$1001=5))&gt;0,"، "&amp;IFERROR(INDEX('تشخيص الحالات'!$D$2:$D$1001,SUMPRODUCT(('تشخيص الحالات'!$B$2:$B$1001=B50)*('تشخيص الحالات'!$G$2:$G$1001=5)*ROW('تشخيص الحالات'!$B$2:$B$1001))-1),""),"")&amp;IF(SUMPRODUCT(('تشخيص الحالات'!$B$2:$B$1001=B50)*('تشخيص الحالات'!$G$2:$G$1001=6))&gt;0,"، "&amp;IFERROR(INDEX('تشخيص الحالات'!$D$2:$D$1001,SUMPRODUCT(('تشخيص الحالات'!$B$2:$B$1001=B50)*('تشخيص الحالات'!$G$2:$G$1001=6)*ROW('تشخيص الحالات'!$B$2:$B$1001))-1),""),"")&amp;IF(SUMPRODUCT(('تشخيص الحالات'!$B$2:$B$1001=B50)*('تشخيص الحالات'!$G$2:$G$1001=7))&gt;0,"، "&amp;IFERROR(INDEX('تشخيص الحالات'!$D$2:$D$1001,SUMPRODUCT(('تشخيص الحالات'!$B$2:$B$1001=B50)*('تشخيص الحالات'!$G$2:$G$1001=7)*ROW('تشخيص الحالات'!$B$2:$B$1001))-1),""),"")&amp;IF(SUMPRODUCT(('تشخيص الحالات'!$B$2:$B$1001=B50)*('تشخيص الحالات'!$G$2:$G$1001=8))&gt;0,"، "&amp;IFERROR(INDEX('تشخيص الحالات'!$D$2:$D$1001,SUMPRODUCT(('تشخيص الحالات'!$B$2:$B$1001=B50)*('تشخيص الحالات'!$G$2:$G$1001=8)*ROW('تشخيص الحالات'!$B$2:$B$1001))-1),""),"")</f>
        <v>إعاقة بصرية، اضطراب نفسي</v>
      </c>
      <c r="J50" s="1">
        <v>96</v>
      </c>
      <c r="K50" s="1" t="s">
        <v>39</v>
      </c>
      <c r="L50" s="1">
        <v>3500</v>
      </c>
      <c r="M50" s="1" t="s">
        <v>43</v>
      </c>
      <c r="N50" s="1">
        <v>0</v>
      </c>
      <c r="O50" s="1">
        <v>0</v>
      </c>
      <c r="P50" s="1">
        <v>9</v>
      </c>
      <c r="Q50" s="1">
        <v>9</v>
      </c>
      <c r="R50" s="1">
        <v>2</v>
      </c>
      <c r="S50" s="1">
        <v>0</v>
      </c>
      <c r="T50">
        <f>SUM(tbl_Beneficiaries[[#This Row],[ التربية الخاصة ]:[ التأهيل النفسي الحركي ]])</f>
        <v>20</v>
      </c>
    </row>
    <row r="51" spans="1:20" x14ac:dyDescent="0.2">
      <c r="A51" s="1">
        <v>50</v>
      </c>
      <c r="B51" s="1">
        <v>1074930603</v>
      </c>
      <c r="C51" s="1" t="s">
        <v>403</v>
      </c>
      <c r="D51" s="1" t="s">
        <v>7</v>
      </c>
      <c r="E51" s="3">
        <v>42957</v>
      </c>
      <c r="F51" s="1" t="s">
        <v>360</v>
      </c>
      <c r="G51" s="1" t="s">
        <v>1</v>
      </c>
      <c r="H51" s="3">
        <v>45231</v>
      </c>
      <c r="I51" t="str">
        <f>IFERROR(INDEX('تشخيص الحالات'!$D$2:$D$1001,SUMPRODUCT(('تشخيص الحالات'!$B$2:$B$1001=B51)*('تشخيص الحالات'!$G$2:$G$1001=1)*ROW('تشخيص الحالات'!$B$2:$B$1001))-1),"")&amp;IF(SUMPRODUCT(('تشخيص الحالات'!$B$2:$B$1001=B51)*('تشخيص الحالات'!$G$2:$G$1001=2))&gt;0,"، "&amp;IFERROR(INDEX('تشخيص الحالات'!$D$2:$D$1001,SUMPRODUCT(('تشخيص الحالات'!$B$2:$B$1001=B51)*('تشخيص الحالات'!$G$2:$G$1001=2)*ROW('تشخيص الحالات'!$B$2:$B$1001))-1),""),"")&amp;IF(SUMPRODUCT(('تشخيص الحالات'!$B$2:$B$1001=B51)*('تشخيص الحالات'!$G$2:$G$1001=3))&gt;0,"، "&amp;IFERROR(INDEX('تشخيص الحالات'!$D$2:$D$1001,SUMPRODUCT(('تشخيص الحالات'!$B$2:$B$1001=B51)*('تشخيص الحالات'!$G$2:$G$1001=3)*ROW('تشخيص الحالات'!$B$2:$B$1001))-1),""),"")&amp;IF(SUMPRODUCT(('تشخيص الحالات'!$B$2:$B$1001=B51)*('تشخيص الحالات'!$G$2:$G$1001=4))&gt;0,"، "&amp;IFERROR(INDEX('تشخيص الحالات'!$D$2:$D$1001,SUMPRODUCT(('تشخيص الحالات'!$B$2:$B$1001=B51)*('تشخيص الحالات'!$G$2:$G$1001=4)*ROW('تشخيص الحالات'!$B$2:$B$1001))-1),""),"")&amp;IF(SUMPRODUCT(('تشخيص الحالات'!$B$2:$B$1001=B51)*('تشخيص الحالات'!$G$2:$G$1001=5))&gt;0,"، "&amp;IFERROR(INDEX('تشخيص الحالات'!$D$2:$D$1001,SUMPRODUCT(('تشخيص الحالات'!$B$2:$B$1001=B51)*('تشخيص الحالات'!$G$2:$G$1001=5)*ROW('تشخيص الحالات'!$B$2:$B$1001))-1),""),"")&amp;IF(SUMPRODUCT(('تشخيص الحالات'!$B$2:$B$1001=B51)*('تشخيص الحالات'!$G$2:$G$1001=6))&gt;0,"، "&amp;IFERROR(INDEX('تشخيص الحالات'!$D$2:$D$1001,SUMPRODUCT(('تشخيص الحالات'!$B$2:$B$1001=B51)*('تشخيص الحالات'!$G$2:$G$1001=6)*ROW('تشخيص الحالات'!$B$2:$B$1001))-1),""),"")&amp;IF(SUMPRODUCT(('تشخيص الحالات'!$B$2:$B$1001=B51)*('تشخيص الحالات'!$G$2:$G$1001=7))&gt;0,"، "&amp;IFERROR(INDEX('تشخيص الحالات'!$D$2:$D$1001,SUMPRODUCT(('تشخيص الحالات'!$B$2:$B$1001=B51)*('تشخيص الحالات'!$G$2:$G$1001=7)*ROW('تشخيص الحالات'!$B$2:$B$1001))-1),""),"")&amp;IF(SUMPRODUCT(('تشخيص الحالات'!$B$2:$B$1001=B51)*('تشخيص الحالات'!$G$2:$G$1001=8))&gt;0,"، "&amp;IFERROR(INDEX('تشخيص الحالات'!$D$2:$D$1001,SUMPRODUCT(('تشخيص الحالات'!$B$2:$B$1001=B51)*('تشخيص الحالات'!$G$2:$G$1001=8)*ROW('تشخيص الحالات'!$B$2:$B$1001))-1),""),"")</f>
        <v>شلل دماغي، اضطراب تكامل حسي، اضطراب نفسي، اضطراب نفسي حركي</v>
      </c>
      <c r="J51" s="1">
        <v>61</v>
      </c>
      <c r="K51" s="1" t="s">
        <v>38</v>
      </c>
      <c r="L51" s="1">
        <v>3500</v>
      </c>
      <c r="M51" s="1" t="s">
        <v>41</v>
      </c>
      <c r="N51" s="1">
        <v>9</v>
      </c>
      <c r="O51" s="1">
        <v>3</v>
      </c>
      <c r="P51" s="1">
        <v>0</v>
      </c>
      <c r="Q51" s="1">
        <v>3</v>
      </c>
      <c r="R51" s="1">
        <v>0</v>
      </c>
      <c r="S51" s="1">
        <v>0</v>
      </c>
      <c r="T51">
        <f>SUM(tbl_Beneficiaries[[#This Row],[ التربية الخاصة ]:[ التأهيل النفسي الحركي ]])</f>
        <v>15</v>
      </c>
    </row>
    <row r="52" spans="1:20" x14ac:dyDescent="0.2">
      <c r="A52" s="1">
        <v>51</v>
      </c>
      <c r="B52" s="1">
        <v>1313917845</v>
      </c>
      <c r="C52" s="1" t="s">
        <v>404</v>
      </c>
      <c r="D52" s="1" t="s">
        <v>3</v>
      </c>
      <c r="E52" s="3">
        <v>41841</v>
      </c>
      <c r="F52" s="1" t="s">
        <v>357</v>
      </c>
      <c r="G52" s="1" t="s">
        <v>4</v>
      </c>
      <c r="H52" s="3">
        <v>44686</v>
      </c>
      <c r="I52" t="str">
        <f>IFERROR(INDEX('تشخيص الحالات'!$D$2:$D$1001,SUMPRODUCT(('تشخيص الحالات'!$B$2:$B$1001=B52)*('تشخيص الحالات'!$G$2:$G$1001=1)*ROW('تشخيص الحالات'!$B$2:$B$1001))-1),"")&amp;IF(SUMPRODUCT(('تشخيص الحالات'!$B$2:$B$1001=B52)*('تشخيص الحالات'!$G$2:$G$1001=2))&gt;0,"، "&amp;IFERROR(INDEX('تشخيص الحالات'!$D$2:$D$1001,SUMPRODUCT(('تشخيص الحالات'!$B$2:$B$1001=B52)*('تشخيص الحالات'!$G$2:$G$1001=2)*ROW('تشخيص الحالات'!$B$2:$B$1001))-1),""),"")&amp;IF(SUMPRODUCT(('تشخيص الحالات'!$B$2:$B$1001=B52)*('تشخيص الحالات'!$G$2:$G$1001=3))&gt;0,"، "&amp;IFERROR(INDEX('تشخيص الحالات'!$D$2:$D$1001,SUMPRODUCT(('تشخيص الحالات'!$B$2:$B$1001=B52)*('تشخيص الحالات'!$G$2:$G$1001=3)*ROW('تشخيص الحالات'!$B$2:$B$1001))-1),""),"")&amp;IF(SUMPRODUCT(('تشخيص الحالات'!$B$2:$B$1001=B52)*('تشخيص الحالات'!$G$2:$G$1001=4))&gt;0,"، "&amp;IFERROR(INDEX('تشخيص الحالات'!$D$2:$D$1001,SUMPRODUCT(('تشخيص الحالات'!$B$2:$B$1001=B52)*('تشخيص الحالات'!$G$2:$G$1001=4)*ROW('تشخيص الحالات'!$B$2:$B$1001))-1),""),"")&amp;IF(SUMPRODUCT(('تشخيص الحالات'!$B$2:$B$1001=B52)*('تشخيص الحالات'!$G$2:$G$1001=5))&gt;0,"، "&amp;IFERROR(INDEX('تشخيص الحالات'!$D$2:$D$1001,SUMPRODUCT(('تشخيص الحالات'!$B$2:$B$1001=B52)*('تشخيص الحالات'!$G$2:$G$1001=5)*ROW('تشخيص الحالات'!$B$2:$B$1001))-1),""),"")&amp;IF(SUMPRODUCT(('تشخيص الحالات'!$B$2:$B$1001=B52)*('تشخيص الحالات'!$G$2:$G$1001=6))&gt;0,"، "&amp;IFERROR(INDEX('تشخيص الحالات'!$D$2:$D$1001,SUMPRODUCT(('تشخيص الحالات'!$B$2:$B$1001=B52)*('تشخيص الحالات'!$G$2:$G$1001=6)*ROW('تشخيص الحالات'!$B$2:$B$1001))-1),""),"")&amp;IF(SUMPRODUCT(('تشخيص الحالات'!$B$2:$B$1001=B52)*('تشخيص الحالات'!$G$2:$G$1001=7))&gt;0,"، "&amp;IFERROR(INDEX('تشخيص الحالات'!$D$2:$D$1001,SUMPRODUCT(('تشخيص الحالات'!$B$2:$B$1001=B52)*('تشخيص الحالات'!$G$2:$G$1001=7)*ROW('تشخيص الحالات'!$B$2:$B$1001))-1),""),"")&amp;IF(SUMPRODUCT(('تشخيص الحالات'!$B$2:$B$1001=B52)*('تشخيص الحالات'!$G$2:$G$1001=8))&gt;0,"، "&amp;IFERROR(INDEX('تشخيص الحالات'!$D$2:$D$1001,SUMPRODUCT(('تشخيص الحالات'!$B$2:$B$1001=B52)*('تشخيص الحالات'!$G$2:$G$1001=8)*ROW('تشخيص الحالات'!$B$2:$B$1001))-1),""),"")</f>
        <v>متلازمة داون</v>
      </c>
      <c r="J52" s="1">
        <v>55</v>
      </c>
      <c r="K52" s="1" t="s">
        <v>4</v>
      </c>
      <c r="L52" s="1">
        <v>1500</v>
      </c>
      <c r="M52" s="1" t="s">
        <v>41</v>
      </c>
      <c r="N52" s="1">
        <v>0</v>
      </c>
      <c r="O52" s="1">
        <v>0</v>
      </c>
      <c r="P52" s="1">
        <v>1</v>
      </c>
      <c r="Q52" s="1">
        <v>4</v>
      </c>
      <c r="R52" s="1">
        <v>0</v>
      </c>
      <c r="S52" s="1">
        <v>0</v>
      </c>
      <c r="T52">
        <f>SUM(tbl_Beneficiaries[[#This Row],[ التربية الخاصة ]:[ التأهيل النفسي الحركي ]])</f>
        <v>5</v>
      </c>
    </row>
    <row r="53" spans="1:20" x14ac:dyDescent="0.2">
      <c r="A53" s="1">
        <v>52</v>
      </c>
      <c r="B53" s="1">
        <v>1017688451</v>
      </c>
      <c r="C53" s="1" t="s">
        <v>405</v>
      </c>
      <c r="D53" s="1" t="s">
        <v>7</v>
      </c>
      <c r="E53" s="3">
        <v>41751</v>
      </c>
      <c r="F53" s="1" t="s">
        <v>358</v>
      </c>
      <c r="G53" s="1" t="s">
        <v>4</v>
      </c>
      <c r="H53" s="3">
        <v>45453</v>
      </c>
      <c r="I53" t="str">
        <f>IFERROR(INDEX('تشخيص الحالات'!$D$2:$D$1001,SUMPRODUCT(('تشخيص الحالات'!$B$2:$B$1001=B53)*('تشخيص الحالات'!$G$2:$G$1001=1)*ROW('تشخيص الحالات'!$B$2:$B$1001))-1),"")&amp;IF(SUMPRODUCT(('تشخيص الحالات'!$B$2:$B$1001=B53)*('تشخيص الحالات'!$G$2:$G$1001=2))&gt;0,"، "&amp;IFERROR(INDEX('تشخيص الحالات'!$D$2:$D$1001,SUMPRODUCT(('تشخيص الحالات'!$B$2:$B$1001=B53)*('تشخيص الحالات'!$G$2:$G$1001=2)*ROW('تشخيص الحالات'!$B$2:$B$1001))-1),""),"")&amp;IF(SUMPRODUCT(('تشخيص الحالات'!$B$2:$B$1001=B53)*('تشخيص الحالات'!$G$2:$G$1001=3))&gt;0,"، "&amp;IFERROR(INDEX('تشخيص الحالات'!$D$2:$D$1001,SUMPRODUCT(('تشخيص الحالات'!$B$2:$B$1001=B53)*('تشخيص الحالات'!$G$2:$G$1001=3)*ROW('تشخيص الحالات'!$B$2:$B$1001))-1),""),"")&amp;IF(SUMPRODUCT(('تشخيص الحالات'!$B$2:$B$1001=B53)*('تشخيص الحالات'!$G$2:$G$1001=4))&gt;0,"، "&amp;IFERROR(INDEX('تشخيص الحالات'!$D$2:$D$1001,SUMPRODUCT(('تشخيص الحالات'!$B$2:$B$1001=B53)*('تشخيص الحالات'!$G$2:$G$1001=4)*ROW('تشخيص الحالات'!$B$2:$B$1001))-1),""),"")&amp;IF(SUMPRODUCT(('تشخيص الحالات'!$B$2:$B$1001=B53)*('تشخيص الحالات'!$G$2:$G$1001=5))&gt;0,"، "&amp;IFERROR(INDEX('تشخيص الحالات'!$D$2:$D$1001,SUMPRODUCT(('تشخيص الحالات'!$B$2:$B$1001=B53)*('تشخيص الحالات'!$G$2:$G$1001=5)*ROW('تشخيص الحالات'!$B$2:$B$1001))-1),""),"")&amp;IF(SUMPRODUCT(('تشخيص الحالات'!$B$2:$B$1001=B53)*('تشخيص الحالات'!$G$2:$G$1001=6))&gt;0,"، "&amp;IFERROR(INDEX('تشخيص الحالات'!$D$2:$D$1001,SUMPRODUCT(('تشخيص الحالات'!$B$2:$B$1001=B53)*('تشخيص الحالات'!$G$2:$G$1001=6)*ROW('تشخيص الحالات'!$B$2:$B$1001))-1),""),"")&amp;IF(SUMPRODUCT(('تشخيص الحالات'!$B$2:$B$1001=B53)*('تشخيص الحالات'!$G$2:$G$1001=7))&gt;0,"، "&amp;IFERROR(INDEX('تشخيص الحالات'!$D$2:$D$1001,SUMPRODUCT(('تشخيص الحالات'!$B$2:$B$1001=B53)*('تشخيص الحالات'!$G$2:$G$1001=7)*ROW('تشخيص الحالات'!$B$2:$B$1001))-1),""),"")&amp;IF(SUMPRODUCT(('تشخيص الحالات'!$B$2:$B$1001=B53)*('تشخيص الحالات'!$G$2:$G$1001=8))&gt;0,"، "&amp;IFERROR(INDEX('تشخيص الحالات'!$D$2:$D$1001,SUMPRODUCT(('تشخيص الحالات'!$B$2:$B$1001=B53)*('تشخيص الحالات'!$G$2:$G$1001=8)*ROW('تشخيص الحالات'!$B$2:$B$1001))-1),""),"")</f>
        <v>إعاقة ذهنية</v>
      </c>
      <c r="J53" s="1">
        <v>59</v>
      </c>
      <c r="K53" s="1" t="s">
        <v>39</v>
      </c>
      <c r="L53" s="1">
        <v>1500</v>
      </c>
      <c r="M53" s="1" t="s">
        <v>41</v>
      </c>
      <c r="N53" s="1">
        <v>3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>
        <f>SUM(tbl_Beneficiaries[[#This Row],[ التربية الخاصة ]:[ التأهيل النفسي الحركي ]])</f>
        <v>4</v>
      </c>
    </row>
    <row r="54" spans="1:20" x14ac:dyDescent="0.2">
      <c r="A54" s="1">
        <v>53</v>
      </c>
      <c r="B54" s="1">
        <v>1256720953</v>
      </c>
      <c r="C54" s="1" t="s">
        <v>406</v>
      </c>
      <c r="D54" s="1" t="s">
        <v>3</v>
      </c>
      <c r="E54" s="3">
        <v>41794</v>
      </c>
      <c r="F54" s="1" t="s">
        <v>360</v>
      </c>
      <c r="G54" s="1" t="s">
        <v>4</v>
      </c>
      <c r="H54" s="3">
        <v>44630</v>
      </c>
      <c r="I54" t="str">
        <f>IFERROR(INDEX('تشخيص الحالات'!$D$2:$D$1001,SUMPRODUCT(('تشخيص الحالات'!$B$2:$B$1001=B54)*('تشخيص الحالات'!$G$2:$G$1001=1)*ROW('تشخيص الحالات'!$B$2:$B$1001))-1),"")&amp;IF(SUMPRODUCT(('تشخيص الحالات'!$B$2:$B$1001=B54)*('تشخيص الحالات'!$G$2:$G$1001=2))&gt;0,"، "&amp;IFERROR(INDEX('تشخيص الحالات'!$D$2:$D$1001,SUMPRODUCT(('تشخيص الحالات'!$B$2:$B$1001=B54)*('تشخيص الحالات'!$G$2:$G$1001=2)*ROW('تشخيص الحالات'!$B$2:$B$1001))-1),""),"")&amp;IF(SUMPRODUCT(('تشخيص الحالات'!$B$2:$B$1001=B54)*('تشخيص الحالات'!$G$2:$G$1001=3))&gt;0,"، "&amp;IFERROR(INDEX('تشخيص الحالات'!$D$2:$D$1001,SUMPRODUCT(('تشخيص الحالات'!$B$2:$B$1001=B54)*('تشخيص الحالات'!$G$2:$G$1001=3)*ROW('تشخيص الحالات'!$B$2:$B$1001))-1),""),"")&amp;IF(SUMPRODUCT(('تشخيص الحالات'!$B$2:$B$1001=B54)*('تشخيص الحالات'!$G$2:$G$1001=4))&gt;0,"، "&amp;IFERROR(INDEX('تشخيص الحالات'!$D$2:$D$1001,SUMPRODUCT(('تشخيص الحالات'!$B$2:$B$1001=B54)*('تشخيص الحالات'!$G$2:$G$1001=4)*ROW('تشخيص الحالات'!$B$2:$B$1001))-1),""),"")&amp;IF(SUMPRODUCT(('تشخيص الحالات'!$B$2:$B$1001=B54)*('تشخيص الحالات'!$G$2:$G$1001=5))&gt;0,"، "&amp;IFERROR(INDEX('تشخيص الحالات'!$D$2:$D$1001,SUMPRODUCT(('تشخيص الحالات'!$B$2:$B$1001=B54)*('تشخيص الحالات'!$G$2:$G$1001=5)*ROW('تشخيص الحالات'!$B$2:$B$1001))-1),""),"")&amp;IF(SUMPRODUCT(('تشخيص الحالات'!$B$2:$B$1001=B54)*('تشخيص الحالات'!$G$2:$G$1001=6))&gt;0,"، "&amp;IFERROR(INDEX('تشخيص الحالات'!$D$2:$D$1001,SUMPRODUCT(('تشخيص الحالات'!$B$2:$B$1001=B54)*('تشخيص الحالات'!$G$2:$G$1001=6)*ROW('تشخيص الحالات'!$B$2:$B$1001))-1),""),"")&amp;IF(SUMPRODUCT(('تشخيص الحالات'!$B$2:$B$1001=B54)*('تشخيص الحالات'!$G$2:$G$1001=7))&gt;0,"، "&amp;IFERROR(INDEX('تشخيص الحالات'!$D$2:$D$1001,SUMPRODUCT(('تشخيص الحالات'!$B$2:$B$1001=B54)*('تشخيص الحالات'!$G$2:$G$1001=7)*ROW('تشخيص الحالات'!$B$2:$B$1001))-1),""),"")&amp;IF(SUMPRODUCT(('تشخيص الحالات'!$B$2:$B$1001=B54)*('تشخيص الحالات'!$G$2:$G$1001=8))&gt;0,"، "&amp;IFERROR(INDEX('تشخيص الحالات'!$D$2:$D$1001,SUMPRODUCT(('تشخيص الحالات'!$B$2:$B$1001=B54)*('تشخيص الحالات'!$G$2:$G$1001=8)*ROW('تشخيص الحالات'!$B$2:$B$1001))-1),""),"")</f>
        <v>مشكلات لغوية، اضطراب طيف التوحد، اضطراب نفسي حركي، تأخر حركي</v>
      </c>
      <c r="J54" s="1">
        <v>101</v>
      </c>
      <c r="K54" s="1" t="s">
        <v>39</v>
      </c>
      <c r="L54" s="1">
        <v>4000</v>
      </c>
      <c r="M54" s="1" t="s">
        <v>42</v>
      </c>
      <c r="N54" s="1">
        <v>0</v>
      </c>
      <c r="O54" s="1">
        <v>0</v>
      </c>
      <c r="P54" s="1">
        <v>0</v>
      </c>
      <c r="Q54" s="1">
        <v>0</v>
      </c>
      <c r="R54" s="1">
        <v>8</v>
      </c>
      <c r="S54" s="1">
        <v>0</v>
      </c>
      <c r="T54">
        <f>SUM(tbl_Beneficiaries[[#This Row],[ التربية الخاصة ]:[ التأهيل النفسي الحركي ]])</f>
        <v>8</v>
      </c>
    </row>
    <row r="55" spans="1:20" x14ac:dyDescent="0.2">
      <c r="A55" s="1">
        <v>54</v>
      </c>
      <c r="B55" s="1">
        <v>1228939605</v>
      </c>
      <c r="C55" s="1" t="s">
        <v>407</v>
      </c>
      <c r="D55" s="1" t="s">
        <v>7</v>
      </c>
      <c r="E55" s="3">
        <v>43398</v>
      </c>
      <c r="F55" s="1" t="s">
        <v>359</v>
      </c>
      <c r="G55" s="1" t="s">
        <v>1</v>
      </c>
      <c r="H55" s="3">
        <v>45416</v>
      </c>
      <c r="I55" t="str">
        <f>IFERROR(INDEX('تشخيص الحالات'!$D$2:$D$1001,SUMPRODUCT(('تشخيص الحالات'!$B$2:$B$1001=B55)*('تشخيص الحالات'!$G$2:$G$1001=1)*ROW('تشخيص الحالات'!$B$2:$B$1001))-1),"")&amp;IF(SUMPRODUCT(('تشخيص الحالات'!$B$2:$B$1001=B55)*('تشخيص الحالات'!$G$2:$G$1001=2))&gt;0,"، "&amp;IFERROR(INDEX('تشخيص الحالات'!$D$2:$D$1001,SUMPRODUCT(('تشخيص الحالات'!$B$2:$B$1001=B55)*('تشخيص الحالات'!$G$2:$G$1001=2)*ROW('تشخيص الحالات'!$B$2:$B$1001))-1),""),"")&amp;IF(SUMPRODUCT(('تشخيص الحالات'!$B$2:$B$1001=B55)*('تشخيص الحالات'!$G$2:$G$1001=3))&gt;0,"، "&amp;IFERROR(INDEX('تشخيص الحالات'!$D$2:$D$1001,SUMPRODUCT(('تشخيص الحالات'!$B$2:$B$1001=B55)*('تشخيص الحالات'!$G$2:$G$1001=3)*ROW('تشخيص الحالات'!$B$2:$B$1001))-1),""),"")&amp;IF(SUMPRODUCT(('تشخيص الحالات'!$B$2:$B$1001=B55)*('تشخيص الحالات'!$G$2:$G$1001=4))&gt;0,"، "&amp;IFERROR(INDEX('تشخيص الحالات'!$D$2:$D$1001,SUMPRODUCT(('تشخيص الحالات'!$B$2:$B$1001=B55)*('تشخيص الحالات'!$G$2:$G$1001=4)*ROW('تشخيص الحالات'!$B$2:$B$1001))-1),""),"")&amp;IF(SUMPRODUCT(('تشخيص الحالات'!$B$2:$B$1001=B55)*('تشخيص الحالات'!$G$2:$G$1001=5))&gt;0,"، "&amp;IFERROR(INDEX('تشخيص الحالات'!$D$2:$D$1001,SUMPRODUCT(('تشخيص الحالات'!$B$2:$B$1001=B55)*('تشخيص الحالات'!$G$2:$G$1001=5)*ROW('تشخيص الحالات'!$B$2:$B$1001))-1),""),"")&amp;IF(SUMPRODUCT(('تشخيص الحالات'!$B$2:$B$1001=B55)*('تشخيص الحالات'!$G$2:$G$1001=6))&gt;0,"، "&amp;IFERROR(INDEX('تشخيص الحالات'!$D$2:$D$1001,SUMPRODUCT(('تشخيص الحالات'!$B$2:$B$1001=B55)*('تشخيص الحالات'!$G$2:$G$1001=6)*ROW('تشخيص الحالات'!$B$2:$B$1001))-1),""),"")&amp;IF(SUMPRODUCT(('تشخيص الحالات'!$B$2:$B$1001=B55)*('تشخيص الحالات'!$G$2:$G$1001=7))&gt;0,"، "&amp;IFERROR(INDEX('تشخيص الحالات'!$D$2:$D$1001,SUMPRODUCT(('تشخيص الحالات'!$B$2:$B$1001=B55)*('تشخيص الحالات'!$G$2:$G$1001=7)*ROW('تشخيص الحالات'!$B$2:$B$1001))-1),""),"")&amp;IF(SUMPRODUCT(('تشخيص الحالات'!$B$2:$B$1001=B55)*('تشخيص الحالات'!$G$2:$G$1001=8))&gt;0,"، "&amp;IFERROR(INDEX('تشخيص الحالات'!$D$2:$D$1001,SUMPRODUCT(('تشخيص الحالات'!$B$2:$B$1001=B55)*('تشخيص الحالات'!$G$2:$G$1001=8)*ROW('تشخيص الحالات'!$B$2:$B$1001))-1),""),"")</f>
        <v>إعاقة ذهنية، إعاقة بصرية</v>
      </c>
      <c r="J55" s="1">
        <v>102</v>
      </c>
      <c r="K55" s="1" t="s">
        <v>4</v>
      </c>
      <c r="L55" s="1">
        <v>4000</v>
      </c>
      <c r="M55" s="1" t="s">
        <v>44</v>
      </c>
      <c r="N55" s="1">
        <v>0</v>
      </c>
      <c r="O55" s="1">
        <v>6</v>
      </c>
      <c r="P55" s="1">
        <v>0</v>
      </c>
      <c r="Q55" s="1">
        <v>3</v>
      </c>
      <c r="R55" s="1">
        <v>2</v>
      </c>
      <c r="S55" s="1">
        <v>0</v>
      </c>
      <c r="T55">
        <f>SUM(tbl_Beneficiaries[[#This Row],[ التربية الخاصة ]:[ التأهيل النفسي الحركي ]])</f>
        <v>11</v>
      </c>
    </row>
    <row r="56" spans="1:20" x14ac:dyDescent="0.2">
      <c r="A56" s="1">
        <v>55</v>
      </c>
      <c r="B56" s="1">
        <v>1369869858</v>
      </c>
      <c r="C56" s="1" t="s">
        <v>408</v>
      </c>
      <c r="D56" s="1" t="s">
        <v>3</v>
      </c>
      <c r="E56" s="3">
        <v>42014</v>
      </c>
      <c r="F56" s="1" t="s">
        <v>359</v>
      </c>
      <c r="G56" s="1" t="s">
        <v>0</v>
      </c>
      <c r="H56" s="3">
        <v>45223</v>
      </c>
      <c r="I56" t="str">
        <f>IFERROR(INDEX('تشخيص الحالات'!$D$2:$D$1001,SUMPRODUCT(('تشخيص الحالات'!$B$2:$B$1001=B56)*('تشخيص الحالات'!$G$2:$G$1001=1)*ROW('تشخيص الحالات'!$B$2:$B$1001))-1),"")&amp;IF(SUMPRODUCT(('تشخيص الحالات'!$B$2:$B$1001=B56)*('تشخيص الحالات'!$G$2:$G$1001=2))&gt;0,"، "&amp;IFERROR(INDEX('تشخيص الحالات'!$D$2:$D$1001,SUMPRODUCT(('تشخيص الحالات'!$B$2:$B$1001=B56)*('تشخيص الحالات'!$G$2:$G$1001=2)*ROW('تشخيص الحالات'!$B$2:$B$1001))-1),""),"")&amp;IF(SUMPRODUCT(('تشخيص الحالات'!$B$2:$B$1001=B56)*('تشخيص الحالات'!$G$2:$G$1001=3))&gt;0,"، "&amp;IFERROR(INDEX('تشخيص الحالات'!$D$2:$D$1001,SUMPRODUCT(('تشخيص الحالات'!$B$2:$B$1001=B56)*('تشخيص الحالات'!$G$2:$G$1001=3)*ROW('تشخيص الحالات'!$B$2:$B$1001))-1),""),"")&amp;IF(SUMPRODUCT(('تشخيص الحالات'!$B$2:$B$1001=B56)*('تشخيص الحالات'!$G$2:$G$1001=4))&gt;0,"، "&amp;IFERROR(INDEX('تشخيص الحالات'!$D$2:$D$1001,SUMPRODUCT(('تشخيص الحالات'!$B$2:$B$1001=B56)*('تشخيص الحالات'!$G$2:$G$1001=4)*ROW('تشخيص الحالات'!$B$2:$B$1001))-1),""),"")&amp;IF(SUMPRODUCT(('تشخيص الحالات'!$B$2:$B$1001=B56)*('تشخيص الحالات'!$G$2:$G$1001=5))&gt;0,"، "&amp;IFERROR(INDEX('تشخيص الحالات'!$D$2:$D$1001,SUMPRODUCT(('تشخيص الحالات'!$B$2:$B$1001=B56)*('تشخيص الحالات'!$G$2:$G$1001=5)*ROW('تشخيص الحالات'!$B$2:$B$1001))-1),""),"")&amp;IF(SUMPRODUCT(('تشخيص الحالات'!$B$2:$B$1001=B56)*('تشخيص الحالات'!$G$2:$G$1001=6))&gt;0,"، "&amp;IFERROR(INDEX('تشخيص الحالات'!$D$2:$D$1001,SUMPRODUCT(('تشخيص الحالات'!$B$2:$B$1001=B56)*('تشخيص الحالات'!$G$2:$G$1001=6)*ROW('تشخيص الحالات'!$B$2:$B$1001))-1),""),"")&amp;IF(SUMPRODUCT(('تشخيص الحالات'!$B$2:$B$1001=B56)*('تشخيص الحالات'!$G$2:$G$1001=7))&gt;0,"، "&amp;IFERROR(INDEX('تشخيص الحالات'!$D$2:$D$1001,SUMPRODUCT(('تشخيص الحالات'!$B$2:$B$1001=B56)*('تشخيص الحالات'!$G$2:$G$1001=7)*ROW('تشخيص الحالات'!$B$2:$B$1001))-1),""),"")&amp;IF(SUMPRODUCT(('تشخيص الحالات'!$B$2:$B$1001=B56)*('تشخيص الحالات'!$G$2:$G$1001=8))&gt;0,"، "&amp;IFERROR(INDEX('تشخيص الحالات'!$D$2:$D$1001,SUMPRODUCT(('تشخيص الحالات'!$B$2:$B$1001=B56)*('تشخيص الحالات'!$G$2:$G$1001=8)*ROW('تشخيص الحالات'!$B$2:$B$1001))-1),""),"")</f>
        <v>اضطراب نفسي</v>
      </c>
      <c r="J56" s="1">
        <v>68</v>
      </c>
      <c r="K56" s="1" t="s">
        <v>4</v>
      </c>
      <c r="L56" s="1">
        <v>3500</v>
      </c>
      <c r="M56" s="1" t="s">
        <v>41</v>
      </c>
      <c r="N56" s="1">
        <v>0</v>
      </c>
      <c r="O56" s="1">
        <v>3</v>
      </c>
      <c r="P56" s="1">
        <v>7</v>
      </c>
      <c r="Q56" s="1">
        <v>6</v>
      </c>
      <c r="R56" s="1">
        <v>0</v>
      </c>
      <c r="S56" s="1">
        <v>5</v>
      </c>
      <c r="T56">
        <f>SUM(tbl_Beneficiaries[[#This Row],[ التربية الخاصة ]:[ التأهيل النفسي الحركي ]])</f>
        <v>21</v>
      </c>
    </row>
    <row r="57" spans="1:20" x14ac:dyDescent="0.2">
      <c r="A57" s="1">
        <v>56</v>
      </c>
      <c r="B57" s="1">
        <v>1445520895</v>
      </c>
      <c r="C57" s="1" t="s">
        <v>100</v>
      </c>
      <c r="D57" s="1" t="s">
        <v>7</v>
      </c>
      <c r="E57" s="3">
        <v>43672</v>
      </c>
      <c r="F57" s="1" t="s">
        <v>357</v>
      </c>
      <c r="G57" s="1" t="s">
        <v>1</v>
      </c>
      <c r="H57" s="3">
        <v>45377</v>
      </c>
      <c r="I57" t="str">
        <f>IFERROR(INDEX('تشخيص الحالات'!$D$2:$D$1001,SUMPRODUCT(('تشخيص الحالات'!$B$2:$B$1001=B57)*('تشخيص الحالات'!$G$2:$G$1001=1)*ROW('تشخيص الحالات'!$B$2:$B$1001))-1),"")&amp;IF(SUMPRODUCT(('تشخيص الحالات'!$B$2:$B$1001=B57)*('تشخيص الحالات'!$G$2:$G$1001=2))&gt;0,"، "&amp;IFERROR(INDEX('تشخيص الحالات'!$D$2:$D$1001,SUMPRODUCT(('تشخيص الحالات'!$B$2:$B$1001=B57)*('تشخيص الحالات'!$G$2:$G$1001=2)*ROW('تشخيص الحالات'!$B$2:$B$1001))-1),""),"")&amp;IF(SUMPRODUCT(('تشخيص الحالات'!$B$2:$B$1001=B57)*('تشخيص الحالات'!$G$2:$G$1001=3))&gt;0,"، "&amp;IFERROR(INDEX('تشخيص الحالات'!$D$2:$D$1001,SUMPRODUCT(('تشخيص الحالات'!$B$2:$B$1001=B57)*('تشخيص الحالات'!$G$2:$G$1001=3)*ROW('تشخيص الحالات'!$B$2:$B$1001))-1),""),"")&amp;IF(SUMPRODUCT(('تشخيص الحالات'!$B$2:$B$1001=B57)*('تشخيص الحالات'!$G$2:$G$1001=4))&gt;0,"، "&amp;IFERROR(INDEX('تشخيص الحالات'!$D$2:$D$1001,SUMPRODUCT(('تشخيص الحالات'!$B$2:$B$1001=B57)*('تشخيص الحالات'!$G$2:$G$1001=4)*ROW('تشخيص الحالات'!$B$2:$B$1001))-1),""),"")&amp;IF(SUMPRODUCT(('تشخيص الحالات'!$B$2:$B$1001=B57)*('تشخيص الحالات'!$G$2:$G$1001=5))&gt;0,"، "&amp;IFERROR(INDEX('تشخيص الحالات'!$D$2:$D$1001,SUMPRODUCT(('تشخيص الحالات'!$B$2:$B$1001=B57)*('تشخيص الحالات'!$G$2:$G$1001=5)*ROW('تشخيص الحالات'!$B$2:$B$1001))-1),""),"")&amp;IF(SUMPRODUCT(('تشخيص الحالات'!$B$2:$B$1001=B57)*('تشخيص الحالات'!$G$2:$G$1001=6))&gt;0,"، "&amp;IFERROR(INDEX('تشخيص الحالات'!$D$2:$D$1001,SUMPRODUCT(('تشخيص الحالات'!$B$2:$B$1001=B57)*('تشخيص الحالات'!$G$2:$G$1001=6)*ROW('تشخيص الحالات'!$B$2:$B$1001))-1),""),"")&amp;IF(SUMPRODUCT(('تشخيص الحالات'!$B$2:$B$1001=B57)*('تشخيص الحالات'!$G$2:$G$1001=7))&gt;0,"، "&amp;IFERROR(INDEX('تشخيص الحالات'!$D$2:$D$1001,SUMPRODUCT(('تشخيص الحالات'!$B$2:$B$1001=B57)*('تشخيص الحالات'!$G$2:$G$1001=7)*ROW('تشخيص الحالات'!$B$2:$B$1001))-1),""),"")&amp;IF(SUMPRODUCT(('تشخيص الحالات'!$B$2:$B$1001=B57)*('تشخيص الحالات'!$G$2:$G$1001=8))&gt;0,"، "&amp;IFERROR(INDEX('تشخيص الحالات'!$D$2:$D$1001,SUMPRODUCT(('تشخيص الحالات'!$B$2:$B$1001=B57)*('تشخيص الحالات'!$G$2:$G$1001=8)*ROW('تشخيص الحالات'!$B$2:$B$1001))-1),""),"")</f>
        <v>اضطراب تكامل حسي، اضطراب تواصل اجتماعي، مشكلات أسرية / اجتماعية</v>
      </c>
      <c r="J57" s="1">
        <v>40</v>
      </c>
      <c r="K57" s="1" t="s">
        <v>4</v>
      </c>
      <c r="L57" s="1">
        <v>2500</v>
      </c>
      <c r="M57" s="1" t="s">
        <v>40</v>
      </c>
      <c r="N57" s="1">
        <v>0</v>
      </c>
      <c r="O57" s="1">
        <v>3</v>
      </c>
      <c r="P57" s="1">
        <v>0</v>
      </c>
      <c r="Q57" s="1">
        <v>7</v>
      </c>
      <c r="R57" s="1">
        <v>0</v>
      </c>
      <c r="S57" s="1">
        <v>0</v>
      </c>
      <c r="T57">
        <f>SUM(tbl_Beneficiaries[[#This Row],[ التربية الخاصة ]:[ التأهيل النفسي الحركي ]])</f>
        <v>10</v>
      </c>
    </row>
    <row r="58" spans="1:20" x14ac:dyDescent="0.2">
      <c r="A58" s="1">
        <v>57</v>
      </c>
      <c r="B58" s="1">
        <v>1754717023</v>
      </c>
      <c r="C58" s="1" t="s">
        <v>409</v>
      </c>
      <c r="D58" s="1" t="s">
        <v>7</v>
      </c>
      <c r="E58" s="3">
        <v>43050</v>
      </c>
      <c r="F58" s="1" t="s">
        <v>360</v>
      </c>
      <c r="G58" s="1" t="s">
        <v>0</v>
      </c>
      <c r="H58" s="3">
        <v>45169</v>
      </c>
      <c r="I58" t="str">
        <f>IFERROR(INDEX('تشخيص الحالات'!$D$2:$D$1001,SUMPRODUCT(('تشخيص الحالات'!$B$2:$B$1001=B58)*('تشخيص الحالات'!$G$2:$G$1001=1)*ROW('تشخيص الحالات'!$B$2:$B$1001))-1),"")&amp;IF(SUMPRODUCT(('تشخيص الحالات'!$B$2:$B$1001=B58)*('تشخيص الحالات'!$G$2:$G$1001=2))&gt;0,"، "&amp;IFERROR(INDEX('تشخيص الحالات'!$D$2:$D$1001,SUMPRODUCT(('تشخيص الحالات'!$B$2:$B$1001=B58)*('تشخيص الحالات'!$G$2:$G$1001=2)*ROW('تشخيص الحالات'!$B$2:$B$1001))-1),""),"")&amp;IF(SUMPRODUCT(('تشخيص الحالات'!$B$2:$B$1001=B58)*('تشخيص الحالات'!$G$2:$G$1001=3))&gt;0,"، "&amp;IFERROR(INDEX('تشخيص الحالات'!$D$2:$D$1001,SUMPRODUCT(('تشخيص الحالات'!$B$2:$B$1001=B58)*('تشخيص الحالات'!$G$2:$G$1001=3)*ROW('تشخيص الحالات'!$B$2:$B$1001))-1),""),"")&amp;IF(SUMPRODUCT(('تشخيص الحالات'!$B$2:$B$1001=B58)*('تشخيص الحالات'!$G$2:$G$1001=4))&gt;0,"، "&amp;IFERROR(INDEX('تشخيص الحالات'!$D$2:$D$1001,SUMPRODUCT(('تشخيص الحالات'!$B$2:$B$1001=B58)*('تشخيص الحالات'!$G$2:$G$1001=4)*ROW('تشخيص الحالات'!$B$2:$B$1001))-1),""),"")&amp;IF(SUMPRODUCT(('تشخيص الحالات'!$B$2:$B$1001=B58)*('تشخيص الحالات'!$G$2:$G$1001=5))&gt;0,"، "&amp;IFERROR(INDEX('تشخيص الحالات'!$D$2:$D$1001,SUMPRODUCT(('تشخيص الحالات'!$B$2:$B$1001=B58)*('تشخيص الحالات'!$G$2:$G$1001=5)*ROW('تشخيص الحالات'!$B$2:$B$1001))-1),""),"")&amp;IF(SUMPRODUCT(('تشخيص الحالات'!$B$2:$B$1001=B58)*('تشخيص الحالات'!$G$2:$G$1001=6))&gt;0,"، "&amp;IFERROR(INDEX('تشخيص الحالات'!$D$2:$D$1001,SUMPRODUCT(('تشخيص الحالات'!$B$2:$B$1001=B58)*('تشخيص الحالات'!$G$2:$G$1001=6)*ROW('تشخيص الحالات'!$B$2:$B$1001))-1),""),"")&amp;IF(SUMPRODUCT(('تشخيص الحالات'!$B$2:$B$1001=B58)*('تشخيص الحالات'!$G$2:$G$1001=7))&gt;0,"، "&amp;IFERROR(INDEX('تشخيص الحالات'!$D$2:$D$1001,SUMPRODUCT(('تشخيص الحالات'!$B$2:$B$1001=B58)*('تشخيص الحالات'!$G$2:$G$1001=7)*ROW('تشخيص الحالات'!$B$2:$B$1001))-1),""),"")&amp;IF(SUMPRODUCT(('تشخيص الحالات'!$B$2:$B$1001=B58)*('تشخيص الحالات'!$G$2:$G$1001=8))&gt;0,"، "&amp;IFERROR(INDEX('تشخيص الحالات'!$D$2:$D$1001,SUMPRODUCT(('تشخيص الحالات'!$B$2:$B$1001=B58)*('تشخيص الحالات'!$G$2:$G$1001=8)*ROW('تشخيص الحالات'!$B$2:$B$1001))-1),""),"")</f>
        <v>مشكلات أسرية / اجتماعية، إعاقة ذهنية، اضطراب تواصل اجتماعي</v>
      </c>
      <c r="J58" s="1">
        <v>95</v>
      </c>
      <c r="K58" s="1" t="s">
        <v>39</v>
      </c>
      <c r="L58" s="1">
        <v>3500</v>
      </c>
      <c r="M58" s="1" t="s">
        <v>42</v>
      </c>
      <c r="N58" s="1">
        <v>0</v>
      </c>
      <c r="O58" s="1">
        <v>5</v>
      </c>
      <c r="P58" s="1">
        <v>6</v>
      </c>
      <c r="Q58" s="1">
        <v>7</v>
      </c>
      <c r="R58" s="1">
        <v>3</v>
      </c>
      <c r="S58" s="1">
        <v>0</v>
      </c>
      <c r="T58">
        <f>SUM(tbl_Beneficiaries[[#This Row],[ التربية الخاصة ]:[ التأهيل النفسي الحركي ]])</f>
        <v>21</v>
      </c>
    </row>
    <row r="59" spans="1:20" x14ac:dyDescent="0.2">
      <c r="A59" s="1">
        <v>58</v>
      </c>
      <c r="B59" s="1">
        <v>1228837751</v>
      </c>
      <c r="C59" s="1" t="s">
        <v>410</v>
      </c>
      <c r="D59" s="1" t="s">
        <v>7</v>
      </c>
      <c r="E59" s="3">
        <v>44126</v>
      </c>
      <c r="F59" s="1" t="s">
        <v>361</v>
      </c>
      <c r="G59" s="1" t="s">
        <v>0</v>
      </c>
      <c r="H59" s="3">
        <v>45504</v>
      </c>
      <c r="I59" t="str">
        <f>IFERROR(INDEX('تشخيص الحالات'!$D$2:$D$1001,SUMPRODUCT(('تشخيص الحالات'!$B$2:$B$1001=B59)*('تشخيص الحالات'!$G$2:$G$1001=1)*ROW('تشخيص الحالات'!$B$2:$B$1001))-1),"")&amp;IF(SUMPRODUCT(('تشخيص الحالات'!$B$2:$B$1001=B59)*('تشخيص الحالات'!$G$2:$G$1001=2))&gt;0,"، "&amp;IFERROR(INDEX('تشخيص الحالات'!$D$2:$D$1001,SUMPRODUCT(('تشخيص الحالات'!$B$2:$B$1001=B59)*('تشخيص الحالات'!$G$2:$G$1001=2)*ROW('تشخيص الحالات'!$B$2:$B$1001))-1),""),"")&amp;IF(SUMPRODUCT(('تشخيص الحالات'!$B$2:$B$1001=B59)*('تشخيص الحالات'!$G$2:$G$1001=3))&gt;0,"، "&amp;IFERROR(INDEX('تشخيص الحالات'!$D$2:$D$1001,SUMPRODUCT(('تشخيص الحالات'!$B$2:$B$1001=B59)*('تشخيص الحالات'!$G$2:$G$1001=3)*ROW('تشخيص الحالات'!$B$2:$B$1001))-1),""),"")&amp;IF(SUMPRODUCT(('تشخيص الحالات'!$B$2:$B$1001=B59)*('تشخيص الحالات'!$G$2:$G$1001=4))&gt;0,"، "&amp;IFERROR(INDEX('تشخيص الحالات'!$D$2:$D$1001,SUMPRODUCT(('تشخيص الحالات'!$B$2:$B$1001=B59)*('تشخيص الحالات'!$G$2:$G$1001=4)*ROW('تشخيص الحالات'!$B$2:$B$1001))-1),""),"")&amp;IF(SUMPRODUCT(('تشخيص الحالات'!$B$2:$B$1001=B59)*('تشخيص الحالات'!$G$2:$G$1001=5))&gt;0,"، "&amp;IFERROR(INDEX('تشخيص الحالات'!$D$2:$D$1001,SUMPRODUCT(('تشخيص الحالات'!$B$2:$B$1001=B59)*('تشخيص الحالات'!$G$2:$G$1001=5)*ROW('تشخيص الحالات'!$B$2:$B$1001))-1),""),"")&amp;IF(SUMPRODUCT(('تشخيص الحالات'!$B$2:$B$1001=B59)*('تشخيص الحالات'!$G$2:$G$1001=6))&gt;0,"، "&amp;IFERROR(INDEX('تشخيص الحالات'!$D$2:$D$1001,SUMPRODUCT(('تشخيص الحالات'!$B$2:$B$1001=B59)*('تشخيص الحالات'!$G$2:$G$1001=6)*ROW('تشخيص الحالات'!$B$2:$B$1001))-1),""),"")&amp;IF(SUMPRODUCT(('تشخيص الحالات'!$B$2:$B$1001=B59)*('تشخيص الحالات'!$G$2:$G$1001=7))&gt;0,"، "&amp;IFERROR(INDEX('تشخيص الحالات'!$D$2:$D$1001,SUMPRODUCT(('تشخيص الحالات'!$B$2:$B$1001=B59)*('تشخيص الحالات'!$G$2:$G$1001=7)*ROW('تشخيص الحالات'!$B$2:$B$1001))-1),""),"")&amp;IF(SUMPRODUCT(('تشخيص الحالات'!$B$2:$B$1001=B59)*('تشخيص الحالات'!$G$2:$G$1001=8))&gt;0,"، "&amp;IFERROR(INDEX('تشخيص الحالات'!$D$2:$D$1001,SUMPRODUCT(('تشخيص الحالات'!$B$2:$B$1001=B59)*('تشخيص الحالات'!$G$2:$G$1001=8)*ROW('تشخيص الحالات'!$B$2:$B$1001))-1),""),"")</f>
        <v>إعاقة سمعية، تأخر نمائي، تأخر حركي، اضطراب تكامل حسي</v>
      </c>
      <c r="J59" s="1">
        <v>80</v>
      </c>
      <c r="K59" s="1" t="s">
        <v>39</v>
      </c>
      <c r="L59" s="1">
        <v>2000</v>
      </c>
      <c r="M59" s="1" t="s">
        <v>42</v>
      </c>
      <c r="N59" s="1">
        <v>8</v>
      </c>
      <c r="O59" s="1">
        <v>4</v>
      </c>
      <c r="P59" s="1">
        <v>0</v>
      </c>
      <c r="Q59" s="1">
        <v>0</v>
      </c>
      <c r="R59" s="1">
        <v>3</v>
      </c>
      <c r="S59" s="1">
        <v>0</v>
      </c>
      <c r="T59">
        <f>SUM(tbl_Beneficiaries[[#This Row],[ التربية الخاصة ]:[ التأهيل النفسي الحركي ]])</f>
        <v>15</v>
      </c>
    </row>
    <row r="60" spans="1:20" x14ac:dyDescent="0.2">
      <c r="A60" s="1">
        <v>59</v>
      </c>
      <c r="B60" s="1">
        <v>1911132783</v>
      </c>
      <c r="C60" s="1" t="s">
        <v>411</v>
      </c>
      <c r="D60" s="1" t="s">
        <v>3</v>
      </c>
      <c r="E60" s="3">
        <v>40983</v>
      </c>
      <c r="F60" s="1" t="s">
        <v>357</v>
      </c>
      <c r="G60" s="1" t="s">
        <v>4</v>
      </c>
      <c r="H60" s="3">
        <v>45207</v>
      </c>
      <c r="I60" t="str">
        <f>IFERROR(INDEX('تشخيص الحالات'!$D$2:$D$1001,SUMPRODUCT(('تشخيص الحالات'!$B$2:$B$1001=B60)*('تشخيص الحالات'!$G$2:$G$1001=1)*ROW('تشخيص الحالات'!$B$2:$B$1001))-1),"")&amp;IF(SUMPRODUCT(('تشخيص الحالات'!$B$2:$B$1001=B60)*('تشخيص الحالات'!$G$2:$G$1001=2))&gt;0,"، "&amp;IFERROR(INDEX('تشخيص الحالات'!$D$2:$D$1001,SUMPRODUCT(('تشخيص الحالات'!$B$2:$B$1001=B60)*('تشخيص الحالات'!$G$2:$G$1001=2)*ROW('تشخيص الحالات'!$B$2:$B$1001))-1),""),"")&amp;IF(SUMPRODUCT(('تشخيص الحالات'!$B$2:$B$1001=B60)*('تشخيص الحالات'!$G$2:$G$1001=3))&gt;0,"، "&amp;IFERROR(INDEX('تشخيص الحالات'!$D$2:$D$1001,SUMPRODUCT(('تشخيص الحالات'!$B$2:$B$1001=B60)*('تشخيص الحالات'!$G$2:$G$1001=3)*ROW('تشخيص الحالات'!$B$2:$B$1001))-1),""),"")&amp;IF(SUMPRODUCT(('تشخيص الحالات'!$B$2:$B$1001=B60)*('تشخيص الحالات'!$G$2:$G$1001=4))&gt;0,"، "&amp;IFERROR(INDEX('تشخيص الحالات'!$D$2:$D$1001,SUMPRODUCT(('تشخيص الحالات'!$B$2:$B$1001=B60)*('تشخيص الحالات'!$G$2:$G$1001=4)*ROW('تشخيص الحالات'!$B$2:$B$1001))-1),""),"")&amp;IF(SUMPRODUCT(('تشخيص الحالات'!$B$2:$B$1001=B60)*('تشخيص الحالات'!$G$2:$G$1001=5))&gt;0,"، "&amp;IFERROR(INDEX('تشخيص الحالات'!$D$2:$D$1001,SUMPRODUCT(('تشخيص الحالات'!$B$2:$B$1001=B60)*('تشخيص الحالات'!$G$2:$G$1001=5)*ROW('تشخيص الحالات'!$B$2:$B$1001))-1),""),"")&amp;IF(SUMPRODUCT(('تشخيص الحالات'!$B$2:$B$1001=B60)*('تشخيص الحالات'!$G$2:$G$1001=6))&gt;0,"، "&amp;IFERROR(INDEX('تشخيص الحالات'!$D$2:$D$1001,SUMPRODUCT(('تشخيص الحالات'!$B$2:$B$1001=B60)*('تشخيص الحالات'!$G$2:$G$1001=6)*ROW('تشخيص الحالات'!$B$2:$B$1001))-1),""),"")&amp;IF(SUMPRODUCT(('تشخيص الحالات'!$B$2:$B$1001=B60)*('تشخيص الحالات'!$G$2:$G$1001=7))&gt;0,"، "&amp;IFERROR(INDEX('تشخيص الحالات'!$D$2:$D$1001,SUMPRODUCT(('تشخيص الحالات'!$B$2:$B$1001=B60)*('تشخيص الحالات'!$G$2:$G$1001=7)*ROW('تشخيص الحالات'!$B$2:$B$1001))-1),""),"")&amp;IF(SUMPRODUCT(('تشخيص الحالات'!$B$2:$B$1001=B60)*('تشخيص الحالات'!$G$2:$G$1001=8))&gt;0,"، "&amp;IFERROR(INDEX('تشخيص الحالات'!$D$2:$D$1001,SUMPRODUCT(('تشخيص الحالات'!$B$2:$B$1001=B60)*('تشخيص الحالات'!$G$2:$G$1001=8)*ROW('تشخيص الحالات'!$B$2:$B$1001))-1),""),"")</f>
        <v>فرط الحركة وتشتت الانتباه، مشكلات أسرية / اجتماعية، اضطراب طيف التوحد</v>
      </c>
      <c r="J60" s="1">
        <v>44</v>
      </c>
      <c r="K60" s="1" t="s">
        <v>4</v>
      </c>
      <c r="L60" s="1">
        <v>2000</v>
      </c>
      <c r="M60" s="1" t="s">
        <v>41</v>
      </c>
      <c r="N60" s="1">
        <v>0</v>
      </c>
      <c r="O60" s="1">
        <v>0</v>
      </c>
      <c r="P60" s="1">
        <v>8</v>
      </c>
      <c r="Q60" s="1">
        <v>9</v>
      </c>
      <c r="R60" s="1">
        <v>2</v>
      </c>
      <c r="S60" s="1">
        <v>7</v>
      </c>
      <c r="T60">
        <f>SUM(tbl_Beneficiaries[[#This Row],[ التربية الخاصة ]:[ التأهيل النفسي الحركي ]])</f>
        <v>26</v>
      </c>
    </row>
    <row r="61" spans="1:20" x14ac:dyDescent="0.2">
      <c r="A61" s="1">
        <v>60</v>
      </c>
      <c r="B61" s="1">
        <v>1113591668</v>
      </c>
      <c r="C61" s="1" t="s">
        <v>101</v>
      </c>
      <c r="D61" s="1" t="s">
        <v>7</v>
      </c>
      <c r="E61" s="3">
        <v>40973</v>
      </c>
      <c r="F61" s="1" t="s">
        <v>358</v>
      </c>
      <c r="G61" s="1" t="s">
        <v>1</v>
      </c>
      <c r="H61" s="3">
        <v>44842</v>
      </c>
      <c r="I61" t="str">
        <f>IFERROR(INDEX('تشخيص الحالات'!$D$2:$D$1001,SUMPRODUCT(('تشخيص الحالات'!$B$2:$B$1001=B61)*('تشخيص الحالات'!$G$2:$G$1001=1)*ROW('تشخيص الحالات'!$B$2:$B$1001))-1),"")&amp;IF(SUMPRODUCT(('تشخيص الحالات'!$B$2:$B$1001=B61)*('تشخيص الحالات'!$G$2:$G$1001=2))&gt;0,"، "&amp;IFERROR(INDEX('تشخيص الحالات'!$D$2:$D$1001,SUMPRODUCT(('تشخيص الحالات'!$B$2:$B$1001=B61)*('تشخيص الحالات'!$G$2:$G$1001=2)*ROW('تشخيص الحالات'!$B$2:$B$1001))-1),""),"")&amp;IF(SUMPRODUCT(('تشخيص الحالات'!$B$2:$B$1001=B61)*('تشخيص الحالات'!$G$2:$G$1001=3))&gt;0,"، "&amp;IFERROR(INDEX('تشخيص الحالات'!$D$2:$D$1001,SUMPRODUCT(('تشخيص الحالات'!$B$2:$B$1001=B61)*('تشخيص الحالات'!$G$2:$G$1001=3)*ROW('تشخيص الحالات'!$B$2:$B$1001))-1),""),"")&amp;IF(SUMPRODUCT(('تشخيص الحالات'!$B$2:$B$1001=B61)*('تشخيص الحالات'!$G$2:$G$1001=4))&gt;0,"، "&amp;IFERROR(INDEX('تشخيص الحالات'!$D$2:$D$1001,SUMPRODUCT(('تشخيص الحالات'!$B$2:$B$1001=B61)*('تشخيص الحالات'!$G$2:$G$1001=4)*ROW('تشخيص الحالات'!$B$2:$B$1001))-1),""),"")&amp;IF(SUMPRODUCT(('تشخيص الحالات'!$B$2:$B$1001=B61)*('تشخيص الحالات'!$G$2:$G$1001=5))&gt;0,"، "&amp;IFERROR(INDEX('تشخيص الحالات'!$D$2:$D$1001,SUMPRODUCT(('تشخيص الحالات'!$B$2:$B$1001=B61)*('تشخيص الحالات'!$G$2:$G$1001=5)*ROW('تشخيص الحالات'!$B$2:$B$1001))-1),""),"")&amp;IF(SUMPRODUCT(('تشخيص الحالات'!$B$2:$B$1001=B61)*('تشخيص الحالات'!$G$2:$G$1001=6))&gt;0,"، "&amp;IFERROR(INDEX('تشخيص الحالات'!$D$2:$D$1001,SUMPRODUCT(('تشخيص الحالات'!$B$2:$B$1001=B61)*('تشخيص الحالات'!$G$2:$G$1001=6)*ROW('تشخيص الحالات'!$B$2:$B$1001))-1),""),"")&amp;IF(SUMPRODUCT(('تشخيص الحالات'!$B$2:$B$1001=B61)*('تشخيص الحالات'!$G$2:$G$1001=7))&gt;0,"، "&amp;IFERROR(INDEX('تشخيص الحالات'!$D$2:$D$1001,SUMPRODUCT(('تشخيص الحالات'!$B$2:$B$1001=B61)*('تشخيص الحالات'!$G$2:$G$1001=7)*ROW('تشخيص الحالات'!$B$2:$B$1001))-1),""),"")&amp;IF(SUMPRODUCT(('تشخيص الحالات'!$B$2:$B$1001=B61)*('تشخيص الحالات'!$G$2:$G$1001=8))&gt;0,"، "&amp;IFERROR(INDEX('تشخيص الحالات'!$D$2:$D$1001,SUMPRODUCT(('تشخيص الحالات'!$B$2:$B$1001=B61)*('تشخيص الحالات'!$G$2:$G$1001=8)*ROW('تشخيص الحالات'!$B$2:$B$1001))-1),""),"")</f>
        <v>تأخر نمائي، إعاقة سمعية</v>
      </c>
      <c r="J61" s="1">
        <v>50</v>
      </c>
      <c r="K61" s="1" t="s">
        <v>38</v>
      </c>
      <c r="L61" s="1">
        <v>2000</v>
      </c>
      <c r="M61" s="1" t="s">
        <v>44</v>
      </c>
      <c r="N61" s="1">
        <v>5</v>
      </c>
      <c r="O61" s="1">
        <v>8</v>
      </c>
      <c r="P61" s="1">
        <v>2</v>
      </c>
      <c r="Q61" s="1">
        <v>1</v>
      </c>
      <c r="R61" s="1">
        <v>1</v>
      </c>
      <c r="S61" s="1">
        <v>0</v>
      </c>
      <c r="T61">
        <f>SUM(tbl_Beneficiaries[[#This Row],[ التربية الخاصة ]:[ التأهيل النفسي الحركي ]])</f>
        <v>17</v>
      </c>
    </row>
    <row r="62" spans="1:20" x14ac:dyDescent="0.2">
      <c r="A62" s="1">
        <v>61</v>
      </c>
      <c r="B62" s="1">
        <v>1116222487</v>
      </c>
      <c r="C62" s="1" t="s">
        <v>102</v>
      </c>
      <c r="D62" s="1" t="s">
        <v>7</v>
      </c>
      <c r="E62" s="3">
        <v>42361</v>
      </c>
      <c r="F62" s="1" t="s">
        <v>360</v>
      </c>
      <c r="G62" s="1" t="s">
        <v>1</v>
      </c>
      <c r="H62" s="3">
        <v>45484</v>
      </c>
      <c r="I62" t="str">
        <f>IFERROR(INDEX('تشخيص الحالات'!$D$2:$D$1001,SUMPRODUCT(('تشخيص الحالات'!$B$2:$B$1001=B62)*('تشخيص الحالات'!$G$2:$G$1001=1)*ROW('تشخيص الحالات'!$B$2:$B$1001))-1),"")&amp;IF(SUMPRODUCT(('تشخيص الحالات'!$B$2:$B$1001=B62)*('تشخيص الحالات'!$G$2:$G$1001=2))&gt;0,"، "&amp;IFERROR(INDEX('تشخيص الحالات'!$D$2:$D$1001,SUMPRODUCT(('تشخيص الحالات'!$B$2:$B$1001=B62)*('تشخيص الحالات'!$G$2:$G$1001=2)*ROW('تشخيص الحالات'!$B$2:$B$1001))-1),""),"")&amp;IF(SUMPRODUCT(('تشخيص الحالات'!$B$2:$B$1001=B62)*('تشخيص الحالات'!$G$2:$G$1001=3))&gt;0,"، "&amp;IFERROR(INDEX('تشخيص الحالات'!$D$2:$D$1001,SUMPRODUCT(('تشخيص الحالات'!$B$2:$B$1001=B62)*('تشخيص الحالات'!$G$2:$G$1001=3)*ROW('تشخيص الحالات'!$B$2:$B$1001))-1),""),"")&amp;IF(SUMPRODUCT(('تشخيص الحالات'!$B$2:$B$1001=B62)*('تشخيص الحالات'!$G$2:$G$1001=4))&gt;0,"، "&amp;IFERROR(INDEX('تشخيص الحالات'!$D$2:$D$1001,SUMPRODUCT(('تشخيص الحالات'!$B$2:$B$1001=B62)*('تشخيص الحالات'!$G$2:$G$1001=4)*ROW('تشخيص الحالات'!$B$2:$B$1001))-1),""),"")&amp;IF(SUMPRODUCT(('تشخيص الحالات'!$B$2:$B$1001=B62)*('تشخيص الحالات'!$G$2:$G$1001=5))&gt;0,"، "&amp;IFERROR(INDEX('تشخيص الحالات'!$D$2:$D$1001,SUMPRODUCT(('تشخيص الحالات'!$B$2:$B$1001=B62)*('تشخيص الحالات'!$G$2:$G$1001=5)*ROW('تشخيص الحالات'!$B$2:$B$1001))-1),""),"")&amp;IF(SUMPRODUCT(('تشخيص الحالات'!$B$2:$B$1001=B62)*('تشخيص الحالات'!$G$2:$G$1001=6))&gt;0,"، "&amp;IFERROR(INDEX('تشخيص الحالات'!$D$2:$D$1001,SUMPRODUCT(('تشخيص الحالات'!$B$2:$B$1001=B62)*('تشخيص الحالات'!$G$2:$G$1001=6)*ROW('تشخيص الحالات'!$B$2:$B$1001))-1),""),"")&amp;IF(SUMPRODUCT(('تشخيص الحالات'!$B$2:$B$1001=B62)*('تشخيص الحالات'!$G$2:$G$1001=7))&gt;0,"، "&amp;IFERROR(INDEX('تشخيص الحالات'!$D$2:$D$1001,SUMPRODUCT(('تشخيص الحالات'!$B$2:$B$1001=B62)*('تشخيص الحالات'!$G$2:$G$1001=7)*ROW('تشخيص الحالات'!$B$2:$B$1001))-1),""),"")&amp;IF(SUMPRODUCT(('تشخيص الحالات'!$B$2:$B$1001=B62)*('تشخيص الحالات'!$G$2:$G$1001=8))&gt;0,"، "&amp;IFERROR(INDEX('تشخيص الحالات'!$D$2:$D$1001,SUMPRODUCT(('تشخيص الحالات'!$B$2:$B$1001=B62)*('تشخيص الحالات'!$G$2:$G$1001=8)*ROW('تشخيص الحالات'!$B$2:$B$1001))-1),""),"")</f>
        <v>إعاقة بصرية، اضطراب تواصل اجتماعي، صعوبات تعلم، اضطراب نفسي</v>
      </c>
      <c r="J62" s="1">
        <v>50</v>
      </c>
      <c r="K62" s="1" t="s">
        <v>39</v>
      </c>
      <c r="L62" s="1">
        <v>2500</v>
      </c>
      <c r="M62" s="1" t="s">
        <v>42</v>
      </c>
      <c r="N62" s="1">
        <v>6</v>
      </c>
      <c r="O62" s="1">
        <v>8</v>
      </c>
      <c r="P62" s="1">
        <v>0</v>
      </c>
      <c r="Q62" s="1">
        <v>1</v>
      </c>
      <c r="R62" s="1">
        <v>6</v>
      </c>
      <c r="S62" s="1">
        <v>0</v>
      </c>
      <c r="T62">
        <f>SUM(tbl_Beneficiaries[[#This Row],[ التربية الخاصة ]:[ التأهيل النفسي الحركي ]])</f>
        <v>21</v>
      </c>
    </row>
    <row r="63" spans="1:20" x14ac:dyDescent="0.2">
      <c r="A63" s="1">
        <v>62</v>
      </c>
      <c r="B63" s="1">
        <v>1846035977</v>
      </c>
      <c r="C63" s="1" t="s">
        <v>412</v>
      </c>
      <c r="D63" s="1" t="s">
        <v>3</v>
      </c>
      <c r="E63" s="3">
        <v>41686</v>
      </c>
      <c r="F63" s="1" t="s">
        <v>359</v>
      </c>
      <c r="G63" s="1" t="s">
        <v>1</v>
      </c>
      <c r="H63" s="3">
        <v>44975</v>
      </c>
      <c r="I63" t="str">
        <f>IFERROR(INDEX('تشخيص الحالات'!$D$2:$D$1001,SUMPRODUCT(('تشخيص الحالات'!$B$2:$B$1001=B63)*('تشخيص الحالات'!$G$2:$G$1001=1)*ROW('تشخيص الحالات'!$B$2:$B$1001))-1),"")&amp;IF(SUMPRODUCT(('تشخيص الحالات'!$B$2:$B$1001=B63)*('تشخيص الحالات'!$G$2:$G$1001=2))&gt;0,"، "&amp;IFERROR(INDEX('تشخيص الحالات'!$D$2:$D$1001,SUMPRODUCT(('تشخيص الحالات'!$B$2:$B$1001=B63)*('تشخيص الحالات'!$G$2:$G$1001=2)*ROW('تشخيص الحالات'!$B$2:$B$1001))-1),""),"")&amp;IF(SUMPRODUCT(('تشخيص الحالات'!$B$2:$B$1001=B63)*('تشخيص الحالات'!$G$2:$G$1001=3))&gt;0,"، "&amp;IFERROR(INDEX('تشخيص الحالات'!$D$2:$D$1001,SUMPRODUCT(('تشخيص الحالات'!$B$2:$B$1001=B63)*('تشخيص الحالات'!$G$2:$G$1001=3)*ROW('تشخيص الحالات'!$B$2:$B$1001))-1),""),"")&amp;IF(SUMPRODUCT(('تشخيص الحالات'!$B$2:$B$1001=B63)*('تشخيص الحالات'!$G$2:$G$1001=4))&gt;0,"، "&amp;IFERROR(INDEX('تشخيص الحالات'!$D$2:$D$1001,SUMPRODUCT(('تشخيص الحالات'!$B$2:$B$1001=B63)*('تشخيص الحالات'!$G$2:$G$1001=4)*ROW('تشخيص الحالات'!$B$2:$B$1001))-1),""),"")&amp;IF(SUMPRODUCT(('تشخيص الحالات'!$B$2:$B$1001=B63)*('تشخيص الحالات'!$G$2:$G$1001=5))&gt;0,"، "&amp;IFERROR(INDEX('تشخيص الحالات'!$D$2:$D$1001,SUMPRODUCT(('تشخيص الحالات'!$B$2:$B$1001=B63)*('تشخيص الحالات'!$G$2:$G$1001=5)*ROW('تشخيص الحالات'!$B$2:$B$1001))-1),""),"")&amp;IF(SUMPRODUCT(('تشخيص الحالات'!$B$2:$B$1001=B63)*('تشخيص الحالات'!$G$2:$G$1001=6))&gt;0,"، "&amp;IFERROR(INDEX('تشخيص الحالات'!$D$2:$D$1001,SUMPRODUCT(('تشخيص الحالات'!$B$2:$B$1001=B63)*('تشخيص الحالات'!$G$2:$G$1001=6)*ROW('تشخيص الحالات'!$B$2:$B$1001))-1),""),"")&amp;IF(SUMPRODUCT(('تشخيص الحالات'!$B$2:$B$1001=B63)*('تشخيص الحالات'!$G$2:$G$1001=7))&gt;0,"، "&amp;IFERROR(INDEX('تشخيص الحالات'!$D$2:$D$1001,SUMPRODUCT(('تشخيص الحالات'!$B$2:$B$1001=B63)*('تشخيص الحالات'!$G$2:$G$1001=7)*ROW('تشخيص الحالات'!$B$2:$B$1001))-1),""),"")&amp;IF(SUMPRODUCT(('تشخيص الحالات'!$B$2:$B$1001=B63)*('تشخيص الحالات'!$G$2:$G$1001=8))&gt;0,"، "&amp;IFERROR(INDEX('تشخيص الحالات'!$D$2:$D$1001,SUMPRODUCT(('تشخيص الحالات'!$B$2:$B$1001=B63)*('تشخيص الحالات'!$G$2:$G$1001=8)*ROW('تشخيص الحالات'!$B$2:$B$1001))-1),""),"")</f>
        <v>اضطراب نفسي، إعاقة ذهنية</v>
      </c>
      <c r="J63" s="1">
        <v>110</v>
      </c>
      <c r="K63" s="1" t="s">
        <v>4</v>
      </c>
      <c r="L63" s="1">
        <v>2000</v>
      </c>
      <c r="M63" s="1" t="s">
        <v>42</v>
      </c>
      <c r="N63" s="1">
        <v>8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>
        <f>SUM(tbl_Beneficiaries[[#This Row],[ التربية الخاصة ]:[ التأهيل النفسي الحركي ]])</f>
        <v>8</v>
      </c>
    </row>
    <row r="64" spans="1:20" x14ac:dyDescent="0.2">
      <c r="A64" s="1">
        <v>63</v>
      </c>
      <c r="B64" s="1">
        <v>1473361734</v>
      </c>
      <c r="C64" s="1" t="s">
        <v>413</v>
      </c>
      <c r="D64" s="1" t="s">
        <v>3</v>
      </c>
      <c r="E64" s="3">
        <v>40440</v>
      </c>
      <c r="F64" s="1" t="s">
        <v>359</v>
      </c>
      <c r="G64" s="1" t="s">
        <v>1</v>
      </c>
      <c r="H64" s="3">
        <v>44636</v>
      </c>
      <c r="I64" t="str">
        <f>IFERROR(INDEX('تشخيص الحالات'!$D$2:$D$1001,SUMPRODUCT(('تشخيص الحالات'!$B$2:$B$1001=B64)*('تشخيص الحالات'!$G$2:$G$1001=1)*ROW('تشخيص الحالات'!$B$2:$B$1001))-1),"")&amp;IF(SUMPRODUCT(('تشخيص الحالات'!$B$2:$B$1001=B64)*('تشخيص الحالات'!$G$2:$G$1001=2))&gt;0,"، "&amp;IFERROR(INDEX('تشخيص الحالات'!$D$2:$D$1001,SUMPRODUCT(('تشخيص الحالات'!$B$2:$B$1001=B64)*('تشخيص الحالات'!$G$2:$G$1001=2)*ROW('تشخيص الحالات'!$B$2:$B$1001))-1),""),"")&amp;IF(SUMPRODUCT(('تشخيص الحالات'!$B$2:$B$1001=B64)*('تشخيص الحالات'!$G$2:$G$1001=3))&gt;0,"، "&amp;IFERROR(INDEX('تشخيص الحالات'!$D$2:$D$1001,SUMPRODUCT(('تشخيص الحالات'!$B$2:$B$1001=B64)*('تشخيص الحالات'!$G$2:$G$1001=3)*ROW('تشخيص الحالات'!$B$2:$B$1001))-1),""),"")&amp;IF(SUMPRODUCT(('تشخيص الحالات'!$B$2:$B$1001=B64)*('تشخيص الحالات'!$G$2:$G$1001=4))&gt;0,"، "&amp;IFERROR(INDEX('تشخيص الحالات'!$D$2:$D$1001,SUMPRODUCT(('تشخيص الحالات'!$B$2:$B$1001=B64)*('تشخيص الحالات'!$G$2:$G$1001=4)*ROW('تشخيص الحالات'!$B$2:$B$1001))-1),""),"")&amp;IF(SUMPRODUCT(('تشخيص الحالات'!$B$2:$B$1001=B64)*('تشخيص الحالات'!$G$2:$G$1001=5))&gt;0,"، "&amp;IFERROR(INDEX('تشخيص الحالات'!$D$2:$D$1001,SUMPRODUCT(('تشخيص الحالات'!$B$2:$B$1001=B64)*('تشخيص الحالات'!$G$2:$G$1001=5)*ROW('تشخيص الحالات'!$B$2:$B$1001))-1),""),"")&amp;IF(SUMPRODUCT(('تشخيص الحالات'!$B$2:$B$1001=B64)*('تشخيص الحالات'!$G$2:$G$1001=6))&gt;0,"، "&amp;IFERROR(INDEX('تشخيص الحالات'!$D$2:$D$1001,SUMPRODUCT(('تشخيص الحالات'!$B$2:$B$1001=B64)*('تشخيص الحالات'!$G$2:$G$1001=6)*ROW('تشخيص الحالات'!$B$2:$B$1001))-1),""),"")&amp;IF(SUMPRODUCT(('تشخيص الحالات'!$B$2:$B$1001=B64)*('تشخيص الحالات'!$G$2:$G$1001=7))&gt;0,"، "&amp;IFERROR(INDEX('تشخيص الحالات'!$D$2:$D$1001,SUMPRODUCT(('تشخيص الحالات'!$B$2:$B$1001=B64)*('تشخيص الحالات'!$G$2:$G$1001=7)*ROW('تشخيص الحالات'!$B$2:$B$1001))-1),""),"")&amp;IF(SUMPRODUCT(('تشخيص الحالات'!$B$2:$B$1001=B64)*('تشخيص الحالات'!$G$2:$G$1001=8))&gt;0,"، "&amp;IFERROR(INDEX('تشخيص الحالات'!$D$2:$D$1001,SUMPRODUCT(('تشخيص الحالات'!$B$2:$B$1001=B64)*('تشخيص الحالات'!$G$2:$G$1001=8)*ROW('تشخيص الحالات'!$B$2:$B$1001))-1),""),"")</f>
        <v>اضطراب طيف التوحد، تأخر نمائي</v>
      </c>
      <c r="J64" s="1">
        <v>69</v>
      </c>
      <c r="K64" s="1" t="s">
        <v>4</v>
      </c>
      <c r="L64" s="1">
        <v>3000</v>
      </c>
      <c r="M64" s="1" t="s">
        <v>44</v>
      </c>
      <c r="N64" s="1">
        <v>1</v>
      </c>
      <c r="O64" s="1">
        <v>1</v>
      </c>
      <c r="P64" s="1">
        <v>9</v>
      </c>
      <c r="Q64" s="1">
        <v>0</v>
      </c>
      <c r="R64" s="1">
        <v>3</v>
      </c>
      <c r="S64" s="1">
        <v>0</v>
      </c>
      <c r="T64">
        <f>SUM(tbl_Beneficiaries[[#This Row],[ التربية الخاصة ]:[ التأهيل النفسي الحركي ]])</f>
        <v>14</v>
      </c>
    </row>
    <row r="65" spans="1:20" x14ac:dyDescent="0.2">
      <c r="A65" s="1">
        <v>64</v>
      </c>
      <c r="B65" s="1">
        <v>1253511077</v>
      </c>
      <c r="C65" s="1" t="s">
        <v>414</v>
      </c>
      <c r="D65" s="1" t="s">
        <v>7</v>
      </c>
      <c r="E65" s="3">
        <v>40736</v>
      </c>
      <c r="F65" s="1" t="s">
        <v>359</v>
      </c>
      <c r="G65" s="1" t="s">
        <v>1</v>
      </c>
      <c r="H65" s="3">
        <v>45292</v>
      </c>
      <c r="I65" t="str">
        <f>IFERROR(INDEX('تشخيص الحالات'!$D$2:$D$1001,SUMPRODUCT(('تشخيص الحالات'!$B$2:$B$1001=B65)*('تشخيص الحالات'!$G$2:$G$1001=1)*ROW('تشخيص الحالات'!$B$2:$B$1001))-1),"")&amp;IF(SUMPRODUCT(('تشخيص الحالات'!$B$2:$B$1001=B65)*('تشخيص الحالات'!$G$2:$G$1001=2))&gt;0,"، "&amp;IFERROR(INDEX('تشخيص الحالات'!$D$2:$D$1001,SUMPRODUCT(('تشخيص الحالات'!$B$2:$B$1001=B65)*('تشخيص الحالات'!$G$2:$G$1001=2)*ROW('تشخيص الحالات'!$B$2:$B$1001))-1),""),"")&amp;IF(SUMPRODUCT(('تشخيص الحالات'!$B$2:$B$1001=B65)*('تشخيص الحالات'!$G$2:$G$1001=3))&gt;0,"، "&amp;IFERROR(INDEX('تشخيص الحالات'!$D$2:$D$1001,SUMPRODUCT(('تشخيص الحالات'!$B$2:$B$1001=B65)*('تشخيص الحالات'!$G$2:$G$1001=3)*ROW('تشخيص الحالات'!$B$2:$B$1001))-1),""),"")&amp;IF(SUMPRODUCT(('تشخيص الحالات'!$B$2:$B$1001=B65)*('تشخيص الحالات'!$G$2:$G$1001=4))&gt;0,"، "&amp;IFERROR(INDEX('تشخيص الحالات'!$D$2:$D$1001,SUMPRODUCT(('تشخيص الحالات'!$B$2:$B$1001=B65)*('تشخيص الحالات'!$G$2:$G$1001=4)*ROW('تشخيص الحالات'!$B$2:$B$1001))-1),""),"")&amp;IF(SUMPRODUCT(('تشخيص الحالات'!$B$2:$B$1001=B65)*('تشخيص الحالات'!$G$2:$G$1001=5))&gt;0,"، "&amp;IFERROR(INDEX('تشخيص الحالات'!$D$2:$D$1001,SUMPRODUCT(('تشخيص الحالات'!$B$2:$B$1001=B65)*('تشخيص الحالات'!$G$2:$G$1001=5)*ROW('تشخيص الحالات'!$B$2:$B$1001))-1),""),"")&amp;IF(SUMPRODUCT(('تشخيص الحالات'!$B$2:$B$1001=B65)*('تشخيص الحالات'!$G$2:$G$1001=6))&gt;0,"، "&amp;IFERROR(INDEX('تشخيص الحالات'!$D$2:$D$1001,SUMPRODUCT(('تشخيص الحالات'!$B$2:$B$1001=B65)*('تشخيص الحالات'!$G$2:$G$1001=6)*ROW('تشخيص الحالات'!$B$2:$B$1001))-1),""),"")&amp;IF(SUMPRODUCT(('تشخيص الحالات'!$B$2:$B$1001=B65)*('تشخيص الحالات'!$G$2:$G$1001=7))&gt;0,"، "&amp;IFERROR(INDEX('تشخيص الحالات'!$D$2:$D$1001,SUMPRODUCT(('تشخيص الحالات'!$B$2:$B$1001=B65)*('تشخيص الحالات'!$G$2:$G$1001=7)*ROW('تشخيص الحالات'!$B$2:$B$1001))-1),""),"")&amp;IF(SUMPRODUCT(('تشخيص الحالات'!$B$2:$B$1001=B65)*('تشخيص الحالات'!$G$2:$G$1001=8))&gt;0,"، "&amp;IFERROR(INDEX('تشخيص الحالات'!$D$2:$D$1001,SUMPRODUCT(('تشخيص الحالات'!$B$2:$B$1001=B65)*('تشخيص الحالات'!$G$2:$G$1001=8)*ROW('تشخيص الحالات'!$B$2:$B$1001))-1),""),"")</f>
        <v>اضطراب تواصل اجتماعي، صعوبات تعلم</v>
      </c>
      <c r="J65" s="1">
        <v>90</v>
      </c>
      <c r="K65" s="1" t="s">
        <v>39</v>
      </c>
      <c r="L65" s="1">
        <v>4000</v>
      </c>
      <c r="M65" s="1" t="s">
        <v>44</v>
      </c>
      <c r="N65" s="1">
        <v>1</v>
      </c>
      <c r="O65" s="1">
        <v>0</v>
      </c>
      <c r="P65" s="1">
        <v>4</v>
      </c>
      <c r="Q65" s="1">
        <v>8</v>
      </c>
      <c r="R65" s="1">
        <v>0</v>
      </c>
      <c r="S65" s="1">
        <v>9</v>
      </c>
      <c r="T65">
        <f>SUM(tbl_Beneficiaries[[#This Row],[ التربية الخاصة ]:[ التأهيل النفسي الحركي ]])</f>
        <v>22</v>
      </c>
    </row>
    <row r="66" spans="1:20" x14ac:dyDescent="0.2">
      <c r="A66" s="1">
        <v>65</v>
      </c>
      <c r="B66" s="1">
        <v>1992868682</v>
      </c>
      <c r="C66" s="1" t="s">
        <v>103</v>
      </c>
      <c r="D66" s="1" t="s">
        <v>7</v>
      </c>
      <c r="E66" s="3">
        <v>41205</v>
      </c>
      <c r="F66" s="1" t="s">
        <v>358</v>
      </c>
      <c r="G66" s="1" t="s">
        <v>0</v>
      </c>
      <c r="H66" s="3">
        <v>45170</v>
      </c>
      <c r="I66" t="str">
        <f>IFERROR(INDEX('تشخيص الحالات'!$D$2:$D$1001,SUMPRODUCT(('تشخيص الحالات'!$B$2:$B$1001=B66)*('تشخيص الحالات'!$G$2:$G$1001=1)*ROW('تشخيص الحالات'!$B$2:$B$1001))-1),"")&amp;IF(SUMPRODUCT(('تشخيص الحالات'!$B$2:$B$1001=B66)*('تشخيص الحالات'!$G$2:$G$1001=2))&gt;0,"، "&amp;IFERROR(INDEX('تشخيص الحالات'!$D$2:$D$1001,SUMPRODUCT(('تشخيص الحالات'!$B$2:$B$1001=B66)*('تشخيص الحالات'!$G$2:$G$1001=2)*ROW('تشخيص الحالات'!$B$2:$B$1001))-1),""),"")&amp;IF(SUMPRODUCT(('تشخيص الحالات'!$B$2:$B$1001=B66)*('تشخيص الحالات'!$G$2:$G$1001=3))&gt;0,"، "&amp;IFERROR(INDEX('تشخيص الحالات'!$D$2:$D$1001,SUMPRODUCT(('تشخيص الحالات'!$B$2:$B$1001=B66)*('تشخيص الحالات'!$G$2:$G$1001=3)*ROW('تشخيص الحالات'!$B$2:$B$1001))-1),""),"")&amp;IF(SUMPRODUCT(('تشخيص الحالات'!$B$2:$B$1001=B66)*('تشخيص الحالات'!$G$2:$G$1001=4))&gt;0,"، "&amp;IFERROR(INDEX('تشخيص الحالات'!$D$2:$D$1001,SUMPRODUCT(('تشخيص الحالات'!$B$2:$B$1001=B66)*('تشخيص الحالات'!$G$2:$G$1001=4)*ROW('تشخيص الحالات'!$B$2:$B$1001))-1),""),"")&amp;IF(SUMPRODUCT(('تشخيص الحالات'!$B$2:$B$1001=B66)*('تشخيص الحالات'!$G$2:$G$1001=5))&gt;0,"، "&amp;IFERROR(INDEX('تشخيص الحالات'!$D$2:$D$1001,SUMPRODUCT(('تشخيص الحالات'!$B$2:$B$1001=B66)*('تشخيص الحالات'!$G$2:$G$1001=5)*ROW('تشخيص الحالات'!$B$2:$B$1001))-1),""),"")&amp;IF(SUMPRODUCT(('تشخيص الحالات'!$B$2:$B$1001=B66)*('تشخيص الحالات'!$G$2:$G$1001=6))&gt;0,"، "&amp;IFERROR(INDEX('تشخيص الحالات'!$D$2:$D$1001,SUMPRODUCT(('تشخيص الحالات'!$B$2:$B$1001=B66)*('تشخيص الحالات'!$G$2:$G$1001=6)*ROW('تشخيص الحالات'!$B$2:$B$1001))-1),""),"")&amp;IF(SUMPRODUCT(('تشخيص الحالات'!$B$2:$B$1001=B66)*('تشخيص الحالات'!$G$2:$G$1001=7))&gt;0,"، "&amp;IFERROR(INDEX('تشخيص الحالات'!$D$2:$D$1001,SUMPRODUCT(('تشخيص الحالات'!$B$2:$B$1001=B66)*('تشخيص الحالات'!$G$2:$G$1001=7)*ROW('تشخيص الحالات'!$B$2:$B$1001))-1),""),"")&amp;IF(SUMPRODUCT(('تشخيص الحالات'!$B$2:$B$1001=B66)*('تشخيص الحالات'!$G$2:$G$1001=8))&gt;0,"، "&amp;IFERROR(INDEX('تشخيص الحالات'!$D$2:$D$1001,SUMPRODUCT(('تشخيص الحالات'!$B$2:$B$1001=B66)*('تشخيص الحالات'!$G$2:$G$1001=8)*ROW('تشخيص الحالات'!$B$2:$B$1001))-1),""),"")</f>
        <v>مشكلات لغوية</v>
      </c>
      <c r="J66" s="1">
        <v>76</v>
      </c>
      <c r="K66" s="1" t="s">
        <v>38</v>
      </c>
      <c r="L66" s="1">
        <v>2500</v>
      </c>
      <c r="M66" s="1" t="s">
        <v>44</v>
      </c>
      <c r="N66" s="1">
        <v>4</v>
      </c>
      <c r="O66" s="1">
        <v>0</v>
      </c>
      <c r="P66" s="1">
        <v>6</v>
      </c>
      <c r="Q66" s="1">
        <v>2</v>
      </c>
      <c r="R66" s="1">
        <v>7</v>
      </c>
      <c r="S66" s="1">
        <v>0</v>
      </c>
      <c r="T66">
        <f>SUM(tbl_Beneficiaries[[#This Row],[ التربية الخاصة ]:[ التأهيل النفسي الحركي ]])</f>
        <v>19</v>
      </c>
    </row>
    <row r="67" spans="1:20" x14ac:dyDescent="0.2">
      <c r="A67" s="1">
        <v>66</v>
      </c>
      <c r="B67" s="1">
        <v>1285427152</v>
      </c>
      <c r="C67" s="1" t="s">
        <v>415</v>
      </c>
      <c r="D67" s="1" t="s">
        <v>7</v>
      </c>
      <c r="E67" s="3">
        <v>41015</v>
      </c>
      <c r="F67" s="1" t="s">
        <v>361</v>
      </c>
      <c r="G67" s="1" t="s">
        <v>1</v>
      </c>
      <c r="H67" s="3">
        <v>45315</v>
      </c>
      <c r="I67" t="str">
        <f>IFERROR(INDEX('تشخيص الحالات'!$D$2:$D$1001,SUMPRODUCT(('تشخيص الحالات'!$B$2:$B$1001=B67)*('تشخيص الحالات'!$G$2:$G$1001=1)*ROW('تشخيص الحالات'!$B$2:$B$1001))-1),"")&amp;IF(SUMPRODUCT(('تشخيص الحالات'!$B$2:$B$1001=B67)*('تشخيص الحالات'!$G$2:$G$1001=2))&gt;0,"، "&amp;IFERROR(INDEX('تشخيص الحالات'!$D$2:$D$1001,SUMPRODUCT(('تشخيص الحالات'!$B$2:$B$1001=B67)*('تشخيص الحالات'!$G$2:$G$1001=2)*ROW('تشخيص الحالات'!$B$2:$B$1001))-1),""),"")&amp;IF(SUMPRODUCT(('تشخيص الحالات'!$B$2:$B$1001=B67)*('تشخيص الحالات'!$G$2:$G$1001=3))&gt;0,"، "&amp;IFERROR(INDEX('تشخيص الحالات'!$D$2:$D$1001,SUMPRODUCT(('تشخيص الحالات'!$B$2:$B$1001=B67)*('تشخيص الحالات'!$G$2:$G$1001=3)*ROW('تشخيص الحالات'!$B$2:$B$1001))-1),""),"")&amp;IF(SUMPRODUCT(('تشخيص الحالات'!$B$2:$B$1001=B67)*('تشخيص الحالات'!$G$2:$G$1001=4))&gt;0,"، "&amp;IFERROR(INDEX('تشخيص الحالات'!$D$2:$D$1001,SUMPRODUCT(('تشخيص الحالات'!$B$2:$B$1001=B67)*('تشخيص الحالات'!$G$2:$G$1001=4)*ROW('تشخيص الحالات'!$B$2:$B$1001))-1),""),"")&amp;IF(SUMPRODUCT(('تشخيص الحالات'!$B$2:$B$1001=B67)*('تشخيص الحالات'!$G$2:$G$1001=5))&gt;0,"، "&amp;IFERROR(INDEX('تشخيص الحالات'!$D$2:$D$1001,SUMPRODUCT(('تشخيص الحالات'!$B$2:$B$1001=B67)*('تشخيص الحالات'!$G$2:$G$1001=5)*ROW('تشخيص الحالات'!$B$2:$B$1001))-1),""),"")&amp;IF(SUMPRODUCT(('تشخيص الحالات'!$B$2:$B$1001=B67)*('تشخيص الحالات'!$G$2:$G$1001=6))&gt;0,"، "&amp;IFERROR(INDEX('تشخيص الحالات'!$D$2:$D$1001,SUMPRODUCT(('تشخيص الحالات'!$B$2:$B$1001=B67)*('تشخيص الحالات'!$G$2:$G$1001=6)*ROW('تشخيص الحالات'!$B$2:$B$1001))-1),""),"")&amp;IF(SUMPRODUCT(('تشخيص الحالات'!$B$2:$B$1001=B67)*('تشخيص الحالات'!$G$2:$G$1001=7))&gt;0,"، "&amp;IFERROR(INDEX('تشخيص الحالات'!$D$2:$D$1001,SUMPRODUCT(('تشخيص الحالات'!$B$2:$B$1001=B67)*('تشخيص الحالات'!$G$2:$G$1001=7)*ROW('تشخيص الحالات'!$B$2:$B$1001))-1),""),"")&amp;IF(SUMPRODUCT(('تشخيص الحالات'!$B$2:$B$1001=B67)*('تشخيص الحالات'!$G$2:$G$1001=8))&gt;0,"، "&amp;IFERROR(INDEX('تشخيص الحالات'!$D$2:$D$1001,SUMPRODUCT(('تشخيص الحالات'!$B$2:$B$1001=B67)*('تشخيص الحالات'!$G$2:$G$1001=8)*ROW('تشخيص الحالات'!$B$2:$B$1001))-1),""),"")</f>
        <v>اضطراب نفسي، تأخر حركي، إعاقة سمعية</v>
      </c>
      <c r="J67" s="1">
        <v>96</v>
      </c>
      <c r="K67" s="1" t="s">
        <v>38</v>
      </c>
      <c r="L67" s="1">
        <v>2500</v>
      </c>
      <c r="M67" s="1" t="s">
        <v>42</v>
      </c>
      <c r="N67" s="1">
        <v>3</v>
      </c>
      <c r="O67" s="1">
        <v>0</v>
      </c>
      <c r="P67" s="1">
        <v>4</v>
      </c>
      <c r="Q67" s="1">
        <v>0</v>
      </c>
      <c r="R67" s="1">
        <v>0</v>
      </c>
      <c r="S67" s="1">
        <v>5</v>
      </c>
      <c r="T67">
        <f>SUM(tbl_Beneficiaries[[#This Row],[ التربية الخاصة ]:[ التأهيل النفسي الحركي ]])</f>
        <v>12</v>
      </c>
    </row>
    <row r="68" spans="1:20" x14ac:dyDescent="0.2">
      <c r="A68" s="1">
        <v>67</v>
      </c>
      <c r="B68" s="1">
        <v>1241445275</v>
      </c>
      <c r="C68" s="1" t="s">
        <v>416</v>
      </c>
      <c r="D68" s="1" t="s">
        <v>7</v>
      </c>
      <c r="E68" s="3">
        <v>41869</v>
      </c>
      <c r="F68" s="1" t="s">
        <v>357</v>
      </c>
      <c r="G68" s="1" t="s">
        <v>1</v>
      </c>
      <c r="H68" s="3">
        <v>45161</v>
      </c>
      <c r="I68" t="str">
        <f>IFERROR(INDEX('تشخيص الحالات'!$D$2:$D$1001,SUMPRODUCT(('تشخيص الحالات'!$B$2:$B$1001=B68)*('تشخيص الحالات'!$G$2:$G$1001=1)*ROW('تشخيص الحالات'!$B$2:$B$1001))-1),"")&amp;IF(SUMPRODUCT(('تشخيص الحالات'!$B$2:$B$1001=B68)*('تشخيص الحالات'!$G$2:$G$1001=2))&gt;0,"، "&amp;IFERROR(INDEX('تشخيص الحالات'!$D$2:$D$1001,SUMPRODUCT(('تشخيص الحالات'!$B$2:$B$1001=B68)*('تشخيص الحالات'!$G$2:$G$1001=2)*ROW('تشخيص الحالات'!$B$2:$B$1001))-1),""),"")&amp;IF(SUMPRODUCT(('تشخيص الحالات'!$B$2:$B$1001=B68)*('تشخيص الحالات'!$G$2:$G$1001=3))&gt;0,"، "&amp;IFERROR(INDEX('تشخيص الحالات'!$D$2:$D$1001,SUMPRODUCT(('تشخيص الحالات'!$B$2:$B$1001=B68)*('تشخيص الحالات'!$G$2:$G$1001=3)*ROW('تشخيص الحالات'!$B$2:$B$1001))-1),""),"")&amp;IF(SUMPRODUCT(('تشخيص الحالات'!$B$2:$B$1001=B68)*('تشخيص الحالات'!$G$2:$G$1001=4))&gt;0,"، "&amp;IFERROR(INDEX('تشخيص الحالات'!$D$2:$D$1001,SUMPRODUCT(('تشخيص الحالات'!$B$2:$B$1001=B68)*('تشخيص الحالات'!$G$2:$G$1001=4)*ROW('تشخيص الحالات'!$B$2:$B$1001))-1),""),"")&amp;IF(SUMPRODUCT(('تشخيص الحالات'!$B$2:$B$1001=B68)*('تشخيص الحالات'!$G$2:$G$1001=5))&gt;0,"، "&amp;IFERROR(INDEX('تشخيص الحالات'!$D$2:$D$1001,SUMPRODUCT(('تشخيص الحالات'!$B$2:$B$1001=B68)*('تشخيص الحالات'!$G$2:$G$1001=5)*ROW('تشخيص الحالات'!$B$2:$B$1001))-1),""),"")&amp;IF(SUMPRODUCT(('تشخيص الحالات'!$B$2:$B$1001=B68)*('تشخيص الحالات'!$G$2:$G$1001=6))&gt;0,"، "&amp;IFERROR(INDEX('تشخيص الحالات'!$D$2:$D$1001,SUMPRODUCT(('تشخيص الحالات'!$B$2:$B$1001=B68)*('تشخيص الحالات'!$G$2:$G$1001=6)*ROW('تشخيص الحالات'!$B$2:$B$1001))-1),""),"")&amp;IF(SUMPRODUCT(('تشخيص الحالات'!$B$2:$B$1001=B68)*('تشخيص الحالات'!$G$2:$G$1001=7))&gt;0,"، "&amp;IFERROR(INDEX('تشخيص الحالات'!$D$2:$D$1001,SUMPRODUCT(('تشخيص الحالات'!$B$2:$B$1001=B68)*('تشخيص الحالات'!$G$2:$G$1001=7)*ROW('تشخيص الحالات'!$B$2:$B$1001))-1),""),"")&amp;IF(SUMPRODUCT(('تشخيص الحالات'!$B$2:$B$1001=B68)*('تشخيص الحالات'!$G$2:$G$1001=8))&gt;0,"، "&amp;IFERROR(INDEX('تشخيص الحالات'!$D$2:$D$1001,SUMPRODUCT(('تشخيص الحالات'!$B$2:$B$1001=B68)*('تشخيص الحالات'!$G$2:$G$1001=8)*ROW('تشخيص الحالات'!$B$2:$B$1001))-1),""),"")</f>
        <v>إعاقة ذهنية، تأخر نمائي</v>
      </c>
      <c r="J68" s="1">
        <v>77</v>
      </c>
      <c r="K68" s="1" t="s">
        <v>39</v>
      </c>
      <c r="L68" s="1">
        <v>4000</v>
      </c>
      <c r="M68" s="1" t="s">
        <v>40</v>
      </c>
      <c r="N68" s="1">
        <v>0</v>
      </c>
      <c r="O68" s="1">
        <v>6</v>
      </c>
      <c r="P68" s="1">
        <v>0</v>
      </c>
      <c r="Q68" s="1">
        <v>4</v>
      </c>
      <c r="R68" s="1">
        <v>0</v>
      </c>
      <c r="S68" s="1">
        <v>0</v>
      </c>
      <c r="T68">
        <f>SUM(tbl_Beneficiaries[[#This Row],[ التربية الخاصة ]:[ التأهيل النفسي الحركي ]])</f>
        <v>10</v>
      </c>
    </row>
    <row r="69" spans="1:20" x14ac:dyDescent="0.2">
      <c r="A69" s="1">
        <v>68</v>
      </c>
      <c r="B69" s="1">
        <v>1772511961</v>
      </c>
      <c r="C69" s="1" t="s">
        <v>417</v>
      </c>
      <c r="D69" s="1" t="s">
        <v>3</v>
      </c>
      <c r="E69" s="3">
        <v>42835</v>
      </c>
      <c r="F69" s="1" t="s">
        <v>359</v>
      </c>
      <c r="G69" s="1" t="s">
        <v>4</v>
      </c>
      <c r="H69" s="3">
        <v>45307</v>
      </c>
      <c r="I69" t="str">
        <f>IFERROR(INDEX('تشخيص الحالات'!$D$2:$D$1001,SUMPRODUCT(('تشخيص الحالات'!$B$2:$B$1001=B69)*('تشخيص الحالات'!$G$2:$G$1001=1)*ROW('تشخيص الحالات'!$B$2:$B$1001))-1),"")&amp;IF(SUMPRODUCT(('تشخيص الحالات'!$B$2:$B$1001=B69)*('تشخيص الحالات'!$G$2:$G$1001=2))&gt;0,"، "&amp;IFERROR(INDEX('تشخيص الحالات'!$D$2:$D$1001,SUMPRODUCT(('تشخيص الحالات'!$B$2:$B$1001=B69)*('تشخيص الحالات'!$G$2:$G$1001=2)*ROW('تشخيص الحالات'!$B$2:$B$1001))-1),""),"")&amp;IF(SUMPRODUCT(('تشخيص الحالات'!$B$2:$B$1001=B69)*('تشخيص الحالات'!$G$2:$G$1001=3))&gt;0,"، "&amp;IFERROR(INDEX('تشخيص الحالات'!$D$2:$D$1001,SUMPRODUCT(('تشخيص الحالات'!$B$2:$B$1001=B69)*('تشخيص الحالات'!$G$2:$G$1001=3)*ROW('تشخيص الحالات'!$B$2:$B$1001))-1),""),"")&amp;IF(SUMPRODUCT(('تشخيص الحالات'!$B$2:$B$1001=B69)*('تشخيص الحالات'!$G$2:$G$1001=4))&gt;0,"، "&amp;IFERROR(INDEX('تشخيص الحالات'!$D$2:$D$1001,SUMPRODUCT(('تشخيص الحالات'!$B$2:$B$1001=B69)*('تشخيص الحالات'!$G$2:$G$1001=4)*ROW('تشخيص الحالات'!$B$2:$B$1001))-1),""),"")&amp;IF(SUMPRODUCT(('تشخيص الحالات'!$B$2:$B$1001=B69)*('تشخيص الحالات'!$G$2:$G$1001=5))&gt;0,"، "&amp;IFERROR(INDEX('تشخيص الحالات'!$D$2:$D$1001,SUMPRODUCT(('تشخيص الحالات'!$B$2:$B$1001=B69)*('تشخيص الحالات'!$G$2:$G$1001=5)*ROW('تشخيص الحالات'!$B$2:$B$1001))-1),""),"")&amp;IF(SUMPRODUCT(('تشخيص الحالات'!$B$2:$B$1001=B69)*('تشخيص الحالات'!$G$2:$G$1001=6))&gt;0,"، "&amp;IFERROR(INDEX('تشخيص الحالات'!$D$2:$D$1001,SUMPRODUCT(('تشخيص الحالات'!$B$2:$B$1001=B69)*('تشخيص الحالات'!$G$2:$G$1001=6)*ROW('تشخيص الحالات'!$B$2:$B$1001))-1),""),"")&amp;IF(SUMPRODUCT(('تشخيص الحالات'!$B$2:$B$1001=B69)*('تشخيص الحالات'!$G$2:$G$1001=7))&gt;0,"، "&amp;IFERROR(INDEX('تشخيص الحالات'!$D$2:$D$1001,SUMPRODUCT(('تشخيص الحالات'!$B$2:$B$1001=B69)*('تشخيص الحالات'!$G$2:$G$1001=7)*ROW('تشخيص الحالات'!$B$2:$B$1001))-1),""),"")&amp;IF(SUMPRODUCT(('تشخيص الحالات'!$B$2:$B$1001=B69)*('تشخيص الحالات'!$G$2:$G$1001=8))&gt;0,"، "&amp;IFERROR(INDEX('تشخيص الحالات'!$D$2:$D$1001,SUMPRODUCT(('تشخيص الحالات'!$B$2:$B$1001=B69)*('تشخيص الحالات'!$G$2:$G$1001=8)*ROW('تشخيص الحالات'!$B$2:$B$1001))-1),""),"")</f>
        <v>اضطراب طيف التوحد، اضطرابات سلوكية، إعاقة بصرية</v>
      </c>
      <c r="J69" s="1">
        <v>46</v>
      </c>
      <c r="K69" s="1" t="s">
        <v>4</v>
      </c>
      <c r="L69" s="1">
        <v>4000</v>
      </c>
      <c r="M69" s="1" t="s">
        <v>40</v>
      </c>
      <c r="N69" s="1">
        <v>3</v>
      </c>
      <c r="O69" s="1">
        <v>0</v>
      </c>
      <c r="P69" s="1">
        <v>1</v>
      </c>
      <c r="Q69" s="1">
        <v>3</v>
      </c>
      <c r="R69" s="1">
        <v>0</v>
      </c>
      <c r="S69" s="1">
        <v>0</v>
      </c>
      <c r="T69">
        <f>SUM(tbl_Beneficiaries[[#This Row],[ التربية الخاصة ]:[ التأهيل النفسي الحركي ]])</f>
        <v>7</v>
      </c>
    </row>
    <row r="70" spans="1:20" x14ac:dyDescent="0.2">
      <c r="A70" s="1">
        <v>69</v>
      </c>
      <c r="B70" s="1">
        <v>1480462141</v>
      </c>
      <c r="C70" s="1" t="s">
        <v>418</v>
      </c>
      <c r="D70" s="1" t="s">
        <v>7</v>
      </c>
      <c r="E70" s="3">
        <v>41818</v>
      </c>
      <c r="F70" s="1" t="s">
        <v>360</v>
      </c>
      <c r="G70" s="1" t="s">
        <v>0</v>
      </c>
      <c r="H70" s="3">
        <v>44674</v>
      </c>
      <c r="I70" t="str">
        <f>IFERROR(INDEX('تشخيص الحالات'!$D$2:$D$1001,SUMPRODUCT(('تشخيص الحالات'!$B$2:$B$1001=B70)*('تشخيص الحالات'!$G$2:$G$1001=1)*ROW('تشخيص الحالات'!$B$2:$B$1001))-1),"")&amp;IF(SUMPRODUCT(('تشخيص الحالات'!$B$2:$B$1001=B70)*('تشخيص الحالات'!$G$2:$G$1001=2))&gt;0,"، "&amp;IFERROR(INDEX('تشخيص الحالات'!$D$2:$D$1001,SUMPRODUCT(('تشخيص الحالات'!$B$2:$B$1001=B70)*('تشخيص الحالات'!$G$2:$G$1001=2)*ROW('تشخيص الحالات'!$B$2:$B$1001))-1),""),"")&amp;IF(SUMPRODUCT(('تشخيص الحالات'!$B$2:$B$1001=B70)*('تشخيص الحالات'!$G$2:$G$1001=3))&gt;0,"، "&amp;IFERROR(INDEX('تشخيص الحالات'!$D$2:$D$1001,SUMPRODUCT(('تشخيص الحالات'!$B$2:$B$1001=B70)*('تشخيص الحالات'!$G$2:$G$1001=3)*ROW('تشخيص الحالات'!$B$2:$B$1001))-1),""),"")&amp;IF(SUMPRODUCT(('تشخيص الحالات'!$B$2:$B$1001=B70)*('تشخيص الحالات'!$G$2:$G$1001=4))&gt;0,"، "&amp;IFERROR(INDEX('تشخيص الحالات'!$D$2:$D$1001,SUMPRODUCT(('تشخيص الحالات'!$B$2:$B$1001=B70)*('تشخيص الحالات'!$G$2:$G$1001=4)*ROW('تشخيص الحالات'!$B$2:$B$1001))-1),""),"")&amp;IF(SUMPRODUCT(('تشخيص الحالات'!$B$2:$B$1001=B70)*('تشخيص الحالات'!$G$2:$G$1001=5))&gt;0,"، "&amp;IFERROR(INDEX('تشخيص الحالات'!$D$2:$D$1001,SUMPRODUCT(('تشخيص الحالات'!$B$2:$B$1001=B70)*('تشخيص الحالات'!$G$2:$G$1001=5)*ROW('تشخيص الحالات'!$B$2:$B$1001))-1),""),"")&amp;IF(SUMPRODUCT(('تشخيص الحالات'!$B$2:$B$1001=B70)*('تشخيص الحالات'!$G$2:$G$1001=6))&gt;0,"، "&amp;IFERROR(INDEX('تشخيص الحالات'!$D$2:$D$1001,SUMPRODUCT(('تشخيص الحالات'!$B$2:$B$1001=B70)*('تشخيص الحالات'!$G$2:$G$1001=6)*ROW('تشخيص الحالات'!$B$2:$B$1001))-1),""),"")&amp;IF(SUMPRODUCT(('تشخيص الحالات'!$B$2:$B$1001=B70)*('تشخيص الحالات'!$G$2:$G$1001=7))&gt;0,"، "&amp;IFERROR(INDEX('تشخيص الحالات'!$D$2:$D$1001,SUMPRODUCT(('تشخيص الحالات'!$B$2:$B$1001=B70)*('تشخيص الحالات'!$G$2:$G$1001=7)*ROW('تشخيص الحالات'!$B$2:$B$1001))-1),""),"")&amp;IF(SUMPRODUCT(('تشخيص الحالات'!$B$2:$B$1001=B70)*('تشخيص الحالات'!$G$2:$G$1001=8))&gt;0,"، "&amp;IFERROR(INDEX('تشخيص الحالات'!$D$2:$D$1001,SUMPRODUCT(('تشخيص الحالات'!$B$2:$B$1001=B70)*('تشخيص الحالات'!$G$2:$G$1001=8)*ROW('تشخيص الحالات'!$B$2:$B$1001))-1),""),"")</f>
        <v>اضطراب طيف التوحد</v>
      </c>
      <c r="J70" s="1">
        <v>50</v>
      </c>
      <c r="K70" s="1" t="s">
        <v>38</v>
      </c>
      <c r="L70" s="1">
        <v>1500</v>
      </c>
      <c r="M70" s="1" t="s">
        <v>41</v>
      </c>
      <c r="N70" s="1">
        <v>6</v>
      </c>
      <c r="O70" s="1">
        <v>6</v>
      </c>
      <c r="P70" s="1">
        <v>0</v>
      </c>
      <c r="Q70" s="1">
        <v>4</v>
      </c>
      <c r="R70" s="1">
        <v>0</v>
      </c>
      <c r="S70" s="1">
        <v>7</v>
      </c>
      <c r="T70">
        <f>SUM(tbl_Beneficiaries[[#This Row],[ التربية الخاصة ]:[ التأهيل النفسي الحركي ]])</f>
        <v>23</v>
      </c>
    </row>
    <row r="71" spans="1:20" x14ac:dyDescent="0.2">
      <c r="A71" s="1">
        <v>70</v>
      </c>
      <c r="B71" s="1">
        <v>1410729757</v>
      </c>
      <c r="C71" s="1" t="s">
        <v>419</v>
      </c>
      <c r="D71" s="1" t="s">
        <v>3</v>
      </c>
      <c r="E71" s="3">
        <v>42571</v>
      </c>
      <c r="F71" s="1" t="s">
        <v>360</v>
      </c>
      <c r="G71" s="1" t="s">
        <v>1</v>
      </c>
      <c r="H71" s="3">
        <v>44763</v>
      </c>
      <c r="I71" t="str">
        <f>IFERROR(INDEX('تشخيص الحالات'!$D$2:$D$1001,SUMPRODUCT(('تشخيص الحالات'!$B$2:$B$1001=B71)*('تشخيص الحالات'!$G$2:$G$1001=1)*ROW('تشخيص الحالات'!$B$2:$B$1001))-1),"")&amp;IF(SUMPRODUCT(('تشخيص الحالات'!$B$2:$B$1001=B71)*('تشخيص الحالات'!$G$2:$G$1001=2))&gt;0,"، "&amp;IFERROR(INDEX('تشخيص الحالات'!$D$2:$D$1001,SUMPRODUCT(('تشخيص الحالات'!$B$2:$B$1001=B71)*('تشخيص الحالات'!$G$2:$G$1001=2)*ROW('تشخيص الحالات'!$B$2:$B$1001))-1),""),"")&amp;IF(SUMPRODUCT(('تشخيص الحالات'!$B$2:$B$1001=B71)*('تشخيص الحالات'!$G$2:$G$1001=3))&gt;0,"، "&amp;IFERROR(INDEX('تشخيص الحالات'!$D$2:$D$1001,SUMPRODUCT(('تشخيص الحالات'!$B$2:$B$1001=B71)*('تشخيص الحالات'!$G$2:$G$1001=3)*ROW('تشخيص الحالات'!$B$2:$B$1001))-1),""),"")&amp;IF(SUMPRODUCT(('تشخيص الحالات'!$B$2:$B$1001=B71)*('تشخيص الحالات'!$G$2:$G$1001=4))&gt;0,"، "&amp;IFERROR(INDEX('تشخيص الحالات'!$D$2:$D$1001,SUMPRODUCT(('تشخيص الحالات'!$B$2:$B$1001=B71)*('تشخيص الحالات'!$G$2:$G$1001=4)*ROW('تشخيص الحالات'!$B$2:$B$1001))-1),""),"")&amp;IF(SUMPRODUCT(('تشخيص الحالات'!$B$2:$B$1001=B71)*('تشخيص الحالات'!$G$2:$G$1001=5))&gt;0,"، "&amp;IFERROR(INDEX('تشخيص الحالات'!$D$2:$D$1001,SUMPRODUCT(('تشخيص الحالات'!$B$2:$B$1001=B71)*('تشخيص الحالات'!$G$2:$G$1001=5)*ROW('تشخيص الحالات'!$B$2:$B$1001))-1),""),"")&amp;IF(SUMPRODUCT(('تشخيص الحالات'!$B$2:$B$1001=B71)*('تشخيص الحالات'!$G$2:$G$1001=6))&gt;0,"، "&amp;IFERROR(INDEX('تشخيص الحالات'!$D$2:$D$1001,SUMPRODUCT(('تشخيص الحالات'!$B$2:$B$1001=B71)*('تشخيص الحالات'!$G$2:$G$1001=6)*ROW('تشخيص الحالات'!$B$2:$B$1001))-1),""),"")&amp;IF(SUMPRODUCT(('تشخيص الحالات'!$B$2:$B$1001=B71)*('تشخيص الحالات'!$G$2:$G$1001=7))&gt;0,"، "&amp;IFERROR(INDEX('تشخيص الحالات'!$D$2:$D$1001,SUMPRODUCT(('تشخيص الحالات'!$B$2:$B$1001=B71)*('تشخيص الحالات'!$G$2:$G$1001=7)*ROW('تشخيص الحالات'!$B$2:$B$1001))-1),""),"")&amp;IF(SUMPRODUCT(('تشخيص الحالات'!$B$2:$B$1001=B71)*('تشخيص الحالات'!$G$2:$G$1001=8))&gt;0,"، "&amp;IFERROR(INDEX('تشخيص الحالات'!$D$2:$D$1001,SUMPRODUCT(('تشخيص الحالات'!$B$2:$B$1001=B71)*('تشخيص الحالات'!$G$2:$G$1001=8)*ROW('تشخيص الحالات'!$B$2:$B$1001))-1),""),"")</f>
        <v>صعوبات تعلم</v>
      </c>
      <c r="J71" s="1">
        <v>61</v>
      </c>
      <c r="K71" s="1" t="s">
        <v>39</v>
      </c>
      <c r="L71" s="1">
        <v>4000</v>
      </c>
      <c r="M71" s="1" t="s">
        <v>41</v>
      </c>
      <c r="N71" s="1">
        <v>0</v>
      </c>
      <c r="O71" s="1">
        <v>5</v>
      </c>
      <c r="P71" s="1">
        <v>9</v>
      </c>
      <c r="Q71" s="1">
        <v>3</v>
      </c>
      <c r="R71" s="1">
        <v>0</v>
      </c>
      <c r="S71" s="1">
        <v>7</v>
      </c>
      <c r="T71">
        <f>SUM(tbl_Beneficiaries[[#This Row],[ التربية الخاصة ]:[ التأهيل النفسي الحركي ]])</f>
        <v>24</v>
      </c>
    </row>
    <row r="72" spans="1:20" x14ac:dyDescent="0.2">
      <c r="A72" s="1">
        <v>71</v>
      </c>
      <c r="B72" s="1">
        <v>1062866233</v>
      </c>
      <c r="C72" s="1" t="s">
        <v>420</v>
      </c>
      <c r="D72" s="1" t="s">
        <v>7</v>
      </c>
      <c r="E72" s="3">
        <v>41253</v>
      </c>
      <c r="F72" s="1" t="s">
        <v>358</v>
      </c>
      <c r="G72" s="1" t="s">
        <v>1</v>
      </c>
      <c r="H72" s="3">
        <v>44703</v>
      </c>
      <c r="I72" t="str">
        <f>IFERROR(INDEX('تشخيص الحالات'!$D$2:$D$1001,SUMPRODUCT(('تشخيص الحالات'!$B$2:$B$1001=B72)*('تشخيص الحالات'!$G$2:$G$1001=1)*ROW('تشخيص الحالات'!$B$2:$B$1001))-1),"")&amp;IF(SUMPRODUCT(('تشخيص الحالات'!$B$2:$B$1001=B72)*('تشخيص الحالات'!$G$2:$G$1001=2))&gt;0,"، "&amp;IFERROR(INDEX('تشخيص الحالات'!$D$2:$D$1001,SUMPRODUCT(('تشخيص الحالات'!$B$2:$B$1001=B72)*('تشخيص الحالات'!$G$2:$G$1001=2)*ROW('تشخيص الحالات'!$B$2:$B$1001))-1),""),"")&amp;IF(SUMPRODUCT(('تشخيص الحالات'!$B$2:$B$1001=B72)*('تشخيص الحالات'!$G$2:$G$1001=3))&gt;0,"، "&amp;IFERROR(INDEX('تشخيص الحالات'!$D$2:$D$1001,SUMPRODUCT(('تشخيص الحالات'!$B$2:$B$1001=B72)*('تشخيص الحالات'!$G$2:$G$1001=3)*ROW('تشخيص الحالات'!$B$2:$B$1001))-1),""),"")&amp;IF(SUMPRODUCT(('تشخيص الحالات'!$B$2:$B$1001=B72)*('تشخيص الحالات'!$G$2:$G$1001=4))&gt;0,"، "&amp;IFERROR(INDEX('تشخيص الحالات'!$D$2:$D$1001,SUMPRODUCT(('تشخيص الحالات'!$B$2:$B$1001=B72)*('تشخيص الحالات'!$G$2:$G$1001=4)*ROW('تشخيص الحالات'!$B$2:$B$1001))-1),""),"")&amp;IF(SUMPRODUCT(('تشخيص الحالات'!$B$2:$B$1001=B72)*('تشخيص الحالات'!$G$2:$G$1001=5))&gt;0,"، "&amp;IFERROR(INDEX('تشخيص الحالات'!$D$2:$D$1001,SUMPRODUCT(('تشخيص الحالات'!$B$2:$B$1001=B72)*('تشخيص الحالات'!$G$2:$G$1001=5)*ROW('تشخيص الحالات'!$B$2:$B$1001))-1),""),"")&amp;IF(SUMPRODUCT(('تشخيص الحالات'!$B$2:$B$1001=B72)*('تشخيص الحالات'!$G$2:$G$1001=6))&gt;0,"، "&amp;IFERROR(INDEX('تشخيص الحالات'!$D$2:$D$1001,SUMPRODUCT(('تشخيص الحالات'!$B$2:$B$1001=B72)*('تشخيص الحالات'!$G$2:$G$1001=6)*ROW('تشخيص الحالات'!$B$2:$B$1001))-1),""),"")&amp;IF(SUMPRODUCT(('تشخيص الحالات'!$B$2:$B$1001=B72)*('تشخيص الحالات'!$G$2:$G$1001=7))&gt;0,"، "&amp;IFERROR(INDEX('تشخيص الحالات'!$D$2:$D$1001,SUMPRODUCT(('تشخيص الحالات'!$B$2:$B$1001=B72)*('تشخيص الحالات'!$G$2:$G$1001=7)*ROW('تشخيص الحالات'!$B$2:$B$1001))-1),""),"")&amp;IF(SUMPRODUCT(('تشخيص الحالات'!$B$2:$B$1001=B72)*('تشخيص الحالات'!$G$2:$G$1001=8))&gt;0,"، "&amp;IFERROR(INDEX('تشخيص الحالات'!$D$2:$D$1001,SUMPRODUCT(('تشخيص الحالات'!$B$2:$B$1001=B72)*('تشخيص الحالات'!$G$2:$G$1001=8)*ROW('تشخيص الحالات'!$B$2:$B$1001))-1),""),"")</f>
        <v>شلل دماغي</v>
      </c>
      <c r="J72" s="1">
        <v>46</v>
      </c>
      <c r="K72" s="1" t="s">
        <v>38</v>
      </c>
      <c r="L72" s="1">
        <v>2500</v>
      </c>
      <c r="M72" s="1" t="s">
        <v>42</v>
      </c>
      <c r="N72" s="1">
        <v>7</v>
      </c>
      <c r="O72" s="1">
        <v>0</v>
      </c>
      <c r="P72" s="1">
        <v>0</v>
      </c>
      <c r="Q72" s="1">
        <v>0</v>
      </c>
      <c r="R72" s="1">
        <v>9</v>
      </c>
      <c r="S72" s="1">
        <v>8</v>
      </c>
      <c r="T72">
        <f>SUM(tbl_Beneficiaries[[#This Row],[ التربية الخاصة ]:[ التأهيل النفسي الحركي ]])</f>
        <v>24</v>
      </c>
    </row>
    <row r="73" spans="1:20" x14ac:dyDescent="0.2">
      <c r="A73" s="1">
        <v>72</v>
      </c>
      <c r="B73" s="1">
        <v>1983951447</v>
      </c>
      <c r="C73" s="1" t="s">
        <v>421</v>
      </c>
      <c r="D73" s="1" t="s">
        <v>3</v>
      </c>
      <c r="E73" s="3">
        <v>40370</v>
      </c>
      <c r="F73" s="1" t="s">
        <v>358</v>
      </c>
      <c r="G73" s="1" t="s">
        <v>4</v>
      </c>
      <c r="H73" s="3">
        <v>44984</v>
      </c>
      <c r="I73" t="str">
        <f>IFERROR(INDEX('تشخيص الحالات'!$D$2:$D$1001,SUMPRODUCT(('تشخيص الحالات'!$B$2:$B$1001=B73)*('تشخيص الحالات'!$G$2:$G$1001=1)*ROW('تشخيص الحالات'!$B$2:$B$1001))-1),"")&amp;IF(SUMPRODUCT(('تشخيص الحالات'!$B$2:$B$1001=B73)*('تشخيص الحالات'!$G$2:$G$1001=2))&gt;0,"، "&amp;IFERROR(INDEX('تشخيص الحالات'!$D$2:$D$1001,SUMPRODUCT(('تشخيص الحالات'!$B$2:$B$1001=B73)*('تشخيص الحالات'!$G$2:$G$1001=2)*ROW('تشخيص الحالات'!$B$2:$B$1001))-1),""),"")&amp;IF(SUMPRODUCT(('تشخيص الحالات'!$B$2:$B$1001=B73)*('تشخيص الحالات'!$G$2:$G$1001=3))&gt;0,"، "&amp;IFERROR(INDEX('تشخيص الحالات'!$D$2:$D$1001,SUMPRODUCT(('تشخيص الحالات'!$B$2:$B$1001=B73)*('تشخيص الحالات'!$G$2:$G$1001=3)*ROW('تشخيص الحالات'!$B$2:$B$1001))-1),""),"")&amp;IF(SUMPRODUCT(('تشخيص الحالات'!$B$2:$B$1001=B73)*('تشخيص الحالات'!$G$2:$G$1001=4))&gt;0,"، "&amp;IFERROR(INDEX('تشخيص الحالات'!$D$2:$D$1001,SUMPRODUCT(('تشخيص الحالات'!$B$2:$B$1001=B73)*('تشخيص الحالات'!$G$2:$G$1001=4)*ROW('تشخيص الحالات'!$B$2:$B$1001))-1),""),"")&amp;IF(SUMPRODUCT(('تشخيص الحالات'!$B$2:$B$1001=B73)*('تشخيص الحالات'!$G$2:$G$1001=5))&gt;0,"، "&amp;IFERROR(INDEX('تشخيص الحالات'!$D$2:$D$1001,SUMPRODUCT(('تشخيص الحالات'!$B$2:$B$1001=B73)*('تشخيص الحالات'!$G$2:$G$1001=5)*ROW('تشخيص الحالات'!$B$2:$B$1001))-1),""),"")&amp;IF(SUMPRODUCT(('تشخيص الحالات'!$B$2:$B$1001=B73)*('تشخيص الحالات'!$G$2:$G$1001=6))&gt;0,"، "&amp;IFERROR(INDEX('تشخيص الحالات'!$D$2:$D$1001,SUMPRODUCT(('تشخيص الحالات'!$B$2:$B$1001=B73)*('تشخيص الحالات'!$G$2:$G$1001=6)*ROW('تشخيص الحالات'!$B$2:$B$1001))-1),""),"")&amp;IF(SUMPRODUCT(('تشخيص الحالات'!$B$2:$B$1001=B73)*('تشخيص الحالات'!$G$2:$G$1001=7))&gt;0,"، "&amp;IFERROR(INDEX('تشخيص الحالات'!$D$2:$D$1001,SUMPRODUCT(('تشخيص الحالات'!$B$2:$B$1001=B73)*('تشخيص الحالات'!$G$2:$G$1001=7)*ROW('تشخيص الحالات'!$B$2:$B$1001))-1),""),"")&amp;IF(SUMPRODUCT(('تشخيص الحالات'!$B$2:$B$1001=B73)*('تشخيص الحالات'!$G$2:$G$1001=8))&gt;0,"، "&amp;IFERROR(INDEX('تشخيص الحالات'!$D$2:$D$1001,SUMPRODUCT(('تشخيص الحالات'!$B$2:$B$1001=B73)*('تشخيص الحالات'!$G$2:$G$1001=8)*ROW('تشخيص الحالات'!$B$2:$B$1001))-1),""),"")</f>
        <v>اضطراب تواصل اجتماعي، اضطراب طيف التوحد</v>
      </c>
      <c r="J73" s="1">
        <v>105</v>
      </c>
      <c r="K73" s="1" t="s">
        <v>38</v>
      </c>
      <c r="L73" s="1">
        <v>3500</v>
      </c>
      <c r="M73" s="1" t="s">
        <v>40</v>
      </c>
      <c r="N73" s="1">
        <v>6</v>
      </c>
      <c r="O73" s="1">
        <v>2</v>
      </c>
      <c r="P73" s="1">
        <v>0</v>
      </c>
      <c r="Q73" s="1">
        <v>0</v>
      </c>
      <c r="R73" s="1">
        <v>0</v>
      </c>
      <c r="S73" s="1">
        <v>0</v>
      </c>
      <c r="T73">
        <f>SUM(tbl_Beneficiaries[[#This Row],[ التربية الخاصة ]:[ التأهيل النفسي الحركي ]])</f>
        <v>8</v>
      </c>
    </row>
    <row r="74" spans="1:20" x14ac:dyDescent="0.2">
      <c r="A74" s="1">
        <v>73</v>
      </c>
      <c r="B74" s="1">
        <v>1491276005</v>
      </c>
      <c r="C74" s="1" t="s">
        <v>104</v>
      </c>
      <c r="D74" s="1" t="s">
        <v>3</v>
      </c>
      <c r="E74" s="3">
        <v>43798</v>
      </c>
      <c r="F74" s="1" t="s">
        <v>359</v>
      </c>
      <c r="G74" s="1" t="s">
        <v>1</v>
      </c>
      <c r="H74" s="3">
        <v>45474</v>
      </c>
      <c r="I74" t="str">
        <f>IFERROR(INDEX('تشخيص الحالات'!$D$2:$D$1001,SUMPRODUCT(('تشخيص الحالات'!$B$2:$B$1001=B74)*('تشخيص الحالات'!$G$2:$G$1001=1)*ROW('تشخيص الحالات'!$B$2:$B$1001))-1),"")&amp;IF(SUMPRODUCT(('تشخيص الحالات'!$B$2:$B$1001=B74)*('تشخيص الحالات'!$G$2:$G$1001=2))&gt;0,"، "&amp;IFERROR(INDEX('تشخيص الحالات'!$D$2:$D$1001,SUMPRODUCT(('تشخيص الحالات'!$B$2:$B$1001=B74)*('تشخيص الحالات'!$G$2:$G$1001=2)*ROW('تشخيص الحالات'!$B$2:$B$1001))-1),""),"")&amp;IF(SUMPRODUCT(('تشخيص الحالات'!$B$2:$B$1001=B74)*('تشخيص الحالات'!$G$2:$G$1001=3))&gt;0,"، "&amp;IFERROR(INDEX('تشخيص الحالات'!$D$2:$D$1001,SUMPRODUCT(('تشخيص الحالات'!$B$2:$B$1001=B74)*('تشخيص الحالات'!$G$2:$G$1001=3)*ROW('تشخيص الحالات'!$B$2:$B$1001))-1),""),"")&amp;IF(SUMPRODUCT(('تشخيص الحالات'!$B$2:$B$1001=B74)*('تشخيص الحالات'!$G$2:$G$1001=4))&gt;0,"، "&amp;IFERROR(INDEX('تشخيص الحالات'!$D$2:$D$1001,SUMPRODUCT(('تشخيص الحالات'!$B$2:$B$1001=B74)*('تشخيص الحالات'!$G$2:$G$1001=4)*ROW('تشخيص الحالات'!$B$2:$B$1001))-1),""),"")&amp;IF(SUMPRODUCT(('تشخيص الحالات'!$B$2:$B$1001=B74)*('تشخيص الحالات'!$G$2:$G$1001=5))&gt;0,"، "&amp;IFERROR(INDEX('تشخيص الحالات'!$D$2:$D$1001,SUMPRODUCT(('تشخيص الحالات'!$B$2:$B$1001=B74)*('تشخيص الحالات'!$G$2:$G$1001=5)*ROW('تشخيص الحالات'!$B$2:$B$1001))-1),""),"")&amp;IF(SUMPRODUCT(('تشخيص الحالات'!$B$2:$B$1001=B74)*('تشخيص الحالات'!$G$2:$G$1001=6))&gt;0,"، "&amp;IFERROR(INDEX('تشخيص الحالات'!$D$2:$D$1001,SUMPRODUCT(('تشخيص الحالات'!$B$2:$B$1001=B74)*('تشخيص الحالات'!$G$2:$G$1001=6)*ROW('تشخيص الحالات'!$B$2:$B$1001))-1),""),"")&amp;IF(SUMPRODUCT(('تشخيص الحالات'!$B$2:$B$1001=B74)*('تشخيص الحالات'!$G$2:$G$1001=7))&gt;0,"، "&amp;IFERROR(INDEX('تشخيص الحالات'!$D$2:$D$1001,SUMPRODUCT(('تشخيص الحالات'!$B$2:$B$1001=B74)*('تشخيص الحالات'!$G$2:$G$1001=7)*ROW('تشخيص الحالات'!$B$2:$B$1001))-1),""),"")&amp;IF(SUMPRODUCT(('تشخيص الحالات'!$B$2:$B$1001=B74)*('تشخيص الحالات'!$G$2:$G$1001=8))&gt;0,"، "&amp;IFERROR(INDEX('تشخيص الحالات'!$D$2:$D$1001,SUMPRODUCT(('تشخيص الحالات'!$B$2:$B$1001=B74)*('تشخيص الحالات'!$G$2:$G$1001=8)*ROW('تشخيص الحالات'!$B$2:$B$1001))-1),""),"")</f>
        <v>اضطراب تكامل حسي</v>
      </c>
      <c r="J74" s="1">
        <v>85</v>
      </c>
      <c r="K74" s="1" t="s">
        <v>38</v>
      </c>
      <c r="L74" s="1">
        <v>2000</v>
      </c>
      <c r="M74" s="1" t="s">
        <v>40</v>
      </c>
      <c r="N74" s="1">
        <v>4</v>
      </c>
      <c r="O74" s="1">
        <v>7</v>
      </c>
      <c r="P74" s="1">
        <v>0</v>
      </c>
      <c r="Q74" s="1">
        <v>3</v>
      </c>
      <c r="R74" s="1">
        <v>7</v>
      </c>
      <c r="S74" s="1">
        <v>0</v>
      </c>
      <c r="T74">
        <f>SUM(tbl_Beneficiaries[[#This Row],[ التربية الخاصة ]:[ التأهيل النفسي الحركي ]])</f>
        <v>21</v>
      </c>
    </row>
    <row r="75" spans="1:20" x14ac:dyDescent="0.2">
      <c r="A75" s="1">
        <v>74</v>
      </c>
      <c r="B75" s="1">
        <v>1519714037</v>
      </c>
      <c r="C75" s="1" t="s">
        <v>422</v>
      </c>
      <c r="D75" s="1" t="s">
        <v>3</v>
      </c>
      <c r="E75" s="3">
        <v>43556</v>
      </c>
      <c r="F75" s="1" t="s">
        <v>358</v>
      </c>
      <c r="G75" s="1" t="s">
        <v>0</v>
      </c>
      <c r="H75" s="3">
        <v>45521</v>
      </c>
      <c r="I75" t="str">
        <f>IFERROR(INDEX('تشخيص الحالات'!$D$2:$D$1001,SUMPRODUCT(('تشخيص الحالات'!$B$2:$B$1001=B75)*('تشخيص الحالات'!$G$2:$G$1001=1)*ROW('تشخيص الحالات'!$B$2:$B$1001))-1),"")&amp;IF(SUMPRODUCT(('تشخيص الحالات'!$B$2:$B$1001=B75)*('تشخيص الحالات'!$G$2:$G$1001=2))&gt;0,"، "&amp;IFERROR(INDEX('تشخيص الحالات'!$D$2:$D$1001,SUMPRODUCT(('تشخيص الحالات'!$B$2:$B$1001=B75)*('تشخيص الحالات'!$G$2:$G$1001=2)*ROW('تشخيص الحالات'!$B$2:$B$1001))-1),""),"")&amp;IF(SUMPRODUCT(('تشخيص الحالات'!$B$2:$B$1001=B75)*('تشخيص الحالات'!$G$2:$G$1001=3))&gt;0,"، "&amp;IFERROR(INDEX('تشخيص الحالات'!$D$2:$D$1001,SUMPRODUCT(('تشخيص الحالات'!$B$2:$B$1001=B75)*('تشخيص الحالات'!$G$2:$G$1001=3)*ROW('تشخيص الحالات'!$B$2:$B$1001))-1),""),"")&amp;IF(SUMPRODUCT(('تشخيص الحالات'!$B$2:$B$1001=B75)*('تشخيص الحالات'!$G$2:$G$1001=4))&gt;0,"، "&amp;IFERROR(INDEX('تشخيص الحالات'!$D$2:$D$1001,SUMPRODUCT(('تشخيص الحالات'!$B$2:$B$1001=B75)*('تشخيص الحالات'!$G$2:$G$1001=4)*ROW('تشخيص الحالات'!$B$2:$B$1001))-1),""),"")&amp;IF(SUMPRODUCT(('تشخيص الحالات'!$B$2:$B$1001=B75)*('تشخيص الحالات'!$G$2:$G$1001=5))&gt;0,"، "&amp;IFERROR(INDEX('تشخيص الحالات'!$D$2:$D$1001,SUMPRODUCT(('تشخيص الحالات'!$B$2:$B$1001=B75)*('تشخيص الحالات'!$G$2:$G$1001=5)*ROW('تشخيص الحالات'!$B$2:$B$1001))-1),""),"")&amp;IF(SUMPRODUCT(('تشخيص الحالات'!$B$2:$B$1001=B75)*('تشخيص الحالات'!$G$2:$G$1001=6))&gt;0,"، "&amp;IFERROR(INDEX('تشخيص الحالات'!$D$2:$D$1001,SUMPRODUCT(('تشخيص الحالات'!$B$2:$B$1001=B75)*('تشخيص الحالات'!$G$2:$G$1001=6)*ROW('تشخيص الحالات'!$B$2:$B$1001))-1),""),"")&amp;IF(SUMPRODUCT(('تشخيص الحالات'!$B$2:$B$1001=B75)*('تشخيص الحالات'!$G$2:$G$1001=7))&gt;0,"، "&amp;IFERROR(INDEX('تشخيص الحالات'!$D$2:$D$1001,SUMPRODUCT(('تشخيص الحالات'!$B$2:$B$1001=B75)*('تشخيص الحالات'!$G$2:$G$1001=7)*ROW('تشخيص الحالات'!$B$2:$B$1001))-1),""),"")&amp;IF(SUMPRODUCT(('تشخيص الحالات'!$B$2:$B$1001=B75)*('تشخيص الحالات'!$G$2:$G$1001=8))&gt;0,"، "&amp;IFERROR(INDEX('تشخيص الحالات'!$D$2:$D$1001,SUMPRODUCT(('تشخيص الحالات'!$B$2:$B$1001=B75)*('تشخيص الحالات'!$G$2:$G$1001=8)*ROW('تشخيص الحالات'!$B$2:$B$1001))-1),""),"")</f>
        <v>تأخر حركي، فرط الحركة وتشتت الانتباه، اضطراب نفسي حركي</v>
      </c>
      <c r="J75" s="1">
        <v>73</v>
      </c>
      <c r="K75" s="1" t="s">
        <v>38</v>
      </c>
      <c r="L75" s="1">
        <v>3500</v>
      </c>
      <c r="M75" s="1" t="s">
        <v>42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9</v>
      </c>
      <c r="T75">
        <f>SUM(tbl_Beneficiaries[[#This Row],[ التربية الخاصة ]:[ التأهيل النفسي الحركي ]])</f>
        <v>9</v>
      </c>
    </row>
    <row r="76" spans="1:20" x14ac:dyDescent="0.2">
      <c r="A76" s="1">
        <v>75</v>
      </c>
      <c r="B76" s="1">
        <v>1648599431</v>
      </c>
      <c r="C76" s="1" t="s">
        <v>423</v>
      </c>
      <c r="D76" s="1" t="s">
        <v>7</v>
      </c>
      <c r="E76" s="3">
        <v>41415</v>
      </c>
      <c r="F76" s="1" t="s">
        <v>361</v>
      </c>
      <c r="G76" s="1" t="s">
        <v>0</v>
      </c>
      <c r="H76" s="3">
        <v>45004</v>
      </c>
      <c r="I76" t="str">
        <f>IFERROR(INDEX('تشخيص الحالات'!$D$2:$D$1001,SUMPRODUCT(('تشخيص الحالات'!$B$2:$B$1001=B76)*('تشخيص الحالات'!$G$2:$G$1001=1)*ROW('تشخيص الحالات'!$B$2:$B$1001))-1),"")&amp;IF(SUMPRODUCT(('تشخيص الحالات'!$B$2:$B$1001=B76)*('تشخيص الحالات'!$G$2:$G$1001=2))&gt;0,"، "&amp;IFERROR(INDEX('تشخيص الحالات'!$D$2:$D$1001,SUMPRODUCT(('تشخيص الحالات'!$B$2:$B$1001=B76)*('تشخيص الحالات'!$G$2:$G$1001=2)*ROW('تشخيص الحالات'!$B$2:$B$1001))-1),""),"")&amp;IF(SUMPRODUCT(('تشخيص الحالات'!$B$2:$B$1001=B76)*('تشخيص الحالات'!$G$2:$G$1001=3))&gt;0,"، "&amp;IFERROR(INDEX('تشخيص الحالات'!$D$2:$D$1001,SUMPRODUCT(('تشخيص الحالات'!$B$2:$B$1001=B76)*('تشخيص الحالات'!$G$2:$G$1001=3)*ROW('تشخيص الحالات'!$B$2:$B$1001))-1),""),"")&amp;IF(SUMPRODUCT(('تشخيص الحالات'!$B$2:$B$1001=B76)*('تشخيص الحالات'!$G$2:$G$1001=4))&gt;0,"، "&amp;IFERROR(INDEX('تشخيص الحالات'!$D$2:$D$1001,SUMPRODUCT(('تشخيص الحالات'!$B$2:$B$1001=B76)*('تشخيص الحالات'!$G$2:$G$1001=4)*ROW('تشخيص الحالات'!$B$2:$B$1001))-1),""),"")&amp;IF(SUMPRODUCT(('تشخيص الحالات'!$B$2:$B$1001=B76)*('تشخيص الحالات'!$G$2:$G$1001=5))&gt;0,"، "&amp;IFERROR(INDEX('تشخيص الحالات'!$D$2:$D$1001,SUMPRODUCT(('تشخيص الحالات'!$B$2:$B$1001=B76)*('تشخيص الحالات'!$G$2:$G$1001=5)*ROW('تشخيص الحالات'!$B$2:$B$1001))-1),""),"")&amp;IF(SUMPRODUCT(('تشخيص الحالات'!$B$2:$B$1001=B76)*('تشخيص الحالات'!$G$2:$G$1001=6))&gt;0,"، "&amp;IFERROR(INDEX('تشخيص الحالات'!$D$2:$D$1001,SUMPRODUCT(('تشخيص الحالات'!$B$2:$B$1001=B76)*('تشخيص الحالات'!$G$2:$G$1001=6)*ROW('تشخيص الحالات'!$B$2:$B$1001))-1),""),"")&amp;IF(SUMPRODUCT(('تشخيص الحالات'!$B$2:$B$1001=B76)*('تشخيص الحالات'!$G$2:$G$1001=7))&gt;0,"، "&amp;IFERROR(INDEX('تشخيص الحالات'!$D$2:$D$1001,SUMPRODUCT(('تشخيص الحالات'!$B$2:$B$1001=B76)*('تشخيص الحالات'!$G$2:$G$1001=7)*ROW('تشخيص الحالات'!$B$2:$B$1001))-1),""),"")&amp;IF(SUMPRODUCT(('تشخيص الحالات'!$B$2:$B$1001=B76)*('تشخيص الحالات'!$G$2:$G$1001=8))&gt;0,"، "&amp;IFERROR(INDEX('تشخيص الحالات'!$D$2:$D$1001,SUMPRODUCT(('تشخيص الحالات'!$B$2:$B$1001=B76)*('تشخيص الحالات'!$G$2:$G$1001=8)*ROW('تشخيص الحالات'!$B$2:$B$1001))-1),""),"")</f>
        <v>فرط الحركة وتشتت الانتباه، اضطراب طيف التوحد</v>
      </c>
      <c r="J76" s="1">
        <v>62</v>
      </c>
      <c r="K76" s="1" t="s">
        <v>39</v>
      </c>
      <c r="L76" s="1">
        <v>3000</v>
      </c>
      <c r="M76" s="1" t="s">
        <v>44</v>
      </c>
      <c r="N76" s="1">
        <v>0</v>
      </c>
      <c r="O76" s="1">
        <v>9</v>
      </c>
      <c r="P76" s="1">
        <v>4</v>
      </c>
      <c r="Q76" s="1">
        <v>5</v>
      </c>
      <c r="R76" s="1">
        <v>2</v>
      </c>
      <c r="S76" s="1">
        <v>8</v>
      </c>
      <c r="T76">
        <f>SUM(tbl_Beneficiaries[[#This Row],[ التربية الخاصة ]:[ التأهيل النفسي الحركي ]])</f>
        <v>28</v>
      </c>
    </row>
    <row r="77" spans="1:20" x14ac:dyDescent="0.2">
      <c r="A77" s="1">
        <v>76</v>
      </c>
      <c r="B77" s="1">
        <v>1149256102</v>
      </c>
      <c r="C77" s="1" t="s">
        <v>424</v>
      </c>
      <c r="D77" s="1" t="s">
        <v>3</v>
      </c>
      <c r="E77" s="3">
        <v>42234</v>
      </c>
      <c r="F77" s="1" t="s">
        <v>361</v>
      </c>
      <c r="G77" s="1" t="s">
        <v>4</v>
      </c>
      <c r="H77" s="3">
        <v>45012</v>
      </c>
      <c r="I77" t="str">
        <f>IFERROR(INDEX('تشخيص الحالات'!$D$2:$D$1001,SUMPRODUCT(('تشخيص الحالات'!$B$2:$B$1001=B77)*('تشخيص الحالات'!$G$2:$G$1001=1)*ROW('تشخيص الحالات'!$B$2:$B$1001))-1),"")&amp;IF(SUMPRODUCT(('تشخيص الحالات'!$B$2:$B$1001=B77)*('تشخيص الحالات'!$G$2:$G$1001=2))&gt;0,"، "&amp;IFERROR(INDEX('تشخيص الحالات'!$D$2:$D$1001,SUMPRODUCT(('تشخيص الحالات'!$B$2:$B$1001=B77)*('تشخيص الحالات'!$G$2:$G$1001=2)*ROW('تشخيص الحالات'!$B$2:$B$1001))-1),""),"")&amp;IF(SUMPRODUCT(('تشخيص الحالات'!$B$2:$B$1001=B77)*('تشخيص الحالات'!$G$2:$G$1001=3))&gt;0,"، "&amp;IFERROR(INDEX('تشخيص الحالات'!$D$2:$D$1001,SUMPRODUCT(('تشخيص الحالات'!$B$2:$B$1001=B77)*('تشخيص الحالات'!$G$2:$G$1001=3)*ROW('تشخيص الحالات'!$B$2:$B$1001))-1),""),"")&amp;IF(SUMPRODUCT(('تشخيص الحالات'!$B$2:$B$1001=B77)*('تشخيص الحالات'!$G$2:$G$1001=4))&gt;0,"، "&amp;IFERROR(INDEX('تشخيص الحالات'!$D$2:$D$1001,SUMPRODUCT(('تشخيص الحالات'!$B$2:$B$1001=B77)*('تشخيص الحالات'!$G$2:$G$1001=4)*ROW('تشخيص الحالات'!$B$2:$B$1001))-1),""),"")&amp;IF(SUMPRODUCT(('تشخيص الحالات'!$B$2:$B$1001=B77)*('تشخيص الحالات'!$G$2:$G$1001=5))&gt;0,"، "&amp;IFERROR(INDEX('تشخيص الحالات'!$D$2:$D$1001,SUMPRODUCT(('تشخيص الحالات'!$B$2:$B$1001=B77)*('تشخيص الحالات'!$G$2:$G$1001=5)*ROW('تشخيص الحالات'!$B$2:$B$1001))-1),""),"")&amp;IF(SUMPRODUCT(('تشخيص الحالات'!$B$2:$B$1001=B77)*('تشخيص الحالات'!$G$2:$G$1001=6))&gt;0,"، "&amp;IFERROR(INDEX('تشخيص الحالات'!$D$2:$D$1001,SUMPRODUCT(('تشخيص الحالات'!$B$2:$B$1001=B77)*('تشخيص الحالات'!$G$2:$G$1001=6)*ROW('تشخيص الحالات'!$B$2:$B$1001))-1),""),"")&amp;IF(SUMPRODUCT(('تشخيص الحالات'!$B$2:$B$1001=B77)*('تشخيص الحالات'!$G$2:$G$1001=7))&gt;0,"، "&amp;IFERROR(INDEX('تشخيص الحالات'!$D$2:$D$1001,SUMPRODUCT(('تشخيص الحالات'!$B$2:$B$1001=B77)*('تشخيص الحالات'!$G$2:$G$1001=7)*ROW('تشخيص الحالات'!$B$2:$B$1001))-1),""),"")&amp;IF(SUMPRODUCT(('تشخيص الحالات'!$B$2:$B$1001=B77)*('تشخيص الحالات'!$G$2:$G$1001=8))&gt;0,"، "&amp;IFERROR(INDEX('تشخيص الحالات'!$D$2:$D$1001,SUMPRODUCT(('تشخيص الحالات'!$B$2:$B$1001=B77)*('تشخيص الحالات'!$G$2:$G$1001=8)*ROW('تشخيص الحالات'!$B$2:$B$1001))-1),""),"")</f>
        <v>اضطراب نفسي حركي</v>
      </c>
      <c r="J77" s="1">
        <v>48</v>
      </c>
      <c r="K77" s="1" t="s">
        <v>4</v>
      </c>
      <c r="L77" s="1">
        <v>3500</v>
      </c>
      <c r="M77" s="1" t="s">
        <v>40</v>
      </c>
      <c r="N77" s="1">
        <v>0</v>
      </c>
      <c r="O77" s="1">
        <v>0</v>
      </c>
      <c r="P77" s="1">
        <v>0</v>
      </c>
      <c r="Q77" s="1">
        <v>5</v>
      </c>
      <c r="R77" s="1">
        <v>0</v>
      </c>
      <c r="S77" s="1">
        <v>0</v>
      </c>
      <c r="T77">
        <f>SUM(tbl_Beneficiaries[[#This Row],[ التربية الخاصة ]:[ التأهيل النفسي الحركي ]])</f>
        <v>5</v>
      </c>
    </row>
    <row r="78" spans="1:20" x14ac:dyDescent="0.2">
      <c r="A78" s="1">
        <v>77</v>
      </c>
      <c r="B78" s="1">
        <v>1104352550</v>
      </c>
      <c r="C78" s="1" t="s">
        <v>425</v>
      </c>
      <c r="D78" s="1" t="s">
        <v>7</v>
      </c>
      <c r="E78" s="3">
        <v>42634</v>
      </c>
      <c r="F78" s="1" t="s">
        <v>361</v>
      </c>
      <c r="G78" s="1" t="s">
        <v>1</v>
      </c>
      <c r="H78" s="3">
        <v>45066</v>
      </c>
      <c r="I78" t="str">
        <f>IFERROR(INDEX('تشخيص الحالات'!$D$2:$D$1001,SUMPRODUCT(('تشخيص الحالات'!$B$2:$B$1001=B78)*('تشخيص الحالات'!$G$2:$G$1001=1)*ROW('تشخيص الحالات'!$B$2:$B$1001))-1),"")&amp;IF(SUMPRODUCT(('تشخيص الحالات'!$B$2:$B$1001=B78)*('تشخيص الحالات'!$G$2:$G$1001=2))&gt;0,"، "&amp;IFERROR(INDEX('تشخيص الحالات'!$D$2:$D$1001,SUMPRODUCT(('تشخيص الحالات'!$B$2:$B$1001=B78)*('تشخيص الحالات'!$G$2:$G$1001=2)*ROW('تشخيص الحالات'!$B$2:$B$1001))-1),""),"")&amp;IF(SUMPRODUCT(('تشخيص الحالات'!$B$2:$B$1001=B78)*('تشخيص الحالات'!$G$2:$G$1001=3))&gt;0,"، "&amp;IFERROR(INDEX('تشخيص الحالات'!$D$2:$D$1001,SUMPRODUCT(('تشخيص الحالات'!$B$2:$B$1001=B78)*('تشخيص الحالات'!$G$2:$G$1001=3)*ROW('تشخيص الحالات'!$B$2:$B$1001))-1),""),"")&amp;IF(SUMPRODUCT(('تشخيص الحالات'!$B$2:$B$1001=B78)*('تشخيص الحالات'!$G$2:$G$1001=4))&gt;0,"، "&amp;IFERROR(INDEX('تشخيص الحالات'!$D$2:$D$1001,SUMPRODUCT(('تشخيص الحالات'!$B$2:$B$1001=B78)*('تشخيص الحالات'!$G$2:$G$1001=4)*ROW('تشخيص الحالات'!$B$2:$B$1001))-1),""),"")&amp;IF(SUMPRODUCT(('تشخيص الحالات'!$B$2:$B$1001=B78)*('تشخيص الحالات'!$G$2:$G$1001=5))&gt;0,"، "&amp;IFERROR(INDEX('تشخيص الحالات'!$D$2:$D$1001,SUMPRODUCT(('تشخيص الحالات'!$B$2:$B$1001=B78)*('تشخيص الحالات'!$G$2:$G$1001=5)*ROW('تشخيص الحالات'!$B$2:$B$1001))-1),""),"")&amp;IF(SUMPRODUCT(('تشخيص الحالات'!$B$2:$B$1001=B78)*('تشخيص الحالات'!$G$2:$G$1001=6))&gt;0,"، "&amp;IFERROR(INDEX('تشخيص الحالات'!$D$2:$D$1001,SUMPRODUCT(('تشخيص الحالات'!$B$2:$B$1001=B78)*('تشخيص الحالات'!$G$2:$G$1001=6)*ROW('تشخيص الحالات'!$B$2:$B$1001))-1),""),"")&amp;IF(SUMPRODUCT(('تشخيص الحالات'!$B$2:$B$1001=B78)*('تشخيص الحالات'!$G$2:$G$1001=7))&gt;0,"، "&amp;IFERROR(INDEX('تشخيص الحالات'!$D$2:$D$1001,SUMPRODUCT(('تشخيص الحالات'!$B$2:$B$1001=B78)*('تشخيص الحالات'!$G$2:$G$1001=7)*ROW('تشخيص الحالات'!$B$2:$B$1001))-1),""),"")&amp;IF(SUMPRODUCT(('تشخيص الحالات'!$B$2:$B$1001=B78)*('تشخيص الحالات'!$G$2:$G$1001=8))&gt;0,"، "&amp;IFERROR(INDEX('تشخيص الحالات'!$D$2:$D$1001,SUMPRODUCT(('تشخيص الحالات'!$B$2:$B$1001=B78)*('تشخيص الحالات'!$G$2:$G$1001=8)*ROW('تشخيص الحالات'!$B$2:$B$1001))-1),""),"")</f>
        <v>اضطرابات سلوكية، اضطراب نفسي حركي، اضطراب تواصل اجتماعي، مشكلات أسرية / اجتماعية</v>
      </c>
      <c r="J78" s="1">
        <v>81</v>
      </c>
      <c r="K78" s="1" t="s">
        <v>4</v>
      </c>
      <c r="L78" s="1">
        <v>3000</v>
      </c>
      <c r="M78" s="1" t="s">
        <v>41</v>
      </c>
      <c r="N78" s="1">
        <v>0</v>
      </c>
      <c r="O78" s="1">
        <v>6</v>
      </c>
      <c r="P78" s="1">
        <v>0</v>
      </c>
      <c r="Q78" s="1">
        <v>0</v>
      </c>
      <c r="R78" s="1">
        <v>2</v>
      </c>
      <c r="S78" s="1">
        <v>8</v>
      </c>
      <c r="T78">
        <f>SUM(tbl_Beneficiaries[[#This Row],[ التربية الخاصة ]:[ التأهيل النفسي الحركي ]])</f>
        <v>16</v>
      </c>
    </row>
    <row r="79" spans="1:20" x14ac:dyDescent="0.2">
      <c r="A79" s="1">
        <v>78</v>
      </c>
      <c r="B79" s="1">
        <v>1379794895</v>
      </c>
      <c r="C79" s="1" t="s">
        <v>105</v>
      </c>
      <c r="D79" s="1" t="s">
        <v>3</v>
      </c>
      <c r="E79" s="3">
        <v>41347</v>
      </c>
      <c r="F79" s="1" t="s">
        <v>357</v>
      </c>
      <c r="G79" s="1" t="s">
        <v>4</v>
      </c>
      <c r="H79" s="3">
        <v>44900</v>
      </c>
      <c r="I79" t="str">
        <f>IFERROR(INDEX('تشخيص الحالات'!$D$2:$D$1001,SUMPRODUCT(('تشخيص الحالات'!$B$2:$B$1001=B79)*('تشخيص الحالات'!$G$2:$G$1001=1)*ROW('تشخيص الحالات'!$B$2:$B$1001))-1),"")&amp;IF(SUMPRODUCT(('تشخيص الحالات'!$B$2:$B$1001=B79)*('تشخيص الحالات'!$G$2:$G$1001=2))&gt;0,"، "&amp;IFERROR(INDEX('تشخيص الحالات'!$D$2:$D$1001,SUMPRODUCT(('تشخيص الحالات'!$B$2:$B$1001=B79)*('تشخيص الحالات'!$G$2:$G$1001=2)*ROW('تشخيص الحالات'!$B$2:$B$1001))-1),""),"")&amp;IF(SUMPRODUCT(('تشخيص الحالات'!$B$2:$B$1001=B79)*('تشخيص الحالات'!$G$2:$G$1001=3))&gt;0,"، "&amp;IFERROR(INDEX('تشخيص الحالات'!$D$2:$D$1001,SUMPRODUCT(('تشخيص الحالات'!$B$2:$B$1001=B79)*('تشخيص الحالات'!$G$2:$G$1001=3)*ROW('تشخيص الحالات'!$B$2:$B$1001))-1),""),"")&amp;IF(SUMPRODUCT(('تشخيص الحالات'!$B$2:$B$1001=B79)*('تشخيص الحالات'!$G$2:$G$1001=4))&gt;0,"، "&amp;IFERROR(INDEX('تشخيص الحالات'!$D$2:$D$1001,SUMPRODUCT(('تشخيص الحالات'!$B$2:$B$1001=B79)*('تشخيص الحالات'!$G$2:$G$1001=4)*ROW('تشخيص الحالات'!$B$2:$B$1001))-1),""),"")&amp;IF(SUMPRODUCT(('تشخيص الحالات'!$B$2:$B$1001=B79)*('تشخيص الحالات'!$G$2:$G$1001=5))&gt;0,"، "&amp;IFERROR(INDEX('تشخيص الحالات'!$D$2:$D$1001,SUMPRODUCT(('تشخيص الحالات'!$B$2:$B$1001=B79)*('تشخيص الحالات'!$G$2:$G$1001=5)*ROW('تشخيص الحالات'!$B$2:$B$1001))-1),""),"")&amp;IF(SUMPRODUCT(('تشخيص الحالات'!$B$2:$B$1001=B79)*('تشخيص الحالات'!$G$2:$G$1001=6))&gt;0,"، "&amp;IFERROR(INDEX('تشخيص الحالات'!$D$2:$D$1001,SUMPRODUCT(('تشخيص الحالات'!$B$2:$B$1001=B79)*('تشخيص الحالات'!$G$2:$G$1001=6)*ROW('تشخيص الحالات'!$B$2:$B$1001))-1),""),"")&amp;IF(SUMPRODUCT(('تشخيص الحالات'!$B$2:$B$1001=B79)*('تشخيص الحالات'!$G$2:$G$1001=7))&gt;0,"، "&amp;IFERROR(INDEX('تشخيص الحالات'!$D$2:$D$1001,SUMPRODUCT(('تشخيص الحالات'!$B$2:$B$1001=B79)*('تشخيص الحالات'!$G$2:$G$1001=7)*ROW('تشخيص الحالات'!$B$2:$B$1001))-1),""),"")&amp;IF(SUMPRODUCT(('تشخيص الحالات'!$B$2:$B$1001=B79)*('تشخيص الحالات'!$G$2:$G$1001=8))&gt;0,"، "&amp;IFERROR(INDEX('تشخيص الحالات'!$D$2:$D$1001,SUMPRODUCT(('تشخيص الحالات'!$B$2:$B$1001=B79)*('تشخيص الحالات'!$G$2:$G$1001=8)*ROW('تشخيص الحالات'!$B$2:$B$1001))-1),""),"")</f>
        <v>متلازمة داون، اضطراب تواصل اجتماعي، تأخر نمائي، مشكلات لغوية</v>
      </c>
      <c r="J79" s="1">
        <v>80</v>
      </c>
      <c r="K79" s="1" t="s">
        <v>38</v>
      </c>
      <c r="L79" s="1">
        <v>4000</v>
      </c>
      <c r="M79" s="1" t="s">
        <v>44</v>
      </c>
      <c r="N79" s="1">
        <v>0</v>
      </c>
      <c r="O79" s="1">
        <v>0</v>
      </c>
      <c r="P79" s="1">
        <v>0</v>
      </c>
      <c r="Q79" s="1">
        <v>8</v>
      </c>
      <c r="R79" s="1">
        <v>5</v>
      </c>
      <c r="S79" s="1">
        <v>0</v>
      </c>
      <c r="T79">
        <f>SUM(tbl_Beneficiaries[[#This Row],[ التربية الخاصة ]:[ التأهيل النفسي الحركي ]])</f>
        <v>13</v>
      </c>
    </row>
    <row r="80" spans="1:20" x14ac:dyDescent="0.2">
      <c r="A80" s="1">
        <v>79</v>
      </c>
      <c r="B80" s="1">
        <v>1533996899</v>
      </c>
      <c r="C80" s="1" t="s">
        <v>426</v>
      </c>
      <c r="D80" s="1" t="s">
        <v>3</v>
      </c>
      <c r="E80" s="3">
        <v>43301</v>
      </c>
      <c r="F80" s="1" t="s">
        <v>358</v>
      </c>
      <c r="G80" s="1" t="s">
        <v>0</v>
      </c>
      <c r="H80" s="3">
        <v>45379</v>
      </c>
      <c r="I80" t="str">
        <f>IFERROR(INDEX('تشخيص الحالات'!$D$2:$D$1001,SUMPRODUCT(('تشخيص الحالات'!$B$2:$B$1001=B80)*('تشخيص الحالات'!$G$2:$G$1001=1)*ROW('تشخيص الحالات'!$B$2:$B$1001))-1),"")&amp;IF(SUMPRODUCT(('تشخيص الحالات'!$B$2:$B$1001=B80)*('تشخيص الحالات'!$G$2:$G$1001=2))&gt;0,"، "&amp;IFERROR(INDEX('تشخيص الحالات'!$D$2:$D$1001,SUMPRODUCT(('تشخيص الحالات'!$B$2:$B$1001=B80)*('تشخيص الحالات'!$G$2:$G$1001=2)*ROW('تشخيص الحالات'!$B$2:$B$1001))-1),""),"")&amp;IF(SUMPRODUCT(('تشخيص الحالات'!$B$2:$B$1001=B80)*('تشخيص الحالات'!$G$2:$G$1001=3))&gt;0,"، "&amp;IFERROR(INDEX('تشخيص الحالات'!$D$2:$D$1001,SUMPRODUCT(('تشخيص الحالات'!$B$2:$B$1001=B80)*('تشخيص الحالات'!$G$2:$G$1001=3)*ROW('تشخيص الحالات'!$B$2:$B$1001))-1),""),"")&amp;IF(SUMPRODUCT(('تشخيص الحالات'!$B$2:$B$1001=B80)*('تشخيص الحالات'!$G$2:$G$1001=4))&gt;0,"، "&amp;IFERROR(INDEX('تشخيص الحالات'!$D$2:$D$1001,SUMPRODUCT(('تشخيص الحالات'!$B$2:$B$1001=B80)*('تشخيص الحالات'!$G$2:$G$1001=4)*ROW('تشخيص الحالات'!$B$2:$B$1001))-1),""),"")&amp;IF(SUMPRODUCT(('تشخيص الحالات'!$B$2:$B$1001=B80)*('تشخيص الحالات'!$G$2:$G$1001=5))&gt;0,"، "&amp;IFERROR(INDEX('تشخيص الحالات'!$D$2:$D$1001,SUMPRODUCT(('تشخيص الحالات'!$B$2:$B$1001=B80)*('تشخيص الحالات'!$G$2:$G$1001=5)*ROW('تشخيص الحالات'!$B$2:$B$1001))-1),""),"")&amp;IF(SUMPRODUCT(('تشخيص الحالات'!$B$2:$B$1001=B80)*('تشخيص الحالات'!$G$2:$G$1001=6))&gt;0,"، "&amp;IFERROR(INDEX('تشخيص الحالات'!$D$2:$D$1001,SUMPRODUCT(('تشخيص الحالات'!$B$2:$B$1001=B80)*('تشخيص الحالات'!$G$2:$G$1001=6)*ROW('تشخيص الحالات'!$B$2:$B$1001))-1),""),"")&amp;IF(SUMPRODUCT(('تشخيص الحالات'!$B$2:$B$1001=B80)*('تشخيص الحالات'!$G$2:$G$1001=7))&gt;0,"، "&amp;IFERROR(INDEX('تشخيص الحالات'!$D$2:$D$1001,SUMPRODUCT(('تشخيص الحالات'!$B$2:$B$1001=B80)*('تشخيص الحالات'!$G$2:$G$1001=7)*ROW('تشخيص الحالات'!$B$2:$B$1001))-1),""),"")&amp;IF(SUMPRODUCT(('تشخيص الحالات'!$B$2:$B$1001=B80)*('تشخيص الحالات'!$G$2:$G$1001=8))&gt;0,"، "&amp;IFERROR(INDEX('تشخيص الحالات'!$D$2:$D$1001,SUMPRODUCT(('تشخيص الحالات'!$B$2:$B$1001=B80)*('تشخيص الحالات'!$G$2:$G$1001=8)*ROW('تشخيص الحالات'!$B$2:$B$1001))-1),""),"")</f>
        <v>فرط الحركة وتشتت الانتباه، إعاقة سمعية، صعوبات تعلم، إعاقة ذهنية</v>
      </c>
      <c r="J80" s="1">
        <v>43</v>
      </c>
      <c r="K80" s="1" t="s">
        <v>4</v>
      </c>
      <c r="L80" s="1">
        <v>2500</v>
      </c>
      <c r="M80" s="1" t="s">
        <v>43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>
        <f>SUM(tbl_Beneficiaries[[#This Row],[ التربية الخاصة ]:[ التأهيل النفسي الحركي ]])</f>
        <v>0</v>
      </c>
    </row>
    <row r="81" spans="1:20" x14ac:dyDescent="0.2">
      <c r="A81" s="1">
        <v>80</v>
      </c>
      <c r="B81" s="1">
        <v>1670614837</v>
      </c>
      <c r="C81" s="1" t="s">
        <v>427</v>
      </c>
      <c r="D81" s="1" t="s">
        <v>3</v>
      </c>
      <c r="E81" s="3">
        <v>42625</v>
      </c>
      <c r="F81" s="1" t="s">
        <v>359</v>
      </c>
      <c r="G81" s="1" t="s">
        <v>0</v>
      </c>
      <c r="H81" s="3">
        <v>45358</v>
      </c>
      <c r="I81" t="str">
        <f>IFERROR(INDEX('تشخيص الحالات'!$D$2:$D$1001,SUMPRODUCT(('تشخيص الحالات'!$B$2:$B$1001=B81)*('تشخيص الحالات'!$G$2:$G$1001=1)*ROW('تشخيص الحالات'!$B$2:$B$1001))-1),"")&amp;IF(SUMPRODUCT(('تشخيص الحالات'!$B$2:$B$1001=B81)*('تشخيص الحالات'!$G$2:$G$1001=2))&gt;0,"، "&amp;IFERROR(INDEX('تشخيص الحالات'!$D$2:$D$1001,SUMPRODUCT(('تشخيص الحالات'!$B$2:$B$1001=B81)*('تشخيص الحالات'!$G$2:$G$1001=2)*ROW('تشخيص الحالات'!$B$2:$B$1001))-1),""),"")&amp;IF(SUMPRODUCT(('تشخيص الحالات'!$B$2:$B$1001=B81)*('تشخيص الحالات'!$G$2:$G$1001=3))&gt;0,"، "&amp;IFERROR(INDEX('تشخيص الحالات'!$D$2:$D$1001,SUMPRODUCT(('تشخيص الحالات'!$B$2:$B$1001=B81)*('تشخيص الحالات'!$G$2:$G$1001=3)*ROW('تشخيص الحالات'!$B$2:$B$1001))-1),""),"")&amp;IF(SUMPRODUCT(('تشخيص الحالات'!$B$2:$B$1001=B81)*('تشخيص الحالات'!$G$2:$G$1001=4))&gt;0,"، "&amp;IFERROR(INDEX('تشخيص الحالات'!$D$2:$D$1001,SUMPRODUCT(('تشخيص الحالات'!$B$2:$B$1001=B81)*('تشخيص الحالات'!$G$2:$G$1001=4)*ROW('تشخيص الحالات'!$B$2:$B$1001))-1),""),"")&amp;IF(SUMPRODUCT(('تشخيص الحالات'!$B$2:$B$1001=B81)*('تشخيص الحالات'!$G$2:$G$1001=5))&gt;0,"، "&amp;IFERROR(INDEX('تشخيص الحالات'!$D$2:$D$1001,SUMPRODUCT(('تشخيص الحالات'!$B$2:$B$1001=B81)*('تشخيص الحالات'!$G$2:$G$1001=5)*ROW('تشخيص الحالات'!$B$2:$B$1001))-1),""),"")&amp;IF(SUMPRODUCT(('تشخيص الحالات'!$B$2:$B$1001=B81)*('تشخيص الحالات'!$G$2:$G$1001=6))&gt;0,"، "&amp;IFERROR(INDEX('تشخيص الحالات'!$D$2:$D$1001,SUMPRODUCT(('تشخيص الحالات'!$B$2:$B$1001=B81)*('تشخيص الحالات'!$G$2:$G$1001=6)*ROW('تشخيص الحالات'!$B$2:$B$1001))-1),""),"")&amp;IF(SUMPRODUCT(('تشخيص الحالات'!$B$2:$B$1001=B81)*('تشخيص الحالات'!$G$2:$G$1001=7))&gt;0,"، "&amp;IFERROR(INDEX('تشخيص الحالات'!$D$2:$D$1001,SUMPRODUCT(('تشخيص الحالات'!$B$2:$B$1001=B81)*('تشخيص الحالات'!$G$2:$G$1001=7)*ROW('تشخيص الحالات'!$B$2:$B$1001))-1),""),"")&amp;IF(SUMPRODUCT(('تشخيص الحالات'!$B$2:$B$1001=B81)*('تشخيص الحالات'!$G$2:$G$1001=8))&gt;0,"، "&amp;IFERROR(INDEX('تشخيص الحالات'!$D$2:$D$1001,SUMPRODUCT(('تشخيص الحالات'!$B$2:$B$1001=B81)*('تشخيص الحالات'!$G$2:$G$1001=8)*ROW('تشخيص الحالات'!$B$2:$B$1001))-1),""),"")</f>
        <v>مشكلات لغوية، إعاقة بصرية</v>
      </c>
      <c r="J81" s="1">
        <v>80</v>
      </c>
      <c r="K81" s="1" t="s">
        <v>38</v>
      </c>
      <c r="L81" s="1">
        <v>2500</v>
      </c>
      <c r="M81" s="1" t="s">
        <v>41</v>
      </c>
      <c r="N81" s="1">
        <v>0</v>
      </c>
      <c r="O81" s="1">
        <v>0</v>
      </c>
      <c r="P81" s="1">
        <v>7</v>
      </c>
      <c r="Q81" s="1">
        <v>8</v>
      </c>
      <c r="R81" s="1">
        <v>0</v>
      </c>
      <c r="S81" s="1">
        <v>7</v>
      </c>
      <c r="T81">
        <f>SUM(tbl_Beneficiaries[[#This Row],[ التربية الخاصة ]:[ التأهيل النفسي الحركي ]])</f>
        <v>22</v>
      </c>
    </row>
    <row r="82" spans="1:20" x14ac:dyDescent="0.2">
      <c r="A82" s="1">
        <v>81</v>
      </c>
      <c r="B82" s="1">
        <v>1752444255</v>
      </c>
      <c r="C82" s="1" t="s">
        <v>106</v>
      </c>
      <c r="D82" s="1" t="s">
        <v>7</v>
      </c>
      <c r="E82" s="3">
        <v>41239</v>
      </c>
      <c r="F82" s="1" t="s">
        <v>358</v>
      </c>
      <c r="G82" s="1" t="s">
        <v>4</v>
      </c>
      <c r="H82" s="3">
        <v>45296</v>
      </c>
      <c r="I82" t="str">
        <f>IFERROR(INDEX('تشخيص الحالات'!$D$2:$D$1001,SUMPRODUCT(('تشخيص الحالات'!$B$2:$B$1001=B82)*('تشخيص الحالات'!$G$2:$G$1001=1)*ROW('تشخيص الحالات'!$B$2:$B$1001))-1),"")&amp;IF(SUMPRODUCT(('تشخيص الحالات'!$B$2:$B$1001=B82)*('تشخيص الحالات'!$G$2:$G$1001=2))&gt;0,"، "&amp;IFERROR(INDEX('تشخيص الحالات'!$D$2:$D$1001,SUMPRODUCT(('تشخيص الحالات'!$B$2:$B$1001=B82)*('تشخيص الحالات'!$G$2:$G$1001=2)*ROW('تشخيص الحالات'!$B$2:$B$1001))-1),""),"")&amp;IF(SUMPRODUCT(('تشخيص الحالات'!$B$2:$B$1001=B82)*('تشخيص الحالات'!$G$2:$G$1001=3))&gt;0,"، "&amp;IFERROR(INDEX('تشخيص الحالات'!$D$2:$D$1001,SUMPRODUCT(('تشخيص الحالات'!$B$2:$B$1001=B82)*('تشخيص الحالات'!$G$2:$G$1001=3)*ROW('تشخيص الحالات'!$B$2:$B$1001))-1),""),"")&amp;IF(SUMPRODUCT(('تشخيص الحالات'!$B$2:$B$1001=B82)*('تشخيص الحالات'!$G$2:$G$1001=4))&gt;0,"، "&amp;IFERROR(INDEX('تشخيص الحالات'!$D$2:$D$1001,SUMPRODUCT(('تشخيص الحالات'!$B$2:$B$1001=B82)*('تشخيص الحالات'!$G$2:$G$1001=4)*ROW('تشخيص الحالات'!$B$2:$B$1001))-1),""),"")&amp;IF(SUMPRODUCT(('تشخيص الحالات'!$B$2:$B$1001=B82)*('تشخيص الحالات'!$G$2:$G$1001=5))&gt;0,"، "&amp;IFERROR(INDEX('تشخيص الحالات'!$D$2:$D$1001,SUMPRODUCT(('تشخيص الحالات'!$B$2:$B$1001=B82)*('تشخيص الحالات'!$G$2:$G$1001=5)*ROW('تشخيص الحالات'!$B$2:$B$1001))-1),""),"")&amp;IF(SUMPRODUCT(('تشخيص الحالات'!$B$2:$B$1001=B82)*('تشخيص الحالات'!$G$2:$G$1001=6))&gt;0,"، "&amp;IFERROR(INDEX('تشخيص الحالات'!$D$2:$D$1001,SUMPRODUCT(('تشخيص الحالات'!$B$2:$B$1001=B82)*('تشخيص الحالات'!$G$2:$G$1001=6)*ROW('تشخيص الحالات'!$B$2:$B$1001))-1),""),"")&amp;IF(SUMPRODUCT(('تشخيص الحالات'!$B$2:$B$1001=B82)*('تشخيص الحالات'!$G$2:$G$1001=7))&gt;0,"، "&amp;IFERROR(INDEX('تشخيص الحالات'!$D$2:$D$1001,SUMPRODUCT(('تشخيص الحالات'!$B$2:$B$1001=B82)*('تشخيص الحالات'!$G$2:$G$1001=7)*ROW('تشخيص الحالات'!$B$2:$B$1001))-1),""),"")&amp;IF(SUMPRODUCT(('تشخيص الحالات'!$B$2:$B$1001=B82)*('تشخيص الحالات'!$G$2:$G$1001=8))&gt;0,"، "&amp;IFERROR(INDEX('تشخيص الحالات'!$D$2:$D$1001,SUMPRODUCT(('تشخيص الحالات'!$B$2:$B$1001=B82)*('تشخيص الحالات'!$G$2:$G$1001=8)*ROW('تشخيص الحالات'!$B$2:$B$1001))-1),""),"")</f>
        <v>إعاقة سمعية، إعاقة ذهنية، اضطراب نفسي حركي، مشكلات لغوية</v>
      </c>
      <c r="J82" s="1">
        <v>105</v>
      </c>
      <c r="K82" s="1" t="s">
        <v>4</v>
      </c>
      <c r="L82" s="1">
        <v>3000</v>
      </c>
      <c r="M82" s="1" t="s">
        <v>43</v>
      </c>
      <c r="N82" s="1">
        <v>8</v>
      </c>
      <c r="O82" s="1">
        <v>0</v>
      </c>
      <c r="P82" s="1">
        <v>0</v>
      </c>
      <c r="Q82" s="1">
        <v>6</v>
      </c>
      <c r="R82" s="1">
        <v>0</v>
      </c>
      <c r="S82" s="1">
        <v>6</v>
      </c>
      <c r="T82">
        <f>SUM(tbl_Beneficiaries[[#This Row],[ التربية الخاصة ]:[ التأهيل النفسي الحركي ]])</f>
        <v>20</v>
      </c>
    </row>
    <row r="83" spans="1:20" x14ac:dyDescent="0.2">
      <c r="A83" s="1">
        <v>82</v>
      </c>
      <c r="B83" s="1">
        <v>1580476879</v>
      </c>
      <c r="C83" s="1" t="s">
        <v>428</v>
      </c>
      <c r="D83" s="1" t="s">
        <v>3</v>
      </c>
      <c r="E83" s="3">
        <v>43650</v>
      </c>
      <c r="F83" s="1" t="s">
        <v>359</v>
      </c>
      <c r="G83" s="1" t="s">
        <v>1</v>
      </c>
      <c r="H83" s="3">
        <v>45310</v>
      </c>
      <c r="I83" t="str">
        <f>IFERROR(INDEX('تشخيص الحالات'!$D$2:$D$1001,SUMPRODUCT(('تشخيص الحالات'!$B$2:$B$1001=B83)*('تشخيص الحالات'!$G$2:$G$1001=1)*ROW('تشخيص الحالات'!$B$2:$B$1001))-1),"")&amp;IF(SUMPRODUCT(('تشخيص الحالات'!$B$2:$B$1001=B83)*('تشخيص الحالات'!$G$2:$G$1001=2))&gt;0,"، "&amp;IFERROR(INDEX('تشخيص الحالات'!$D$2:$D$1001,SUMPRODUCT(('تشخيص الحالات'!$B$2:$B$1001=B83)*('تشخيص الحالات'!$G$2:$G$1001=2)*ROW('تشخيص الحالات'!$B$2:$B$1001))-1),""),"")&amp;IF(SUMPRODUCT(('تشخيص الحالات'!$B$2:$B$1001=B83)*('تشخيص الحالات'!$G$2:$G$1001=3))&gt;0,"، "&amp;IFERROR(INDEX('تشخيص الحالات'!$D$2:$D$1001,SUMPRODUCT(('تشخيص الحالات'!$B$2:$B$1001=B83)*('تشخيص الحالات'!$G$2:$G$1001=3)*ROW('تشخيص الحالات'!$B$2:$B$1001))-1),""),"")&amp;IF(SUMPRODUCT(('تشخيص الحالات'!$B$2:$B$1001=B83)*('تشخيص الحالات'!$G$2:$G$1001=4))&gt;0,"، "&amp;IFERROR(INDEX('تشخيص الحالات'!$D$2:$D$1001,SUMPRODUCT(('تشخيص الحالات'!$B$2:$B$1001=B83)*('تشخيص الحالات'!$G$2:$G$1001=4)*ROW('تشخيص الحالات'!$B$2:$B$1001))-1),""),"")&amp;IF(SUMPRODUCT(('تشخيص الحالات'!$B$2:$B$1001=B83)*('تشخيص الحالات'!$G$2:$G$1001=5))&gt;0,"، "&amp;IFERROR(INDEX('تشخيص الحالات'!$D$2:$D$1001,SUMPRODUCT(('تشخيص الحالات'!$B$2:$B$1001=B83)*('تشخيص الحالات'!$G$2:$G$1001=5)*ROW('تشخيص الحالات'!$B$2:$B$1001))-1),""),"")&amp;IF(SUMPRODUCT(('تشخيص الحالات'!$B$2:$B$1001=B83)*('تشخيص الحالات'!$G$2:$G$1001=6))&gt;0,"، "&amp;IFERROR(INDEX('تشخيص الحالات'!$D$2:$D$1001,SUMPRODUCT(('تشخيص الحالات'!$B$2:$B$1001=B83)*('تشخيص الحالات'!$G$2:$G$1001=6)*ROW('تشخيص الحالات'!$B$2:$B$1001))-1),""),"")&amp;IF(SUMPRODUCT(('تشخيص الحالات'!$B$2:$B$1001=B83)*('تشخيص الحالات'!$G$2:$G$1001=7))&gt;0,"، "&amp;IFERROR(INDEX('تشخيص الحالات'!$D$2:$D$1001,SUMPRODUCT(('تشخيص الحالات'!$B$2:$B$1001=B83)*('تشخيص الحالات'!$G$2:$G$1001=7)*ROW('تشخيص الحالات'!$B$2:$B$1001))-1),""),"")&amp;IF(SUMPRODUCT(('تشخيص الحالات'!$B$2:$B$1001=B83)*('تشخيص الحالات'!$G$2:$G$1001=8))&gt;0,"، "&amp;IFERROR(INDEX('تشخيص الحالات'!$D$2:$D$1001,SUMPRODUCT(('تشخيص الحالات'!$B$2:$B$1001=B83)*('تشخيص الحالات'!$G$2:$G$1001=8)*ROW('تشخيص الحالات'!$B$2:$B$1001))-1),""),"")</f>
        <v>اضطراب تواصل اجتماعي، اضطرابات سلوكية، تأخر حركي، إعاقة ذهنية</v>
      </c>
      <c r="J83" s="1">
        <v>97</v>
      </c>
      <c r="K83" s="1" t="s">
        <v>4</v>
      </c>
      <c r="L83" s="1">
        <v>1500</v>
      </c>
      <c r="M83" s="1" t="s">
        <v>43</v>
      </c>
      <c r="N83" s="1">
        <v>0</v>
      </c>
      <c r="O83" s="1">
        <v>2</v>
      </c>
      <c r="P83" s="1">
        <v>2</v>
      </c>
      <c r="Q83" s="1">
        <v>0</v>
      </c>
      <c r="R83" s="1">
        <v>0</v>
      </c>
      <c r="S83" s="1">
        <v>0</v>
      </c>
      <c r="T83">
        <f>SUM(tbl_Beneficiaries[[#This Row],[ التربية الخاصة ]:[ التأهيل النفسي الحركي ]])</f>
        <v>4</v>
      </c>
    </row>
    <row r="84" spans="1:20" x14ac:dyDescent="0.2">
      <c r="A84" s="1">
        <v>83</v>
      </c>
      <c r="B84" s="1">
        <v>1067325708</v>
      </c>
      <c r="C84" s="1" t="s">
        <v>429</v>
      </c>
      <c r="D84" s="1" t="s">
        <v>3</v>
      </c>
      <c r="E84" s="3">
        <v>42004</v>
      </c>
      <c r="F84" s="1" t="s">
        <v>361</v>
      </c>
      <c r="G84" s="1" t="s">
        <v>1</v>
      </c>
      <c r="H84" s="3">
        <v>45198</v>
      </c>
      <c r="I84" t="str">
        <f>IFERROR(INDEX('تشخيص الحالات'!$D$2:$D$1001,SUMPRODUCT(('تشخيص الحالات'!$B$2:$B$1001=B84)*('تشخيص الحالات'!$G$2:$G$1001=1)*ROW('تشخيص الحالات'!$B$2:$B$1001))-1),"")&amp;IF(SUMPRODUCT(('تشخيص الحالات'!$B$2:$B$1001=B84)*('تشخيص الحالات'!$G$2:$G$1001=2))&gt;0,"، "&amp;IFERROR(INDEX('تشخيص الحالات'!$D$2:$D$1001,SUMPRODUCT(('تشخيص الحالات'!$B$2:$B$1001=B84)*('تشخيص الحالات'!$G$2:$G$1001=2)*ROW('تشخيص الحالات'!$B$2:$B$1001))-1),""),"")&amp;IF(SUMPRODUCT(('تشخيص الحالات'!$B$2:$B$1001=B84)*('تشخيص الحالات'!$G$2:$G$1001=3))&gt;0,"، "&amp;IFERROR(INDEX('تشخيص الحالات'!$D$2:$D$1001,SUMPRODUCT(('تشخيص الحالات'!$B$2:$B$1001=B84)*('تشخيص الحالات'!$G$2:$G$1001=3)*ROW('تشخيص الحالات'!$B$2:$B$1001))-1),""),"")&amp;IF(SUMPRODUCT(('تشخيص الحالات'!$B$2:$B$1001=B84)*('تشخيص الحالات'!$G$2:$G$1001=4))&gt;0,"، "&amp;IFERROR(INDEX('تشخيص الحالات'!$D$2:$D$1001,SUMPRODUCT(('تشخيص الحالات'!$B$2:$B$1001=B84)*('تشخيص الحالات'!$G$2:$G$1001=4)*ROW('تشخيص الحالات'!$B$2:$B$1001))-1),""),"")&amp;IF(SUMPRODUCT(('تشخيص الحالات'!$B$2:$B$1001=B84)*('تشخيص الحالات'!$G$2:$G$1001=5))&gt;0,"، "&amp;IFERROR(INDEX('تشخيص الحالات'!$D$2:$D$1001,SUMPRODUCT(('تشخيص الحالات'!$B$2:$B$1001=B84)*('تشخيص الحالات'!$G$2:$G$1001=5)*ROW('تشخيص الحالات'!$B$2:$B$1001))-1),""),"")&amp;IF(SUMPRODUCT(('تشخيص الحالات'!$B$2:$B$1001=B84)*('تشخيص الحالات'!$G$2:$G$1001=6))&gt;0,"، "&amp;IFERROR(INDEX('تشخيص الحالات'!$D$2:$D$1001,SUMPRODUCT(('تشخيص الحالات'!$B$2:$B$1001=B84)*('تشخيص الحالات'!$G$2:$G$1001=6)*ROW('تشخيص الحالات'!$B$2:$B$1001))-1),""),"")&amp;IF(SUMPRODUCT(('تشخيص الحالات'!$B$2:$B$1001=B84)*('تشخيص الحالات'!$G$2:$G$1001=7))&gt;0,"، "&amp;IFERROR(INDEX('تشخيص الحالات'!$D$2:$D$1001,SUMPRODUCT(('تشخيص الحالات'!$B$2:$B$1001=B84)*('تشخيص الحالات'!$G$2:$G$1001=7)*ROW('تشخيص الحالات'!$B$2:$B$1001))-1),""),"")&amp;IF(SUMPRODUCT(('تشخيص الحالات'!$B$2:$B$1001=B84)*('تشخيص الحالات'!$G$2:$G$1001=8))&gt;0,"، "&amp;IFERROR(INDEX('تشخيص الحالات'!$D$2:$D$1001,SUMPRODUCT(('تشخيص الحالات'!$B$2:$B$1001=B84)*('تشخيص الحالات'!$G$2:$G$1001=8)*ROW('تشخيص الحالات'!$B$2:$B$1001))-1),""),"")</f>
        <v>متلازمة داون</v>
      </c>
      <c r="J84" s="1">
        <v>88</v>
      </c>
      <c r="K84" s="1" t="s">
        <v>39</v>
      </c>
      <c r="L84" s="1">
        <v>3500</v>
      </c>
      <c r="M84" s="1" t="s">
        <v>42</v>
      </c>
      <c r="N84" s="1">
        <v>0</v>
      </c>
      <c r="O84" s="1">
        <v>0</v>
      </c>
      <c r="P84" s="1">
        <v>0</v>
      </c>
      <c r="Q84" s="1">
        <v>2</v>
      </c>
      <c r="R84" s="1">
        <v>7</v>
      </c>
      <c r="S84" s="1">
        <v>0</v>
      </c>
      <c r="T84">
        <f>SUM(tbl_Beneficiaries[[#This Row],[ التربية الخاصة ]:[ التأهيل النفسي الحركي ]])</f>
        <v>9</v>
      </c>
    </row>
    <row r="85" spans="1:20" x14ac:dyDescent="0.2">
      <c r="A85" s="1">
        <v>84</v>
      </c>
      <c r="B85" s="1">
        <v>1680947465</v>
      </c>
      <c r="C85" s="1" t="s">
        <v>430</v>
      </c>
      <c r="D85" s="1" t="s">
        <v>3</v>
      </c>
      <c r="E85" s="3">
        <v>40590</v>
      </c>
      <c r="F85" s="1" t="s">
        <v>360</v>
      </c>
      <c r="G85" s="1" t="s">
        <v>4</v>
      </c>
      <c r="H85" s="3">
        <v>44744</v>
      </c>
      <c r="I85" t="str">
        <f>IFERROR(INDEX('تشخيص الحالات'!$D$2:$D$1001,SUMPRODUCT(('تشخيص الحالات'!$B$2:$B$1001=B85)*('تشخيص الحالات'!$G$2:$G$1001=1)*ROW('تشخيص الحالات'!$B$2:$B$1001))-1),"")&amp;IF(SUMPRODUCT(('تشخيص الحالات'!$B$2:$B$1001=B85)*('تشخيص الحالات'!$G$2:$G$1001=2))&gt;0,"، "&amp;IFERROR(INDEX('تشخيص الحالات'!$D$2:$D$1001,SUMPRODUCT(('تشخيص الحالات'!$B$2:$B$1001=B85)*('تشخيص الحالات'!$G$2:$G$1001=2)*ROW('تشخيص الحالات'!$B$2:$B$1001))-1),""),"")&amp;IF(SUMPRODUCT(('تشخيص الحالات'!$B$2:$B$1001=B85)*('تشخيص الحالات'!$G$2:$G$1001=3))&gt;0,"، "&amp;IFERROR(INDEX('تشخيص الحالات'!$D$2:$D$1001,SUMPRODUCT(('تشخيص الحالات'!$B$2:$B$1001=B85)*('تشخيص الحالات'!$G$2:$G$1001=3)*ROW('تشخيص الحالات'!$B$2:$B$1001))-1),""),"")&amp;IF(SUMPRODUCT(('تشخيص الحالات'!$B$2:$B$1001=B85)*('تشخيص الحالات'!$G$2:$G$1001=4))&gt;0,"، "&amp;IFERROR(INDEX('تشخيص الحالات'!$D$2:$D$1001,SUMPRODUCT(('تشخيص الحالات'!$B$2:$B$1001=B85)*('تشخيص الحالات'!$G$2:$G$1001=4)*ROW('تشخيص الحالات'!$B$2:$B$1001))-1),""),"")&amp;IF(SUMPRODUCT(('تشخيص الحالات'!$B$2:$B$1001=B85)*('تشخيص الحالات'!$G$2:$G$1001=5))&gt;0,"، "&amp;IFERROR(INDEX('تشخيص الحالات'!$D$2:$D$1001,SUMPRODUCT(('تشخيص الحالات'!$B$2:$B$1001=B85)*('تشخيص الحالات'!$G$2:$G$1001=5)*ROW('تشخيص الحالات'!$B$2:$B$1001))-1),""),"")&amp;IF(SUMPRODUCT(('تشخيص الحالات'!$B$2:$B$1001=B85)*('تشخيص الحالات'!$G$2:$G$1001=6))&gt;0,"، "&amp;IFERROR(INDEX('تشخيص الحالات'!$D$2:$D$1001,SUMPRODUCT(('تشخيص الحالات'!$B$2:$B$1001=B85)*('تشخيص الحالات'!$G$2:$G$1001=6)*ROW('تشخيص الحالات'!$B$2:$B$1001))-1),""),"")&amp;IF(SUMPRODUCT(('تشخيص الحالات'!$B$2:$B$1001=B85)*('تشخيص الحالات'!$G$2:$G$1001=7))&gt;0,"، "&amp;IFERROR(INDEX('تشخيص الحالات'!$D$2:$D$1001,SUMPRODUCT(('تشخيص الحالات'!$B$2:$B$1001=B85)*('تشخيص الحالات'!$G$2:$G$1001=7)*ROW('تشخيص الحالات'!$B$2:$B$1001))-1),""),"")&amp;IF(SUMPRODUCT(('تشخيص الحالات'!$B$2:$B$1001=B85)*('تشخيص الحالات'!$G$2:$G$1001=8))&gt;0,"، "&amp;IFERROR(INDEX('تشخيص الحالات'!$D$2:$D$1001,SUMPRODUCT(('تشخيص الحالات'!$B$2:$B$1001=B85)*('تشخيص الحالات'!$G$2:$G$1001=8)*ROW('تشخيص الحالات'!$B$2:$B$1001))-1),""),"")</f>
        <v>اضطراب تواصل اجتماعي، اضطراب تكامل حسي</v>
      </c>
      <c r="J85" s="1">
        <v>108</v>
      </c>
      <c r="K85" s="1" t="s">
        <v>38</v>
      </c>
      <c r="L85" s="1">
        <v>3000</v>
      </c>
      <c r="M85" s="1" t="s">
        <v>41</v>
      </c>
      <c r="N85" s="1">
        <v>9</v>
      </c>
      <c r="O85" s="1">
        <v>0</v>
      </c>
      <c r="P85" s="1">
        <v>0</v>
      </c>
      <c r="Q85" s="1">
        <v>8</v>
      </c>
      <c r="R85" s="1">
        <v>0</v>
      </c>
      <c r="S85" s="1">
        <v>0</v>
      </c>
      <c r="T85">
        <f>SUM(tbl_Beneficiaries[[#This Row],[ التربية الخاصة ]:[ التأهيل النفسي الحركي ]])</f>
        <v>17</v>
      </c>
    </row>
    <row r="86" spans="1:20" x14ac:dyDescent="0.2">
      <c r="A86" s="1">
        <v>85</v>
      </c>
      <c r="B86" s="1">
        <v>1764520131</v>
      </c>
      <c r="C86" s="1" t="s">
        <v>431</v>
      </c>
      <c r="D86" s="1" t="s">
        <v>3</v>
      </c>
      <c r="E86" s="3">
        <v>40294</v>
      </c>
      <c r="F86" s="1" t="s">
        <v>360</v>
      </c>
      <c r="G86" s="1" t="s">
        <v>1</v>
      </c>
      <c r="H86" s="3">
        <v>44585</v>
      </c>
      <c r="I86" t="str">
        <f>IFERROR(INDEX('تشخيص الحالات'!$D$2:$D$1001,SUMPRODUCT(('تشخيص الحالات'!$B$2:$B$1001=B86)*('تشخيص الحالات'!$G$2:$G$1001=1)*ROW('تشخيص الحالات'!$B$2:$B$1001))-1),"")&amp;IF(SUMPRODUCT(('تشخيص الحالات'!$B$2:$B$1001=B86)*('تشخيص الحالات'!$G$2:$G$1001=2))&gt;0,"، "&amp;IFERROR(INDEX('تشخيص الحالات'!$D$2:$D$1001,SUMPRODUCT(('تشخيص الحالات'!$B$2:$B$1001=B86)*('تشخيص الحالات'!$G$2:$G$1001=2)*ROW('تشخيص الحالات'!$B$2:$B$1001))-1),""),"")&amp;IF(SUMPRODUCT(('تشخيص الحالات'!$B$2:$B$1001=B86)*('تشخيص الحالات'!$G$2:$G$1001=3))&gt;0,"، "&amp;IFERROR(INDEX('تشخيص الحالات'!$D$2:$D$1001,SUMPRODUCT(('تشخيص الحالات'!$B$2:$B$1001=B86)*('تشخيص الحالات'!$G$2:$G$1001=3)*ROW('تشخيص الحالات'!$B$2:$B$1001))-1),""),"")&amp;IF(SUMPRODUCT(('تشخيص الحالات'!$B$2:$B$1001=B86)*('تشخيص الحالات'!$G$2:$G$1001=4))&gt;0,"، "&amp;IFERROR(INDEX('تشخيص الحالات'!$D$2:$D$1001,SUMPRODUCT(('تشخيص الحالات'!$B$2:$B$1001=B86)*('تشخيص الحالات'!$G$2:$G$1001=4)*ROW('تشخيص الحالات'!$B$2:$B$1001))-1),""),"")&amp;IF(SUMPRODUCT(('تشخيص الحالات'!$B$2:$B$1001=B86)*('تشخيص الحالات'!$G$2:$G$1001=5))&gt;0,"، "&amp;IFERROR(INDEX('تشخيص الحالات'!$D$2:$D$1001,SUMPRODUCT(('تشخيص الحالات'!$B$2:$B$1001=B86)*('تشخيص الحالات'!$G$2:$G$1001=5)*ROW('تشخيص الحالات'!$B$2:$B$1001))-1),""),"")&amp;IF(SUMPRODUCT(('تشخيص الحالات'!$B$2:$B$1001=B86)*('تشخيص الحالات'!$G$2:$G$1001=6))&gt;0,"، "&amp;IFERROR(INDEX('تشخيص الحالات'!$D$2:$D$1001,SUMPRODUCT(('تشخيص الحالات'!$B$2:$B$1001=B86)*('تشخيص الحالات'!$G$2:$G$1001=6)*ROW('تشخيص الحالات'!$B$2:$B$1001))-1),""),"")&amp;IF(SUMPRODUCT(('تشخيص الحالات'!$B$2:$B$1001=B86)*('تشخيص الحالات'!$G$2:$G$1001=7))&gt;0,"، "&amp;IFERROR(INDEX('تشخيص الحالات'!$D$2:$D$1001,SUMPRODUCT(('تشخيص الحالات'!$B$2:$B$1001=B86)*('تشخيص الحالات'!$G$2:$G$1001=7)*ROW('تشخيص الحالات'!$B$2:$B$1001))-1),""),"")&amp;IF(SUMPRODUCT(('تشخيص الحالات'!$B$2:$B$1001=B86)*('تشخيص الحالات'!$G$2:$G$1001=8))&gt;0,"، "&amp;IFERROR(INDEX('تشخيص الحالات'!$D$2:$D$1001,SUMPRODUCT(('تشخيص الحالات'!$B$2:$B$1001=B86)*('تشخيص الحالات'!$G$2:$G$1001=8)*ROW('تشخيص الحالات'!$B$2:$B$1001))-1),""),"")</f>
        <v>صعوبات تعلم، اضطراب طيف التوحد</v>
      </c>
      <c r="J86" s="1">
        <v>90</v>
      </c>
      <c r="K86" s="1" t="s">
        <v>4</v>
      </c>
      <c r="L86" s="1">
        <v>2500</v>
      </c>
      <c r="M86" s="1" t="s">
        <v>43</v>
      </c>
      <c r="N86" s="1">
        <v>0</v>
      </c>
      <c r="O86" s="1">
        <v>2</v>
      </c>
      <c r="P86" s="1">
        <v>0</v>
      </c>
      <c r="Q86" s="1">
        <v>6</v>
      </c>
      <c r="R86" s="1">
        <v>4</v>
      </c>
      <c r="S86" s="1">
        <v>5</v>
      </c>
      <c r="T86">
        <f>SUM(tbl_Beneficiaries[[#This Row],[ التربية الخاصة ]:[ التأهيل النفسي الحركي ]])</f>
        <v>17</v>
      </c>
    </row>
    <row r="87" spans="1:20" x14ac:dyDescent="0.2">
      <c r="A87" s="1">
        <v>86</v>
      </c>
      <c r="B87" s="1">
        <v>1463642752</v>
      </c>
      <c r="C87" s="1" t="s">
        <v>107</v>
      </c>
      <c r="D87" s="1" t="s">
        <v>3</v>
      </c>
      <c r="E87" s="3">
        <v>41565</v>
      </c>
      <c r="F87" s="1" t="s">
        <v>361</v>
      </c>
      <c r="G87" s="1" t="s">
        <v>4</v>
      </c>
      <c r="H87" s="3">
        <v>44713</v>
      </c>
      <c r="I87" t="str">
        <f>IFERROR(INDEX('تشخيص الحالات'!$D$2:$D$1001,SUMPRODUCT(('تشخيص الحالات'!$B$2:$B$1001=B87)*('تشخيص الحالات'!$G$2:$G$1001=1)*ROW('تشخيص الحالات'!$B$2:$B$1001))-1),"")&amp;IF(SUMPRODUCT(('تشخيص الحالات'!$B$2:$B$1001=B87)*('تشخيص الحالات'!$G$2:$G$1001=2))&gt;0,"، "&amp;IFERROR(INDEX('تشخيص الحالات'!$D$2:$D$1001,SUMPRODUCT(('تشخيص الحالات'!$B$2:$B$1001=B87)*('تشخيص الحالات'!$G$2:$G$1001=2)*ROW('تشخيص الحالات'!$B$2:$B$1001))-1),""),"")&amp;IF(SUMPRODUCT(('تشخيص الحالات'!$B$2:$B$1001=B87)*('تشخيص الحالات'!$G$2:$G$1001=3))&gt;0,"، "&amp;IFERROR(INDEX('تشخيص الحالات'!$D$2:$D$1001,SUMPRODUCT(('تشخيص الحالات'!$B$2:$B$1001=B87)*('تشخيص الحالات'!$G$2:$G$1001=3)*ROW('تشخيص الحالات'!$B$2:$B$1001))-1),""),"")&amp;IF(SUMPRODUCT(('تشخيص الحالات'!$B$2:$B$1001=B87)*('تشخيص الحالات'!$G$2:$G$1001=4))&gt;0,"، "&amp;IFERROR(INDEX('تشخيص الحالات'!$D$2:$D$1001,SUMPRODUCT(('تشخيص الحالات'!$B$2:$B$1001=B87)*('تشخيص الحالات'!$G$2:$G$1001=4)*ROW('تشخيص الحالات'!$B$2:$B$1001))-1),""),"")&amp;IF(SUMPRODUCT(('تشخيص الحالات'!$B$2:$B$1001=B87)*('تشخيص الحالات'!$G$2:$G$1001=5))&gt;0,"، "&amp;IFERROR(INDEX('تشخيص الحالات'!$D$2:$D$1001,SUMPRODUCT(('تشخيص الحالات'!$B$2:$B$1001=B87)*('تشخيص الحالات'!$G$2:$G$1001=5)*ROW('تشخيص الحالات'!$B$2:$B$1001))-1),""),"")&amp;IF(SUMPRODUCT(('تشخيص الحالات'!$B$2:$B$1001=B87)*('تشخيص الحالات'!$G$2:$G$1001=6))&gt;0,"، "&amp;IFERROR(INDEX('تشخيص الحالات'!$D$2:$D$1001,SUMPRODUCT(('تشخيص الحالات'!$B$2:$B$1001=B87)*('تشخيص الحالات'!$G$2:$G$1001=6)*ROW('تشخيص الحالات'!$B$2:$B$1001))-1),""),"")&amp;IF(SUMPRODUCT(('تشخيص الحالات'!$B$2:$B$1001=B87)*('تشخيص الحالات'!$G$2:$G$1001=7))&gt;0,"، "&amp;IFERROR(INDEX('تشخيص الحالات'!$D$2:$D$1001,SUMPRODUCT(('تشخيص الحالات'!$B$2:$B$1001=B87)*('تشخيص الحالات'!$G$2:$G$1001=7)*ROW('تشخيص الحالات'!$B$2:$B$1001))-1),""),"")&amp;IF(SUMPRODUCT(('تشخيص الحالات'!$B$2:$B$1001=B87)*('تشخيص الحالات'!$G$2:$G$1001=8))&gt;0,"، "&amp;IFERROR(INDEX('تشخيص الحالات'!$D$2:$D$1001,SUMPRODUCT(('تشخيص الحالات'!$B$2:$B$1001=B87)*('تشخيص الحالات'!$G$2:$G$1001=8)*ROW('تشخيص الحالات'!$B$2:$B$1001))-1),""),"")</f>
        <v>اضطراب طيف التوحد، اضطراب نفسي حركي، تأخر نمائي، صعوبات تعلم</v>
      </c>
      <c r="J87" s="1">
        <v>84</v>
      </c>
      <c r="K87" s="1" t="s">
        <v>4</v>
      </c>
      <c r="L87" s="1">
        <v>3000</v>
      </c>
      <c r="M87" s="1" t="s">
        <v>40</v>
      </c>
      <c r="N87" s="1">
        <v>4</v>
      </c>
      <c r="O87" s="1">
        <v>2</v>
      </c>
      <c r="P87" s="1">
        <v>0</v>
      </c>
      <c r="Q87" s="1">
        <v>0</v>
      </c>
      <c r="R87" s="1">
        <v>0</v>
      </c>
      <c r="S87" s="1">
        <v>3</v>
      </c>
      <c r="T87">
        <f>SUM(tbl_Beneficiaries[[#This Row],[ التربية الخاصة ]:[ التأهيل النفسي الحركي ]])</f>
        <v>9</v>
      </c>
    </row>
    <row r="88" spans="1:20" x14ac:dyDescent="0.2">
      <c r="A88" s="1">
        <v>87</v>
      </c>
      <c r="B88" s="1">
        <v>1239970649</v>
      </c>
      <c r="C88" s="1" t="s">
        <v>432</v>
      </c>
      <c r="D88" s="1" t="s">
        <v>7</v>
      </c>
      <c r="E88" s="3">
        <v>44135</v>
      </c>
      <c r="F88" s="1" t="s">
        <v>359</v>
      </c>
      <c r="G88" s="1" t="s">
        <v>0</v>
      </c>
      <c r="H88" s="3">
        <v>45356</v>
      </c>
      <c r="I88" t="str">
        <f>IFERROR(INDEX('تشخيص الحالات'!$D$2:$D$1001,SUMPRODUCT(('تشخيص الحالات'!$B$2:$B$1001=B88)*('تشخيص الحالات'!$G$2:$G$1001=1)*ROW('تشخيص الحالات'!$B$2:$B$1001))-1),"")&amp;IF(SUMPRODUCT(('تشخيص الحالات'!$B$2:$B$1001=B88)*('تشخيص الحالات'!$G$2:$G$1001=2))&gt;0,"، "&amp;IFERROR(INDEX('تشخيص الحالات'!$D$2:$D$1001,SUMPRODUCT(('تشخيص الحالات'!$B$2:$B$1001=B88)*('تشخيص الحالات'!$G$2:$G$1001=2)*ROW('تشخيص الحالات'!$B$2:$B$1001))-1),""),"")&amp;IF(SUMPRODUCT(('تشخيص الحالات'!$B$2:$B$1001=B88)*('تشخيص الحالات'!$G$2:$G$1001=3))&gt;0,"، "&amp;IFERROR(INDEX('تشخيص الحالات'!$D$2:$D$1001,SUMPRODUCT(('تشخيص الحالات'!$B$2:$B$1001=B88)*('تشخيص الحالات'!$G$2:$G$1001=3)*ROW('تشخيص الحالات'!$B$2:$B$1001))-1),""),"")&amp;IF(SUMPRODUCT(('تشخيص الحالات'!$B$2:$B$1001=B88)*('تشخيص الحالات'!$G$2:$G$1001=4))&gt;0,"، "&amp;IFERROR(INDEX('تشخيص الحالات'!$D$2:$D$1001,SUMPRODUCT(('تشخيص الحالات'!$B$2:$B$1001=B88)*('تشخيص الحالات'!$G$2:$G$1001=4)*ROW('تشخيص الحالات'!$B$2:$B$1001))-1),""),"")&amp;IF(SUMPRODUCT(('تشخيص الحالات'!$B$2:$B$1001=B88)*('تشخيص الحالات'!$G$2:$G$1001=5))&gt;0,"، "&amp;IFERROR(INDEX('تشخيص الحالات'!$D$2:$D$1001,SUMPRODUCT(('تشخيص الحالات'!$B$2:$B$1001=B88)*('تشخيص الحالات'!$G$2:$G$1001=5)*ROW('تشخيص الحالات'!$B$2:$B$1001))-1),""),"")&amp;IF(SUMPRODUCT(('تشخيص الحالات'!$B$2:$B$1001=B88)*('تشخيص الحالات'!$G$2:$G$1001=6))&gt;0,"، "&amp;IFERROR(INDEX('تشخيص الحالات'!$D$2:$D$1001,SUMPRODUCT(('تشخيص الحالات'!$B$2:$B$1001=B88)*('تشخيص الحالات'!$G$2:$G$1001=6)*ROW('تشخيص الحالات'!$B$2:$B$1001))-1),""),"")&amp;IF(SUMPRODUCT(('تشخيص الحالات'!$B$2:$B$1001=B88)*('تشخيص الحالات'!$G$2:$G$1001=7))&gt;0,"، "&amp;IFERROR(INDEX('تشخيص الحالات'!$D$2:$D$1001,SUMPRODUCT(('تشخيص الحالات'!$B$2:$B$1001=B88)*('تشخيص الحالات'!$G$2:$G$1001=7)*ROW('تشخيص الحالات'!$B$2:$B$1001))-1),""),"")&amp;IF(SUMPRODUCT(('تشخيص الحالات'!$B$2:$B$1001=B88)*('تشخيص الحالات'!$G$2:$G$1001=8))&gt;0,"، "&amp;IFERROR(INDEX('تشخيص الحالات'!$D$2:$D$1001,SUMPRODUCT(('تشخيص الحالات'!$B$2:$B$1001=B88)*('تشخيص الحالات'!$G$2:$G$1001=8)*ROW('تشخيص الحالات'!$B$2:$B$1001))-1),""),"")</f>
        <v>اضطرابات سلوكية، شلل دماغي، إعاقة بصرية</v>
      </c>
      <c r="J88" s="1">
        <v>54</v>
      </c>
      <c r="K88" s="1" t="s">
        <v>39</v>
      </c>
      <c r="L88" s="1">
        <v>4000</v>
      </c>
      <c r="M88" s="1" t="s">
        <v>41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>
        <f>SUM(tbl_Beneficiaries[[#This Row],[ التربية الخاصة ]:[ التأهيل النفسي الحركي ]])</f>
        <v>0</v>
      </c>
    </row>
    <row r="89" spans="1:20" x14ac:dyDescent="0.2">
      <c r="A89" s="1">
        <v>88</v>
      </c>
      <c r="B89" s="1">
        <v>1065080091</v>
      </c>
      <c r="C89" s="1" t="s">
        <v>433</v>
      </c>
      <c r="D89" s="1" t="s">
        <v>3</v>
      </c>
      <c r="E89" s="3">
        <v>43066</v>
      </c>
      <c r="F89" s="1" t="s">
        <v>357</v>
      </c>
      <c r="G89" s="1" t="s">
        <v>1</v>
      </c>
      <c r="H89" s="3">
        <v>45255</v>
      </c>
      <c r="I89" t="str">
        <f>IFERROR(INDEX('تشخيص الحالات'!$D$2:$D$1001,SUMPRODUCT(('تشخيص الحالات'!$B$2:$B$1001=B89)*('تشخيص الحالات'!$G$2:$G$1001=1)*ROW('تشخيص الحالات'!$B$2:$B$1001))-1),"")&amp;IF(SUMPRODUCT(('تشخيص الحالات'!$B$2:$B$1001=B89)*('تشخيص الحالات'!$G$2:$G$1001=2))&gt;0,"، "&amp;IFERROR(INDEX('تشخيص الحالات'!$D$2:$D$1001,SUMPRODUCT(('تشخيص الحالات'!$B$2:$B$1001=B89)*('تشخيص الحالات'!$G$2:$G$1001=2)*ROW('تشخيص الحالات'!$B$2:$B$1001))-1),""),"")&amp;IF(SUMPRODUCT(('تشخيص الحالات'!$B$2:$B$1001=B89)*('تشخيص الحالات'!$G$2:$G$1001=3))&gt;0,"، "&amp;IFERROR(INDEX('تشخيص الحالات'!$D$2:$D$1001,SUMPRODUCT(('تشخيص الحالات'!$B$2:$B$1001=B89)*('تشخيص الحالات'!$G$2:$G$1001=3)*ROW('تشخيص الحالات'!$B$2:$B$1001))-1),""),"")&amp;IF(SUMPRODUCT(('تشخيص الحالات'!$B$2:$B$1001=B89)*('تشخيص الحالات'!$G$2:$G$1001=4))&gt;0,"، "&amp;IFERROR(INDEX('تشخيص الحالات'!$D$2:$D$1001,SUMPRODUCT(('تشخيص الحالات'!$B$2:$B$1001=B89)*('تشخيص الحالات'!$G$2:$G$1001=4)*ROW('تشخيص الحالات'!$B$2:$B$1001))-1),""),"")&amp;IF(SUMPRODUCT(('تشخيص الحالات'!$B$2:$B$1001=B89)*('تشخيص الحالات'!$G$2:$G$1001=5))&gt;0,"، "&amp;IFERROR(INDEX('تشخيص الحالات'!$D$2:$D$1001,SUMPRODUCT(('تشخيص الحالات'!$B$2:$B$1001=B89)*('تشخيص الحالات'!$G$2:$G$1001=5)*ROW('تشخيص الحالات'!$B$2:$B$1001))-1),""),"")&amp;IF(SUMPRODUCT(('تشخيص الحالات'!$B$2:$B$1001=B89)*('تشخيص الحالات'!$G$2:$G$1001=6))&gt;0,"، "&amp;IFERROR(INDEX('تشخيص الحالات'!$D$2:$D$1001,SUMPRODUCT(('تشخيص الحالات'!$B$2:$B$1001=B89)*('تشخيص الحالات'!$G$2:$G$1001=6)*ROW('تشخيص الحالات'!$B$2:$B$1001))-1),""),"")&amp;IF(SUMPRODUCT(('تشخيص الحالات'!$B$2:$B$1001=B89)*('تشخيص الحالات'!$G$2:$G$1001=7))&gt;0,"، "&amp;IFERROR(INDEX('تشخيص الحالات'!$D$2:$D$1001,SUMPRODUCT(('تشخيص الحالات'!$B$2:$B$1001=B89)*('تشخيص الحالات'!$G$2:$G$1001=7)*ROW('تشخيص الحالات'!$B$2:$B$1001))-1),""),"")&amp;IF(SUMPRODUCT(('تشخيص الحالات'!$B$2:$B$1001=B89)*('تشخيص الحالات'!$G$2:$G$1001=8))&gt;0,"، "&amp;IFERROR(INDEX('تشخيص الحالات'!$D$2:$D$1001,SUMPRODUCT(('تشخيص الحالات'!$B$2:$B$1001=B89)*('تشخيص الحالات'!$G$2:$G$1001=8)*ROW('تشخيص الحالات'!$B$2:$B$1001))-1),""),"")</f>
        <v>تأخر نمائي، فرط الحركة وتشتت الانتباه، تأخر حركي</v>
      </c>
      <c r="J89" s="1">
        <v>104</v>
      </c>
      <c r="K89" s="1" t="s">
        <v>39</v>
      </c>
      <c r="L89" s="1">
        <v>3000</v>
      </c>
      <c r="M89" s="1" t="s">
        <v>40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>
        <f>SUM(tbl_Beneficiaries[[#This Row],[ التربية الخاصة ]:[ التأهيل النفسي الحركي ]])</f>
        <v>0</v>
      </c>
    </row>
    <row r="90" spans="1:20" x14ac:dyDescent="0.2">
      <c r="A90" s="1">
        <v>89</v>
      </c>
      <c r="B90" s="1">
        <v>1247447562</v>
      </c>
      <c r="C90" s="1" t="s">
        <v>434</v>
      </c>
      <c r="D90" s="1" t="s">
        <v>3</v>
      </c>
      <c r="E90" s="3">
        <v>44167</v>
      </c>
      <c r="F90" s="1" t="s">
        <v>359</v>
      </c>
      <c r="G90" s="1" t="s">
        <v>1</v>
      </c>
      <c r="H90" s="3">
        <v>44844</v>
      </c>
      <c r="I90" t="str">
        <f>IFERROR(INDEX('تشخيص الحالات'!$D$2:$D$1001,SUMPRODUCT(('تشخيص الحالات'!$B$2:$B$1001=B90)*('تشخيص الحالات'!$G$2:$G$1001=1)*ROW('تشخيص الحالات'!$B$2:$B$1001))-1),"")&amp;IF(SUMPRODUCT(('تشخيص الحالات'!$B$2:$B$1001=B90)*('تشخيص الحالات'!$G$2:$G$1001=2))&gt;0,"، "&amp;IFERROR(INDEX('تشخيص الحالات'!$D$2:$D$1001,SUMPRODUCT(('تشخيص الحالات'!$B$2:$B$1001=B90)*('تشخيص الحالات'!$G$2:$G$1001=2)*ROW('تشخيص الحالات'!$B$2:$B$1001))-1),""),"")&amp;IF(SUMPRODUCT(('تشخيص الحالات'!$B$2:$B$1001=B90)*('تشخيص الحالات'!$G$2:$G$1001=3))&gt;0,"، "&amp;IFERROR(INDEX('تشخيص الحالات'!$D$2:$D$1001,SUMPRODUCT(('تشخيص الحالات'!$B$2:$B$1001=B90)*('تشخيص الحالات'!$G$2:$G$1001=3)*ROW('تشخيص الحالات'!$B$2:$B$1001))-1),""),"")&amp;IF(SUMPRODUCT(('تشخيص الحالات'!$B$2:$B$1001=B90)*('تشخيص الحالات'!$G$2:$G$1001=4))&gt;0,"، "&amp;IFERROR(INDEX('تشخيص الحالات'!$D$2:$D$1001,SUMPRODUCT(('تشخيص الحالات'!$B$2:$B$1001=B90)*('تشخيص الحالات'!$G$2:$G$1001=4)*ROW('تشخيص الحالات'!$B$2:$B$1001))-1),""),"")&amp;IF(SUMPRODUCT(('تشخيص الحالات'!$B$2:$B$1001=B90)*('تشخيص الحالات'!$G$2:$G$1001=5))&gt;0,"، "&amp;IFERROR(INDEX('تشخيص الحالات'!$D$2:$D$1001,SUMPRODUCT(('تشخيص الحالات'!$B$2:$B$1001=B90)*('تشخيص الحالات'!$G$2:$G$1001=5)*ROW('تشخيص الحالات'!$B$2:$B$1001))-1),""),"")&amp;IF(SUMPRODUCT(('تشخيص الحالات'!$B$2:$B$1001=B90)*('تشخيص الحالات'!$G$2:$G$1001=6))&gt;0,"، "&amp;IFERROR(INDEX('تشخيص الحالات'!$D$2:$D$1001,SUMPRODUCT(('تشخيص الحالات'!$B$2:$B$1001=B90)*('تشخيص الحالات'!$G$2:$G$1001=6)*ROW('تشخيص الحالات'!$B$2:$B$1001))-1),""),"")&amp;IF(SUMPRODUCT(('تشخيص الحالات'!$B$2:$B$1001=B90)*('تشخيص الحالات'!$G$2:$G$1001=7))&gt;0,"، "&amp;IFERROR(INDEX('تشخيص الحالات'!$D$2:$D$1001,SUMPRODUCT(('تشخيص الحالات'!$B$2:$B$1001=B90)*('تشخيص الحالات'!$G$2:$G$1001=7)*ROW('تشخيص الحالات'!$B$2:$B$1001))-1),""),"")&amp;IF(SUMPRODUCT(('تشخيص الحالات'!$B$2:$B$1001=B90)*('تشخيص الحالات'!$G$2:$G$1001=8))&gt;0,"، "&amp;IFERROR(INDEX('تشخيص الحالات'!$D$2:$D$1001,SUMPRODUCT(('تشخيص الحالات'!$B$2:$B$1001=B90)*('تشخيص الحالات'!$G$2:$G$1001=8)*ROW('تشخيص الحالات'!$B$2:$B$1001))-1),""),"")</f>
        <v>اضطراب نفسي حركي</v>
      </c>
      <c r="J90" s="1">
        <v>101</v>
      </c>
      <c r="K90" s="1" t="s">
        <v>4</v>
      </c>
      <c r="L90" s="1">
        <v>1500</v>
      </c>
      <c r="M90" s="1" t="s">
        <v>44</v>
      </c>
      <c r="N90" s="1">
        <v>7</v>
      </c>
      <c r="O90" s="1">
        <v>1</v>
      </c>
      <c r="P90" s="1">
        <v>1</v>
      </c>
      <c r="Q90" s="1">
        <v>0</v>
      </c>
      <c r="R90" s="1">
        <v>0</v>
      </c>
      <c r="S90" s="1">
        <v>9</v>
      </c>
      <c r="T90">
        <f>SUM(tbl_Beneficiaries[[#This Row],[ التربية الخاصة ]:[ التأهيل النفسي الحركي ]])</f>
        <v>18</v>
      </c>
    </row>
    <row r="91" spans="1:20" x14ac:dyDescent="0.2">
      <c r="A91" s="1">
        <v>90</v>
      </c>
      <c r="B91" s="1">
        <v>1917178608</v>
      </c>
      <c r="C91" s="1" t="s">
        <v>108</v>
      </c>
      <c r="D91" s="1" t="s">
        <v>7</v>
      </c>
      <c r="E91" s="3">
        <v>40842</v>
      </c>
      <c r="F91" s="1" t="s">
        <v>357</v>
      </c>
      <c r="G91" s="1" t="s">
        <v>0</v>
      </c>
      <c r="H91" s="3">
        <v>44841</v>
      </c>
      <c r="I91" t="str">
        <f>IFERROR(INDEX('تشخيص الحالات'!$D$2:$D$1001,SUMPRODUCT(('تشخيص الحالات'!$B$2:$B$1001=B91)*('تشخيص الحالات'!$G$2:$G$1001=1)*ROW('تشخيص الحالات'!$B$2:$B$1001))-1),"")&amp;IF(SUMPRODUCT(('تشخيص الحالات'!$B$2:$B$1001=B91)*('تشخيص الحالات'!$G$2:$G$1001=2))&gt;0,"، "&amp;IFERROR(INDEX('تشخيص الحالات'!$D$2:$D$1001,SUMPRODUCT(('تشخيص الحالات'!$B$2:$B$1001=B91)*('تشخيص الحالات'!$G$2:$G$1001=2)*ROW('تشخيص الحالات'!$B$2:$B$1001))-1),""),"")&amp;IF(SUMPRODUCT(('تشخيص الحالات'!$B$2:$B$1001=B91)*('تشخيص الحالات'!$G$2:$G$1001=3))&gt;0,"، "&amp;IFERROR(INDEX('تشخيص الحالات'!$D$2:$D$1001,SUMPRODUCT(('تشخيص الحالات'!$B$2:$B$1001=B91)*('تشخيص الحالات'!$G$2:$G$1001=3)*ROW('تشخيص الحالات'!$B$2:$B$1001))-1),""),"")&amp;IF(SUMPRODUCT(('تشخيص الحالات'!$B$2:$B$1001=B91)*('تشخيص الحالات'!$G$2:$G$1001=4))&gt;0,"، "&amp;IFERROR(INDEX('تشخيص الحالات'!$D$2:$D$1001,SUMPRODUCT(('تشخيص الحالات'!$B$2:$B$1001=B91)*('تشخيص الحالات'!$G$2:$G$1001=4)*ROW('تشخيص الحالات'!$B$2:$B$1001))-1),""),"")&amp;IF(SUMPRODUCT(('تشخيص الحالات'!$B$2:$B$1001=B91)*('تشخيص الحالات'!$G$2:$G$1001=5))&gt;0,"، "&amp;IFERROR(INDEX('تشخيص الحالات'!$D$2:$D$1001,SUMPRODUCT(('تشخيص الحالات'!$B$2:$B$1001=B91)*('تشخيص الحالات'!$G$2:$G$1001=5)*ROW('تشخيص الحالات'!$B$2:$B$1001))-1),""),"")&amp;IF(SUMPRODUCT(('تشخيص الحالات'!$B$2:$B$1001=B91)*('تشخيص الحالات'!$G$2:$G$1001=6))&gt;0,"، "&amp;IFERROR(INDEX('تشخيص الحالات'!$D$2:$D$1001,SUMPRODUCT(('تشخيص الحالات'!$B$2:$B$1001=B91)*('تشخيص الحالات'!$G$2:$G$1001=6)*ROW('تشخيص الحالات'!$B$2:$B$1001))-1),""),"")&amp;IF(SUMPRODUCT(('تشخيص الحالات'!$B$2:$B$1001=B91)*('تشخيص الحالات'!$G$2:$G$1001=7))&gt;0,"، "&amp;IFERROR(INDEX('تشخيص الحالات'!$D$2:$D$1001,SUMPRODUCT(('تشخيص الحالات'!$B$2:$B$1001=B91)*('تشخيص الحالات'!$G$2:$G$1001=7)*ROW('تشخيص الحالات'!$B$2:$B$1001))-1),""),"")&amp;IF(SUMPRODUCT(('تشخيص الحالات'!$B$2:$B$1001=B91)*('تشخيص الحالات'!$G$2:$G$1001=8))&gt;0,"، "&amp;IFERROR(INDEX('تشخيص الحالات'!$D$2:$D$1001,SUMPRODUCT(('تشخيص الحالات'!$B$2:$B$1001=B91)*('تشخيص الحالات'!$G$2:$G$1001=8)*ROW('تشخيص الحالات'!$B$2:$B$1001))-1),""),"")</f>
        <v>اضطراب طيف التوحد</v>
      </c>
      <c r="J91" s="1">
        <v>69</v>
      </c>
      <c r="K91" s="1" t="s">
        <v>38</v>
      </c>
      <c r="L91" s="1">
        <v>4000</v>
      </c>
      <c r="M91" s="1" t="s">
        <v>41</v>
      </c>
      <c r="N91" s="1">
        <v>0</v>
      </c>
      <c r="O91" s="1">
        <v>0</v>
      </c>
      <c r="P91" s="1">
        <v>1</v>
      </c>
      <c r="Q91" s="1">
        <v>1</v>
      </c>
      <c r="R91" s="1">
        <v>0</v>
      </c>
      <c r="S91" s="1">
        <v>9</v>
      </c>
      <c r="T91">
        <f>SUM(tbl_Beneficiaries[[#This Row],[ التربية الخاصة ]:[ التأهيل النفسي الحركي ]])</f>
        <v>11</v>
      </c>
    </row>
    <row r="92" spans="1:20" x14ac:dyDescent="0.2">
      <c r="A92" s="1">
        <v>91</v>
      </c>
      <c r="B92" s="1">
        <v>1371671971</v>
      </c>
      <c r="C92" s="1" t="s">
        <v>109</v>
      </c>
      <c r="D92" s="1" t="s">
        <v>7</v>
      </c>
      <c r="E92" s="3">
        <v>41167</v>
      </c>
      <c r="F92" s="1" t="s">
        <v>358</v>
      </c>
      <c r="G92" s="1" t="s">
        <v>1</v>
      </c>
      <c r="H92" s="3">
        <v>45417</v>
      </c>
      <c r="I92" t="str">
        <f>IFERROR(INDEX('تشخيص الحالات'!$D$2:$D$1001,SUMPRODUCT(('تشخيص الحالات'!$B$2:$B$1001=B92)*('تشخيص الحالات'!$G$2:$G$1001=1)*ROW('تشخيص الحالات'!$B$2:$B$1001))-1),"")&amp;IF(SUMPRODUCT(('تشخيص الحالات'!$B$2:$B$1001=B92)*('تشخيص الحالات'!$G$2:$G$1001=2))&gt;0,"، "&amp;IFERROR(INDEX('تشخيص الحالات'!$D$2:$D$1001,SUMPRODUCT(('تشخيص الحالات'!$B$2:$B$1001=B92)*('تشخيص الحالات'!$G$2:$G$1001=2)*ROW('تشخيص الحالات'!$B$2:$B$1001))-1),""),"")&amp;IF(SUMPRODUCT(('تشخيص الحالات'!$B$2:$B$1001=B92)*('تشخيص الحالات'!$G$2:$G$1001=3))&gt;0,"، "&amp;IFERROR(INDEX('تشخيص الحالات'!$D$2:$D$1001,SUMPRODUCT(('تشخيص الحالات'!$B$2:$B$1001=B92)*('تشخيص الحالات'!$G$2:$G$1001=3)*ROW('تشخيص الحالات'!$B$2:$B$1001))-1),""),"")&amp;IF(SUMPRODUCT(('تشخيص الحالات'!$B$2:$B$1001=B92)*('تشخيص الحالات'!$G$2:$G$1001=4))&gt;0,"، "&amp;IFERROR(INDEX('تشخيص الحالات'!$D$2:$D$1001,SUMPRODUCT(('تشخيص الحالات'!$B$2:$B$1001=B92)*('تشخيص الحالات'!$G$2:$G$1001=4)*ROW('تشخيص الحالات'!$B$2:$B$1001))-1),""),"")&amp;IF(SUMPRODUCT(('تشخيص الحالات'!$B$2:$B$1001=B92)*('تشخيص الحالات'!$G$2:$G$1001=5))&gt;0,"، "&amp;IFERROR(INDEX('تشخيص الحالات'!$D$2:$D$1001,SUMPRODUCT(('تشخيص الحالات'!$B$2:$B$1001=B92)*('تشخيص الحالات'!$G$2:$G$1001=5)*ROW('تشخيص الحالات'!$B$2:$B$1001))-1),""),"")&amp;IF(SUMPRODUCT(('تشخيص الحالات'!$B$2:$B$1001=B92)*('تشخيص الحالات'!$G$2:$G$1001=6))&gt;0,"، "&amp;IFERROR(INDEX('تشخيص الحالات'!$D$2:$D$1001,SUMPRODUCT(('تشخيص الحالات'!$B$2:$B$1001=B92)*('تشخيص الحالات'!$G$2:$G$1001=6)*ROW('تشخيص الحالات'!$B$2:$B$1001))-1),""),"")&amp;IF(SUMPRODUCT(('تشخيص الحالات'!$B$2:$B$1001=B92)*('تشخيص الحالات'!$G$2:$G$1001=7))&gt;0,"، "&amp;IFERROR(INDEX('تشخيص الحالات'!$D$2:$D$1001,SUMPRODUCT(('تشخيص الحالات'!$B$2:$B$1001=B92)*('تشخيص الحالات'!$G$2:$G$1001=7)*ROW('تشخيص الحالات'!$B$2:$B$1001))-1),""),"")&amp;IF(SUMPRODUCT(('تشخيص الحالات'!$B$2:$B$1001=B92)*('تشخيص الحالات'!$G$2:$G$1001=8))&gt;0,"، "&amp;IFERROR(INDEX('تشخيص الحالات'!$D$2:$D$1001,SUMPRODUCT(('تشخيص الحالات'!$B$2:$B$1001=B92)*('تشخيص الحالات'!$G$2:$G$1001=8)*ROW('تشخيص الحالات'!$B$2:$B$1001))-1),""),"")</f>
        <v>تأخر حركي</v>
      </c>
      <c r="J92" s="1">
        <v>82</v>
      </c>
      <c r="K92" s="1" t="s">
        <v>38</v>
      </c>
      <c r="L92" s="1">
        <v>1500</v>
      </c>
      <c r="M92" s="1" t="s">
        <v>43</v>
      </c>
      <c r="N92" s="1">
        <v>0</v>
      </c>
      <c r="O92" s="1">
        <v>1</v>
      </c>
      <c r="P92" s="1">
        <v>5</v>
      </c>
      <c r="Q92" s="1">
        <v>1</v>
      </c>
      <c r="R92" s="1">
        <v>1</v>
      </c>
      <c r="S92" s="1">
        <v>0</v>
      </c>
      <c r="T92">
        <f>SUM(tbl_Beneficiaries[[#This Row],[ التربية الخاصة ]:[ التأهيل النفسي الحركي ]])</f>
        <v>8</v>
      </c>
    </row>
    <row r="93" spans="1:20" x14ac:dyDescent="0.2">
      <c r="A93" s="1">
        <v>92</v>
      </c>
      <c r="B93" s="1">
        <v>1076683920</v>
      </c>
      <c r="C93" s="1" t="s">
        <v>435</v>
      </c>
      <c r="D93" s="1" t="s">
        <v>3</v>
      </c>
      <c r="E93" s="3">
        <v>40939</v>
      </c>
      <c r="F93" s="1" t="s">
        <v>357</v>
      </c>
      <c r="G93" s="1" t="s">
        <v>4</v>
      </c>
      <c r="H93" s="3">
        <v>45294</v>
      </c>
      <c r="I93" t="str">
        <f>IFERROR(INDEX('تشخيص الحالات'!$D$2:$D$1001,SUMPRODUCT(('تشخيص الحالات'!$B$2:$B$1001=B93)*('تشخيص الحالات'!$G$2:$G$1001=1)*ROW('تشخيص الحالات'!$B$2:$B$1001))-1),"")&amp;IF(SUMPRODUCT(('تشخيص الحالات'!$B$2:$B$1001=B93)*('تشخيص الحالات'!$G$2:$G$1001=2))&gt;0,"، "&amp;IFERROR(INDEX('تشخيص الحالات'!$D$2:$D$1001,SUMPRODUCT(('تشخيص الحالات'!$B$2:$B$1001=B93)*('تشخيص الحالات'!$G$2:$G$1001=2)*ROW('تشخيص الحالات'!$B$2:$B$1001))-1),""),"")&amp;IF(SUMPRODUCT(('تشخيص الحالات'!$B$2:$B$1001=B93)*('تشخيص الحالات'!$G$2:$G$1001=3))&gt;0,"، "&amp;IFERROR(INDEX('تشخيص الحالات'!$D$2:$D$1001,SUMPRODUCT(('تشخيص الحالات'!$B$2:$B$1001=B93)*('تشخيص الحالات'!$G$2:$G$1001=3)*ROW('تشخيص الحالات'!$B$2:$B$1001))-1),""),"")&amp;IF(SUMPRODUCT(('تشخيص الحالات'!$B$2:$B$1001=B93)*('تشخيص الحالات'!$G$2:$G$1001=4))&gt;0,"، "&amp;IFERROR(INDEX('تشخيص الحالات'!$D$2:$D$1001,SUMPRODUCT(('تشخيص الحالات'!$B$2:$B$1001=B93)*('تشخيص الحالات'!$G$2:$G$1001=4)*ROW('تشخيص الحالات'!$B$2:$B$1001))-1),""),"")&amp;IF(SUMPRODUCT(('تشخيص الحالات'!$B$2:$B$1001=B93)*('تشخيص الحالات'!$G$2:$G$1001=5))&gt;0,"، "&amp;IFERROR(INDEX('تشخيص الحالات'!$D$2:$D$1001,SUMPRODUCT(('تشخيص الحالات'!$B$2:$B$1001=B93)*('تشخيص الحالات'!$G$2:$G$1001=5)*ROW('تشخيص الحالات'!$B$2:$B$1001))-1),""),"")&amp;IF(SUMPRODUCT(('تشخيص الحالات'!$B$2:$B$1001=B93)*('تشخيص الحالات'!$G$2:$G$1001=6))&gt;0,"، "&amp;IFERROR(INDEX('تشخيص الحالات'!$D$2:$D$1001,SUMPRODUCT(('تشخيص الحالات'!$B$2:$B$1001=B93)*('تشخيص الحالات'!$G$2:$G$1001=6)*ROW('تشخيص الحالات'!$B$2:$B$1001))-1),""),"")&amp;IF(SUMPRODUCT(('تشخيص الحالات'!$B$2:$B$1001=B93)*('تشخيص الحالات'!$G$2:$G$1001=7))&gt;0,"، "&amp;IFERROR(INDEX('تشخيص الحالات'!$D$2:$D$1001,SUMPRODUCT(('تشخيص الحالات'!$B$2:$B$1001=B93)*('تشخيص الحالات'!$G$2:$G$1001=7)*ROW('تشخيص الحالات'!$B$2:$B$1001))-1),""),"")&amp;IF(SUMPRODUCT(('تشخيص الحالات'!$B$2:$B$1001=B93)*('تشخيص الحالات'!$G$2:$G$1001=8))&gt;0,"، "&amp;IFERROR(INDEX('تشخيص الحالات'!$D$2:$D$1001,SUMPRODUCT(('تشخيص الحالات'!$B$2:$B$1001=B93)*('تشخيص الحالات'!$G$2:$G$1001=8)*ROW('تشخيص الحالات'!$B$2:$B$1001))-1),""),"")</f>
        <v>اضطرابات سلوكية، اضطراب طيف التوحد، إعاقة سمعية</v>
      </c>
      <c r="J93" s="1">
        <v>87</v>
      </c>
      <c r="K93" s="1" t="s">
        <v>39</v>
      </c>
      <c r="L93" s="1">
        <v>2500</v>
      </c>
      <c r="M93" s="1" t="s">
        <v>43</v>
      </c>
      <c r="N93" s="1">
        <v>0</v>
      </c>
      <c r="O93" s="1">
        <v>3</v>
      </c>
      <c r="P93" s="1">
        <v>3</v>
      </c>
      <c r="Q93" s="1">
        <v>0</v>
      </c>
      <c r="R93" s="1">
        <v>4</v>
      </c>
      <c r="S93" s="1">
        <v>9</v>
      </c>
      <c r="T93">
        <f>SUM(tbl_Beneficiaries[[#This Row],[ التربية الخاصة ]:[ التأهيل النفسي الحركي ]])</f>
        <v>19</v>
      </c>
    </row>
    <row r="94" spans="1:20" x14ac:dyDescent="0.2">
      <c r="A94" s="1">
        <v>93</v>
      </c>
      <c r="B94" s="1">
        <v>1532697741</v>
      </c>
      <c r="C94" s="1" t="s">
        <v>436</v>
      </c>
      <c r="D94" s="1" t="s">
        <v>7</v>
      </c>
      <c r="E94" s="3">
        <v>43312</v>
      </c>
      <c r="F94" s="1" t="s">
        <v>357</v>
      </c>
      <c r="G94" s="1" t="s">
        <v>0</v>
      </c>
      <c r="H94" s="3">
        <v>45470</v>
      </c>
      <c r="I94" t="str">
        <f>IFERROR(INDEX('تشخيص الحالات'!$D$2:$D$1001,SUMPRODUCT(('تشخيص الحالات'!$B$2:$B$1001=B94)*('تشخيص الحالات'!$G$2:$G$1001=1)*ROW('تشخيص الحالات'!$B$2:$B$1001))-1),"")&amp;IF(SUMPRODUCT(('تشخيص الحالات'!$B$2:$B$1001=B94)*('تشخيص الحالات'!$G$2:$G$1001=2))&gt;0,"، "&amp;IFERROR(INDEX('تشخيص الحالات'!$D$2:$D$1001,SUMPRODUCT(('تشخيص الحالات'!$B$2:$B$1001=B94)*('تشخيص الحالات'!$G$2:$G$1001=2)*ROW('تشخيص الحالات'!$B$2:$B$1001))-1),""),"")&amp;IF(SUMPRODUCT(('تشخيص الحالات'!$B$2:$B$1001=B94)*('تشخيص الحالات'!$G$2:$G$1001=3))&gt;0,"، "&amp;IFERROR(INDEX('تشخيص الحالات'!$D$2:$D$1001,SUMPRODUCT(('تشخيص الحالات'!$B$2:$B$1001=B94)*('تشخيص الحالات'!$G$2:$G$1001=3)*ROW('تشخيص الحالات'!$B$2:$B$1001))-1),""),"")&amp;IF(SUMPRODUCT(('تشخيص الحالات'!$B$2:$B$1001=B94)*('تشخيص الحالات'!$G$2:$G$1001=4))&gt;0,"، "&amp;IFERROR(INDEX('تشخيص الحالات'!$D$2:$D$1001,SUMPRODUCT(('تشخيص الحالات'!$B$2:$B$1001=B94)*('تشخيص الحالات'!$G$2:$G$1001=4)*ROW('تشخيص الحالات'!$B$2:$B$1001))-1),""),"")&amp;IF(SUMPRODUCT(('تشخيص الحالات'!$B$2:$B$1001=B94)*('تشخيص الحالات'!$G$2:$G$1001=5))&gt;0,"، "&amp;IFERROR(INDEX('تشخيص الحالات'!$D$2:$D$1001,SUMPRODUCT(('تشخيص الحالات'!$B$2:$B$1001=B94)*('تشخيص الحالات'!$G$2:$G$1001=5)*ROW('تشخيص الحالات'!$B$2:$B$1001))-1),""),"")&amp;IF(SUMPRODUCT(('تشخيص الحالات'!$B$2:$B$1001=B94)*('تشخيص الحالات'!$G$2:$G$1001=6))&gt;0,"، "&amp;IFERROR(INDEX('تشخيص الحالات'!$D$2:$D$1001,SUMPRODUCT(('تشخيص الحالات'!$B$2:$B$1001=B94)*('تشخيص الحالات'!$G$2:$G$1001=6)*ROW('تشخيص الحالات'!$B$2:$B$1001))-1),""),"")&amp;IF(SUMPRODUCT(('تشخيص الحالات'!$B$2:$B$1001=B94)*('تشخيص الحالات'!$G$2:$G$1001=7))&gt;0,"، "&amp;IFERROR(INDEX('تشخيص الحالات'!$D$2:$D$1001,SUMPRODUCT(('تشخيص الحالات'!$B$2:$B$1001=B94)*('تشخيص الحالات'!$G$2:$G$1001=7)*ROW('تشخيص الحالات'!$B$2:$B$1001))-1),""),"")&amp;IF(SUMPRODUCT(('تشخيص الحالات'!$B$2:$B$1001=B94)*('تشخيص الحالات'!$G$2:$G$1001=8))&gt;0,"، "&amp;IFERROR(INDEX('تشخيص الحالات'!$D$2:$D$1001,SUMPRODUCT(('تشخيص الحالات'!$B$2:$B$1001=B94)*('تشخيص الحالات'!$G$2:$G$1001=8)*ROW('تشخيص الحالات'!$B$2:$B$1001))-1),""),"")</f>
        <v>اضطراب نفسي حركي</v>
      </c>
      <c r="J94" s="1">
        <v>107</v>
      </c>
      <c r="K94" s="1" t="s">
        <v>4</v>
      </c>
      <c r="L94" s="1">
        <v>3500</v>
      </c>
      <c r="M94" s="1" t="s">
        <v>42</v>
      </c>
      <c r="N94" s="1">
        <v>3</v>
      </c>
      <c r="O94" s="1">
        <v>0</v>
      </c>
      <c r="P94" s="1">
        <v>7</v>
      </c>
      <c r="Q94" s="1">
        <v>5</v>
      </c>
      <c r="R94" s="1">
        <v>0</v>
      </c>
      <c r="S94" s="1">
        <v>0</v>
      </c>
      <c r="T94">
        <f>SUM(tbl_Beneficiaries[[#This Row],[ التربية الخاصة ]:[ التأهيل النفسي الحركي ]])</f>
        <v>15</v>
      </c>
    </row>
    <row r="95" spans="1:20" x14ac:dyDescent="0.2">
      <c r="A95" s="1">
        <v>94</v>
      </c>
      <c r="B95" s="1">
        <v>1692678303</v>
      </c>
      <c r="C95" s="1" t="s">
        <v>437</v>
      </c>
      <c r="D95" s="1" t="s">
        <v>3</v>
      </c>
      <c r="E95" s="3">
        <v>40558</v>
      </c>
      <c r="F95" s="1" t="s">
        <v>359</v>
      </c>
      <c r="G95" s="1" t="s">
        <v>1</v>
      </c>
      <c r="H95" s="3">
        <v>44629</v>
      </c>
      <c r="I95" t="str">
        <f>IFERROR(INDEX('تشخيص الحالات'!$D$2:$D$1001,SUMPRODUCT(('تشخيص الحالات'!$B$2:$B$1001=B95)*('تشخيص الحالات'!$G$2:$G$1001=1)*ROW('تشخيص الحالات'!$B$2:$B$1001))-1),"")&amp;IF(SUMPRODUCT(('تشخيص الحالات'!$B$2:$B$1001=B95)*('تشخيص الحالات'!$G$2:$G$1001=2))&gt;0,"، "&amp;IFERROR(INDEX('تشخيص الحالات'!$D$2:$D$1001,SUMPRODUCT(('تشخيص الحالات'!$B$2:$B$1001=B95)*('تشخيص الحالات'!$G$2:$G$1001=2)*ROW('تشخيص الحالات'!$B$2:$B$1001))-1),""),"")&amp;IF(SUMPRODUCT(('تشخيص الحالات'!$B$2:$B$1001=B95)*('تشخيص الحالات'!$G$2:$G$1001=3))&gt;0,"، "&amp;IFERROR(INDEX('تشخيص الحالات'!$D$2:$D$1001,SUMPRODUCT(('تشخيص الحالات'!$B$2:$B$1001=B95)*('تشخيص الحالات'!$G$2:$G$1001=3)*ROW('تشخيص الحالات'!$B$2:$B$1001))-1),""),"")&amp;IF(SUMPRODUCT(('تشخيص الحالات'!$B$2:$B$1001=B95)*('تشخيص الحالات'!$G$2:$G$1001=4))&gt;0,"، "&amp;IFERROR(INDEX('تشخيص الحالات'!$D$2:$D$1001,SUMPRODUCT(('تشخيص الحالات'!$B$2:$B$1001=B95)*('تشخيص الحالات'!$G$2:$G$1001=4)*ROW('تشخيص الحالات'!$B$2:$B$1001))-1),""),"")&amp;IF(SUMPRODUCT(('تشخيص الحالات'!$B$2:$B$1001=B95)*('تشخيص الحالات'!$G$2:$G$1001=5))&gt;0,"، "&amp;IFERROR(INDEX('تشخيص الحالات'!$D$2:$D$1001,SUMPRODUCT(('تشخيص الحالات'!$B$2:$B$1001=B95)*('تشخيص الحالات'!$G$2:$G$1001=5)*ROW('تشخيص الحالات'!$B$2:$B$1001))-1),""),"")&amp;IF(SUMPRODUCT(('تشخيص الحالات'!$B$2:$B$1001=B95)*('تشخيص الحالات'!$G$2:$G$1001=6))&gt;0,"، "&amp;IFERROR(INDEX('تشخيص الحالات'!$D$2:$D$1001,SUMPRODUCT(('تشخيص الحالات'!$B$2:$B$1001=B95)*('تشخيص الحالات'!$G$2:$G$1001=6)*ROW('تشخيص الحالات'!$B$2:$B$1001))-1),""),"")&amp;IF(SUMPRODUCT(('تشخيص الحالات'!$B$2:$B$1001=B95)*('تشخيص الحالات'!$G$2:$G$1001=7))&gt;0,"، "&amp;IFERROR(INDEX('تشخيص الحالات'!$D$2:$D$1001,SUMPRODUCT(('تشخيص الحالات'!$B$2:$B$1001=B95)*('تشخيص الحالات'!$G$2:$G$1001=7)*ROW('تشخيص الحالات'!$B$2:$B$1001))-1),""),"")&amp;IF(SUMPRODUCT(('تشخيص الحالات'!$B$2:$B$1001=B95)*('تشخيص الحالات'!$G$2:$G$1001=8))&gt;0,"، "&amp;IFERROR(INDEX('تشخيص الحالات'!$D$2:$D$1001,SUMPRODUCT(('تشخيص الحالات'!$B$2:$B$1001=B95)*('تشخيص الحالات'!$G$2:$G$1001=8)*ROW('تشخيص الحالات'!$B$2:$B$1001))-1),""),"")</f>
        <v>تأخر نمائي، اضطراب طيف التوحد</v>
      </c>
      <c r="J95" s="1">
        <v>50</v>
      </c>
      <c r="K95" s="1" t="s">
        <v>39</v>
      </c>
      <c r="L95" s="1">
        <v>1500</v>
      </c>
      <c r="M95" s="1" t="s">
        <v>44</v>
      </c>
      <c r="N95" s="1">
        <v>0</v>
      </c>
      <c r="O95" s="1">
        <v>0</v>
      </c>
      <c r="P95" s="1">
        <v>0</v>
      </c>
      <c r="Q95" s="1">
        <v>0</v>
      </c>
      <c r="R95" s="1">
        <v>9</v>
      </c>
      <c r="S95" s="1">
        <v>4</v>
      </c>
      <c r="T95">
        <f>SUM(tbl_Beneficiaries[[#This Row],[ التربية الخاصة ]:[ التأهيل النفسي الحركي ]])</f>
        <v>13</v>
      </c>
    </row>
    <row r="96" spans="1:20" x14ac:dyDescent="0.2">
      <c r="A96" s="1">
        <v>95</v>
      </c>
      <c r="B96" s="1">
        <v>1643206666</v>
      </c>
      <c r="C96" s="1" t="s">
        <v>110</v>
      </c>
      <c r="D96" s="1" t="s">
        <v>3</v>
      </c>
      <c r="E96" s="3">
        <v>41654</v>
      </c>
      <c r="F96" s="1" t="s">
        <v>360</v>
      </c>
      <c r="G96" s="1" t="s">
        <v>4</v>
      </c>
      <c r="H96" s="3">
        <v>45013</v>
      </c>
      <c r="I96" t="str">
        <f>IFERROR(INDEX('تشخيص الحالات'!$D$2:$D$1001,SUMPRODUCT(('تشخيص الحالات'!$B$2:$B$1001=B96)*('تشخيص الحالات'!$G$2:$G$1001=1)*ROW('تشخيص الحالات'!$B$2:$B$1001))-1),"")&amp;IF(SUMPRODUCT(('تشخيص الحالات'!$B$2:$B$1001=B96)*('تشخيص الحالات'!$G$2:$G$1001=2))&gt;0,"، "&amp;IFERROR(INDEX('تشخيص الحالات'!$D$2:$D$1001,SUMPRODUCT(('تشخيص الحالات'!$B$2:$B$1001=B96)*('تشخيص الحالات'!$G$2:$G$1001=2)*ROW('تشخيص الحالات'!$B$2:$B$1001))-1),""),"")&amp;IF(SUMPRODUCT(('تشخيص الحالات'!$B$2:$B$1001=B96)*('تشخيص الحالات'!$G$2:$G$1001=3))&gt;0,"، "&amp;IFERROR(INDEX('تشخيص الحالات'!$D$2:$D$1001,SUMPRODUCT(('تشخيص الحالات'!$B$2:$B$1001=B96)*('تشخيص الحالات'!$G$2:$G$1001=3)*ROW('تشخيص الحالات'!$B$2:$B$1001))-1),""),"")&amp;IF(SUMPRODUCT(('تشخيص الحالات'!$B$2:$B$1001=B96)*('تشخيص الحالات'!$G$2:$G$1001=4))&gt;0,"، "&amp;IFERROR(INDEX('تشخيص الحالات'!$D$2:$D$1001,SUMPRODUCT(('تشخيص الحالات'!$B$2:$B$1001=B96)*('تشخيص الحالات'!$G$2:$G$1001=4)*ROW('تشخيص الحالات'!$B$2:$B$1001))-1),""),"")&amp;IF(SUMPRODUCT(('تشخيص الحالات'!$B$2:$B$1001=B96)*('تشخيص الحالات'!$G$2:$G$1001=5))&gt;0,"، "&amp;IFERROR(INDEX('تشخيص الحالات'!$D$2:$D$1001,SUMPRODUCT(('تشخيص الحالات'!$B$2:$B$1001=B96)*('تشخيص الحالات'!$G$2:$G$1001=5)*ROW('تشخيص الحالات'!$B$2:$B$1001))-1),""),"")&amp;IF(SUMPRODUCT(('تشخيص الحالات'!$B$2:$B$1001=B96)*('تشخيص الحالات'!$G$2:$G$1001=6))&gt;0,"، "&amp;IFERROR(INDEX('تشخيص الحالات'!$D$2:$D$1001,SUMPRODUCT(('تشخيص الحالات'!$B$2:$B$1001=B96)*('تشخيص الحالات'!$G$2:$G$1001=6)*ROW('تشخيص الحالات'!$B$2:$B$1001))-1),""),"")&amp;IF(SUMPRODUCT(('تشخيص الحالات'!$B$2:$B$1001=B96)*('تشخيص الحالات'!$G$2:$G$1001=7))&gt;0,"، "&amp;IFERROR(INDEX('تشخيص الحالات'!$D$2:$D$1001,SUMPRODUCT(('تشخيص الحالات'!$B$2:$B$1001=B96)*('تشخيص الحالات'!$G$2:$G$1001=7)*ROW('تشخيص الحالات'!$B$2:$B$1001))-1),""),"")&amp;IF(SUMPRODUCT(('تشخيص الحالات'!$B$2:$B$1001=B96)*('تشخيص الحالات'!$G$2:$G$1001=8))&gt;0,"، "&amp;IFERROR(INDEX('تشخيص الحالات'!$D$2:$D$1001,SUMPRODUCT(('تشخيص الحالات'!$B$2:$B$1001=B96)*('تشخيص الحالات'!$G$2:$G$1001=8)*ROW('تشخيص الحالات'!$B$2:$B$1001))-1),""),"")</f>
        <v>اضطراب طيف التوحد، اضطرابات سلوكية، متلازمة داون</v>
      </c>
      <c r="J96" s="1">
        <v>91</v>
      </c>
      <c r="K96" s="1" t="s">
        <v>38</v>
      </c>
      <c r="L96" s="1">
        <v>3500</v>
      </c>
      <c r="M96" s="1" t="s">
        <v>40</v>
      </c>
      <c r="N96" s="1">
        <v>0</v>
      </c>
      <c r="O96" s="1">
        <v>6</v>
      </c>
      <c r="P96" s="1">
        <v>5</v>
      </c>
      <c r="Q96" s="1">
        <v>0</v>
      </c>
      <c r="R96" s="1">
        <v>0</v>
      </c>
      <c r="S96" s="1">
        <v>3</v>
      </c>
      <c r="T96">
        <f>SUM(tbl_Beneficiaries[[#This Row],[ التربية الخاصة ]:[ التأهيل النفسي الحركي ]])</f>
        <v>14</v>
      </c>
    </row>
    <row r="97" spans="1:20" x14ac:dyDescent="0.2">
      <c r="A97" s="1">
        <v>96</v>
      </c>
      <c r="B97" s="1">
        <v>1441451242</v>
      </c>
      <c r="C97" s="1" t="s">
        <v>438</v>
      </c>
      <c r="D97" s="1" t="s">
        <v>7</v>
      </c>
      <c r="E97" s="3">
        <v>41052</v>
      </c>
      <c r="F97" s="1" t="s">
        <v>359</v>
      </c>
      <c r="G97" s="1" t="s">
        <v>4</v>
      </c>
      <c r="H97" s="3">
        <v>45223</v>
      </c>
      <c r="I97" t="str">
        <f>IFERROR(INDEX('تشخيص الحالات'!$D$2:$D$1001,SUMPRODUCT(('تشخيص الحالات'!$B$2:$B$1001=B97)*('تشخيص الحالات'!$G$2:$G$1001=1)*ROW('تشخيص الحالات'!$B$2:$B$1001))-1),"")&amp;IF(SUMPRODUCT(('تشخيص الحالات'!$B$2:$B$1001=B97)*('تشخيص الحالات'!$G$2:$G$1001=2))&gt;0,"، "&amp;IFERROR(INDEX('تشخيص الحالات'!$D$2:$D$1001,SUMPRODUCT(('تشخيص الحالات'!$B$2:$B$1001=B97)*('تشخيص الحالات'!$G$2:$G$1001=2)*ROW('تشخيص الحالات'!$B$2:$B$1001))-1),""),"")&amp;IF(SUMPRODUCT(('تشخيص الحالات'!$B$2:$B$1001=B97)*('تشخيص الحالات'!$G$2:$G$1001=3))&gt;0,"، "&amp;IFERROR(INDEX('تشخيص الحالات'!$D$2:$D$1001,SUMPRODUCT(('تشخيص الحالات'!$B$2:$B$1001=B97)*('تشخيص الحالات'!$G$2:$G$1001=3)*ROW('تشخيص الحالات'!$B$2:$B$1001))-1),""),"")&amp;IF(SUMPRODUCT(('تشخيص الحالات'!$B$2:$B$1001=B97)*('تشخيص الحالات'!$G$2:$G$1001=4))&gt;0,"، "&amp;IFERROR(INDEX('تشخيص الحالات'!$D$2:$D$1001,SUMPRODUCT(('تشخيص الحالات'!$B$2:$B$1001=B97)*('تشخيص الحالات'!$G$2:$G$1001=4)*ROW('تشخيص الحالات'!$B$2:$B$1001))-1),""),"")&amp;IF(SUMPRODUCT(('تشخيص الحالات'!$B$2:$B$1001=B97)*('تشخيص الحالات'!$G$2:$G$1001=5))&gt;0,"، "&amp;IFERROR(INDEX('تشخيص الحالات'!$D$2:$D$1001,SUMPRODUCT(('تشخيص الحالات'!$B$2:$B$1001=B97)*('تشخيص الحالات'!$G$2:$G$1001=5)*ROW('تشخيص الحالات'!$B$2:$B$1001))-1),""),"")&amp;IF(SUMPRODUCT(('تشخيص الحالات'!$B$2:$B$1001=B97)*('تشخيص الحالات'!$G$2:$G$1001=6))&gt;0,"، "&amp;IFERROR(INDEX('تشخيص الحالات'!$D$2:$D$1001,SUMPRODUCT(('تشخيص الحالات'!$B$2:$B$1001=B97)*('تشخيص الحالات'!$G$2:$G$1001=6)*ROW('تشخيص الحالات'!$B$2:$B$1001))-1),""),"")&amp;IF(SUMPRODUCT(('تشخيص الحالات'!$B$2:$B$1001=B97)*('تشخيص الحالات'!$G$2:$G$1001=7))&gt;0,"، "&amp;IFERROR(INDEX('تشخيص الحالات'!$D$2:$D$1001,SUMPRODUCT(('تشخيص الحالات'!$B$2:$B$1001=B97)*('تشخيص الحالات'!$G$2:$G$1001=7)*ROW('تشخيص الحالات'!$B$2:$B$1001))-1),""),"")&amp;IF(SUMPRODUCT(('تشخيص الحالات'!$B$2:$B$1001=B97)*('تشخيص الحالات'!$G$2:$G$1001=8))&gt;0,"، "&amp;IFERROR(INDEX('تشخيص الحالات'!$D$2:$D$1001,SUMPRODUCT(('تشخيص الحالات'!$B$2:$B$1001=B97)*('تشخيص الحالات'!$G$2:$G$1001=8)*ROW('تشخيص الحالات'!$B$2:$B$1001))-1),""),"")</f>
        <v>مشكلات لغوية</v>
      </c>
      <c r="J97" s="1">
        <v>51</v>
      </c>
      <c r="K97" s="1" t="s">
        <v>4</v>
      </c>
      <c r="L97" s="1">
        <v>3500</v>
      </c>
      <c r="M97" s="1" t="s">
        <v>42</v>
      </c>
      <c r="N97" s="1">
        <v>0</v>
      </c>
      <c r="O97" s="1">
        <v>0</v>
      </c>
      <c r="P97" s="1">
        <v>8</v>
      </c>
      <c r="Q97" s="1">
        <v>6</v>
      </c>
      <c r="R97" s="1">
        <v>0</v>
      </c>
      <c r="S97" s="1">
        <v>6</v>
      </c>
      <c r="T97">
        <f>SUM(tbl_Beneficiaries[[#This Row],[ التربية الخاصة ]:[ التأهيل النفسي الحركي ]])</f>
        <v>20</v>
      </c>
    </row>
    <row r="98" spans="1:20" x14ac:dyDescent="0.2">
      <c r="A98" s="1">
        <v>97</v>
      </c>
      <c r="B98" s="1">
        <v>1700680764</v>
      </c>
      <c r="C98" s="1" t="s">
        <v>439</v>
      </c>
      <c r="D98" s="1" t="s">
        <v>7</v>
      </c>
      <c r="E98" s="3">
        <v>42972</v>
      </c>
      <c r="F98" s="1" t="s">
        <v>358</v>
      </c>
      <c r="G98" s="1" t="s">
        <v>0</v>
      </c>
      <c r="H98" s="3">
        <v>45010</v>
      </c>
      <c r="I98" t="str">
        <f>IFERROR(INDEX('تشخيص الحالات'!$D$2:$D$1001,SUMPRODUCT(('تشخيص الحالات'!$B$2:$B$1001=B98)*('تشخيص الحالات'!$G$2:$G$1001=1)*ROW('تشخيص الحالات'!$B$2:$B$1001))-1),"")&amp;IF(SUMPRODUCT(('تشخيص الحالات'!$B$2:$B$1001=B98)*('تشخيص الحالات'!$G$2:$G$1001=2))&gt;0,"، "&amp;IFERROR(INDEX('تشخيص الحالات'!$D$2:$D$1001,SUMPRODUCT(('تشخيص الحالات'!$B$2:$B$1001=B98)*('تشخيص الحالات'!$G$2:$G$1001=2)*ROW('تشخيص الحالات'!$B$2:$B$1001))-1),""),"")&amp;IF(SUMPRODUCT(('تشخيص الحالات'!$B$2:$B$1001=B98)*('تشخيص الحالات'!$G$2:$G$1001=3))&gt;0,"، "&amp;IFERROR(INDEX('تشخيص الحالات'!$D$2:$D$1001,SUMPRODUCT(('تشخيص الحالات'!$B$2:$B$1001=B98)*('تشخيص الحالات'!$G$2:$G$1001=3)*ROW('تشخيص الحالات'!$B$2:$B$1001))-1),""),"")&amp;IF(SUMPRODUCT(('تشخيص الحالات'!$B$2:$B$1001=B98)*('تشخيص الحالات'!$G$2:$G$1001=4))&gt;0,"، "&amp;IFERROR(INDEX('تشخيص الحالات'!$D$2:$D$1001,SUMPRODUCT(('تشخيص الحالات'!$B$2:$B$1001=B98)*('تشخيص الحالات'!$G$2:$G$1001=4)*ROW('تشخيص الحالات'!$B$2:$B$1001))-1),""),"")&amp;IF(SUMPRODUCT(('تشخيص الحالات'!$B$2:$B$1001=B98)*('تشخيص الحالات'!$G$2:$G$1001=5))&gt;0,"، "&amp;IFERROR(INDEX('تشخيص الحالات'!$D$2:$D$1001,SUMPRODUCT(('تشخيص الحالات'!$B$2:$B$1001=B98)*('تشخيص الحالات'!$G$2:$G$1001=5)*ROW('تشخيص الحالات'!$B$2:$B$1001))-1),""),"")&amp;IF(SUMPRODUCT(('تشخيص الحالات'!$B$2:$B$1001=B98)*('تشخيص الحالات'!$G$2:$G$1001=6))&gt;0,"، "&amp;IFERROR(INDEX('تشخيص الحالات'!$D$2:$D$1001,SUMPRODUCT(('تشخيص الحالات'!$B$2:$B$1001=B98)*('تشخيص الحالات'!$G$2:$G$1001=6)*ROW('تشخيص الحالات'!$B$2:$B$1001))-1),""),"")&amp;IF(SUMPRODUCT(('تشخيص الحالات'!$B$2:$B$1001=B98)*('تشخيص الحالات'!$G$2:$G$1001=7))&gt;0,"، "&amp;IFERROR(INDEX('تشخيص الحالات'!$D$2:$D$1001,SUMPRODUCT(('تشخيص الحالات'!$B$2:$B$1001=B98)*('تشخيص الحالات'!$G$2:$G$1001=7)*ROW('تشخيص الحالات'!$B$2:$B$1001))-1),""),"")&amp;IF(SUMPRODUCT(('تشخيص الحالات'!$B$2:$B$1001=B98)*('تشخيص الحالات'!$G$2:$G$1001=8))&gt;0,"، "&amp;IFERROR(INDEX('تشخيص الحالات'!$D$2:$D$1001,SUMPRODUCT(('تشخيص الحالات'!$B$2:$B$1001=B98)*('تشخيص الحالات'!$G$2:$G$1001=8)*ROW('تشخيص الحالات'!$B$2:$B$1001))-1),""),"")</f>
        <v>اضطراب تواصل اجتماعي، تأخر حركي، صعوبات تعلم، اضطراب تكامل حسي</v>
      </c>
      <c r="J98" s="1">
        <v>104</v>
      </c>
      <c r="K98" s="1" t="s">
        <v>38</v>
      </c>
      <c r="L98" s="1">
        <v>3000</v>
      </c>
      <c r="M98" s="1" t="s">
        <v>41</v>
      </c>
      <c r="N98" s="1">
        <v>0</v>
      </c>
      <c r="O98" s="1">
        <v>0</v>
      </c>
      <c r="P98" s="1">
        <v>6</v>
      </c>
      <c r="Q98" s="1">
        <v>0</v>
      </c>
      <c r="R98" s="1">
        <v>0</v>
      </c>
      <c r="S98" s="1">
        <v>0</v>
      </c>
      <c r="T98">
        <f>SUM(tbl_Beneficiaries[[#This Row],[ التربية الخاصة ]:[ التأهيل النفسي الحركي ]])</f>
        <v>6</v>
      </c>
    </row>
    <row r="99" spans="1:20" x14ac:dyDescent="0.2">
      <c r="A99" s="1">
        <v>98</v>
      </c>
      <c r="B99" s="1">
        <v>1635473065</v>
      </c>
      <c r="C99" s="1" t="s">
        <v>111</v>
      </c>
      <c r="D99" s="1" t="s">
        <v>3</v>
      </c>
      <c r="E99" s="3">
        <v>43739</v>
      </c>
      <c r="F99" s="1" t="s">
        <v>361</v>
      </c>
      <c r="G99" s="1" t="s">
        <v>1</v>
      </c>
      <c r="H99" s="3">
        <v>44720</v>
      </c>
      <c r="I99" t="str">
        <f>IFERROR(INDEX('تشخيص الحالات'!$D$2:$D$1001,SUMPRODUCT(('تشخيص الحالات'!$B$2:$B$1001=B99)*('تشخيص الحالات'!$G$2:$G$1001=1)*ROW('تشخيص الحالات'!$B$2:$B$1001))-1),"")&amp;IF(SUMPRODUCT(('تشخيص الحالات'!$B$2:$B$1001=B99)*('تشخيص الحالات'!$G$2:$G$1001=2))&gt;0,"، "&amp;IFERROR(INDEX('تشخيص الحالات'!$D$2:$D$1001,SUMPRODUCT(('تشخيص الحالات'!$B$2:$B$1001=B99)*('تشخيص الحالات'!$G$2:$G$1001=2)*ROW('تشخيص الحالات'!$B$2:$B$1001))-1),""),"")&amp;IF(SUMPRODUCT(('تشخيص الحالات'!$B$2:$B$1001=B99)*('تشخيص الحالات'!$G$2:$G$1001=3))&gt;0,"، "&amp;IFERROR(INDEX('تشخيص الحالات'!$D$2:$D$1001,SUMPRODUCT(('تشخيص الحالات'!$B$2:$B$1001=B99)*('تشخيص الحالات'!$G$2:$G$1001=3)*ROW('تشخيص الحالات'!$B$2:$B$1001))-1),""),"")&amp;IF(SUMPRODUCT(('تشخيص الحالات'!$B$2:$B$1001=B99)*('تشخيص الحالات'!$G$2:$G$1001=4))&gt;0,"، "&amp;IFERROR(INDEX('تشخيص الحالات'!$D$2:$D$1001,SUMPRODUCT(('تشخيص الحالات'!$B$2:$B$1001=B99)*('تشخيص الحالات'!$G$2:$G$1001=4)*ROW('تشخيص الحالات'!$B$2:$B$1001))-1),""),"")&amp;IF(SUMPRODUCT(('تشخيص الحالات'!$B$2:$B$1001=B99)*('تشخيص الحالات'!$G$2:$G$1001=5))&gt;0,"، "&amp;IFERROR(INDEX('تشخيص الحالات'!$D$2:$D$1001,SUMPRODUCT(('تشخيص الحالات'!$B$2:$B$1001=B99)*('تشخيص الحالات'!$G$2:$G$1001=5)*ROW('تشخيص الحالات'!$B$2:$B$1001))-1),""),"")&amp;IF(SUMPRODUCT(('تشخيص الحالات'!$B$2:$B$1001=B99)*('تشخيص الحالات'!$G$2:$G$1001=6))&gt;0,"، "&amp;IFERROR(INDEX('تشخيص الحالات'!$D$2:$D$1001,SUMPRODUCT(('تشخيص الحالات'!$B$2:$B$1001=B99)*('تشخيص الحالات'!$G$2:$G$1001=6)*ROW('تشخيص الحالات'!$B$2:$B$1001))-1),""),"")&amp;IF(SUMPRODUCT(('تشخيص الحالات'!$B$2:$B$1001=B99)*('تشخيص الحالات'!$G$2:$G$1001=7))&gt;0,"، "&amp;IFERROR(INDEX('تشخيص الحالات'!$D$2:$D$1001,SUMPRODUCT(('تشخيص الحالات'!$B$2:$B$1001=B99)*('تشخيص الحالات'!$G$2:$G$1001=7)*ROW('تشخيص الحالات'!$B$2:$B$1001))-1),""),"")&amp;IF(SUMPRODUCT(('تشخيص الحالات'!$B$2:$B$1001=B99)*('تشخيص الحالات'!$G$2:$G$1001=8))&gt;0,"، "&amp;IFERROR(INDEX('تشخيص الحالات'!$D$2:$D$1001,SUMPRODUCT(('تشخيص الحالات'!$B$2:$B$1001=B99)*('تشخيص الحالات'!$G$2:$G$1001=8)*ROW('تشخيص الحالات'!$B$2:$B$1001))-1),""),"")</f>
        <v>اضطراب نفسي حركي، اضطراب تواصل اجتماعي، اضطراب تكامل حسي، إعاقة ذهنية</v>
      </c>
      <c r="J99" s="1">
        <v>58</v>
      </c>
      <c r="K99" s="1" t="s">
        <v>39</v>
      </c>
      <c r="L99" s="1">
        <v>2500</v>
      </c>
      <c r="M99" s="1" t="s">
        <v>40</v>
      </c>
      <c r="N99" s="1">
        <v>6</v>
      </c>
      <c r="O99" s="1">
        <v>5</v>
      </c>
      <c r="P99" s="1">
        <v>0</v>
      </c>
      <c r="Q99" s="1">
        <v>0</v>
      </c>
      <c r="R99" s="1">
        <v>7</v>
      </c>
      <c r="S99" s="1">
        <v>0</v>
      </c>
      <c r="T99">
        <f>SUM(tbl_Beneficiaries[[#This Row],[ التربية الخاصة ]:[ التأهيل النفسي الحركي ]])</f>
        <v>18</v>
      </c>
    </row>
    <row r="100" spans="1:20" x14ac:dyDescent="0.2">
      <c r="A100" s="1">
        <v>99</v>
      </c>
      <c r="B100" s="1">
        <v>1653450224</v>
      </c>
      <c r="C100" s="1" t="s">
        <v>440</v>
      </c>
      <c r="D100" s="1" t="s">
        <v>3</v>
      </c>
      <c r="E100" s="3">
        <v>40821</v>
      </c>
      <c r="F100" s="1" t="s">
        <v>360</v>
      </c>
      <c r="G100" s="1" t="s">
        <v>0</v>
      </c>
      <c r="H100" s="3">
        <v>44631</v>
      </c>
      <c r="I100" t="str">
        <f>IFERROR(INDEX('تشخيص الحالات'!$D$2:$D$1001,SUMPRODUCT(('تشخيص الحالات'!$B$2:$B$1001=B100)*('تشخيص الحالات'!$G$2:$G$1001=1)*ROW('تشخيص الحالات'!$B$2:$B$1001))-1),"")&amp;IF(SUMPRODUCT(('تشخيص الحالات'!$B$2:$B$1001=B100)*('تشخيص الحالات'!$G$2:$G$1001=2))&gt;0,"، "&amp;IFERROR(INDEX('تشخيص الحالات'!$D$2:$D$1001,SUMPRODUCT(('تشخيص الحالات'!$B$2:$B$1001=B100)*('تشخيص الحالات'!$G$2:$G$1001=2)*ROW('تشخيص الحالات'!$B$2:$B$1001))-1),""),"")&amp;IF(SUMPRODUCT(('تشخيص الحالات'!$B$2:$B$1001=B100)*('تشخيص الحالات'!$G$2:$G$1001=3))&gt;0,"، "&amp;IFERROR(INDEX('تشخيص الحالات'!$D$2:$D$1001,SUMPRODUCT(('تشخيص الحالات'!$B$2:$B$1001=B100)*('تشخيص الحالات'!$G$2:$G$1001=3)*ROW('تشخيص الحالات'!$B$2:$B$1001))-1),""),"")&amp;IF(SUMPRODUCT(('تشخيص الحالات'!$B$2:$B$1001=B100)*('تشخيص الحالات'!$G$2:$G$1001=4))&gt;0,"، "&amp;IFERROR(INDEX('تشخيص الحالات'!$D$2:$D$1001,SUMPRODUCT(('تشخيص الحالات'!$B$2:$B$1001=B100)*('تشخيص الحالات'!$G$2:$G$1001=4)*ROW('تشخيص الحالات'!$B$2:$B$1001))-1),""),"")&amp;IF(SUMPRODUCT(('تشخيص الحالات'!$B$2:$B$1001=B100)*('تشخيص الحالات'!$G$2:$G$1001=5))&gt;0,"، "&amp;IFERROR(INDEX('تشخيص الحالات'!$D$2:$D$1001,SUMPRODUCT(('تشخيص الحالات'!$B$2:$B$1001=B100)*('تشخيص الحالات'!$G$2:$G$1001=5)*ROW('تشخيص الحالات'!$B$2:$B$1001))-1),""),"")&amp;IF(SUMPRODUCT(('تشخيص الحالات'!$B$2:$B$1001=B100)*('تشخيص الحالات'!$G$2:$G$1001=6))&gt;0,"، "&amp;IFERROR(INDEX('تشخيص الحالات'!$D$2:$D$1001,SUMPRODUCT(('تشخيص الحالات'!$B$2:$B$1001=B100)*('تشخيص الحالات'!$G$2:$G$1001=6)*ROW('تشخيص الحالات'!$B$2:$B$1001))-1),""),"")&amp;IF(SUMPRODUCT(('تشخيص الحالات'!$B$2:$B$1001=B100)*('تشخيص الحالات'!$G$2:$G$1001=7))&gt;0,"، "&amp;IFERROR(INDEX('تشخيص الحالات'!$D$2:$D$1001,SUMPRODUCT(('تشخيص الحالات'!$B$2:$B$1001=B100)*('تشخيص الحالات'!$G$2:$G$1001=7)*ROW('تشخيص الحالات'!$B$2:$B$1001))-1),""),"")&amp;IF(SUMPRODUCT(('تشخيص الحالات'!$B$2:$B$1001=B100)*('تشخيص الحالات'!$G$2:$G$1001=8))&gt;0,"، "&amp;IFERROR(INDEX('تشخيص الحالات'!$D$2:$D$1001,SUMPRODUCT(('تشخيص الحالات'!$B$2:$B$1001=B100)*('تشخيص الحالات'!$G$2:$G$1001=8)*ROW('تشخيص الحالات'!$B$2:$B$1001))-1),""),"")</f>
        <v>شلل دماغي، اضطراب نفسي</v>
      </c>
      <c r="J100" s="1">
        <v>93</v>
      </c>
      <c r="K100" s="1" t="s">
        <v>38</v>
      </c>
      <c r="L100" s="1">
        <v>2500</v>
      </c>
      <c r="M100" s="1" t="s">
        <v>44</v>
      </c>
      <c r="N100" s="1">
        <v>2</v>
      </c>
      <c r="O100" s="1">
        <v>0</v>
      </c>
      <c r="P100" s="1">
        <v>7</v>
      </c>
      <c r="Q100" s="1">
        <v>6</v>
      </c>
      <c r="R100" s="1">
        <v>2</v>
      </c>
      <c r="S100" s="1">
        <v>0</v>
      </c>
      <c r="T100">
        <f>SUM(tbl_Beneficiaries[[#This Row],[ التربية الخاصة ]:[ التأهيل النفسي الحركي ]])</f>
        <v>17</v>
      </c>
    </row>
    <row r="101" spans="1:20" x14ac:dyDescent="0.2">
      <c r="A101" s="1">
        <v>100</v>
      </c>
      <c r="B101" s="1">
        <v>1812303672</v>
      </c>
      <c r="C101" s="1" t="s">
        <v>441</v>
      </c>
      <c r="D101" s="1" t="s">
        <v>3</v>
      </c>
      <c r="E101" s="3">
        <v>41546</v>
      </c>
      <c r="F101" s="1" t="s">
        <v>359</v>
      </c>
      <c r="G101" s="1" t="s">
        <v>1</v>
      </c>
      <c r="H101" s="3">
        <v>45191</v>
      </c>
      <c r="I101" t="str">
        <f>IFERROR(INDEX('تشخيص الحالات'!$D$2:$D$1001,SUMPRODUCT(('تشخيص الحالات'!$B$2:$B$1001=B101)*('تشخيص الحالات'!$G$2:$G$1001=1)*ROW('تشخيص الحالات'!$B$2:$B$1001))-1),"")&amp;IF(SUMPRODUCT(('تشخيص الحالات'!$B$2:$B$1001=B101)*('تشخيص الحالات'!$G$2:$G$1001=2))&gt;0,"، "&amp;IFERROR(INDEX('تشخيص الحالات'!$D$2:$D$1001,SUMPRODUCT(('تشخيص الحالات'!$B$2:$B$1001=B101)*('تشخيص الحالات'!$G$2:$G$1001=2)*ROW('تشخيص الحالات'!$B$2:$B$1001))-1),""),"")&amp;IF(SUMPRODUCT(('تشخيص الحالات'!$B$2:$B$1001=B101)*('تشخيص الحالات'!$G$2:$G$1001=3))&gt;0,"، "&amp;IFERROR(INDEX('تشخيص الحالات'!$D$2:$D$1001,SUMPRODUCT(('تشخيص الحالات'!$B$2:$B$1001=B101)*('تشخيص الحالات'!$G$2:$G$1001=3)*ROW('تشخيص الحالات'!$B$2:$B$1001))-1),""),"")&amp;IF(SUMPRODUCT(('تشخيص الحالات'!$B$2:$B$1001=B101)*('تشخيص الحالات'!$G$2:$G$1001=4))&gt;0,"، "&amp;IFERROR(INDEX('تشخيص الحالات'!$D$2:$D$1001,SUMPRODUCT(('تشخيص الحالات'!$B$2:$B$1001=B101)*('تشخيص الحالات'!$G$2:$G$1001=4)*ROW('تشخيص الحالات'!$B$2:$B$1001))-1),""),"")&amp;IF(SUMPRODUCT(('تشخيص الحالات'!$B$2:$B$1001=B101)*('تشخيص الحالات'!$G$2:$G$1001=5))&gt;0,"، "&amp;IFERROR(INDEX('تشخيص الحالات'!$D$2:$D$1001,SUMPRODUCT(('تشخيص الحالات'!$B$2:$B$1001=B101)*('تشخيص الحالات'!$G$2:$G$1001=5)*ROW('تشخيص الحالات'!$B$2:$B$1001))-1),""),"")&amp;IF(SUMPRODUCT(('تشخيص الحالات'!$B$2:$B$1001=B101)*('تشخيص الحالات'!$G$2:$G$1001=6))&gt;0,"، "&amp;IFERROR(INDEX('تشخيص الحالات'!$D$2:$D$1001,SUMPRODUCT(('تشخيص الحالات'!$B$2:$B$1001=B101)*('تشخيص الحالات'!$G$2:$G$1001=6)*ROW('تشخيص الحالات'!$B$2:$B$1001))-1),""),"")&amp;IF(SUMPRODUCT(('تشخيص الحالات'!$B$2:$B$1001=B101)*('تشخيص الحالات'!$G$2:$G$1001=7))&gt;0,"، "&amp;IFERROR(INDEX('تشخيص الحالات'!$D$2:$D$1001,SUMPRODUCT(('تشخيص الحالات'!$B$2:$B$1001=B101)*('تشخيص الحالات'!$G$2:$G$1001=7)*ROW('تشخيص الحالات'!$B$2:$B$1001))-1),""),"")&amp;IF(SUMPRODUCT(('تشخيص الحالات'!$B$2:$B$1001=B101)*('تشخيص الحالات'!$G$2:$G$1001=8))&gt;0,"، "&amp;IFERROR(INDEX('تشخيص الحالات'!$D$2:$D$1001,SUMPRODUCT(('تشخيص الحالات'!$B$2:$B$1001=B101)*('تشخيص الحالات'!$G$2:$G$1001=8)*ROW('تشخيص الحالات'!$B$2:$B$1001))-1),""),"")</f>
        <v>اضطراب نفسي حركي، شلل دماغي</v>
      </c>
      <c r="J101" s="1">
        <v>108</v>
      </c>
      <c r="K101" s="1" t="s">
        <v>39</v>
      </c>
      <c r="L101" s="1">
        <v>3500</v>
      </c>
      <c r="M101" s="1" t="s">
        <v>42</v>
      </c>
      <c r="N101" s="1">
        <v>0</v>
      </c>
      <c r="O101" s="1">
        <v>3</v>
      </c>
      <c r="P101" s="1">
        <v>0</v>
      </c>
      <c r="Q101" s="1">
        <v>0</v>
      </c>
      <c r="R101" s="1">
        <v>5</v>
      </c>
      <c r="S101" s="1">
        <v>0</v>
      </c>
      <c r="T101">
        <f>SUM(tbl_Beneficiaries[[#This Row],[ التربية الخاصة ]:[ التأهيل النفسي الحركي ]])</f>
        <v>8</v>
      </c>
    </row>
    <row r="102" spans="1:20" x14ac:dyDescent="0.2">
      <c r="A102" s="1">
        <v>101</v>
      </c>
      <c r="B102" s="1">
        <v>1739588802</v>
      </c>
      <c r="C102" s="1" t="s">
        <v>442</v>
      </c>
      <c r="D102" s="1" t="s">
        <v>3</v>
      </c>
      <c r="E102" s="3">
        <v>41186</v>
      </c>
      <c r="F102" s="1" t="s">
        <v>359</v>
      </c>
      <c r="G102" s="1" t="s">
        <v>4</v>
      </c>
      <c r="H102" s="3">
        <v>44745</v>
      </c>
      <c r="I102" t="str">
        <f>IFERROR(INDEX('تشخيص الحالات'!$D$2:$D$1001,SUMPRODUCT(('تشخيص الحالات'!$B$2:$B$1001=B102)*('تشخيص الحالات'!$G$2:$G$1001=1)*ROW('تشخيص الحالات'!$B$2:$B$1001))-1),"")&amp;IF(SUMPRODUCT(('تشخيص الحالات'!$B$2:$B$1001=B102)*('تشخيص الحالات'!$G$2:$G$1001=2))&gt;0,"، "&amp;IFERROR(INDEX('تشخيص الحالات'!$D$2:$D$1001,SUMPRODUCT(('تشخيص الحالات'!$B$2:$B$1001=B102)*('تشخيص الحالات'!$G$2:$G$1001=2)*ROW('تشخيص الحالات'!$B$2:$B$1001))-1),""),"")&amp;IF(SUMPRODUCT(('تشخيص الحالات'!$B$2:$B$1001=B102)*('تشخيص الحالات'!$G$2:$G$1001=3))&gt;0,"، "&amp;IFERROR(INDEX('تشخيص الحالات'!$D$2:$D$1001,SUMPRODUCT(('تشخيص الحالات'!$B$2:$B$1001=B102)*('تشخيص الحالات'!$G$2:$G$1001=3)*ROW('تشخيص الحالات'!$B$2:$B$1001))-1),""),"")&amp;IF(SUMPRODUCT(('تشخيص الحالات'!$B$2:$B$1001=B102)*('تشخيص الحالات'!$G$2:$G$1001=4))&gt;0,"، "&amp;IFERROR(INDEX('تشخيص الحالات'!$D$2:$D$1001,SUMPRODUCT(('تشخيص الحالات'!$B$2:$B$1001=B102)*('تشخيص الحالات'!$G$2:$G$1001=4)*ROW('تشخيص الحالات'!$B$2:$B$1001))-1),""),"")&amp;IF(SUMPRODUCT(('تشخيص الحالات'!$B$2:$B$1001=B102)*('تشخيص الحالات'!$G$2:$G$1001=5))&gt;0,"، "&amp;IFERROR(INDEX('تشخيص الحالات'!$D$2:$D$1001,SUMPRODUCT(('تشخيص الحالات'!$B$2:$B$1001=B102)*('تشخيص الحالات'!$G$2:$G$1001=5)*ROW('تشخيص الحالات'!$B$2:$B$1001))-1),""),"")&amp;IF(SUMPRODUCT(('تشخيص الحالات'!$B$2:$B$1001=B102)*('تشخيص الحالات'!$G$2:$G$1001=6))&gt;0,"، "&amp;IFERROR(INDEX('تشخيص الحالات'!$D$2:$D$1001,SUMPRODUCT(('تشخيص الحالات'!$B$2:$B$1001=B102)*('تشخيص الحالات'!$G$2:$G$1001=6)*ROW('تشخيص الحالات'!$B$2:$B$1001))-1),""),"")&amp;IF(SUMPRODUCT(('تشخيص الحالات'!$B$2:$B$1001=B102)*('تشخيص الحالات'!$G$2:$G$1001=7))&gt;0,"، "&amp;IFERROR(INDEX('تشخيص الحالات'!$D$2:$D$1001,SUMPRODUCT(('تشخيص الحالات'!$B$2:$B$1001=B102)*('تشخيص الحالات'!$G$2:$G$1001=7)*ROW('تشخيص الحالات'!$B$2:$B$1001))-1),""),"")&amp;IF(SUMPRODUCT(('تشخيص الحالات'!$B$2:$B$1001=B102)*('تشخيص الحالات'!$G$2:$G$1001=8))&gt;0,"، "&amp;IFERROR(INDEX('تشخيص الحالات'!$D$2:$D$1001,SUMPRODUCT(('تشخيص الحالات'!$B$2:$B$1001=B102)*('تشخيص الحالات'!$G$2:$G$1001=8)*ROW('تشخيص الحالات'!$B$2:$B$1001))-1),""),"")</f>
        <v>اضطراب تكامل حسي، فرط الحركة وتشتت الانتباه، صعوبات تعلم</v>
      </c>
      <c r="J102" s="1">
        <v>66</v>
      </c>
      <c r="K102" s="1" t="s">
        <v>39</v>
      </c>
      <c r="L102" s="1">
        <v>3500</v>
      </c>
      <c r="M102" s="1" t="s">
        <v>40</v>
      </c>
      <c r="N102" s="1">
        <v>1</v>
      </c>
      <c r="O102" s="1">
        <v>5</v>
      </c>
      <c r="P102" s="1">
        <v>0</v>
      </c>
      <c r="Q102" s="1">
        <v>6</v>
      </c>
      <c r="R102" s="1">
        <v>0</v>
      </c>
      <c r="S102" s="1">
        <v>1</v>
      </c>
      <c r="T102">
        <f>SUM(tbl_Beneficiaries[[#This Row],[ التربية الخاصة ]:[ التأهيل النفسي الحركي ]])</f>
        <v>13</v>
      </c>
    </row>
    <row r="103" spans="1:20" x14ac:dyDescent="0.2">
      <c r="A103" s="1">
        <v>102</v>
      </c>
      <c r="B103" s="1">
        <v>1715340689</v>
      </c>
      <c r="C103" s="1" t="s">
        <v>443</v>
      </c>
      <c r="D103" s="1" t="s">
        <v>7</v>
      </c>
      <c r="E103" s="3">
        <v>41457</v>
      </c>
      <c r="F103" s="1" t="s">
        <v>359</v>
      </c>
      <c r="G103" s="1" t="s">
        <v>0</v>
      </c>
      <c r="H103" s="3">
        <v>44876</v>
      </c>
      <c r="I103" t="str">
        <f>IFERROR(INDEX('تشخيص الحالات'!$D$2:$D$1001,SUMPRODUCT(('تشخيص الحالات'!$B$2:$B$1001=B103)*('تشخيص الحالات'!$G$2:$G$1001=1)*ROW('تشخيص الحالات'!$B$2:$B$1001))-1),"")&amp;IF(SUMPRODUCT(('تشخيص الحالات'!$B$2:$B$1001=B103)*('تشخيص الحالات'!$G$2:$G$1001=2))&gt;0,"، "&amp;IFERROR(INDEX('تشخيص الحالات'!$D$2:$D$1001,SUMPRODUCT(('تشخيص الحالات'!$B$2:$B$1001=B103)*('تشخيص الحالات'!$G$2:$G$1001=2)*ROW('تشخيص الحالات'!$B$2:$B$1001))-1),""),"")&amp;IF(SUMPRODUCT(('تشخيص الحالات'!$B$2:$B$1001=B103)*('تشخيص الحالات'!$G$2:$G$1001=3))&gt;0,"، "&amp;IFERROR(INDEX('تشخيص الحالات'!$D$2:$D$1001,SUMPRODUCT(('تشخيص الحالات'!$B$2:$B$1001=B103)*('تشخيص الحالات'!$G$2:$G$1001=3)*ROW('تشخيص الحالات'!$B$2:$B$1001))-1),""),"")&amp;IF(SUMPRODUCT(('تشخيص الحالات'!$B$2:$B$1001=B103)*('تشخيص الحالات'!$G$2:$G$1001=4))&gt;0,"، "&amp;IFERROR(INDEX('تشخيص الحالات'!$D$2:$D$1001,SUMPRODUCT(('تشخيص الحالات'!$B$2:$B$1001=B103)*('تشخيص الحالات'!$G$2:$G$1001=4)*ROW('تشخيص الحالات'!$B$2:$B$1001))-1),""),"")&amp;IF(SUMPRODUCT(('تشخيص الحالات'!$B$2:$B$1001=B103)*('تشخيص الحالات'!$G$2:$G$1001=5))&gt;0,"، "&amp;IFERROR(INDEX('تشخيص الحالات'!$D$2:$D$1001,SUMPRODUCT(('تشخيص الحالات'!$B$2:$B$1001=B103)*('تشخيص الحالات'!$G$2:$G$1001=5)*ROW('تشخيص الحالات'!$B$2:$B$1001))-1),""),"")&amp;IF(SUMPRODUCT(('تشخيص الحالات'!$B$2:$B$1001=B103)*('تشخيص الحالات'!$G$2:$G$1001=6))&gt;0,"، "&amp;IFERROR(INDEX('تشخيص الحالات'!$D$2:$D$1001,SUMPRODUCT(('تشخيص الحالات'!$B$2:$B$1001=B103)*('تشخيص الحالات'!$G$2:$G$1001=6)*ROW('تشخيص الحالات'!$B$2:$B$1001))-1),""),"")&amp;IF(SUMPRODUCT(('تشخيص الحالات'!$B$2:$B$1001=B103)*('تشخيص الحالات'!$G$2:$G$1001=7))&gt;0,"، "&amp;IFERROR(INDEX('تشخيص الحالات'!$D$2:$D$1001,SUMPRODUCT(('تشخيص الحالات'!$B$2:$B$1001=B103)*('تشخيص الحالات'!$G$2:$G$1001=7)*ROW('تشخيص الحالات'!$B$2:$B$1001))-1),""),"")&amp;IF(SUMPRODUCT(('تشخيص الحالات'!$B$2:$B$1001=B103)*('تشخيص الحالات'!$G$2:$G$1001=8))&gt;0,"، "&amp;IFERROR(INDEX('تشخيص الحالات'!$D$2:$D$1001,SUMPRODUCT(('تشخيص الحالات'!$B$2:$B$1001=B103)*('تشخيص الحالات'!$G$2:$G$1001=8)*ROW('تشخيص الحالات'!$B$2:$B$1001))-1),""),"")</f>
        <v>إعاقة بصرية، تأخر نمائي</v>
      </c>
      <c r="J103" s="1">
        <v>83</v>
      </c>
      <c r="K103" s="1" t="s">
        <v>4</v>
      </c>
      <c r="L103" s="1">
        <v>2000</v>
      </c>
      <c r="M103" s="1" t="s">
        <v>40</v>
      </c>
      <c r="N103" s="1">
        <v>0</v>
      </c>
      <c r="O103" s="1">
        <v>0</v>
      </c>
      <c r="P103" s="1">
        <v>0</v>
      </c>
      <c r="Q103" s="1">
        <v>7</v>
      </c>
      <c r="R103" s="1">
        <v>4</v>
      </c>
      <c r="S103" s="1">
        <v>2</v>
      </c>
      <c r="T103">
        <f>SUM(tbl_Beneficiaries[[#This Row],[ التربية الخاصة ]:[ التأهيل النفسي الحركي ]])</f>
        <v>13</v>
      </c>
    </row>
    <row r="104" spans="1:20" x14ac:dyDescent="0.2">
      <c r="A104" s="1">
        <v>103</v>
      </c>
      <c r="B104" s="1">
        <v>1130166119</v>
      </c>
      <c r="C104" s="1" t="s">
        <v>112</v>
      </c>
      <c r="D104" s="1" t="s">
        <v>7</v>
      </c>
      <c r="E104" s="3">
        <v>43141</v>
      </c>
      <c r="F104" s="1" t="s">
        <v>360</v>
      </c>
      <c r="G104" s="1" t="s">
        <v>4</v>
      </c>
      <c r="H104" s="3">
        <v>45468</v>
      </c>
      <c r="I104" t="str">
        <f>IFERROR(INDEX('تشخيص الحالات'!$D$2:$D$1001,SUMPRODUCT(('تشخيص الحالات'!$B$2:$B$1001=B104)*('تشخيص الحالات'!$G$2:$G$1001=1)*ROW('تشخيص الحالات'!$B$2:$B$1001))-1),"")&amp;IF(SUMPRODUCT(('تشخيص الحالات'!$B$2:$B$1001=B104)*('تشخيص الحالات'!$G$2:$G$1001=2))&gt;0,"، "&amp;IFERROR(INDEX('تشخيص الحالات'!$D$2:$D$1001,SUMPRODUCT(('تشخيص الحالات'!$B$2:$B$1001=B104)*('تشخيص الحالات'!$G$2:$G$1001=2)*ROW('تشخيص الحالات'!$B$2:$B$1001))-1),""),"")&amp;IF(SUMPRODUCT(('تشخيص الحالات'!$B$2:$B$1001=B104)*('تشخيص الحالات'!$G$2:$G$1001=3))&gt;0,"، "&amp;IFERROR(INDEX('تشخيص الحالات'!$D$2:$D$1001,SUMPRODUCT(('تشخيص الحالات'!$B$2:$B$1001=B104)*('تشخيص الحالات'!$G$2:$G$1001=3)*ROW('تشخيص الحالات'!$B$2:$B$1001))-1),""),"")&amp;IF(SUMPRODUCT(('تشخيص الحالات'!$B$2:$B$1001=B104)*('تشخيص الحالات'!$G$2:$G$1001=4))&gt;0,"، "&amp;IFERROR(INDEX('تشخيص الحالات'!$D$2:$D$1001,SUMPRODUCT(('تشخيص الحالات'!$B$2:$B$1001=B104)*('تشخيص الحالات'!$G$2:$G$1001=4)*ROW('تشخيص الحالات'!$B$2:$B$1001))-1),""),"")&amp;IF(SUMPRODUCT(('تشخيص الحالات'!$B$2:$B$1001=B104)*('تشخيص الحالات'!$G$2:$G$1001=5))&gt;0,"، "&amp;IFERROR(INDEX('تشخيص الحالات'!$D$2:$D$1001,SUMPRODUCT(('تشخيص الحالات'!$B$2:$B$1001=B104)*('تشخيص الحالات'!$G$2:$G$1001=5)*ROW('تشخيص الحالات'!$B$2:$B$1001))-1),""),"")&amp;IF(SUMPRODUCT(('تشخيص الحالات'!$B$2:$B$1001=B104)*('تشخيص الحالات'!$G$2:$G$1001=6))&gt;0,"، "&amp;IFERROR(INDEX('تشخيص الحالات'!$D$2:$D$1001,SUMPRODUCT(('تشخيص الحالات'!$B$2:$B$1001=B104)*('تشخيص الحالات'!$G$2:$G$1001=6)*ROW('تشخيص الحالات'!$B$2:$B$1001))-1),""),"")&amp;IF(SUMPRODUCT(('تشخيص الحالات'!$B$2:$B$1001=B104)*('تشخيص الحالات'!$G$2:$G$1001=7))&gt;0,"، "&amp;IFERROR(INDEX('تشخيص الحالات'!$D$2:$D$1001,SUMPRODUCT(('تشخيص الحالات'!$B$2:$B$1001=B104)*('تشخيص الحالات'!$G$2:$G$1001=7)*ROW('تشخيص الحالات'!$B$2:$B$1001))-1),""),"")&amp;IF(SUMPRODUCT(('تشخيص الحالات'!$B$2:$B$1001=B104)*('تشخيص الحالات'!$G$2:$G$1001=8))&gt;0,"، "&amp;IFERROR(INDEX('تشخيص الحالات'!$D$2:$D$1001,SUMPRODUCT(('تشخيص الحالات'!$B$2:$B$1001=B104)*('تشخيص الحالات'!$G$2:$G$1001=8)*ROW('تشخيص الحالات'!$B$2:$B$1001))-1),""),"")</f>
        <v>إعاقة سمعية، فرط الحركة وتشتت الانتباه</v>
      </c>
      <c r="J104" s="1">
        <v>46</v>
      </c>
      <c r="K104" s="1" t="s">
        <v>39</v>
      </c>
      <c r="L104" s="1">
        <v>3500</v>
      </c>
      <c r="M104" s="1" t="s">
        <v>42</v>
      </c>
      <c r="N104" s="1">
        <v>7</v>
      </c>
      <c r="O104" s="1">
        <v>1</v>
      </c>
      <c r="P104" s="1">
        <v>0</v>
      </c>
      <c r="Q104" s="1">
        <v>3</v>
      </c>
      <c r="R104" s="1">
        <v>0</v>
      </c>
      <c r="S104" s="1">
        <v>1</v>
      </c>
      <c r="T104">
        <f>SUM(tbl_Beneficiaries[[#This Row],[ التربية الخاصة ]:[ التأهيل النفسي الحركي ]])</f>
        <v>12</v>
      </c>
    </row>
    <row r="105" spans="1:20" x14ac:dyDescent="0.2">
      <c r="A105" s="1">
        <v>104</v>
      </c>
      <c r="B105" s="1">
        <v>1114109506</v>
      </c>
      <c r="C105" s="1" t="s">
        <v>444</v>
      </c>
      <c r="D105" s="1" t="s">
        <v>7</v>
      </c>
      <c r="E105" s="3">
        <v>43056</v>
      </c>
      <c r="F105" s="1" t="s">
        <v>360</v>
      </c>
      <c r="G105" s="1" t="s">
        <v>0</v>
      </c>
      <c r="H105" s="3">
        <v>44795</v>
      </c>
      <c r="I105" t="str">
        <f>IFERROR(INDEX('تشخيص الحالات'!$D$2:$D$1001,SUMPRODUCT(('تشخيص الحالات'!$B$2:$B$1001=B105)*('تشخيص الحالات'!$G$2:$G$1001=1)*ROW('تشخيص الحالات'!$B$2:$B$1001))-1),"")&amp;IF(SUMPRODUCT(('تشخيص الحالات'!$B$2:$B$1001=B105)*('تشخيص الحالات'!$G$2:$G$1001=2))&gt;0,"، "&amp;IFERROR(INDEX('تشخيص الحالات'!$D$2:$D$1001,SUMPRODUCT(('تشخيص الحالات'!$B$2:$B$1001=B105)*('تشخيص الحالات'!$G$2:$G$1001=2)*ROW('تشخيص الحالات'!$B$2:$B$1001))-1),""),"")&amp;IF(SUMPRODUCT(('تشخيص الحالات'!$B$2:$B$1001=B105)*('تشخيص الحالات'!$G$2:$G$1001=3))&gt;0,"، "&amp;IFERROR(INDEX('تشخيص الحالات'!$D$2:$D$1001,SUMPRODUCT(('تشخيص الحالات'!$B$2:$B$1001=B105)*('تشخيص الحالات'!$G$2:$G$1001=3)*ROW('تشخيص الحالات'!$B$2:$B$1001))-1),""),"")&amp;IF(SUMPRODUCT(('تشخيص الحالات'!$B$2:$B$1001=B105)*('تشخيص الحالات'!$G$2:$G$1001=4))&gt;0,"، "&amp;IFERROR(INDEX('تشخيص الحالات'!$D$2:$D$1001,SUMPRODUCT(('تشخيص الحالات'!$B$2:$B$1001=B105)*('تشخيص الحالات'!$G$2:$G$1001=4)*ROW('تشخيص الحالات'!$B$2:$B$1001))-1),""),"")&amp;IF(SUMPRODUCT(('تشخيص الحالات'!$B$2:$B$1001=B105)*('تشخيص الحالات'!$G$2:$G$1001=5))&gt;0,"، "&amp;IFERROR(INDEX('تشخيص الحالات'!$D$2:$D$1001,SUMPRODUCT(('تشخيص الحالات'!$B$2:$B$1001=B105)*('تشخيص الحالات'!$G$2:$G$1001=5)*ROW('تشخيص الحالات'!$B$2:$B$1001))-1),""),"")&amp;IF(SUMPRODUCT(('تشخيص الحالات'!$B$2:$B$1001=B105)*('تشخيص الحالات'!$G$2:$G$1001=6))&gt;0,"، "&amp;IFERROR(INDEX('تشخيص الحالات'!$D$2:$D$1001,SUMPRODUCT(('تشخيص الحالات'!$B$2:$B$1001=B105)*('تشخيص الحالات'!$G$2:$G$1001=6)*ROW('تشخيص الحالات'!$B$2:$B$1001))-1),""),"")&amp;IF(SUMPRODUCT(('تشخيص الحالات'!$B$2:$B$1001=B105)*('تشخيص الحالات'!$G$2:$G$1001=7))&gt;0,"، "&amp;IFERROR(INDEX('تشخيص الحالات'!$D$2:$D$1001,SUMPRODUCT(('تشخيص الحالات'!$B$2:$B$1001=B105)*('تشخيص الحالات'!$G$2:$G$1001=7)*ROW('تشخيص الحالات'!$B$2:$B$1001))-1),""),"")&amp;IF(SUMPRODUCT(('تشخيص الحالات'!$B$2:$B$1001=B105)*('تشخيص الحالات'!$G$2:$G$1001=8))&gt;0,"، "&amp;IFERROR(INDEX('تشخيص الحالات'!$D$2:$D$1001,SUMPRODUCT(('تشخيص الحالات'!$B$2:$B$1001=B105)*('تشخيص الحالات'!$G$2:$G$1001=8)*ROW('تشخيص الحالات'!$B$2:$B$1001))-1),""),"")</f>
        <v>اضطراب تواصل اجتماعي</v>
      </c>
      <c r="J105" s="1">
        <v>73</v>
      </c>
      <c r="K105" s="1" t="s">
        <v>39</v>
      </c>
      <c r="L105" s="1">
        <v>2000</v>
      </c>
      <c r="M105" s="1" t="s">
        <v>41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3</v>
      </c>
      <c r="T105">
        <f>SUM(tbl_Beneficiaries[[#This Row],[ التربية الخاصة ]:[ التأهيل النفسي الحركي ]])</f>
        <v>3</v>
      </c>
    </row>
    <row r="106" spans="1:20" x14ac:dyDescent="0.2">
      <c r="A106" s="1">
        <v>105</v>
      </c>
      <c r="B106" s="1">
        <v>1715681493</v>
      </c>
      <c r="C106" s="1" t="s">
        <v>445</v>
      </c>
      <c r="D106" s="1" t="s">
        <v>7</v>
      </c>
      <c r="E106" s="3">
        <v>41032</v>
      </c>
      <c r="F106" s="1" t="s">
        <v>360</v>
      </c>
      <c r="G106" s="1" t="s">
        <v>1</v>
      </c>
      <c r="H106" s="3">
        <v>44571</v>
      </c>
      <c r="I106" t="str">
        <f>IFERROR(INDEX('تشخيص الحالات'!$D$2:$D$1001,SUMPRODUCT(('تشخيص الحالات'!$B$2:$B$1001=B106)*('تشخيص الحالات'!$G$2:$G$1001=1)*ROW('تشخيص الحالات'!$B$2:$B$1001))-1),"")&amp;IF(SUMPRODUCT(('تشخيص الحالات'!$B$2:$B$1001=B106)*('تشخيص الحالات'!$G$2:$G$1001=2))&gt;0,"، "&amp;IFERROR(INDEX('تشخيص الحالات'!$D$2:$D$1001,SUMPRODUCT(('تشخيص الحالات'!$B$2:$B$1001=B106)*('تشخيص الحالات'!$G$2:$G$1001=2)*ROW('تشخيص الحالات'!$B$2:$B$1001))-1),""),"")&amp;IF(SUMPRODUCT(('تشخيص الحالات'!$B$2:$B$1001=B106)*('تشخيص الحالات'!$G$2:$G$1001=3))&gt;0,"، "&amp;IFERROR(INDEX('تشخيص الحالات'!$D$2:$D$1001,SUMPRODUCT(('تشخيص الحالات'!$B$2:$B$1001=B106)*('تشخيص الحالات'!$G$2:$G$1001=3)*ROW('تشخيص الحالات'!$B$2:$B$1001))-1),""),"")&amp;IF(SUMPRODUCT(('تشخيص الحالات'!$B$2:$B$1001=B106)*('تشخيص الحالات'!$G$2:$G$1001=4))&gt;0,"، "&amp;IFERROR(INDEX('تشخيص الحالات'!$D$2:$D$1001,SUMPRODUCT(('تشخيص الحالات'!$B$2:$B$1001=B106)*('تشخيص الحالات'!$G$2:$G$1001=4)*ROW('تشخيص الحالات'!$B$2:$B$1001))-1),""),"")&amp;IF(SUMPRODUCT(('تشخيص الحالات'!$B$2:$B$1001=B106)*('تشخيص الحالات'!$G$2:$G$1001=5))&gt;0,"، "&amp;IFERROR(INDEX('تشخيص الحالات'!$D$2:$D$1001,SUMPRODUCT(('تشخيص الحالات'!$B$2:$B$1001=B106)*('تشخيص الحالات'!$G$2:$G$1001=5)*ROW('تشخيص الحالات'!$B$2:$B$1001))-1),""),"")&amp;IF(SUMPRODUCT(('تشخيص الحالات'!$B$2:$B$1001=B106)*('تشخيص الحالات'!$G$2:$G$1001=6))&gt;0,"، "&amp;IFERROR(INDEX('تشخيص الحالات'!$D$2:$D$1001,SUMPRODUCT(('تشخيص الحالات'!$B$2:$B$1001=B106)*('تشخيص الحالات'!$G$2:$G$1001=6)*ROW('تشخيص الحالات'!$B$2:$B$1001))-1),""),"")&amp;IF(SUMPRODUCT(('تشخيص الحالات'!$B$2:$B$1001=B106)*('تشخيص الحالات'!$G$2:$G$1001=7))&gt;0,"، "&amp;IFERROR(INDEX('تشخيص الحالات'!$D$2:$D$1001,SUMPRODUCT(('تشخيص الحالات'!$B$2:$B$1001=B106)*('تشخيص الحالات'!$G$2:$G$1001=7)*ROW('تشخيص الحالات'!$B$2:$B$1001))-1),""),"")&amp;IF(SUMPRODUCT(('تشخيص الحالات'!$B$2:$B$1001=B106)*('تشخيص الحالات'!$G$2:$G$1001=8))&gt;0,"، "&amp;IFERROR(INDEX('تشخيص الحالات'!$D$2:$D$1001,SUMPRODUCT(('تشخيص الحالات'!$B$2:$B$1001=B106)*('تشخيص الحالات'!$G$2:$G$1001=8)*ROW('تشخيص الحالات'!$B$2:$B$1001))-1),""),"")</f>
        <v>إعاقة بصرية، اضطراب نفسي، مشكلات أسرية / اجتماعية</v>
      </c>
      <c r="J106" s="1">
        <v>57</v>
      </c>
      <c r="K106" s="1" t="s">
        <v>39</v>
      </c>
      <c r="L106" s="1">
        <v>3000</v>
      </c>
      <c r="M106" s="1" t="s">
        <v>43</v>
      </c>
      <c r="N106" s="1">
        <v>2</v>
      </c>
      <c r="O106" s="1">
        <v>0</v>
      </c>
      <c r="P106" s="1">
        <v>9</v>
      </c>
      <c r="Q106" s="1">
        <v>4</v>
      </c>
      <c r="R106" s="1">
        <v>0</v>
      </c>
      <c r="S106" s="1">
        <v>4</v>
      </c>
      <c r="T106">
        <f>SUM(tbl_Beneficiaries[[#This Row],[ التربية الخاصة ]:[ التأهيل النفسي الحركي ]])</f>
        <v>19</v>
      </c>
    </row>
    <row r="107" spans="1:20" x14ac:dyDescent="0.2">
      <c r="A107" s="1">
        <v>106</v>
      </c>
      <c r="B107" s="1">
        <v>1135186222</v>
      </c>
      <c r="C107" s="1" t="s">
        <v>446</v>
      </c>
      <c r="D107" s="1" t="s">
        <v>7</v>
      </c>
      <c r="E107" s="3">
        <v>43383</v>
      </c>
      <c r="F107" s="1" t="s">
        <v>361</v>
      </c>
      <c r="G107" s="1" t="s">
        <v>0</v>
      </c>
      <c r="H107" s="3">
        <v>45191</v>
      </c>
      <c r="I107" t="str">
        <f>IFERROR(INDEX('تشخيص الحالات'!$D$2:$D$1001,SUMPRODUCT(('تشخيص الحالات'!$B$2:$B$1001=B107)*('تشخيص الحالات'!$G$2:$G$1001=1)*ROW('تشخيص الحالات'!$B$2:$B$1001))-1),"")&amp;IF(SUMPRODUCT(('تشخيص الحالات'!$B$2:$B$1001=B107)*('تشخيص الحالات'!$G$2:$G$1001=2))&gt;0,"، "&amp;IFERROR(INDEX('تشخيص الحالات'!$D$2:$D$1001,SUMPRODUCT(('تشخيص الحالات'!$B$2:$B$1001=B107)*('تشخيص الحالات'!$G$2:$G$1001=2)*ROW('تشخيص الحالات'!$B$2:$B$1001))-1),""),"")&amp;IF(SUMPRODUCT(('تشخيص الحالات'!$B$2:$B$1001=B107)*('تشخيص الحالات'!$G$2:$G$1001=3))&gt;0,"، "&amp;IFERROR(INDEX('تشخيص الحالات'!$D$2:$D$1001,SUMPRODUCT(('تشخيص الحالات'!$B$2:$B$1001=B107)*('تشخيص الحالات'!$G$2:$G$1001=3)*ROW('تشخيص الحالات'!$B$2:$B$1001))-1),""),"")&amp;IF(SUMPRODUCT(('تشخيص الحالات'!$B$2:$B$1001=B107)*('تشخيص الحالات'!$G$2:$G$1001=4))&gt;0,"، "&amp;IFERROR(INDEX('تشخيص الحالات'!$D$2:$D$1001,SUMPRODUCT(('تشخيص الحالات'!$B$2:$B$1001=B107)*('تشخيص الحالات'!$G$2:$G$1001=4)*ROW('تشخيص الحالات'!$B$2:$B$1001))-1),""),"")&amp;IF(SUMPRODUCT(('تشخيص الحالات'!$B$2:$B$1001=B107)*('تشخيص الحالات'!$G$2:$G$1001=5))&gt;0,"، "&amp;IFERROR(INDEX('تشخيص الحالات'!$D$2:$D$1001,SUMPRODUCT(('تشخيص الحالات'!$B$2:$B$1001=B107)*('تشخيص الحالات'!$G$2:$G$1001=5)*ROW('تشخيص الحالات'!$B$2:$B$1001))-1),""),"")&amp;IF(SUMPRODUCT(('تشخيص الحالات'!$B$2:$B$1001=B107)*('تشخيص الحالات'!$G$2:$G$1001=6))&gt;0,"، "&amp;IFERROR(INDEX('تشخيص الحالات'!$D$2:$D$1001,SUMPRODUCT(('تشخيص الحالات'!$B$2:$B$1001=B107)*('تشخيص الحالات'!$G$2:$G$1001=6)*ROW('تشخيص الحالات'!$B$2:$B$1001))-1),""),"")&amp;IF(SUMPRODUCT(('تشخيص الحالات'!$B$2:$B$1001=B107)*('تشخيص الحالات'!$G$2:$G$1001=7))&gt;0,"، "&amp;IFERROR(INDEX('تشخيص الحالات'!$D$2:$D$1001,SUMPRODUCT(('تشخيص الحالات'!$B$2:$B$1001=B107)*('تشخيص الحالات'!$G$2:$G$1001=7)*ROW('تشخيص الحالات'!$B$2:$B$1001))-1),""),"")&amp;IF(SUMPRODUCT(('تشخيص الحالات'!$B$2:$B$1001=B107)*('تشخيص الحالات'!$G$2:$G$1001=8))&gt;0,"، "&amp;IFERROR(INDEX('تشخيص الحالات'!$D$2:$D$1001,SUMPRODUCT(('تشخيص الحالات'!$B$2:$B$1001=B107)*('تشخيص الحالات'!$G$2:$G$1001=8)*ROW('تشخيص الحالات'!$B$2:$B$1001))-1),""),"")</f>
        <v>شلل دماغي، تأخر نمائي، مشكلات أسرية / اجتماعية، تأخر حركي</v>
      </c>
      <c r="J107" s="1">
        <v>43</v>
      </c>
      <c r="K107" s="1" t="s">
        <v>38</v>
      </c>
      <c r="L107" s="1">
        <v>2500</v>
      </c>
      <c r="M107" s="1" t="s">
        <v>44</v>
      </c>
      <c r="N107" s="1">
        <v>8</v>
      </c>
      <c r="O107" s="1">
        <v>9</v>
      </c>
      <c r="P107" s="1">
        <v>0</v>
      </c>
      <c r="Q107" s="1">
        <v>6</v>
      </c>
      <c r="R107" s="1">
        <v>9</v>
      </c>
      <c r="S107" s="1">
        <v>0</v>
      </c>
      <c r="T107">
        <f>SUM(tbl_Beneficiaries[[#This Row],[ التربية الخاصة ]:[ التأهيل النفسي الحركي ]])</f>
        <v>32</v>
      </c>
    </row>
    <row r="108" spans="1:20" x14ac:dyDescent="0.2">
      <c r="A108" s="1">
        <v>107</v>
      </c>
      <c r="B108" s="1">
        <v>1704919362</v>
      </c>
      <c r="C108" s="1" t="s">
        <v>447</v>
      </c>
      <c r="D108" s="1" t="s">
        <v>7</v>
      </c>
      <c r="E108" s="3">
        <v>42571</v>
      </c>
      <c r="F108" s="1" t="s">
        <v>357</v>
      </c>
      <c r="G108" s="1" t="s">
        <v>1</v>
      </c>
      <c r="H108" s="3">
        <v>45256</v>
      </c>
      <c r="I108" t="str">
        <f>IFERROR(INDEX('تشخيص الحالات'!$D$2:$D$1001,SUMPRODUCT(('تشخيص الحالات'!$B$2:$B$1001=B108)*('تشخيص الحالات'!$G$2:$G$1001=1)*ROW('تشخيص الحالات'!$B$2:$B$1001))-1),"")&amp;IF(SUMPRODUCT(('تشخيص الحالات'!$B$2:$B$1001=B108)*('تشخيص الحالات'!$G$2:$G$1001=2))&gt;0,"، "&amp;IFERROR(INDEX('تشخيص الحالات'!$D$2:$D$1001,SUMPRODUCT(('تشخيص الحالات'!$B$2:$B$1001=B108)*('تشخيص الحالات'!$G$2:$G$1001=2)*ROW('تشخيص الحالات'!$B$2:$B$1001))-1),""),"")&amp;IF(SUMPRODUCT(('تشخيص الحالات'!$B$2:$B$1001=B108)*('تشخيص الحالات'!$G$2:$G$1001=3))&gt;0,"، "&amp;IFERROR(INDEX('تشخيص الحالات'!$D$2:$D$1001,SUMPRODUCT(('تشخيص الحالات'!$B$2:$B$1001=B108)*('تشخيص الحالات'!$G$2:$G$1001=3)*ROW('تشخيص الحالات'!$B$2:$B$1001))-1),""),"")&amp;IF(SUMPRODUCT(('تشخيص الحالات'!$B$2:$B$1001=B108)*('تشخيص الحالات'!$G$2:$G$1001=4))&gt;0,"، "&amp;IFERROR(INDEX('تشخيص الحالات'!$D$2:$D$1001,SUMPRODUCT(('تشخيص الحالات'!$B$2:$B$1001=B108)*('تشخيص الحالات'!$G$2:$G$1001=4)*ROW('تشخيص الحالات'!$B$2:$B$1001))-1),""),"")&amp;IF(SUMPRODUCT(('تشخيص الحالات'!$B$2:$B$1001=B108)*('تشخيص الحالات'!$G$2:$G$1001=5))&gt;0,"، "&amp;IFERROR(INDEX('تشخيص الحالات'!$D$2:$D$1001,SUMPRODUCT(('تشخيص الحالات'!$B$2:$B$1001=B108)*('تشخيص الحالات'!$G$2:$G$1001=5)*ROW('تشخيص الحالات'!$B$2:$B$1001))-1),""),"")&amp;IF(SUMPRODUCT(('تشخيص الحالات'!$B$2:$B$1001=B108)*('تشخيص الحالات'!$G$2:$G$1001=6))&gt;0,"، "&amp;IFERROR(INDEX('تشخيص الحالات'!$D$2:$D$1001,SUMPRODUCT(('تشخيص الحالات'!$B$2:$B$1001=B108)*('تشخيص الحالات'!$G$2:$G$1001=6)*ROW('تشخيص الحالات'!$B$2:$B$1001))-1),""),"")&amp;IF(SUMPRODUCT(('تشخيص الحالات'!$B$2:$B$1001=B108)*('تشخيص الحالات'!$G$2:$G$1001=7))&gt;0,"، "&amp;IFERROR(INDEX('تشخيص الحالات'!$D$2:$D$1001,SUMPRODUCT(('تشخيص الحالات'!$B$2:$B$1001=B108)*('تشخيص الحالات'!$G$2:$G$1001=7)*ROW('تشخيص الحالات'!$B$2:$B$1001))-1),""),"")&amp;IF(SUMPRODUCT(('تشخيص الحالات'!$B$2:$B$1001=B108)*('تشخيص الحالات'!$G$2:$G$1001=8))&gt;0,"، "&amp;IFERROR(INDEX('تشخيص الحالات'!$D$2:$D$1001,SUMPRODUCT(('تشخيص الحالات'!$B$2:$B$1001=B108)*('تشخيص الحالات'!$G$2:$G$1001=8)*ROW('تشخيص الحالات'!$B$2:$B$1001))-1),""),"")</f>
        <v>مشكلات لغوية، اضطراب تكامل حسي</v>
      </c>
      <c r="J108" s="1">
        <v>51</v>
      </c>
      <c r="K108" s="1" t="s">
        <v>39</v>
      </c>
      <c r="L108" s="1">
        <v>1500</v>
      </c>
      <c r="M108" s="1" t="s">
        <v>44</v>
      </c>
      <c r="N108" s="1">
        <v>0</v>
      </c>
      <c r="O108" s="1">
        <v>0</v>
      </c>
      <c r="P108" s="1">
        <v>0</v>
      </c>
      <c r="Q108" s="1">
        <v>0</v>
      </c>
      <c r="R108" s="1">
        <v>4</v>
      </c>
      <c r="S108" s="1">
        <v>8</v>
      </c>
      <c r="T108">
        <f>SUM(tbl_Beneficiaries[[#This Row],[ التربية الخاصة ]:[ التأهيل النفسي الحركي ]])</f>
        <v>12</v>
      </c>
    </row>
    <row r="109" spans="1:20" x14ac:dyDescent="0.2">
      <c r="A109" s="1">
        <v>108</v>
      </c>
      <c r="B109" s="1">
        <v>1087747431</v>
      </c>
      <c r="C109" s="1" t="s">
        <v>113</v>
      </c>
      <c r="D109" s="1" t="s">
        <v>3</v>
      </c>
      <c r="E109" s="3">
        <v>42456</v>
      </c>
      <c r="F109" s="1" t="s">
        <v>360</v>
      </c>
      <c r="G109" s="1" t="s">
        <v>4</v>
      </c>
      <c r="H109" s="3">
        <v>45137</v>
      </c>
      <c r="I109" t="str">
        <f>IFERROR(INDEX('تشخيص الحالات'!$D$2:$D$1001,SUMPRODUCT(('تشخيص الحالات'!$B$2:$B$1001=B109)*('تشخيص الحالات'!$G$2:$G$1001=1)*ROW('تشخيص الحالات'!$B$2:$B$1001))-1),"")&amp;IF(SUMPRODUCT(('تشخيص الحالات'!$B$2:$B$1001=B109)*('تشخيص الحالات'!$G$2:$G$1001=2))&gt;0,"، "&amp;IFERROR(INDEX('تشخيص الحالات'!$D$2:$D$1001,SUMPRODUCT(('تشخيص الحالات'!$B$2:$B$1001=B109)*('تشخيص الحالات'!$G$2:$G$1001=2)*ROW('تشخيص الحالات'!$B$2:$B$1001))-1),""),"")&amp;IF(SUMPRODUCT(('تشخيص الحالات'!$B$2:$B$1001=B109)*('تشخيص الحالات'!$G$2:$G$1001=3))&gt;0,"، "&amp;IFERROR(INDEX('تشخيص الحالات'!$D$2:$D$1001,SUMPRODUCT(('تشخيص الحالات'!$B$2:$B$1001=B109)*('تشخيص الحالات'!$G$2:$G$1001=3)*ROW('تشخيص الحالات'!$B$2:$B$1001))-1),""),"")&amp;IF(SUMPRODUCT(('تشخيص الحالات'!$B$2:$B$1001=B109)*('تشخيص الحالات'!$G$2:$G$1001=4))&gt;0,"، "&amp;IFERROR(INDEX('تشخيص الحالات'!$D$2:$D$1001,SUMPRODUCT(('تشخيص الحالات'!$B$2:$B$1001=B109)*('تشخيص الحالات'!$G$2:$G$1001=4)*ROW('تشخيص الحالات'!$B$2:$B$1001))-1),""),"")&amp;IF(SUMPRODUCT(('تشخيص الحالات'!$B$2:$B$1001=B109)*('تشخيص الحالات'!$G$2:$G$1001=5))&gt;0,"، "&amp;IFERROR(INDEX('تشخيص الحالات'!$D$2:$D$1001,SUMPRODUCT(('تشخيص الحالات'!$B$2:$B$1001=B109)*('تشخيص الحالات'!$G$2:$G$1001=5)*ROW('تشخيص الحالات'!$B$2:$B$1001))-1),""),"")&amp;IF(SUMPRODUCT(('تشخيص الحالات'!$B$2:$B$1001=B109)*('تشخيص الحالات'!$G$2:$G$1001=6))&gt;0,"، "&amp;IFERROR(INDEX('تشخيص الحالات'!$D$2:$D$1001,SUMPRODUCT(('تشخيص الحالات'!$B$2:$B$1001=B109)*('تشخيص الحالات'!$G$2:$G$1001=6)*ROW('تشخيص الحالات'!$B$2:$B$1001))-1),""),"")&amp;IF(SUMPRODUCT(('تشخيص الحالات'!$B$2:$B$1001=B109)*('تشخيص الحالات'!$G$2:$G$1001=7))&gt;0,"، "&amp;IFERROR(INDEX('تشخيص الحالات'!$D$2:$D$1001,SUMPRODUCT(('تشخيص الحالات'!$B$2:$B$1001=B109)*('تشخيص الحالات'!$G$2:$G$1001=7)*ROW('تشخيص الحالات'!$B$2:$B$1001))-1),""),"")&amp;IF(SUMPRODUCT(('تشخيص الحالات'!$B$2:$B$1001=B109)*('تشخيص الحالات'!$G$2:$G$1001=8))&gt;0,"، "&amp;IFERROR(INDEX('تشخيص الحالات'!$D$2:$D$1001,SUMPRODUCT(('تشخيص الحالات'!$B$2:$B$1001=B109)*('تشخيص الحالات'!$G$2:$G$1001=8)*ROW('تشخيص الحالات'!$B$2:$B$1001))-1),""),"")</f>
        <v>مشكلات أسرية / اجتماعية، اضطراب تكامل حسي، اضطراب تواصل اجتماعي</v>
      </c>
      <c r="J109" s="1">
        <v>44</v>
      </c>
      <c r="K109" s="1" t="s">
        <v>4</v>
      </c>
      <c r="L109" s="1">
        <v>4000</v>
      </c>
      <c r="M109" s="1" t="s">
        <v>44</v>
      </c>
      <c r="N109" s="1">
        <v>0</v>
      </c>
      <c r="O109" s="1">
        <v>2</v>
      </c>
      <c r="P109" s="1">
        <v>5</v>
      </c>
      <c r="Q109" s="1">
        <v>9</v>
      </c>
      <c r="R109" s="1">
        <v>0</v>
      </c>
      <c r="S109" s="1">
        <v>0</v>
      </c>
      <c r="T109">
        <f>SUM(tbl_Beneficiaries[[#This Row],[ التربية الخاصة ]:[ التأهيل النفسي الحركي ]])</f>
        <v>16</v>
      </c>
    </row>
    <row r="110" spans="1:20" x14ac:dyDescent="0.2">
      <c r="A110" s="1">
        <v>109</v>
      </c>
      <c r="B110" s="1">
        <v>1742902647</v>
      </c>
      <c r="C110" s="1" t="s">
        <v>448</v>
      </c>
      <c r="D110" s="1" t="s">
        <v>3</v>
      </c>
      <c r="E110" s="3">
        <v>42726</v>
      </c>
      <c r="F110" s="1" t="s">
        <v>358</v>
      </c>
      <c r="G110" s="1" t="s">
        <v>1</v>
      </c>
      <c r="H110" s="3">
        <v>44649</v>
      </c>
      <c r="I110" t="str">
        <f>IFERROR(INDEX('تشخيص الحالات'!$D$2:$D$1001,SUMPRODUCT(('تشخيص الحالات'!$B$2:$B$1001=B110)*('تشخيص الحالات'!$G$2:$G$1001=1)*ROW('تشخيص الحالات'!$B$2:$B$1001))-1),"")&amp;IF(SUMPRODUCT(('تشخيص الحالات'!$B$2:$B$1001=B110)*('تشخيص الحالات'!$G$2:$G$1001=2))&gt;0,"، "&amp;IFERROR(INDEX('تشخيص الحالات'!$D$2:$D$1001,SUMPRODUCT(('تشخيص الحالات'!$B$2:$B$1001=B110)*('تشخيص الحالات'!$G$2:$G$1001=2)*ROW('تشخيص الحالات'!$B$2:$B$1001))-1),""),"")&amp;IF(SUMPRODUCT(('تشخيص الحالات'!$B$2:$B$1001=B110)*('تشخيص الحالات'!$G$2:$G$1001=3))&gt;0,"، "&amp;IFERROR(INDEX('تشخيص الحالات'!$D$2:$D$1001,SUMPRODUCT(('تشخيص الحالات'!$B$2:$B$1001=B110)*('تشخيص الحالات'!$G$2:$G$1001=3)*ROW('تشخيص الحالات'!$B$2:$B$1001))-1),""),"")&amp;IF(SUMPRODUCT(('تشخيص الحالات'!$B$2:$B$1001=B110)*('تشخيص الحالات'!$G$2:$G$1001=4))&gt;0,"، "&amp;IFERROR(INDEX('تشخيص الحالات'!$D$2:$D$1001,SUMPRODUCT(('تشخيص الحالات'!$B$2:$B$1001=B110)*('تشخيص الحالات'!$G$2:$G$1001=4)*ROW('تشخيص الحالات'!$B$2:$B$1001))-1),""),"")&amp;IF(SUMPRODUCT(('تشخيص الحالات'!$B$2:$B$1001=B110)*('تشخيص الحالات'!$G$2:$G$1001=5))&gt;0,"، "&amp;IFERROR(INDEX('تشخيص الحالات'!$D$2:$D$1001,SUMPRODUCT(('تشخيص الحالات'!$B$2:$B$1001=B110)*('تشخيص الحالات'!$G$2:$G$1001=5)*ROW('تشخيص الحالات'!$B$2:$B$1001))-1),""),"")&amp;IF(SUMPRODUCT(('تشخيص الحالات'!$B$2:$B$1001=B110)*('تشخيص الحالات'!$G$2:$G$1001=6))&gt;0,"، "&amp;IFERROR(INDEX('تشخيص الحالات'!$D$2:$D$1001,SUMPRODUCT(('تشخيص الحالات'!$B$2:$B$1001=B110)*('تشخيص الحالات'!$G$2:$G$1001=6)*ROW('تشخيص الحالات'!$B$2:$B$1001))-1),""),"")&amp;IF(SUMPRODUCT(('تشخيص الحالات'!$B$2:$B$1001=B110)*('تشخيص الحالات'!$G$2:$G$1001=7))&gt;0,"، "&amp;IFERROR(INDEX('تشخيص الحالات'!$D$2:$D$1001,SUMPRODUCT(('تشخيص الحالات'!$B$2:$B$1001=B110)*('تشخيص الحالات'!$G$2:$G$1001=7)*ROW('تشخيص الحالات'!$B$2:$B$1001))-1),""),"")&amp;IF(SUMPRODUCT(('تشخيص الحالات'!$B$2:$B$1001=B110)*('تشخيص الحالات'!$G$2:$G$1001=8))&gt;0,"، "&amp;IFERROR(INDEX('تشخيص الحالات'!$D$2:$D$1001,SUMPRODUCT(('تشخيص الحالات'!$B$2:$B$1001=B110)*('تشخيص الحالات'!$G$2:$G$1001=8)*ROW('تشخيص الحالات'!$B$2:$B$1001))-1),""),"")</f>
        <v>تأخر حركي، اضطراب طيف التوحد، اضطراب نفسي، تأخر نمائي</v>
      </c>
      <c r="J110" s="1">
        <v>44</v>
      </c>
      <c r="K110" s="1" t="s">
        <v>38</v>
      </c>
      <c r="L110" s="1">
        <v>3500</v>
      </c>
      <c r="M110" s="1" t="s">
        <v>43</v>
      </c>
      <c r="N110" s="1">
        <v>3</v>
      </c>
      <c r="O110" s="1">
        <v>3</v>
      </c>
      <c r="P110" s="1">
        <v>0</v>
      </c>
      <c r="Q110" s="1">
        <v>0</v>
      </c>
      <c r="R110" s="1">
        <v>0</v>
      </c>
      <c r="S110" s="1">
        <v>0</v>
      </c>
      <c r="T110">
        <f>SUM(tbl_Beneficiaries[[#This Row],[ التربية الخاصة ]:[ التأهيل النفسي الحركي ]])</f>
        <v>6</v>
      </c>
    </row>
    <row r="111" spans="1:20" x14ac:dyDescent="0.2">
      <c r="A111" s="1">
        <v>110</v>
      </c>
      <c r="B111" s="1">
        <v>1417717432</v>
      </c>
      <c r="C111" s="1" t="s">
        <v>449</v>
      </c>
      <c r="D111" s="1" t="s">
        <v>3</v>
      </c>
      <c r="E111" s="3">
        <v>43057</v>
      </c>
      <c r="F111" s="1" t="s">
        <v>361</v>
      </c>
      <c r="G111" s="1" t="s">
        <v>4</v>
      </c>
      <c r="H111" s="3">
        <v>44951</v>
      </c>
      <c r="I111" t="str">
        <f>IFERROR(INDEX('تشخيص الحالات'!$D$2:$D$1001,SUMPRODUCT(('تشخيص الحالات'!$B$2:$B$1001=B111)*('تشخيص الحالات'!$G$2:$G$1001=1)*ROW('تشخيص الحالات'!$B$2:$B$1001))-1),"")&amp;IF(SUMPRODUCT(('تشخيص الحالات'!$B$2:$B$1001=B111)*('تشخيص الحالات'!$G$2:$G$1001=2))&gt;0,"، "&amp;IFERROR(INDEX('تشخيص الحالات'!$D$2:$D$1001,SUMPRODUCT(('تشخيص الحالات'!$B$2:$B$1001=B111)*('تشخيص الحالات'!$G$2:$G$1001=2)*ROW('تشخيص الحالات'!$B$2:$B$1001))-1),""),"")&amp;IF(SUMPRODUCT(('تشخيص الحالات'!$B$2:$B$1001=B111)*('تشخيص الحالات'!$G$2:$G$1001=3))&gt;0,"، "&amp;IFERROR(INDEX('تشخيص الحالات'!$D$2:$D$1001,SUMPRODUCT(('تشخيص الحالات'!$B$2:$B$1001=B111)*('تشخيص الحالات'!$G$2:$G$1001=3)*ROW('تشخيص الحالات'!$B$2:$B$1001))-1),""),"")&amp;IF(SUMPRODUCT(('تشخيص الحالات'!$B$2:$B$1001=B111)*('تشخيص الحالات'!$G$2:$G$1001=4))&gt;0,"، "&amp;IFERROR(INDEX('تشخيص الحالات'!$D$2:$D$1001,SUMPRODUCT(('تشخيص الحالات'!$B$2:$B$1001=B111)*('تشخيص الحالات'!$G$2:$G$1001=4)*ROW('تشخيص الحالات'!$B$2:$B$1001))-1),""),"")&amp;IF(SUMPRODUCT(('تشخيص الحالات'!$B$2:$B$1001=B111)*('تشخيص الحالات'!$G$2:$G$1001=5))&gt;0,"، "&amp;IFERROR(INDEX('تشخيص الحالات'!$D$2:$D$1001,SUMPRODUCT(('تشخيص الحالات'!$B$2:$B$1001=B111)*('تشخيص الحالات'!$G$2:$G$1001=5)*ROW('تشخيص الحالات'!$B$2:$B$1001))-1),""),"")&amp;IF(SUMPRODUCT(('تشخيص الحالات'!$B$2:$B$1001=B111)*('تشخيص الحالات'!$G$2:$G$1001=6))&gt;0,"، "&amp;IFERROR(INDEX('تشخيص الحالات'!$D$2:$D$1001,SUMPRODUCT(('تشخيص الحالات'!$B$2:$B$1001=B111)*('تشخيص الحالات'!$G$2:$G$1001=6)*ROW('تشخيص الحالات'!$B$2:$B$1001))-1),""),"")&amp;IF(SUMPRODUCT(('تشخيص الحالات'!$B$2:$B$1001=B111)*('تشخيص الحالات'!$G$2:$G$1001=7))&gt;0,"، "&amp;IFERROR(INDEX('تشخيص الحالات'!$D$2:$D$1001,SUMPRODUCT(('تشخيص الحالات'!$B$2:$B$1001=B111)*('تشخيص الحالات'!$G$2:$G$1001=7)*ROW('تشخيص الحالات'!$B$2:$B$1001))-1),""),"")&amp;IF(SUMPRODUCT(('تشخيص الحالات'!$B$2:$B$1001=B111)*('تشخيص الحالات'!$G$2:$G$1001=8))&gt;0,"، "&amp;IFERROR(INDEX('تشخيص الحالات'!$D$2:$D$1001,SUMPRODUCT(('تشخيص الحالات'!$B$2:$B$1001=B111)*('تشخيص الحالات'!$G$2:$G$1001=8)*ROW('تشخيص الحالات'!$B$2:$B$1001))-1),""),"")</f>
        <v>مشكلات أسرية / اجتماعية، تأخر نمائي، اضطراب تواصل اجتماعي</v>
      </c>
      <c r="J111" s="1">
        <v>53</v>
      </c>
      <c r="K111" s="1" t="s">
        <v>38</v>
      </c>
      <c r="L111" s="1">
        <v>4000</v>
      </c>
      <c r="M111" s="1" t="s">
        <v>41</v>
      </c>
      <c r="N111" s="1">
        <v>6</v>
      </c>
      <c r="O111" s="1">
        <v>0</v>
      </c>
      <c r="P111" s="1">
        <v>0</v>
      </c>
      <c r="Q111" s="1">
        <v>7</v>
      </c>
      <c r="R111" s="1">
        <v>0</v>
      </c>
      <c r="S111" s="1">
        <v>0</v>
      </c>
      <c r="T111">
        <f>SUM(tbl_Beneficiaries[[#This Row],[ التربية الخاصة ]:[ التأهيل النفسي الحركي ]])</f>
        <v>13</v>
      </c>
    </row>
    <row r="112" spans="1:20" x14ac:dyDescent="0.2">
      <c r="A112" s="1">
        <v>111</v>
      </c>
      <c r="B112" s="1">
        <v>1508168375</v>
      </c>
      <c r="C112" s="1" t="s">
        <v>114</v>
      </c>
      <c r="D112" s="1" t="s">
        <v>7</v>
      </c>
      <c r="E112" s="3">
        <v>43686</v>
      </c>
      <c r="F112" s="1" t="s">
        <v>360</v>
      </c>
      <c r="G112" s="1" t="s">
        <v>4</v>
      </c>
      <c r="H112" s="3">
        <v>45222</v>
      </c>
      <c r="I112" t="str">
        <f>IFERROR(INDEX('تشخيص الحالات'!$D$2:$D$1001,SUMPRODUCT(('تشخيص الحالات'!$B$2:$B$1001=B112)*('تشخيص الحالات'!$G$2:$G$1001=1)*ROW('تشخيص الحالات'!$B$2:$B$1001))-1),"")&amp;IF(SUMPRODUCT(('تشخيص الحالات'!$B$2:$B$1001=B112)*('تشخيص الحالات'!$G$2:$G$1001=2))&gt;0,"، "&amp;IFERROR(INDEX('تشخيص الحالات'!$D$2:$D$1001,SUMPRODUCT(('تشخيص الحالات'!$B$2:$B$1001=B112)*('تشخيص الحالات'!$G$2:$G$1001=2)*ROW('تشخيص الحالات'!$B$2:$B$1001))-1),""),"")&amp;IF(SUMPRODUCT(('تشخيص الحالات'!$B$2:$B$1001=B112)*('تشخيص الحالات'!$G$2:$G$1001=3))&gt;0,"، "&amp;IFERROR(INDEX('تشخيص الحالات'!$D$2:$D$1001,SUMPRODUCT(('تشخيص الحالات'!$B$2:$B$1001=B112)*('تشخيص الحالات'!$G$2:$G$1001=3)*ROW('تشخيص الحالات'!$B$2:$B$1001))-1),""),"")&amp;IF(SUMPRODUCT(('تشخيص الحالات'!$B$2:$B$1001=B112)*('تشخيص الحالات'!$G$2:$G$1001=4))&gt;0,"، "&amp;IFERROR(INDEX('تشخيص الحالات'!$D$2:$D$1001,SUMPRODUCT(('تشخيص الحالات'!$B$2:$B$1001=B112)*('تشخيص الحالات'!$G$2:$G$1001=4)*ROW('تشخيص الحالات'!$B$2:$B$1001))-1),""),"")&amp;IF(SUMPRODUCT(('تشخيص الحالات'!$B$2:$B$1001=B112)*('تشخيص الحالات'!$G$2:$G$1001=5))&gt;0,"، "&amp;IFERROR(INDEX('تشخيص الحالات'!$D$2:$D$1001,SUMPRODUCT(('تشخيص الحالات'!$B$2:$B$1001=B112)*('تشخيص الحالات'!$G$2:$G$1001=5)*ROW('تشخيص الحالات'!$B$2:$B$1001))-1),""),"")&amp;IF(SUMPRODUCT(('تشخيص الحالات'!$B$2:$B$1001=B112)*('تشخيص الحالات'!$G$2:$G$1001=6))&gt;0,"، "&amp;IFERROR(INDEX('تشخيص الحالات'!$D$2:$D$1001,SUMPRODUCT(('تشخيص الحالات'!$B$2:$B$1001=B112)*('تشخيص الحالات'!$G$2:$G$1001=6)*ROW('تشخيص الحالات'!$B$2:$B$1001))-1),""),"")&amp;IF(SUMPRODUCT(('تشخيص الحالات'!$B$2:$B$1001=B112)*('تشخيص الحالات'!$G$2:$G$1001=7))&gt;0,"، "&amp;IFERROR(INDEX('تشخيص الحالات'!$D$2:$D$1001,SUMPRODUCT(('تشخيص الحالات'!$B$2:$B$1001=B112)*('تشخيص الحالات'!$G$2:$G$1001=7)*ROW('تشخيص الحالات'!$B$2:$B$1001))-1),""),"")&amp;IF(SUMPRODUCT(('تشخيص الحالات'!$B$2:$B$1001=B112)*('تشخيص الحالات'!$G$2:$G$1001=8))&gt;0,"، "&amp;IFERROR(INDEX('تشخيص الحالات'!$D$2:$D$1001,SUMPRODUCT(('تشخيص الحالات'!$B$2:$B$1001=B112)*('تشخيص الحالات'!$G$2:$G$1001=8)*ROW('تشخيص الحالات'!$B$2:$B$1001))-1),""),"")</f>
        <v>إعاقة سمعية، مشكلات لغوية، اضطراب طيف التوحد، صعوبات تعلم</v>
      </c>
      <c r="J112" s="1">
        <v>99</v>
      </c>
      <c r="K112" s="1" t="s">
        <v>38</v>
      </c>
      <c r="L112" s="1">
        <v>3500</v>
      </c>
      <c r="M112" s="1" t="s">
        <v>44</v>
      </c>
      <c r="N112" s="1">
        <v>0</v>
      </c>
      <c r="O112" s="1">
        <v>0</v>
      </c>
      <c r="P112" s="1">
        <v>7</v>
      </c>
      <c r="Q112" s="1">
        <v>0</v>
      </c>
      <c r="R112" s="1">
        <v>7</v>
      </c>
      <c r="S112" s="1">
        <v>0</v>
      </c>
      <c r="T112">
        <f>SUM(tbl_Beneficiaries[[#This Row],[ التربية الخاصة ]:[ التأهيل النفسي الحركي ]])</f>
        <v>14</v>
      </c>
    </row>
    <row r="113" spans="1:20" x14ac:dyDescent="0.2">
      <c r="A113" s="1">
        <v>112</v>
      </c>
      <c r="B113" s="1">
        <v>1176757752</v>
      </c>
      <c r="C113" s="1" t="s">
        <v>450</v>
      </c>
      <c r="D113" s="1" t="s">
        <v>7</v>
      </c>
      <c r="E113" s="3">
        <v>40955</v>
      </c>
      <c r="F113" s="1" t="s">
        <v>361</v>
      </c>
      <c r="G113" s="1" t="s">
        <v>1</v>
      </c>
      <c r="H113" s="3">
        <v>44671</v>
      </c>
      <c r="I113" t="str">
        <f>IFERROR(INDEX('تشخيص الحالات'!$D$2:$D$1001,SUMPRODUCT(('تشخيص الحالات'!$B$2:$B$1001=B113)*('تشخيص الحالات'!$G$2:$G$1001=1)*ROW('تشخيص الحالات'!$B$2:$B$1001))-1),"")&amp;IF(SUMPRODUCT(('تشخيص الحالات'!$B$2:$B$1001=B113)*('تشخيص الحالات'!$G$2:$G$1001=2))&gt;0,"، "&amp;IFERROR(INDEX('تشخيص الحالات'!$D$2:$D$1001,SUMPRODUCT(('تشخيص الحالات'!$B$2:$B$1001=B113)*('تشخيص الحالات'!$G$2:$G$1001=2)*ROW('تشخيص الحالات'!$B$2:$B$1001))-1),""),"")&amp;IF(SUMPRODUCT(('تشخيص الحالات'!$B$2:$B$1001=B113)*('تشخيص الحالات'!$G$2:$G$1001=3))&gt;0,"، "&amp;IFERROR(INDEX('تشخيص الحالات'!$D$2:$D$1001,SUMPRODUCT(('تشخيص الحالات'!$B$2:$B$1001=B113)*('تشخيص الحالات'!$G$2:$G$1001=3)*ROW('تشخيص الحالات'!$B$2:$B$1001))-1),""),"")&amp;IF(SUMPRODUCT(('تشخيص الحالات'!$B$2:$B$1001=B113)*('تشخيص الحالات'!$G$2:$G$1001=4))&gt;0,"، "&amp;IFERROR(INDEX('تشخيص الحالات'!$D$2:$D$1001,SUMPRODUCT(('تشخيص الحالات'!$B$2:$B$1001=B113)*('تشخيص الحالات'!$G$2:$G$1001=4)*ROW('تشخيص الحالات'!$B$2:$B$1001))-1),""),"")&amp;IF(SUMPRODUCT(('تشخيص الحالات'!$B$2:$B$1001=B113)*('تشخيص الحالات'!$G$2:$G$1001=5))&gt;0,"، "&amp;IFERROR(INDEX('تشخيص الحالات'!$D$2:$D$1001,SUMPRODUCT(('تشخيص الحالات'!$B$2:$B$1001=B113)*('تشخيص الحالات'!$G$2:$G$1001=5)*ROW('تشخيص الحالات'!$B$2:$B$1001))-1),""),"")&amp;IF(SUMPRODUCT(('تشخيص الحالات'!$B$2:$B$1001=B113)*('تشخيص الحالات'!$G$2:$G$1001=6))&gt;0,"، "&amp;IFERROR(INDEX('تشخيص الحالات'!$D$2:$D$1001,SUMPRODUCT(('تشخيص الحالات'!$B$2:$B$1001=B113)*('تشخيص الحالات'!$G$2:$G$1001=6)*ROW('تشخيص الحالات'!$B$2:$B$1001))-1),""),"")&amp;IF(SUMPRODUCT(('تشخيص الحالات'!$B$2:$B$1001=B113)*('تشخيص الحالات'!$G$2:$G$1001=7))&gt;0,"، "&amp;IFERROR(INDEX('تشخيص الحالات'!$D$2:$D$1001,SUMPRODUCT(('تشخيص الحالات'!$B$2:$B$1001=B113)*('تشخيص الحالات'!$G$2:$G$1001=7)*ROW('تشخيص الحالات'!$B$2:$B$1001))-1),""),"")&amp;IF(SUMPRODUCT(('تشخيص الحالات'!$B$2:$B$1001=B113)*('تشخيص الحالات'!$G$2:$G$1001=8))&gt;0,"، "&amp;IFERROR(INDEX('تشخيص الحالات'!$D$2:$D$1001,SUMPRODUCT(('تشخيص الحالات'!$B$2:$B$1001=B113)*('تشخيص الحالات'!$G$2:$G$1001=8)*ROW('تشخيص الحالات'!$B$2:$B$1001))-1),""),"")</f>
        <v>اضطراب تواصل اجتماعي، اضطرابات سلوكية، اضطراب طيف التوحد، مشكلات لغوية</v>
      </c>
      <c r="J113" s="1">
        <v>97</v>
      </c>
      <c r="K113" s="1" t="s">
        <v>38</v>
      </c>
      <c r="L113" s="1">
        <v>3500</v>
      </c>
      <c r="M113" s="1" t="s">
        <v>41</v>
      </c>
      <c r="N113" s="1">
        <v>6</v>
      </c>
      <c r="O113" s="1">
        <v>3</v>
      </c>
      <c r="P113" s="1">
        <v>9</v>
      </c>
      <c r="Q113" s="1">
        <v>0</v>
      </c>
      <c r="R113" s="1">
        <v>3</v>
      </c>
      <c r="S113" s="1">
        <v>0</v>
      </c>
      <c r="T113">
        <f>SUM(tbl_Beneficiaries[[#This Row],[ التربية الخاصة ]:[ التأهيل النفسي الحركي ]])</f>
        <v>21</v>
      </c>
    </row>
    <row r="114" spans="1:20" x14ac:dyDescent="0.2">
      <c r="A114" s="1">
        <v>113</v>
      </c>
      <c r="B114" s="1">
        <v>1362300746</v>
      </c>
      <c r="C114" s="1" t="s">
        <v>451</v>
      </c>
      <c r="D114" s="1" t="s">
        <v>7</v>
      </c>
      <c r="E114" s="3">
        <v>41454</v>
      </c>
      <c r="F114" s="1" t="s">
        <v>360</v>
      </c>
      <c r="G114" s="1" t="s">
        <v>0</v>
      </c>
      <c r="H114" s="3">
        <v>44996</v>
      </c>
      <c r="I114" t="str">
        <f>IFERROR(INDEX('تشخيص الحالات'!$D$2:$D$1001,SUMPRODUCT(('تشخيص الحالات'!$B$2:$B$1001=B114)*('تشخيص الحالات'!$G$2:$G$1001=1)*ROW('تشخيص الحالات'!$B$2:$B$1001))-1),"")&amp;IF(SUMPRODUCT(('تشخيص الحالات'!$B$2:$B$1001=B114)*('تشخيص الحالات'!$G$2:$G$1001=2))&gt;0,"، "&amp;IFERROR(INDEX('تشخيص الحالات'!$D$2:$D$1001,SUMPRODUCT(('تشخيص الحالات'!$B$2:$B$1001=B114)*('تشخيص الحالات'!$G$2:$G$1001=2)*ROW('تشخيص الحالات'!$B$2:$B$1001))-1),""),"")&amp;IF(SUMPRODUCT(('تشخيص الحالات'!$B$2:$B$1001=B114)*('تشخيص الحالات'!$G$2:$G$1001=3))&gt;0,"، "&amp;IFERROR(INDEX('تشخيص الحالات'!$D$2:$D$1001,SUMPRODUCT(('تشخيص الحالات'!$B$2:$B$1001=B114)*('تشخيص الحالات'!$G$2:$G$1001=3)*ROW('تشخيص الحالات'!$B$2:$B$1001))-1),""),"")&amp;IF(SUMPRODUCT(('تشخيص الحالات'!$B$2:$B$1001=B114)*('تشخيص الحالات'!$G$2:$G$1001=4))&gt;0,"، "&amp;IFERROR(INDEX('تشخيص الحالات'!$D$2:$D$1001,SUMPRODUCT(('تشخيص الحالات'!$B$2:$B$1001=B114)*('تشخيص الحالات'!$G$2:$G$1001=4)*ROW('تشخيص الحالات'!$B$2:$B$1001))-1),""),"")&amp;IF(SUMPRODUCT(('تشخيص الحالات'!$B$2:$B$1001=B114)*('تشخيص الحالات'!$G$2:$G$1001=5))&gt;0,"، "&amp;IFERROR(INDEX('تشخيص الحالات'!$D$2:$D$1001,SUMPRODUCT(('تشخيص الحالات'!$B$2:$B$1001=B114)*('تشخيص الحالات'!$G$2:$G$1001=5)*ROW('تشخيص الحالات'!$B$2:$B$1001))-1),""),"")&amp;IF(SUMPRODUCT(('تشخيص الحالات'!$B$2:$B$1001=B114)*('تشخيص الحالات'!$G$2:$G$1001=6))&gt;0,"، "&amp;IFERROR(INDEX('تشخيص الحالات'!$D$2:$D$1001,SUMPRODUCT(('تشخيص الحالات'!$B$2:$B$1001=B114)*('تشخيص الحالات'!$G$2:$G$1001=6)*ROW('تشخيص الحالات'!$B$2:$B$1001))-1),""),"")&amp;IF(SUMPRODUCT(('تشخيص الحالات'!$B$2:$B$1001=B114)*('تشخيص الحالات'!$G$2:$G$1001=7))&gt;0,"، "&amp;IFERROR(INDEX('تشخيص الحالات'!$D$2:$D$1001,SUMPRODUCT(('تشخيص الحالات'!$B$2:$B$1001=B114)*('تشخيص الحالات'!$G$2:$G$1001=7)*ROW('تشخيص الحالات'!$B$2:$B$1001))-1),""),"")&amp;IF(SUMPRODUCT(('تشخيص الحالات'!$B$2:$B$1001=B114)*('تشخيص الحالات'!$G$2:$G$1001=8))&gt;0,"، "&amp;IFERROR(INDEX('تشخيص الحالات'!$D$2:$D$1001,SUMPRODUCT(('تشخيص الحالات'!$B$2:$B$1001=B114)*('تشخيص الحالات'!$G$2:$G$1001=8)*ROW('تشخيص الحالات'!$B$2:$B$1001))-1),""),"")</f>
        <v>إعاقة سمعية، فرط الحركة وتشتت الانتباه، اضطراب نفسي حركي</v>
      </c>
      <c r="J114" s="1">
        <v>90</v>
      </c>
      <c r="K114" s="1" t="s">
        <v>39</v>
      </c>
      <c r="L114" s="1">
        <v>2000</v>
      </c>
      <c r="M114" s="1" t="s">
        <v>41</v>
      </c>
      <c r="N114" s="1">
        <v>0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>
        <f>SUM(tbl_Beneficiaries[[#This Row],[ التربية الخاصة ]:[ التأهيل النفسي الحركي ]])</f>
        <v>1</v>
      </c>
    </row>
    <row r="115" spans="1:20" x14ac:dyDescent="0.2">
      <c r="A115" s="1">
        <v>114</v>
      </c>
      <c r="B115" s="1">
        <v>1614242749</v>
      </c>
      <c r="C115" s="1" t="s">
        <v>452</v>
      </c>
      <c r="D115" s="1" t="s">
        <v>7</v>
      </c>
      <c r="E115" s="3">
        <v>42840</v>
      </c>
      <c r="F115" s="1" t="s">
        <v>359</v>
      </c>
      <c r="G115" s="1" t="s">
        <v>4</v>
      </c>
      <c r="H115" s="3">
        <v>45044</v>
      </c>
      <c r="I115" t="str">
        <f>IFERROR(INDEX('تشخيص الحالات'!$D$2:$D$1001,SUMPRODUCT(('تشخيص الحالات'!$B$2:$B$1001=B115)*('تشخيص الحالات'!$G$2:$G$1001=1)*ROW('تشخيص الحالات'!$B$2:$B$1001))-1),"")&amp;IF(SUMPRODUCT(('تشخيص الحالات'!$B$2:$B$1001=B115)*('تشخيص الحالات'!$G$2:$G$1001=2))&gt;0,"، "&amp;IFERROR(INDEX('تشخيص الحالات'!$D$2:$D$1001,SUMPRODUCT(('تشخيص الحالات'!$B$2:$B$1001=B115)*('تشخيص الحالات'!$G$2:$G$1001=2)*ROW('تشخيص الحالات'!$B$2:$B$1001))-1),""),"")&amp;IF(SUMPRODUCT(('تشخيص الحالات'!$B$2:$B$1001=B115)*('تشخيص الحالات'!$G$2:$G$1001=3))&gt;0,"، "&amp;IFERROR(INDEX('تشخيص الحالات'!$D$2:$D$1001,SUMPRODUCT(('تشخيص الحالات'!$B$2:$B$1001=B115)*('تشخيص الحالات'!$G$2:$G$1001=3)*ROW('تشخيص الحالات'!$B$2:$B$1001))-1),""),"")&amp;IF(SUMPRODUCT(('تشخيص الحالات'!$B$2:$B$1001=B115)*('تشخيص الحالات'!$G$2:$G$1001=4))&gt;0,"، "&amp;IFERROR(INDEX('تشخيص الحالات'!$D$2:$D$1001,SUMPRODUCT(('تشخيص الحالات'!$B$2:$B$1001=B115)*('تشخيص الحالات'!$G$2:$G$1001=4)*ROW('تشخيص الحالات'!$B$2:$B$1001))-1),""),"")&amp;IF(SUMPRODUCT(('تشخيص الحالات'!$B$2:$B$1001=B115)*('تشخيص الحالات'!$G$2:$G$1001=5))&gt;0,"، "&amp;IFERROR(INDEX('تشخيص الحالات'!$D$2:$D$1001,SUMPRODUCT(('تشخيص الحالات'!$B$2:$B$1001=B115)*('تشخيص الحالات'!$G$2:$G$1001=5)*ROW('تشخيص الحالات'!$B$2:$B$1001))-1),""),"")&amp;IF(SUMPRODUCT(('تشخيص الحالات'!$B$2:$B$1001=B115)*('تشخيص الحالات'!$G$2:$G$1001=6))&gt;0,"، "&amp;IFERROR(INDEX('تشخيص الحالات'!$D$2:$D$1001,SUMPRODUCT(('تشخيص الحالات'!$B$2:$B$1001=B115)*('تشخيص الحالات'!$G$2:$G$1001=6)*ROW('تشخيص الحالات'!$B$2:$B$1001))-1),""),"")&amp;IF(SUMPRODUCT(('تشخيص الحالات'!$B$2:$B$1001=B115)*('تشخيص الحالات'!$G$2:$G$1001=7))&gt;0,"، "&amp;IFERROR(INDEX('تشخيص الحالات'!$D$2:$D$1001,SUMPRODUCT(('تشخيص الحالات'!$B$2:$B$1001=B115)*('تشخيص الحالات'!$G$2:$G$1001=7)*ROW('تشخيص الحالات'!$B$2:$B$1001))-1),""),"")&amp;IF(SUMPRODUCT(('تشخيص الحالات'!$B$2:$B$1001=B115)*('تشخيص الحالات'!$G$2:$G$1001=8))&gt;0,"، "&amp;IFERROR(INDEX('تشخيص الحالات'!$D$2:$D$1001,SUMPRODUCT(('تشخيص الحالات'!$B$2:$B$1001=B115)*('تشخيص الحالات'!$G$2:$G$1001=8)*ROW('تشخيص الحالات'!$B$2:$B$1001))-1),""),"")</f>
        <v>إعاقة بصرية، متلازمة داون، شلل دماغي</v>
      </c>
      <c r="J115" s="1">
        <v>87</v>
      </c>
      <c r="K115" s="1" t="s">
        <v>4</v>
      </c>
      <c r="L115" s="1">
        <v>3500</v>
      </c>
      <c r="M115" s="1" t="s">
        <v>43</v>
      </c>
      <c r="N115" s="1">
        <v>0</v>
      </c>
      <c r="O115" s="1">
        <v>0</v>
      </c>
      <c r="P115" s="1">
        <v>1</v>
      </c>
      <c r="Q115" s="1">
        <v>3</v>
      </c>
      <c r="R115" s="1">
        <v>0</v>
      </c>
      <c r="S115" s="1">
        <v>2</v>
      </c>
      <c r="T115">
        <f>SUM(tbl_Beneficiaries[[#This Row],[ التربية الخاصة ]:[ التأهيل النفسي الحركي ]])</f>
        <v>6</v>
      </c>
    </row>
    <row r="116" spans="1:20" x14ac:dyDescent="0.2">
      <c r="A116" s="1">
        <v>115</v>
      </c>
      <c r="B116" s="1">
        <v>1707584852</v>
      </c>
      <c r="C116" s="1" t="s">
        <v>115</v>
      </c>
      <c r="D116" s="1" t="s">
        <v>3</v>
      </c>
      <c r="E116" s="3">
        <v>43788</v>
      </c>
      <c r="F116" s="1" t="s">
        <v>359</v>
      </c>
      <c r="G116" s="1" t="s">
        <v>0</v>
      </c>
      <c r="H116" s="3">
        <v>45026</v>
      </c>
      <c r="I116" t="str">
        <f>IFERROR(INDEX('تشخيص الحالات'!$D$2:$D$1001,SUMPRODUCT(('تشخيص الحالات'!$B$2:$B$1001=B116)*('تشخيص الحالات'!$G$2:$G$1001=1)*ROW('تشخيص الحالات'!$B$2:$B$1001))-1),"")&amp;IF(SUMPRODUCT(('تشخيص الحالات'!$B$2:$B$1001=B116)*('تشخيص الحالات'!$G$2:$G$1001=2))&gt;0,"، "&amp;IFERROR(INDEX('تشخيص الحالات'!$D$2:$D$1001,SUMPRODUCT(('تشخيص الحالات'!$B$2:$B$1001=B116)*('تشخيص الحالات'!$G$2:$G$1001=2)*ROW('تشخيص الحالات'!$B$2:$B$1001))-1),""),"")&amp;IF(SUMPRODUCT(('تشخيص الحالات'!$B$2:$B$1001=B116)*('تشخيص الحالات'!$G$2:$G$1001=3))&gt;0,"، "&amp;IFERROR(INDEX('تشخيص الحالات'!$D$2:$D$1001,SUMPRODUCT(('تشخيص الحالات'!$B$2:$B$1001=B116)*('تشخيص الحالات'!$G$2:$G$1001=3)*ROW('تشخيص الحالات'!$B$2:$B$1001))-1),""),"")&amp;IF(SUMPRODUCT(('تشخيص الحالات'!$B$2:$B$1001=B116)*('تشخيص الحالات'!$G$2:$G$1001=4))&gt;0,"، "&amp;IFERROR(INDEX('تشخيص الحالات'!$D$2:$D$1001,SUMPRODUCT(('تشخيص الحالات'!$B$2:$B$1001=B116)*('تشخيص الحالات'!$G$2:$G$1001=4)*ROW('تشخيص الحالات'!$B$2:$B$1001))-1),""),"")&amp;IF(SUMPRODUCT(('تشخيص الحالات'!$B$2:$B$1001=B116)*('تشخيص الحالات'!$G$2:$G$1001=5))&gt;0,"، "&amp;IFERROR(INDEX('تشخيص الحالات'!$D$2:$D$1001,SUMPRODUCT(('تشخيص الحالات'!$B$2:$B$1001=B116)*('تشخيص الحالات'!$G$2:$G$1001=5)*ROW('تشخيص الحالات'!$B$2:$B$1001))-1),""),"")&amp;IF(SUMPRODUCT(('تشخيص الحالات'!$B$2:$B$1001=B116)*('تشخيص الحالات'!$G$2:$G$1001=6))&gt;0,"، "&amp;IFERROR(INDEX('تشخيص الحالات'!$D$2:$D$1001,SUMPRODUCT(('تشخيص الحالات'!$B$2:$B$1001=B116)*('تشخيص الحالات'!$G$2:$G$1001=6)*ROW('تشخيص الحالات'!$B$2:$B$1001))-1),""),"")&amp;IF(SUMPRODUCT(('تشخيص الحالات'!$B$2:$B$1001=B116)*('تشخيص الحالات'!$G$2:$G$1001=7))&gt;0,"، "&amp;IFERROR(INDEX('تشخيص الحالات'!$D$2:$D$1001,SUMPRODUCT(('تشخيص الحالات'!$B$2:$B$1001=B116)*('تشخيص الحالات'!$G$2:$G$1001=7)*ROW('تشخيص الحالات'!$B$2:$B$1001))-1),""),"")&amp;IF(SUMPRODUCT(('تشخيص الحالات'!$B$2:$B$1001=B116)*('تشخيص الحالات'!$G$2:$G$1001=8))&gt;0,"، "&amp;IFERROR(INDEX('تشخيص الحالات'!$D$2:$D$1001,SUMPRODUCT(('تشخيص الحالات'!$B$2:$B$1001=B116)*('تشخيص الحالات'!$G$2:$G$1001=8)*ROW('تشخيص الحالات'!$B$2:$B$1001))-1),""),"")</f>
        <v>اضطراب نفسي، مشكلات لغوية، تأخر نمائي، إعاقة سمعية</v>
      </c>
      <c r="J116" s="1">
        <v>76</v>
      </c>
      <c r="K116" s="1" t="s">
        <v>38</v>
      </c>
      <c r="L116" s="1">
        <v>2000</v>
      </c>
      <c r="M116" s="1" t="s">
        <v>42</v>
      </c>
      <c r="N116" s="1">
        <v>4</v>
      </c>
      <c r="O116" s="1">
        <v>4</v>
      </c>
      <c r="P116" s="1">
        <v>7</v>
      </c>
      <c r="Q116" s="1">
        <v>0</v>
      </c>
      <c r="R116" s="1">
        <v>0</v>
      </c>
      <c r="S116" s="1">
        <v>0</v>
      </c>
      <c r="T116">
        <f>SUM(tbl_Beneficiaries[[#This Row],[ التربية الخاصة ]:[ التأهيل النفسي الحركي ]])</f>
        <v>15</v>
      </c>
    </row>
    <row r="117" spans="1:20" x14ac:dyDescent="0.2">
      <c r="A117" s="1">
        <v>116</v>
      </c>
      <c r="B117" s="1">
        <v>1699191393</v>
      </c>
      <c r="C117" s="1" t="s">
        <v>116</v>
      </c>
      <c r="D117" s="1" t="s">
        <v>3</v>
      </c>
      <c r="E117" s="3">
        <v>42515</v>
      </c>
      <c r="F117" s="1" t="s">
        <v>358</v>
      </c>
      <c r="G117" s="1" t="s">
        <v>1</v>
      </c>
      <c r="H117" s="3">
        <v>44829</v>
      </c>
      <c r="I117" t="str">
        <f>IFERROR(INDEX('تشخيص الحالات'!$D$2:$D$1001,SUMPRODUCT(('تشخيص الحالات'!$B$2:$B$1001=B117)*('تشخيص الحالات'!$G$2:$G$1001=1)*ROW('تشخيص الحالات'!$B$2:$B$1001))-1),"")&amp;IF(SUMPRODUCT(('تشخيص الحالات'!$B$2:$B$1001=B117)*('تشخيص الحالات'!$G$2:$G$1001=2))&gt;0,"، "&amp;IFERROR(INDEX('تشخيص الحالات'!$D$2:$D$1001,SUMPRODUCT(('تشخيص الحالات'!$B$2:$B$1001=B117)*('تشخيص الحالات'!$G$2:$G$1001=2)*ROW('تشخيص الحالات'!$B$2:$B$1001))-1),""),"")&amp;IF(SUMPRODUCT(('تشخيص الحالات'!$B$2:$B$1001=B117)*('تشخيص الحالات'!$G$2:$G$1001=3))&gt;0,"، "&amp;IFERROR(INDEX('تشخيص الحالات'!$D$2:$D$1001,SUMPRODUCT(('تشخيص الحالات'!$B$2:$B$1001=B117)*('تشخيص الحالات'!$G$2:$G$1001=3)*ROW('تشخيص الحالات'!$B$2:$B$1001))-1),""),"")&amp;IF(SUMPRODUCT(('تشخيص الحالات'!$B$2:$B$1001=B117)*('تشخيص الحالات'!$G$2:$G$1001=4))&gt;0,"، "&amp;IFERROR(INDEX('تشخيص الحالات'!$D$2:$D$1001,SUMPRODUCT(('تشخيص الحالات'!$B$2:$B$1001=B117)*('تشخيص الحالات'!$G$2:$G$1001=4)*ROW('تشخيص الحالات'!$B$2:$B$1001))-1),""),"")&amp;IF(SUMPRODUCT(('تشخيص الحالات'!$B$2:$B$1001=B117)*('تشخيص الحالات'!$G$2:$G$1001=5))&gt;0,"، "&amp;IFERROR(INDEX('تشخيص الحالات'!$D$2:$D$1001,SUMPRODUCT(('تشخيص الحالات'!$B$2:$B$1001=B117)*('تشخيص الحالات'!$G$2:$G$1001=5)*ROW('تشخيص الحالات'!$B$2:$B$1001))-1),""),"")&amp;IF(SUMPRODUCT(('تشخيص الحالات'!$B$2:$B$1001=B117)*('تشخيص الحالات'!$G$2:$G$1001=6))&gt;0,"، "&amp;IFERROR(INDEX('تشخيص الحالات'!$D$2:$D$1001,SUMPRODUCT(('تشخيص الحالات'!$B$2:$B$1001=B117)*('تشخيص الحالات'!$G$2:$G$1001=6)*ROW('تشخيص الحالات'!$B$2:$B$1001))-1),""),"")&amp;IF(SUMPRODUCT(('تشخيص الحالات'!$B$2:$B$1001=B117)*('تشخيص الحالات'!$G$2:$G$1001=7))&gt;0,"، "&amp;IFERROR(INDEX('تشخيص الحالات'!$D$2:$D$1001,SUMPRODUCT(('تشخيص الحالات'!$B$2:$B$1001=B117)*('تشخيص الحالات'!$G$2:$G$1001=7)*ROW('تشخيص الحالات'!$B$2:$B$1001))-1),""),"")&amp;IF(SUMPRODUCT(('تشخيص الحالات'!$B$2:$B$1001=B117)*('تشخيص الحالات'!$G$2:$G$1001=8))&gt;0,"، "&amp;IFERROR(INDEX('تشخيص الحالات'!$D$2:$D$1001,SUMPRODUCT(('تشخيص الحالات'!$B$2:$B$1001=B117)*('تشخيص الحالات'!$G$2:$G$1001=8)*ROW('تشخيص الحالات'!$B$2:$B$1001))-1),""),"")</f>
        <v>اضطرابات سلوكية، اضطراب طيف التوحد، اضطراب تواصل اجتماعي، شلل دماغي</v>
      </c>
      <c r="J117" s="1">
        <v>78</v>
      </c>
      <c r="K117" s="1" t="s">
        <v>38</v>
      </c>
      <c r="L117" s="1">
        <v>2500</v>
      </c>
      <c r="M117" s="1" t="s">
        <v>44</v>
      </c>
      <c r="N117" s="1">
        <v>0</v>
      </c>
      <c r="O117" s="1">
        <v>3</v>
      </c>
      <c r="P117" s="1">
        <v>9</v>
      </c>
      <c r="Q117" s="1">
        <v>1</v>
      </c>
      <c r="R117" s="1">
        <v>0</v>
      </c>
      <c r="S117" s="1">
        <v>0</v>
      </c>
      <c r="T117">
        <f>SUM(tbl_Beneficiaries[[#This Row],[ التربية الخاصة ]:[ التأهيل النفسي الحركي ]])</f>
        <v>13</v>
      </c>
    </row>
    <row r="118" spans="1:20" x14ac:dyDescent="0.2">
      <c r="A118" s="1">
        <v>117</v>
      </c>
      <c r="B118" s="1">
        <v>1801782233</v>
      </c>
      <c r="C118" s="1" t="s">
        <v>453</v>
      </c>
      <c r="D118" s="1" t="s">
        <v>3</v>
      </c>
      <c r="E118" s="3">
        <v>41321</v>
      </c>
      <c r="F118" s="1" t="s">
        <v>357</v>
      </c>
      <c r="G118" s="1" t="s">
        <v>4</v>
      </c>
      <c r="H118" s="3">
        <v>45469</v>
      </c>
      <c r="I118" t="str">
        <f>IFERROR(INDEX('تشخيص الحالات'!$D$2:$D$1001,SUMPRODUCT(('تشخيص الحالات'!$B$2:$B$1001=B118)*('تشخيص الحالات'!$G$2:$G$1001=1)*ROW('تشخيص الحالات'!$B$2:$B$1001))-1),"")&amp;IF(SUMPRODUCT(('تشخيص الحالات'!$B$2:$B$1001=B118)*('تشخيص الحالات'!$G$2:$G$1001=2))&gt;0,"، "&amp;IFERROR(INDEX('تشخيص الحالات'!$D$2:$D$1001,SUMPRODUCT(('تشخيص الحالات'!$B$2:$B$1001=B118)*('تشخيص الحالات'!$G$2:$G$1001=2)*ROW('تشخيص الحالات'!$B$2:$B$1001))-1),""),"")&amp;IF(SUMPRODUCT(('تشخيص الحالات'!$B$2:$B$1001=B118)*('تشخيص الحالات'!$G$2:$G$1001=3))&gt;0,"، "&amp;IFERROR(INDEX('تشخيص الحالات'!$D$2:$D$1001,SUMPRODUCT(('تشخيص الحالات'!$B$2:$B$1001=B118)*('تشخيص الحالات'!$G$2:$G$1001=3)*ROW('تشخيص الحالات'!$B$2:$B$1001))-1),""),"")&amp;IF(SUMPRODUCT(('تشخيص الحالات'!$B$2:$B$1001=B118)*('تشخيص الحالات'!$G$2:$G$1001=4))&gt;0,"، "&amp;IFERROR(INDEX('تشخيص الحالات'!$D$2:$D$1001,SUMPRODUCT(('تشخيص الحالات'!$B$2:$B$1001=B118)*('تشخيص الحالات'!$G$2:$G$1001=4)*ROW('تشخيص الحالات'!$B$2:$B$1001))-1),""),"")&amp;IF(SUMPRODUCT(('تشخيص الحالات'!$B$2:$B$1001=B118)*('تشخيص الحالات'!$G$2:$G$1001=5))&gt;0,"، "&amp;IFERROR(INDEX('تشخيص الحالات'!$D$2:$D$1001,SUMPRODUCT(('تشخيص الحالات'!$B$2:$B$1001=B118)*('تشخيص الحالات'!$G$2:$G$1001=5)*ROW('تشخيص الحالات'!$B$2:$B$1001))-1),""),"")&amp;IF(SUMPRODUCT(('تشخيص الحالات'!$B$2:$B$1001=B118)*('تشخيص الحالات'!$G$2:$G$1001=6))&gt;0,"، "&amp;IFERROR(INDEX('تشخيص الحالات'!$D$2:$D$1001,SUMPRODUCT(('تشخيص الحالات'!$B$2:$B$1001=B118)*('تشخيص الحالات'!$G$2:$G$1001=6)*ROW('تشخيص الحالات'!$B$2:$B$1001))-1),""),"")&amp;IF(SUMPRODUCT(('تشخيص الحالات'!$B$2:$B$1001=B118)*('تشخيص الحالات'!$G$2:$G$1001=7))&gt;0,"، "&amp;IFERROR(INDEX('تشخيص الحالات'!$D$2:$D$1001,SUMPRODUCT(('تشخيص الحالات'!$B$2:$B$1001=B118)*('تشخيص الحالات'!$G$2:$G$1001=7)*ROW('تشخيص الحالات'!$B$2:$B$1001))-1),""),"")&amp;IF(SUMPRODUCT(('تشخيص الحالات'!$B$2:$B$1001=B118)*('تشخيص الحالات'!$G$2:$G$1001=8))&gt;0,"، "&amp;IFERROR(INDEX('تشخيص الحالات'!$D$2:$D$1001,SUMPRODUCT(('تشخيص الحالات'!$B$2:$B$1001=B118)*('تشخيص الحالات'!$G$2:$G$1001=8)*ROW('تشخيص الحالات'!$B$2:$B$1001))-1),""),"")</f>
        <v>اضطرابات سلوكية، اضطراب نفسي حركي</v>
      </c>
      <c r="J118" s="1">
        <v>72</v>
      </c>
      <c r="K118" s="1" t="s">
        <v>4</v>
      </c>
      <c r="L118" s="1">
        <v>3000</v>
      </c>
      <c r="M118" s="1" t="s">
        <v>40</v>
      </c>
      <c r="N118" s="1">
        <v>5</v>
      </c>
      <c r="O118" s="1">
        <v>5</v>
      </c>
      <c r="P118" s="1">
        <v>3</v>
      </c>
      <c r="Q118" s="1">
        <v>9</v>
      </c>
      <c r="R118" s="1">
        <v>3</v>
      </c>
      <c r="S118" s="1">
        <v>0</v>
      </c>
      <c r="T118">
        <f>SUM(tbl_Beneficiaries[[#This Row],[ التربية الخاصة ]:[ التأهيل النفسي الحركي ]])</f>
        <v>25</v>
      </c>
    </row>
    <row r="119" spans="1:20" x14ac:dyDescent="0.2">
      <c r="A119" s="1">
        <v>118</v>
      </c>
      <c r="B119" s="1">
        <v>1976051713</v>
      </c>
      <c r="C119" s="1" t="s">
        <v>454</v>
      </c>
      <c r="D119" s="1" t="s">
        <v>7</v>
      </c>
      <c r="E119" s="3">
        <v>40740</v>
      </c>
      <c r="F119" s="1" t="s">
        <v>361</v>
      </c>
      <c r="G119" s="1" t="s">
        <v>0</v>
      </c>
      <c r="H119" s="3">
        <v>45133</v>
      </c>
      <c r="I119" t="str">
        <f>IFERROR(INDEX('تشخيص الحالات'!$D$2:$D$1001,SUMPRODUCT(('تشخيص الحالات'!$B$2:$B$1001=B119)*('تشخيص الحالات'!$G$2:$G$1001=1)*ROW('تشخيص الحالات'!$B$2:$B$1001))-1),"")&amp;IF(SUMPRODUCT(('تشخيص الحالات'!$B$2:$B$1001=B119)*('تشخيص الحالات'!$G$2:$G$1001=2))&gt;0,"، "&amp;IFERROR(INDEX('تشخيص الحالات'!$D$2:$D$1001,SUMPRODUCT(('تشخيص الحالات'!$B$2:$B$1001=B119)*('تشخيص الحالات'!$G$2:$G$1001=2)*ROW('تشخيص الحالات'!$B$2:$B$1001))-1),""),"")&amp;IF(SUMPRODUCT(('تشخيص الحالات'!$B$2:$B$1001=B119)*('تشخيص الحالات'!$G$2:$G$1001=3))&gt;0,"، "&amp;IFERROR(INDEX('تشخيص الحالات'!$D$2:$D$1001,SUMPRODUCT(('تشخيص الحالات'!$B$2:$B$1001=B119)*('تشخيص الحالات'!$G$2:$G$1001=3)*ROW('تشخيص الحالات'!$B$2:$B$1001))-1),""),"")&amp;IF(SUMPRODUCT(('تشخيص الحالات'!$B$2:$B$1001=B119)*('تشخيص الحالات'!$G$2:$G$1001=4))&gt;0,"، "&amp;IFERROR(INDEX('تشخيص الحالات'!$D$2:$D$1001,SUMPRODUCT(('تشخيص الحالات'!$B$2:$B$1001=B119)*('تشخيص الحالات'!$G$2:$G$1001=4)*ROW('تشخيص الحالات'!$B$2:$B$1001))-1),""),"")&amp;IF(SUMPRODUCT(('تشخيص الحالات'!$B$2:$B$1001=B119)*('تشخيص الحالات'!$G$2:$G$1001=5))&gt;0,"، "&amp;IFERROR(INDEX('تشخيص الحالات'!$D$2:$D$1001,SUMPRODUCT(('تشخيص الحالات'!$B$2:$B$1001=B119)*('تشخيص الحالات'!$G$2:$G$1001=5)*ROW('تشخيص الحالات'!$B$2:$B$1001))-1),""),"")&amp;IF(SUMPRODUCT(('تشخيص الحالات'!$B$2:$B$1001=B119)*('تشخيص الحالات'!$G$2:$G$1001=6))&gt;0,"، "&amp;IFERROR(INDEX('تشخيص الحالات'!$D$2:$D$1001,SUMPRODUCT(('تشخيص الحالات'!$B$2:$B$1001=B119)*('تشخيص الحالات'!$G$2:$G$1001=6)*ROW('تشخيص الحالات'!$B$2:$B$1001))-1),""),"")&amp;IF(SUMPRODUCT(('تشخيص الحالات'!$B$2:$B$1001=B119)*('تشخيص الحالات'!$G$2:$G$1001=7))&gt;0,"، "&amp;IFERROR(INDEX('تشخيص الحالات'!$D$2:$D$1001,SUMPRODUCT(('تشخيص الحالات'!$B$2:$B$1001=B119)*('تشخيص الحالات'!$G$2:$G$1001=7)*ROW('تشخيص الحالات'!$B$2:$B$1001))-1),""),"")&amp;IF(SUMPRODUCT(('تشخيص الحالات'!$B$2:$B$1001=B119)*('تشخيص الحالات'!$G$2:$G$1001=8))&gt;0,"، "&amp;IFERROR(INDEX('تشخيص الحالات'!$D$2:$D$1001,SUMPRODUCT(('تشخيص الحالات'!$B$2:$B$1001=B119)*('تشخيص الحالات'!$G$2:$G$1001=8)*ROW('تشخيص الحالات'!$B$2:$B$1001))-1),""),"")</f>
        <v>شلل دماغي، إعاقة ذهنية، اضطرابات سلوكية</v>
      </c>
      <c r="J119" s="1">
        <v>51</v>
      </c>
      <c r="K119" s="1" t="s">
        <v>4</v>
      </c>
      <c r="L119" s="1">
        <v>2000</v>
      </c>
      <c r="M119" s="1" t="s">
        <v>40</v>
      </c>
      <c r="N119" s="1">
        <v>0</v>
      </c>
      <c r="O119" s="1">
        <v>1</v>
      </c>
      <c r="P119" s="1">
        <v>0</v>
      </c>
      <c r="Q119" s="1">
        <v>6</v>
      </c>
      <c r="R119" s="1">
        <v>0</v>
      </c>
      <c r="S119" s="1">
        <v>0</v>
      </c>
      <c r="T119">
        <f>SUM(tbl_Beneficiaries[[#This Row],[ التربية الخاصة ]:[ التأهيل النفسي الحركي ]])</f>
        <v>7</v>
      </c>
    </row>
    <row r="120" spans="1:20" x14ac:dyDescent="0.2">
      <c r="A120" s="1">
        <v>119</v>
      </c>
      <c r="B120" s="1">
        <v>1291395270</v>
      </c>
      <c r="C120" s="1" t="s">
        <v>455</v>
      </c>
      <c r="D120" s="1" t="s">
        <v>7</v>
      </c>
      <c r="E120" s="3">
        <v>43377</v>
      </c>
      <c r="F120" s="1" t="s">
        <v>360</v>
      </c>
      <c r="G120" s="1" t="s">
        <v>0</v>
      </c>
      <c r="H120" s="3">
        <v>44960</v>
      </c>
      <c r="I120" t="str">
        <f>IFERROR(INDEX('تشخيص الحالات'!$D$2:$D$1001,SUMPRODUCT(('تشخيص الحالات'!$B$2:$B$1001=B120)*('تشخيص الحالات'!$G$2:$G$1001=1)*ROW('تشخيص الحالات'!$B$2:$B$1001))-1),"")&amp;IF(SUMPRODUCT(('تشخيص الحالات'!$B$2:$B$1001=B120)*('تشخيص الحالات'!$G$2:$G$1001=2))&gt;0,"، "&amp;IFERROR(INDEX('تشخيص الحالات'!$D$2:$D$1001,SUMPRODUCT(('تشخيص الحالات'!$B$2:$B$1001=B120)*('تشخيص الحالات'!$G$2:$G$1001=2)*ROW('تشخيص الحالات'!$B$2:$B$1001))-1),""),"")&amp;IF(SUMPRODUCT(('تشخيص الحالات'!$B$2:$B$1001=B120)*('تشخيص الحالات'!$G$2:$G$1001=3))&gt;0,"، "&amp;IFERROR(INDEX('تشخيص الحالات'!$D$2:$D$1001,SUMPRODUCT(('تشخيص الحالات'!$B$2:$B$1001=B120)*('تشخيص الحالات'!$G$2:$G$1001=3)*ROW('تشخيص الحالات'!$B$2:$B$1001))-1),""),"")&amp;IF(SUMPRODUCT(('تشخيص الحالات'!$B$2:$B$1001=B120)*('تشخيص الحالات'!$G$2:$G$1001=4))&gt;0,"، "&amp;IFERROR(INDEX('تشخيص الحالات'!$D$2:$D$1001,SUMPRODUCT(('تشخيص الحالات'!$B$2:$B$1001=B120)*('تشخيص الحالات'!$G$2:$G$1001=4)*ROW('تشخيص الحالات'!$B$2:$B$1001))-1),""),"")&amp;IF(SUMPRODUCT(('تشخيص الحالات'!$B$2:$B$1001=B120)*('تشخيص الحالات'!$G$2:$G$1001=5))&gt;0,"، "&amp;IFERROR(INDEX('تشخيص الحالات'!$D$2:$D$1001,SUMPRODUCT(('تشخيص الحالات'!$B$2:$B$1001=B120)*('تشخيص الحالات'!$G$2:$G$1001=5)*ROW('تشخيص الحالات'!$B$2:$B$1001))-1),""),"")&amp;IF(SUMPRODUCT(('تشخيص الحالات'!$B$2:$B$1001=B120)*('تشخيص الحالات'!$G$2:$G$1001=6))&gt;0,"، "&amp;IFERROR(INDEX('تشخيص الحالات'!$D$2:$D$1001,SUMPRODUCT(('تشخيص الحالات'!$B$2:$B$1001=B120)*('تشخيص الحالات'!$G$2:$G$1001=6)*ROW('تشخيص الحالات'!$B$2:$B$1001))-1),""),"")&amp;IF(SUMPRODUCT(('تشخيص الحالات'!$B$2:$B$1001=B120)*('تشخيص الحالات'!$G$2:$G$1001=7))&gt;0,"، "&amp;IFERROR(INDEX('تشخيص الحالات'!$D$2:$D$1001,SUMPRODUCT(('تشخيص الحالات'!$B$2:$B$1001=B120)*('تشخيص الحالات'!$G$2:$G$1001=7)*ROW('تشخيص الحالات'!$B$2:$B$1001))-1),""),"")&amp;IF(SUMPRODUCT(('تشخيص الحالات'!$B$2:$B$1001=B120)*('تشخيص الحالات'!$G$2:$G$1001=8))&gt;0,"، "&amp;IFERROR(INDEX('تشخيص الحالات'!$D$2:$D$1001,SUMPRODUCT(('تشخيص الحالات'!$B$2:$B$1001=B120)*('تشخيص الحالات'!$G$2:$G$1001=8)*ROW('تشخيص الحالات'!$B$2:$B$1001))-1),""),"")</f>
        <v>صعوبات تعلم، اضطراب تواصل اجتماعي</v>
      </c>
      <c r="J120" s="1">
        <v>102</v>
      </c>
      <c r="K120" s="1" t="s">
        <v>38</v>
      </c>
      <c r="L120" s="1">
        <v>4000</v>
      </c>
      <c r="M120" s="1" t="s">
        <v>44</v>
      </c>
      <c r="N120" s="1">
        <v>0</v>
      </c>
      <c r="O120" s="1">
        <v>0</v>
      </c>
      <c r="P120" s="1">
        <v>5</v>
      </c>
      <c r="Q120" s="1">
        <v>0</v>
      </c>
      <c r="R120" s="1">
        <v>3</v>
      </c>
      <c r="S120" s="1">
        <v>5</v>
      </c>
      <c r="T120">
        <f>SUM(tbl_Beneficiaries[[#This Row],[ التربية الخاصة ]:[ التأهيل النفسي الحركي ]])</f>
        <v>13</v>
      </c>
    </row>
    <row r="121" spans="1:20" x14ac:dyDescent="0.2">
      <c r="A121" s="1">
        <v>120</v>
      </c>
      <c r="B121" s="1">
        <v>1098673354</v>
      </c>
      <c r="C121" s="1" t="s">
        <v>117</v>
      </c>
      <c r="D121" s="1" t="s">
        <v>3</v>
      </c>
      <c r="E121" s="3">
        <v>40180</v>
      </c>
      <c r="F121" s="1" t="s">
        <v>361</v>
      </c>
      <c r="G121" s="1" t="s">
        <v>1</v>
      </c>
      <c r="H121" s="3">
        <v>45393</v>
      </c>
      <c r="I121" t="str">
        <f>IFERROR(INDEX('تشخيص الحالات'!$D$2:$D$1001,SUMPRODUCT(('تشخيص الحالات'!$B$2:$B$1001=B121)*('تشخيص الحالات'!$G$2:$G$1001=1)*ROW('تشخيص الحالات'!$B$2:$B$1001))-1),"")&amp;IF(SUMPRODUCT(('تشخيص الحالات'!$B$2:$B$1001=B121)*('تشخيص الحالات'!$G$2:$G$1001=2))&gt;0,"، "&amp;IFERROR(INDEX('تشخيص الحالات'!$D$2:$D$1001,SUMPRODUCT(('تشخيص الحالات'!$B$2:$B$1001=B121)*('تشخيص الحالات'!$G$2:$G$1001=2)*ROW('تشخيص الحالات'!$B$2:$B$1001))-1),""),"")&amp;IF(SUMPRODUCT(('تشخيص الحالات'!$B$2:$B$1001=B121)*('تشخيص الحالات'!$G$2:$G$1001=3))&gt;0,"، "&amp;IFERROR(INDEX('تشخيص الحالات'!$D$2:$D$1001,SUMPRODUCT(('تشخيص الحالات'!$B$2:$B$1001=B121)*('تشخيص الحالات'!$G$2:$G$1001=3)*ROW('تشخيص الحالات'!$B$2:$B$1001))-1),""),"")&amp;IF(SUMPRODUCT(('تشخيص الحالات'!$B$2:$B$1001=B121)*('تشخيص الحالات'!$G$2:$G$1001=4))&gt;0,"، "&amp;IFERROR(INDEX('تشخيص الحالات'!$D$2:$D$1001,SUMPRODUCT(('تشخيص الحالات'!$B$2:$B$1001=B121)*('تشخيص الحالات'!$G$2:$G$1001=4)*ROW('تشخيص الحالات'!$B$2:$B$1001))-1),""),"")&amp;IF(SUMPRODUCT(('تشخيص الحالات'!$B$2:$B$1001=B121)*('تشخيص الحالات'!$G$2:$G$1001=5))&gt;0,"، "&amp;IFERROR(INDEX('تشخيص الحالات'!$D$2:$D$1001,SUMPRODUCT(('تشخيص الحالات'!$B$2:$B$1001=B121)*('تشخيص الحالات'!$G$2:$G$1001=5)*ROW('تشخيص الحالات'!$B$2:$B$1001))-1),""),"")&amp;IF(SUMPRODUCT(('تشخيص الحالات'!$B$2:$B$1001=B121)*('تشخيص الحالات'!$G$2:$G$1001=6))&gt;0,"، "&amp;IFERROR(INDEX('تشخيص الحالات'!$D$2:$D$1001,SUMPRODUCT(('تشخيص الحالات'!$B$2:$B$1001=B121)*('تشخيص الحالات'!$G$2:$G$1001=6)*ROW('تشخيص الحالات'!$B$2:$B$1001))-1),""),"")&amp;IF(SUMPRODUCT(('تشخيص الحالات'!$B$2:$B$1001=B121)*('تشخيص الحالات'!$G$2:$G$1001=7))&gt;0,"، "&amp;IFERROR(INDEX('تشخيص الحالات'!$D$2:$D$1001,SUMPRODUCT(('تشخيص الحالات'!$B$2:$B$1001=B121)*('تشخيص الحالات'!$G$2:$G$1001=7)*ROW('تشخيص الحالات'!$B$2:$B$1001))-1),""),"")&amp;IF(SUMPRODUCT(('تشخيص الحالات'!$B$2:$B$1001=B121)*('تشخيص الحالات'!$G$2:$G$1001=8))&gt;0,"، "&amp;IFERROR(INDEX('تشخيص الحالات'!$D$2:$D$1001,SUMPRODUCT(('تشخيص الحالات'!$B$2:$B$1001=B121)*('تشخيص الحالات'!$G$2:$G$1001=8)*ROW('تشخيص الحالات'!$B$2:$B$1001))-1),""),"")</f>
        <v>فرط الحركة وتشتت الانتباه، اضطراب نفسي</v>
      </c>
      <c r="J121" s="1">
        <v>93</v>
      </c>
      <c r="K121" s="1" t="s">
        <v>4</v>
      </c>
      <c r="L121" s="1">
        <v>3500</v>
      </c>
      <c r="M121" s="1" t="s">
        <v>44</v>
      </c>
      <c r="N121" s="1">
        <v>6</v>
      </c>
      <c r="O121" s="1">
        <v>0</v>
      </c>
      <c r="P121" s="1">
        <v>0</v>
      </c>
      <c r="Q121" s="1">
        <v>3</v>
      </c>
      <c r="R121" s="1">
        <v>0</v>
      </c>
      <c r="S121" s="1">
        <v>0</v>
      </c>
      <c r="T121">
        <f>SUM(tbl_Beneficiaries[[#This Row],[ التربية الخاصة ]:[ التأهيل النفسي الحركي ]])</f>
        <v>9</v>
      </c>
    </row>
    <row r="122" spans="1:20" x14ac:dyDescent="0.2">
      <c r="A122" s="1">
        <v>121</v>
      </c>
      <c r="B122" s="1">
        <v>1054240869</v>
      </c>
      <c r="C122" s="1" t="s">
        <v>456</v>
      </c>
      <c r="D122" s="1" t="s">
        <v>7</v>
      </c>
      <c r="E122" s="3">
        <v>42382</v>
      </c>
      <c r="F122" s="1" t="s">
        <v>360</v>
      </c>
      <c r="G122" s="1" t="s">
        <v>0</v>
      </c>
      <c r="H122" s="3">
        <v>44756</v>
      </c>
      <c r="I122" t="str">
        <f>IFERROR(INDEX('تشخيص الحالات'!$D$2:$D$1001,SUMPRODUCT(('تشخيص الحالات'!$B$2:$B$1001=B122)*('تشخيص الحالات'!$G$2:$G$1001=1)*ROW('تشخيص الحالات'!$B$2:$B$1001))-1),"")&amp;IF(SUMPRODUCT(('تشخيص الحالات'!$B$2:$B$1001=B122)*('تشخيص الحالات'!$G$2:$G$1001=2))&gt;0,"، "&amp;IFERROR(INDEX('تشخيص الحالات'!$D$2:$D$1001,SUMPRODUCT(('تشخيص الحالات'!$B$2:$B$1001=B122)*('تشخيص الحالات'!$G$2:$G$1001=2)*ROW('تشخيص الحالات'!$B$2:$B$1001))-1),""),"")&amp;IF(SUMPRODUCT(('تشخيص الحالات'!$B$2:$B$1001=B122)*('تشخيص الحالات'!$G$2:$G$1001=3))&gt;0,"، "&amp;IFERROR(INDEX('تشخيص الحالات'!$D$2:$D$1001,SUMPRODUCT(('تشخيص الحالات'!$B$2:$B$1001=B122)*('تشخيص الحالات'!$G$2:$G$1001=3)*ROW('تشخيص الحالات'!$B$2:$B$1001))-1),""),"")&amp;IF(SUMPRODUCT(('تشخيص الحالات'!$B$2:$B$1001=B122)*('تشخيص الحالات'!$G$2:$G$1001=4))&gt;0,"، "&amp;IFERROR(INDEX('تشخيص الحالات'!$D$2:$D$1001,SUMPRODUCT(('تشخيص الحالات'!$B$2:$B$1001=B122)*('تشخيص الحالات'!$G$2:$G$1001=4)*ROW('تشخيص الحالات'!$B$2:$B$1001))-1),""),"")&amp;IF(SUMPRODUCT(('تشخيص الحالات'!$B$2:$B$1001=B122)*('تشخيص الحالات'!$G$2:$G$1001=5))&gt;0,"، "&amp;IFERROR(INDEX('تشخيص الحالات'!$D$2:$D$1001,SUMPRODUCT(('تشخيص الحالات'!$B$2:$B$1001=B122)*('تشخيص الحالات'!$G$2:$G$1001=5)*ROW('تشخيص الحالات'!$B$2:$B$1001))-1),""),"")&amp;IF(SUMPRODUCT(('تشخيص الحالات'!$B$2:$B$1001=B122)*('تشخيص الحالات'!$G$2:$G$1001=6))&gt;0,"، "&amp;IFERROR(INDEX('تشخيص الحالات'!$D$2:$D$1001,SUMPRODUCT(('تشخيص الحالات'!$B$2:$B$1001=B122)*('تشخيص الحالات'!$G$2:$G$1001=6)*ROW('تشخيص الحالات'!$B$2:$B$1001))-1),""),"")&amp;IF(SUMPRODUCT(('تشخيص الحالات'!$B$2:$B$1001=B122)*('تشخيص الحالات'!$G$2:$G$1001=7))&gt;0,"، "&amp;IFERROR(INDEX('تشخيص الحالات'!$D$2:$D$1001,SUMPRODUCT(('تشخيص الحالات'!$B$2:$B$1001=B122)*('تشخيص الحالات'!$G$2:$G$1001=7)*ROW('تشخيص الحالات'!$B$2:$B$1001))-1),""),"")&amp;IF(SUMPRODUCT(('تشخيص الحالات'!$B$2:$B$1001=B122)*('تشخيص الحالات'!$G$2:$G$1001=8))&gt;0,"، "&amp;IFERROR(INDEX('تشخيص الحالات'!$D$2:$D$1001,SUMPRODUCT(('تشخيص الحالات'!$B$2:$B$1001=B122)*('تشخيص الحالات'!$G$2:$G$1001=8)*ROW('تشخيص الحالات'!$B$2:$B$1001))-1),""),"")</f>
        <v>فرط الحركة وتشتت الانتباه، متلازمة داون، مشكلات أسرية / اجتماعية، إعاقة ذهنية</v>
      </c>
      <c r="J122" s="1">
        <v>110</v>
      </c>
      <c r="K122" s="1" t="s">
        <v>38</v>
      </c>
      <c r="L122" s="1">
        <v>1500</v>
      </c>
      <c r="M122" s="1" t="s">
        <v>44</v>
      </c>
      <c r="N122" s="1">
        <v>6</v>
      </c>
      <c r="O122" s="1">
        <v>0</v>
      </c>
      <c r="P122" s="1">
        <v>0</v>
      </c>
      <c r="Q122" s="1">
        <v>2</v>
      </c>
      <c r="R122" s="1">
        <v>8</v>
      </c>
      <c r="S122" s="1">
        <v>2</v>
      </c>
      <c r="T122">
        <f>SUM(tbl_Beneficiaries[[#This Row],[ التربية الخاصة ]:[ التأهيل النفسي الحركي ]])</f>
        <v>18</v>
      </c>
    </row>
    <row r="123" spans="1:20" x14ac:dyDescent="0.2">
      <c r="A123" s="1">
        <v>122</v>
      </c>
      <c r="B123" s="1">
        <v>1994984803</v>
      </c>
      <c r="C123" s="1" t="s">
        <v>457</v>
      </c>
      <c r="D123" s="1" t="s">
        <v>3</v>
      </c>
      <c r="E123" s="3">
        <v>43054</v>
      </c>
      <c r="F123" s="1" t="s">
        <v>357</v>
      </c>
      <c r="G123" s="1" t="s">
        <v>1</v>
      </c>
      <c r="H123" s="3">
        <v>45092</v>
      </c>
      <c r="I123" t="str">
        <f>IFERROR(INDEX('تشخيص الحالات'!$D$2:$D$1001,SUMPRODUCT(('تشخيص الحالات'!$B$2:$B$1001=B123)*('تشخيص الحالات'!$G$2:$G$1001=1)*ROW('تشخيص الحالات'!$B$2:$B$1001))-1),"")&amp;IF(SUMPRODUCT(('تشخيص الحالات'!$B$2:$B$1001=B123)*('تشخيص الحالات'!$G$2:$G$1001=2))&gt;0,"، "&amp;IFERROR(INDEX('تشخيص الحالات'!$D$2:$D$1001,SUMPRODUCT(('تشخيص الحالات'!$B$2:$B$1001=B123)*('تشخيص الحالات'!$G$2:$G$1001=2)*ROW('تشخيص الحالات'!$B$2:$B$1001))-1),""),"")&amp;IF(SUMPRODUCT(('تشخيص الحالات'!$B$2:$B$1001=B123)*('تشخيص الحالات'!$G$2:$G$1001=3))&gt;0,"، "&amp;IFERROR(INDEX('تشخيص الحالات'!$D$2:$D$1001,SUMPRODUCT(('تشخيص الحالات'!$B$2:$B$1001=B123)*('تشخيص الحالات'!$G$2:$G$1001=3)*ROW('تشخيص الحالات'!$B$2:$B$1001))-1),""),"")&amp;IF(SUMPRODUCT(('تشخيص الحالات'!$B$2:$B$1001=B123)*('تشخيص الحالات'!$G$2:$G$1001=4))&gt;0,"، "&amp;IFERROR(INDEX('تشخيص الحالات'!$D$2:$D$1001,SUMPRODUCT(('تشخيص الحالات'!$B$2:$B$1001=B123)*('تشخيص الحالات'!$G$2:$G$1001=4)*ROW('تشخيص الحالات'!$B$2:$B$1001))-1),""),"")&amp;IF(SUMPRODUCT(('تشخيص الحالات'!$B$2:$B$1001=B123)*('تشخيص الحالات'!$G$2:$G$1001=5))&gt;0,"، "&amp;IFERROR(INDEX('تشخيص الحالات'!$D$2:$D$1001,SUMPRODUCT(('تشخيص الحالات'!$B$2:$B$1001=B123)*('تشخيص الحالات'!$G$2:$G$1001=5)*ROW('تشخيص الحالات'!$B$2:$B$1001))-1),""),"")&amp;IF(SUMPRODUCT(('تشخيص الحالات'!$B$2:$B$1001=B123)*('تشخيص الحالات'!$G$2:$G$1001=6))&gt;0,"، "&amp;IFERROR(INDEX('تشخيص الحالات'!$D$2:$D$1001,SUMPRODUCT(('تشخيص الحالات'!$B$2:$B$1001=B123)*('تشخيص الحالات'!$G$2:$G$1001=6)*ROW('تشخيص الحالات'!$B$2:$B$1001))-1),""),"")&amp;IF(SUMPRODUCT(('تشخيص الحالات'!$B$2:$B$1001=B123)*('تشخيص الحالات'!$G$2:$G$1001=7))&gt;0,"، "&amp;IFERROR(INDEX('تشخيص الحالات'!$D$2:$D$1001,SUMPRODUCT(('تشخيص الحالات'!$B$2:$B$1001=B123)*('تشخيص الحالات'!$G$2:$G$1001=7)*ROW('تشخيص الحالات'!$B$2:$B$1001))-1),""),"")&amp;IF(SUMPRODUCT(('تشخيص الحالات'!$B$2:$B$1001=B123)*('تشخيص الحالات'!$G$2:$G$1001=8))&gt;0,"، "&amp;IFERROR(INDEX('تشخيص الحالات'!$D$2:$D$1001,SUMPRODUCT(('تشخيص الحالات'!$B$2:$B$1001=B123)*('تشخيص الحالات'!$G$2:$G$1001=8)*ROW('تشخيص الحالات'!$B$2:$B$1001))-1),""),"")</f>
        <v>شلل دماغي، إعاقة بصرية، اضطراب طيف التوحد، اضطراب نفسي</v>
      </c>
      <c r="J123" s="1">
        <v>96</v>
      </c>
      <c r="K123" s="1" t="s">
        <v>39</v>
      </c>
      <c r="L123" s="1">
        <v>3000</v>
      </c>
      <c r="M123" s="1" t="s">
        <v>40</v>
      </c>
      <c r="N123" s="1">
        <v>9</v>
      </c>
      <c r="O123" s="1">
        <v>2</v>
      </c>
      <c r="P123" s="1">
        <v>0</v>
      </c>
      <c r="Q123" s="1">
        <v>0</v>
      </c>
      <c r="R123" s="1">
        <v>0</v>
      </c>
      <c r="S123" s="1">
        <v>0</v>
      </c>
      <c r="T123">
        <f>SUM(tbl_Beneficiaries[[#This Row],[ التربية الخاصة ]:[ التأهيل النفسي الحركي ]])</f>
        <v>11</v>
      </c>
    </row>
    <row r="124" spans="1:20" x14ac:dyDescent="0.2">
      <c r="A124" s="1">
        <v>123</v>
      </c>
      <c r="B124" s="1">
        <v>1590142031</v>
      </c>
      <c r="C124" s="1" t="s">
        <v>458</v>
      </c>
      <c r="D124" s="1" t="s">
        <v>3</v>
      </c>
      <c r="E124" s="3">
        <v>43657</v>
      </c>
      <c r="F124" s="1" t="s">
        <v>358</v>
      </c>
      <c r="G124" s="1" t="s">
        <v>4</v>
      </c>
      <c r="H124" s="3">
        <v>44762</v>
      </c>
      <c r="I124" t="str">
        <f>IFERROR(INDEX('تشخيص الحالات'!$D$2:$D$1001,SUMPRODUCT(('تشخيص الحالات'!$B$2:$B$1001=B124)*('تشخيص الحالات'!$G$2:$G$1001=1)*ROW('تشخيص الحالات'!$B$2:$B$1001))-1),"")&amp;IF(SUMPRODUCT(('تشخيص الحالات'!$B$2:$B$1001=B124)*('تشخيص الحالات'!$G$2:$G$1001=2))&gt;0,"، "&amp;IFERROR(INDEX('تشخيص الحالات'!$D$2:$D$1001,SUMPRODUCT(('تشخيص الحالات'!$B$2:$B$1001=B124)*('تشخيص الحالات'!$G$2:$G$1001=2)*ROW('تشخيص الحالات'!$B$2:$B$1001))-1),""),"")&amp;IF(SUMPRODUCT(('تشخيص الحالات'!$B$2:$B$1001=B124)*('تشخيص الحالات'!$G$2:$G$1001=3))&gt;0,"، "&amp;IFERROR(INDEX('تشخيص الحالات'!$D$2:$D$1001,SUMPRODUCT(('تشخيص الحالات'!$B$2:$B$1001=B124)*('تشخيص الحالات'!$G$2:$G$1001=3)*ROW('تشخيص الحالات'!$B$2:$B$1001))-1),""),"")&amp;IF(SUMPRODUCT(('تشخيص الحالات'!$B$2:$B$1001=B124)*('تشخيص الحالات'!$G$2:$G$1001=4))&gt;0,"، "&amp;IFERROR(INDEX('تشخيص الحالات'!$D$2:$D$1001,SUMPRODUCT(('تشخيص الحالات'!$B$2:$B$1001=B124)*('تشخيص الحالات'!$G$2:$G$1001=4)*ROW('تشخيص الحالات'!$B$2:$B$1001))-1),""),"")&amp;IF(SUMPRODUCT(('تشخيص الحالات'!$B$2:$B$1001=B124)*('تشخيص الحالات'!$G$2:$G$1001=5))&gt;0,"، "&amp;IFERROR(INDEX('تشخيص الحالات'!$D$2:$D$1001,SUMPRODUCT(('تشخيص الحالات'!$B$2:$B$1001=B124)*('تشخيص الحالات'!$G$2:$G$1001=5)*ROW('تشخيص الحالات'!$B$2:$B$1001))-1),""),"")&amp;IF(SUMPRODUCT(('تشخيص الحالات'!$B$2:$B$1001=B124)*('تشخيص الحالات'!$G$2:$G$1001=6))&gt;0,"، "&amp;IFERROR(INDEX('تشخيص الحالات'!$D$2:$D$1001,SUMPRODUCT(('تشخيص الحالات'!$B$2:$B$1001=B124)*('تشخيص الحالات'!$G$2:$G$1001=6)*ROW('تشخيص الحالات'!$B$2:$B$1001))-1),""),"")&amp;IF(SUMPRODUCT(('تشخيص الحالات'!$B$2:$B$1001=B124)*('تشخيص الحالات'!$G$2:$G$1001=7))&gt;0,"، "&amp;IFERROR(INDEX('تشخيص الحالات'!$D$2:$D$1001,SUMPRODUCT(('تشخيص الحالات'!$B$2:$B$1001=B124)*('تشخيص الحالات'!$G$2:$G$1001=7)*ROW('تشخيص الحالات'!$B$2:$B$1001))-1),""),"")&amp;IF(SUMPRODUCT(('تشخيص الحالات'!$B$2:$B$1001=B124)*('تشخيص الحالات'!$G$2:$G$1001=8))&gt;0,"، "&amp;IFERROR(INDEX('تشخيص الحالات'!$D$2:$D$1001,SUMPRODUCT(('تشخيص الحالات'!$B$2:$B$1001=B124)*('تشخيص الحالات'!$G$2:$G$1001=8)*ROW('تشخيص الحالات'!$B$2:$B$1001))-1),""),"")</f>
        <v>اضطراب طيف التوحد</v>
      </c>
      <c r="J124" s="1">
        <v>52</v>
      </c>
      <c r="K124" s="1" t="s">
        <v>38</v>
      </c>
      <c r="L124" s="1">
        <v>3000</v>
      </c>
      <c r="M124" s="1" t="s">
        <v>44</v>
      </c>
      <c r="N124" s="1">
        <v>0</v>
      </c>
      <c r="O124" s="1">
        <v>0</v>
      </c>
      <c r="P124" s="1">
        <v>0</v>
      </c>
      <c r="Q124" s="1">
        <v>8</v>
      </c>
      <c r="R124" s="1">
        <v>0</v>
      </c>
      <c r="S124" s="1">
        <v>1</v>
      </c>
      <c r="T124">
        <f>SUM(tbl_Beneficiaries[[#This Row],[ التربية الخاصة ]:[ التأهيل النفسي الحركي ]])</f>
        <v>9</v>
      </c>
    </row>
    <row r="125" spans="1:20" x14ac:dyDescent="0.2">
      <c r="A125" s="1">
        <v>124</v>
      </c>
      <c r="B125" s="1">
        <v>1345489113</v>
      </c>
      <c r="C125" s="1" t="s">
        <v>459</v>
      </c>
      <c r="D125" s="1" t="s">
        <v>3</v>
      </c>
      <c r="E125" s="3">
        <v>41629</v>
      </c>
      <c r="F125" s="1" t="s">
        <v>358</v>
      </c>
      <c r="G125" s="1" t="s">
        <v>0</v>
      </c>
      <c r="H125" s="3">
        <v>44941</v>
      </c>
      <c r="I125" t="str">
        <f>IFERROR(INDEX('تشخيص الحالات'!$D$2:$D$1001,SUMPRODUCT(('تشخيص الحالات'!$B$2:$B$1001=B125)*('تشخيص الحالات'!$G$2:$G$1001=1)*ROW('تشخيص الحالات'!$B$2:$B$1001))-1),"")&amp;IF(SUMPRODUCT(('تشخيص الحالات'!$B$2:$B$1001=B125)*('تشخيص الحالات'!$G$2:$G$1001=2))&gt;0,"، "&amp;IFERROR(INDEX('تشخيص الحالات'!$D$2:$D$1001,SUMPRODUCT(('تشخيص الحالات'!$B$2:$B$1001=B125)*('تشخيص الحالات'!$G$2:$G$1001=2)*ROW('تشخيص الحالات'!$B$2:$B$1001))-1),""),"")&amp;IF(SUMPRODUCT(('تشخيص الحالات'!$B$2:$B$1001=B125)*('تشخيص الحالات'!$G$2:$G$1001=3))&gt;0,"، "&amp;IFERROR(INDEX('تشخيص الحالات'!$D$2:$D$1001,SUMPRODUCT(('تشخيص الحالات'!$B$2:$B$1001=B125)*('تشخيص الحالات'!$G$2:$G$1001=3)*ROW('تشخيص الحالات'!$B$2:$B$1001))-1),""),"")&amp;IF(SUMPRODUCT(('تشخيص الحالات'!$B$2:$B$1001=B125)*('تشخيص الحالات'!$G$2:$G$1001=4))&gt;0,"، "&amp;IFERROR(INDEX('تشخيص الحالات'!$D$2:$D$1001,SUMPRODUCT(('تشخيص الحالات'!$B$2:$B$1001=B125)*('تشخيص الحالات'!$G$2:$G$1001=4)*ROW('تشخيص الحالات'!$B$2:$B$1001))-1),""),"")&amp;IF(SUMPRODUCT(('تشخيص الحالات'!$B$2:$B$1001=B125)*('تشخيص الحالات'!$G$2:$G$1001=5))&gt;0,"، "&amp;IFERROR(INDEX('تشخيص الحالات'!$D$2:$D$1001,SUMPRODUCT(('تشخيص الحالات'!$B$2:$B$1001=B125)*('تشخيص الحالات'!$G$2:$G$1001=5)*ROW('تشخيص الحالات'!$B$2:$B$1001))-1),""),"")&amp;IF(SUMPRODUCT(('تشخيص الحالات'!$B$2:$B$1001=B125)*('تشخيص الحالات'!$G$2:$G$1001=6))&gt;0,"، "&amp;IFERROR(INDEX('تشخيص الحالات'!$D$2:$D$1001,SUMPRODUCT(('تشخيص الحالات'!$B$2:$B$1001=B125)*('تشخيص الحالات'!$G$2:$G$1001=6)*ROW('تشخيص الحالات'!$B$2:$B$1001))-1),""),"")&amp;IF(SUMPRODUCT(('تشخيص الحالات'!$B$2:$B$1001=B125)*('تشخيص الحالات'!$G$2:$G$1001=7))&gt;0,"، "&amp;IFERROR(INDEX('تشخيص الحالات'!$D$2:$D$1001,SUMPRODUCT(('تشخيص الحالات'!$B$2:$B$1001=B125)*('تشخيص الحالات'!$G$2:$G$1001=7)*ROW('تشخيص الحالات'!$B$2:$B$1001))-1),""),"")&amp;IF(SUMPRODUCT(('تشخيص الحالات'!$B$2:$B$1001=B125)*('تشخيص الحالات'!$G$2:$G$1001=8))&gt;0,"، "&amp;IFERROR(INDEX('تشخيص الحالات'!$D$2:$D$1001,SUMPRODUCT(('تشخيص الحالات'!$B$2:$B$1001=B125)*('تشخيص الحالات'!$G$2:$G$1001=8)*ROW('تشخيص الحالات'!$B$2:$B$1001))-1),""),"")</f>
        <v>فرط الحركة وتشتت الانتباه، اضطراب تكامل حسي</v>
      </c>
      <c r="J125" s="1">
        <v>90</v>
      </c>
      <c r="K125" s="1" t="s">
        <v>39</v>
      </c>
      <c r="L125" s="1">
        <v>1500</v>
      </c>
      <c r="M125" s="1" t="s">
        <v>43</v>
      </c>
      <c r="N125" s="1">
        <v>0</v>
      </c>
      <c r="O125" s="1">
        <v>1</v>
      </c>
      <c r="P125" s="1">
        <v>0</v>
      </c>
      <c r="Q125" s="1">
        <v>0</v>
      </c>
      <c r="R125" s="1">
        <v>0</v>
      </c>
      <c r="S125" s="1">
        <v>4</v>
      </c>
      <c r="T125">
        <f>SUM(tbl_Beneficiaries[[#This Row],[ التربية الخاصة ]:[ التأهيل النفسي الحركي ]])</f>
        <v>5</v>
      </c>
    </row>
    <row r="126" spans="1:20" x14ac:dyDescent="0.2">
      <c r="A126" s="1">
        <v>125</v>
      </c>
      <c r="B126" s="1">
        <v>1222363290</v>
      </c>
      <c r="C126" s="1" t="s">
        <v>118</v>
      </c>
      <c r="D126" s="1" t="s">
        <v>7</v>
      </c>
      <c r="E126" s="3">
        <v>43162</v>
      </c>
      <c r="F126" s="1" t="s">
        <v>358</v>
      </c>
      <c r="G126" s="1" t="s">
        <v>1</v>
      </c>
      <c r="H126" s="3">
        <v>44693</v>
      </c>
      <c r="I126" t="str">
        <f>IFERROR(INDEX('تشخيص الحالات'!$D$2:$D$1001,SUMPRODUCT(('تشخيص الحالات'!$B$2:$B$1001=B126)*('تشخيص الحالات'!$G$2:$G$1001=1)*ROW('تشخيص الحالات'!$B$2:$B$1001))-1),"")&amp;IF(SUMPRODUCT(('تشخيص الحالات'!$B$2:$B$1001=B126)*('تشخيص الحالات'!$G$2:$G$1001=2))&gt;0,"، "&amp;IFERROR(INDEX('تشخيص الحالات'!$D$2:$D$1001,SUMPRODUCT(('تشخيص الحالات'!$B$2:$B$1001=B126)*('تشخيص الحالات'!$G$2:$G$1001=2)*ROW('تشخيص الحالات'!$B$2:$B$1001))-1),""),"")&amp;IF(SUMPRODUCT(('تشخيص الحالات'!$B$2:$B$1001=B126)*('تشخيص الحالات'!$G$2:$G$1001=3))&gt;0,"، "&amp;IFERROR(INDEX('تشخيص الحالات'!$D$2:$D$1001,SUMPRODUCT(('تشخيص الحالات'!$B$2:$B$1001=B126)*('تشخيص الحالات'!$G$2:$G$1001=3)*ROW('تشخيص الحالات'!$B$2:$B$1001))-1),""),"")&amp;IF(SUMPRODUCT(('تشخيص الحالات'!$B$2:$B$1001=B126)*('تشخيص الحالات'!$G$2:$G$1001=4))&gt;0,"، "&amp;IFERROR(INDEX('تشخيص الحالات'!$D$2:$D$1001,SUMPRODUCT(('تشخيص الحالات'!$B$2:$B$1001=B126)*('تشخيص الحالات'!$G$2:$G$1001=4)*ROW('تشخيص الحالات'!$B$2:$B$1001))-1),""),"")&amp;IF(SUMPRODUCT(('تشخيص الحالات'!$B$2:$B$1001=B126)*('تشخيص الحالات'!$G$2:$G$1001=5))&gt;0,"، "&amp;IFERROR(INDEX('تشخيص الحالات'!$D$2:$D$1001,SUMPRODUCT(('تشخيص الحالات'!$B$2:$B$1001=B126)*('تشخيص الحالات'!$G$2:$G$1001=5)*ROW('تشخيص الحالات'!$B$2:$B$1001))-1),""),"")&amp;IF(SUMPRODUCT(('تشخيص الحالات'!$B$2:$B$1001=B126)*('تشخيص الحالات'!$G$2:$G$1001=6))&gt;0,"، "&amp;IFERROR(INDEX('تشخيص الحالات'!$D$2:$D$1001,SUMPRODUCT(('تشخيص الحالات'!$B$2:$B$1001=B126)*('تشخيص الحالات'!$G$2:$G$1001=6)*ROW('تشخيص الحالات'!$B$2:$B$1001))-1),""),"")&amp;IF(SUMPRODUCT(('تشخيص الحالات'!$B$2:$B$1001=B126)*('تشخيص الحالات'!$G$2:$G$1001=7))&gt;0,"، "&amp;IFERROR(INDEX('تشخيص الحالات'!$D$2:$D$1001,SUMPRODUCT(('تشخيص الحالات'!$B$2:$B$1001=B126)*('تشخيص الحالات'!$G$2:$G$1001=7)*ROW('تشخيص الحالات'!$B$2:$B$1001))-1),""),"")&amp;IF(SUMPRODUCT(('تشخيص الحالات'!$B$2:$B$1001=B126)*('تشخيص الحالات'!$G$2:$G$1001=8))&gt;0,"، "&amp;IFERROR(INDEX('تشخيص الحالات'!$D$2:$D$1001,SUMPRODUCT(('تشخيص الحالات'!$B$2:$B$1001=B126)*('تشخيص الحالات'!$G$2:$G$1001=8)*ROW('تشخيص الحالات'!$B$2:$B$1001))-1),""),"")</f>
        <v>اضطراب تواصل اجتماعي</v>
      </c>
      <c r="J126" s="1">
        <v>78</v>
      </c>
      <c r="K126" s="1" t="s">
        <v>38</v>
      </c>
      <c r="L126" s="1">
        <v>3500</v>
      </c>
      <c r="M126" s="1" t="s">
        <v>41</v>
      </c>
      <c r="N126" s="1">
        <v>5</v>
      </c>
      <c r="O126" s="1">
        <v>8</v>
      </c>
      <c r="P126" s="1">
        <v>9</v>
      </c>
      <c r="Q126" s="1">
        <v>9</v>
      </c>
      <c r="R126" s="1">
        <v>8</v>
      </c>
      <c r="S126" s="1">
        <v>9</v>
      </c>
      <c r="T126">
        <f>SUM(tbl_Beneficiaries[[#This Row],[ التربية الخاصة ]:[ التأهيل النفسي الحركي ]])</f>
        <v>48</v>
      </c>
    </row>
    <row r="127" spans="1:20" x14ac:dyDescent="0.2">
      <c r="A127" s="1">
        <v>126</v>
      </c>
      <c r="B127" s="1">
        <v>1484076714</v>
      </c>
      <c r="C127" s="1" t="s">
        <v>460</v>
      </c>
      <c r="D127" s="1" t="s">
        <v>3</v>
      </c>
      <c r="E127" s="3">
        <v>43961</v>
      </c>
      <c r="F127" s="1" t="s">
        <v>357</v>
      </c>
      <c r="G127" s="1" t="s">
        <v>1</v>
      </c>
      <c r="H127" s="3">
        <v>45446</v>
      </c>
      <c r="I127" t="str">
        <f>IFERROR(INDEX('تشخيص الحالات'!$D$2:$D$1001,SUMPRODUCT(('تشخيص الحالات'!$B$2:$B$1001=B127)*('تشخيص الحالات'!$G$2:$G$1001=1)*ROW('تشخيص الحالات'!$B$2:$B$1001))-1),"")&amp;IF(SUMPRODUCT(('تشخيص الحالات'!$B$2:$B$1001=B127)*('تشخيص الحالات'!$G$2:$G$1001=2))&gt;0,"، "&amp;IFERROR(INDEX('تشخيص الحالات'!$D$2:$D$1001,SUMPRODUCT(('تشخيص الحالات'!$B$2:$B$1001=B127)*('تشخيص الحالات'!$G$2:$G$1001=2)*ROW('تشخيص الحالات'!$B$2:$B$1001))-1),""),"")&amp;IF(SUMPRODUCT(('تشخيص الحالات'!$B$2:$B$1001=B127)*('تشخيص الحالات'!$G$2:$G$1001=3))&gt;0,"، "&amp;IFERROR(INDEX('تشخيص الحالات'!$D$2:$D$1001,SUMPRODUCT(('تشخيص الحالات'!$B$2:$B$1001=B127)*('تشخيص الحالات'!$G$2:$G$1001=3)*ROW('تشخيص الحالات'!$B$2:$B$1001))-1),""),"")&amp;IF(SUMPRODUCT(('تشخيص الحالات'!$B$2:$B$1001=B127)*('تشخيص الحالات'!$G$2:$G$1001=4))&gt;0,"، "&amp;IFERROR(INDEX('تشخيص الحالات'!$D$2:$D$1001,SUMPRODUCT(('تشخيص الحالات'!$B$2:$B$1001=B127)*('تشخيص الحالات'!$G$2:$G$1001=4)*ROW('تشخيص الحالات'!$B$2:$B$1001))-1),""),"")&amp;IF(SUMPRODUCT(('تشخيص الحالات'!$B$2:$B$1001=B127)*('تشخيص الحالات'!$G$2:$G$1001=5))&gt;0,"، "&amp;IFERROR(INDEX('تشخيص الحالات'!$D$2:$D$1001,SUMPRODUCT(('تشخيص الحالات'!$B$2:$B$1001=B127)*('تشخيص الحالات'!$G$2:$G$1001=5)*ROW('تشخيص الحالات'!$B$2:$B$1001))-1),""),"")&amp;IF(SUMPRODUCT(('تشخيص الحالات'!$B$2:$B$1001=B127)*('تشخيص الحالات'!$G$2:$G$1001=6))&gt;0,"، "&amp;IFERROR(INDEX('تشخيص الحالات'!$D$2:$D$1001,SUMPRODUCT(('تشخيص الحالات'!$B$2:$B$1001=B127)*('تشخيص الحالات'!$G$2:$G$1001=6)*ROW('تشخيص الحالات'!$B$2:$B$1001))-1),""),"")&amp;IF(SUMPRODUCT(('تشخيص الحالات'!$B$2:$B$1001=B127)*('تشخيص الحالات'!$G$2:$G$1001=7))&gt;0,"، "&amp;IFERROR(INDEX('تشخيص الحالات'!$D$2:$D$1001,SUMPRODUCT(('تشخيص الحالات'!$B$2:$B$1001=B127)*('تشخيص الحالات'!$G$2:$G$1001=7)*ROW('تشخيص الحالات'!$B$2:$B$1001))-1),""),"")&amp;IF(SUMPRODUCT(('تشخيص الحالات'!$B$2:$B$1001=B127)*('تشخيص الحالات'!$G$2:$G$1001=8))&gt;0,"، "&amp;IFERROR(INDEX('تشخيص الحالات'!$D$2:$D$1001,SUMPRODUCT(('تشخيص الحالات'!$B$2:$B$1001=B127)*('تشخيص الحالات'!$G$2:$G$1001=8)*ROW('تشخيص الحالات'!$B$2:$B$1001))-1),""),"")</f>
        <v>تأخر حركي</v>
      </c>
      <c r="J127" s="1">
        <v>74</v>
      </c>
      <c r="K127" s="1" t="s">
        <v>38</v>
      </c>
      <c r="L127" s="1">
        <v>1500</v>
      </c>
      <c r="M127" s="1" t="s">
        <v>41</v>
      </c>
      <c r="N127" s="1">
        <v>3</v>
      </c>
      <c r="O127" s="1">
        <v>0</v>
      </c>
      <c r="P127" s="1">
        <v>3</v>
      </c>
      <c r="Q127" s="1">
        <v>3</v>
      </c>
      <c r="R127" s="1">
        <v>0</v>
      </c>
      <c r="S127" s="1">
        <v>3</v>
      </c>
      <c r="T127">
        <f>SUM(tbl_Beneficiaries[[#This Row],[ التربية الخاصة ]:[ التأهيل النفسي الحركي ]])</f>
        <v>12</v>
      </c>
    </row>
    <row r="128" spans="1:20" x14ac:dyDescent="0.2">
      <c r="A128" s="1">
        <v>127</v>
      </c>
      <c r="B128" s="1">
        <v>1633482052</v>
      </c>
      <c r="C128" s="1" t="s">
        <v>461</v>
      </c>
      <c r="D128" s="1" t="s">
        <v>3</v>
      </c>
      <c r="E128" s="3">
        <v>43694</v>
      </c>
      <c r="F128" s="1" t="s">
        <v>361</v>
      </c>
      <c r="G128" s="1" t="s">
        <v>1</v>
      </c>
      <c r="H128" s="3">
        <v>44899</v>
      </c>
      <c r="I128" t="str">
        <f>IFERROR(INDEX('تشخيص الحالات'!$D$2:$D$1001,SUMPRODUCT(('تشخيص الحالات'!$B$2:$B$1001=B128)*('تشخيص الحالات'!$G$2:$G$1001=1)*ROW('تشخيص الحالات'!$B$2:$B$1001))-1),"")&amp;IF(SUMPRODUCT(('تشخيص الحالات'!$B$2:$B$1001=B128)*('تشخيص الحالات'!$G$2:$G$1001=2))&gt;0,"، "&amp;IFERROR(INDEX('تشخيص الحالات'!$D$2:$D$1001,SUMPRODUCT(('تشخيص الحالات'!$B$2:$B$1001=B128)*('تشخيص الحالات'!$G$2:$G$1001=2)*ROW('تشخيص الحالات'!$B$2:$B$1001))-1),""),"")&amp;IF(SUMPRODUCT(('تشخيص الحالات'!$B$2:$B$1001=B128)*('تشخيص الحالات'!$G$2:$G$1001=3))&gt;0,"، "&amp;IFERROR(INDEX('تشخيص الحالات'!$D$2:$D$1001,SUMPRODUCT(('تشخيص الحالات'!$B$2:$B$1001=B128)*('تشخيص الحالات'!$G$2:$G$1001=3)*ROW('تشخيص الحالات'!$B$2:$B$1001))-1),""),"")&amp;IF(SUMPRODUCT(('تشخيص الحالات'!$B$2:$B$1001=B128)*('تشخيص الحالات'!$G$2:$G$1001=4))&gt;0,"، "&amp;IFERROR(INDEX('تشخيص الحالات'!$D$2:$D$1001,SUMPRODUCT(('تشخيص الحالات'!$B$2:$B$1001=B128)*('تشخيص الحالات'!$G$2:$G$1001=4)*ROW('تشخيص الحالات'!$B$2:$B$1001))-1),""),"")&amp;IF(SUMPRODUCT(('تشخيص الحالات'!$B$2:$B$1001=B128)*('تشخيص الحالات'!$G$2:$G$1001=5))&gt;0,"، "&amp;IFERROR(INDEX('تشخيص الحالات'!$D$2:$D$1001,SUMPRODUCT(('تشخيص الحالات'!$B$2:$B$1001=B128)*('تشخيص الحالات'!$G$2:$G$1001=5)*ROW('تشخيص الحالات'!$B$2:$B$1001))-1),""),"")&amp;IF(SUMPRODUCT(('تشخيص الحالات'!$B$2:$B$1001=B128)*('تشخيص الحالات'!$G$2:$G$1001=6))&gt;0,"، "&amp;IFERROR(INDEX('تشخيص الحالات'!$D$2:$D$1001,SUMPRODUCT(('تشخيص الحالات'!$B$2:$B$1001=B128)*('تشخيص الحالات'!$G$2:$G$1001=6)*ROW('تشخيص الحالات'!$B$2:$B$1001))-1),""),"")&amp;IF(SUMPRODUCT(('تشخيص الحالات'!$B$2:$B$1001=B128)*('تشخيص الحالات'!$G$2:$G$1001=7))&gt;0,"، "&amp;IFERROR(INDEX('تشخيص الحالات'!$D$2:$D$1001,SUMPRODUCT(('تشخيص الحالات'!$B$2:$B$1001=B128)*('تشخيص الحالات'!$G$2:$G$1001=7)*ROW('تشخيص الحالات'!$B$2:$B$1001))-1),""),"")&amp;IF(SUMPRODUCT(('تشخيص الحالات'!$B$2:$B$1001=B128)*('تشخيص الحالات'!$G$2:$G$1001=8))&gt;0,"، "&amp;IFERROR(INDEX('تشخيص الحالات'!$D$2:$D$1001,SUMPRODUCT(('تشخيص الحالات'!$B$2:$B$1001=B128)*('تشخيص الحالات'!$G$2:$G$1001=8)*ROW('تشخيص الحالات'!$B$2:$B$1001))-1),""),"")</f>
        <v>اضطرابات سلوكية، اضطراب نفسي، تأخر حركي، مشكلات لغوية</v>
      </c>
      <c r="J128" s="1">
        <v>109</v>
      </c>
      <c r="K128" s="1" t="s">
        <v>4</v>
      </c>
      <c r="L128" s="1">
        <v>4000</v>
      </c>
      <c r="M128" s="1" t="s">
        <v>40</v>
      </c>
      <c r="N128" s="1">
        <v>3</v>
      </c>
      <c r="O128" s="1">
        <v>0</v>
      </c>
      <c r="P128" s="1">
        <v>6</v>
      </c>
      <c r="Q128" s="1">
        <v>7</v>
      </c>
      <c r="R128" s="1">
        <v>1</v>
      </c>
      <c r="S128" s="1">
        <v>7</v>
      </c>
      <c r="T128">
        <f>SUM(tbl_Beneficiaries[[#This Row],[ التربية الخاصة ]:[ التأهيل النفسي الحركي ]])</f>
        <v>24</v>
      </c>
    </row>
    <row r="129" spans="1:20" x14ac:dyDescent="0.2">
      <c r="A129" s="1">
        <v>128</v>
      </c>
      <c r="B129" s="1">
        <v>1181928548</v>
      </c>
      <c r="C129" s="1" t="s">
        <v>119</v>
      </c>
      <c r="D129" s="1" t="s">
        <v>7</v>
      </c>
      <c r="E129" s="3">
        <v>41502</v>
      </c>
      <c r="F129" s="1" t="s">
        <v>359</v>
      </c>
      <c r="G129" s="1" t="s">
        <v>1</v>
      </c>
      <c r="H129" s="3">
        <v>45134</v>
      </c>
      <c r="I129" t="str">
        <f>IFERROR(INDEX('تشخيص الحالات'!$D$2:$D$1001,SUMPRODUCT(('تشخيص الحالات'!$B$2:$B$1001=B129)*('تشخيص الحالات'!$G$2:$G$1001=1)*ROW('تشخيص الحالات'!$B$2:$B$1001))-1),"")&amp;IF(SUMPRODUCT(('تشخيص الحالات'!$B$2:$B$1001=B129)*('تشخيص الحالات'!$G$2:$G$1001=2))&gt;0,"، "&amp;IFERROR(INDEX('تشخيص الحالات'!$D$2:$D$1001,SUMPRODUCT(('تشخيص الحالات'!$B$2:$B$1001=B129)*('تشخيص الحالات'!$G$2:$G$1001=2)*ROW('تشخيص الحالات'!$B$2:$B$1001))-1),""),"")&amp;IF(SUMPRODUCT(('تشخيص الحالات'!$B$2:$B$1001=B129)*('تشخيص الحالات'!$G$2:$G$1001=3))&gt;0,"، "&amp;IFERROR(INDEX('تشخيص الحالات'!$D$2:$D$1001,SUMPRODUCT(('تشخيص الحالات'!$B$2:$B$1001=B129)*('تشخيص الحالات'!$G$2:$G$1001=3)*ROW('تشخيص الحالات'!$B$2:$B$1001))-1),""),"")&amp;IF(SUMPRODUCT(('تشخيص الحالات'!$B$2:$B$1001=B129)*('تشخيص الحالات'!$G$2:$G$1001=4))&gt;0,"، "&amp;IFERROR(INDEX('تشخيص الحالات'!$D$2:$D$1001,SUMPRODUCT(('تشخيص الحالات'!$B$2:$B$1001=B129)*('تشخيص الحالات'!$G$2:$G$1001=4)*ROW('تشخيص الحالات'!$B$2:$B$1001))-1),""),"")&amp;IF(SUMPRODUCT(('تشخيص الحالات'!$B$2:$B$1001=B129)*('تشخيص الحالات'!$G$2:$G$1001=5))&gt;0,"، "&amp;IFERROR(INDEX('تشخيص الحالات'!$D$2:$D$1001,SUMPRODUCT(('تشخيص الحالات'!$B$2:$B$1001=B129)*('تشخيص الحالات'!$G$2:$G$1001=5)*ROW('تشخيص الحالات'!$B$2:$B$1001))-1),""),"")&amp;IF(SUMPRODUCT(('تشخيص الحالات'!$B$2:$B$1001=B129)*('تشخيص الحالات'!$G$2:$G$1001=6))&gt;0,"، "&amp;IFERROR(INDEX('تشخيص الحالات'!$D$2:$D$1001,SUMPRODUCT(('تشخيص الحالات'!$B$2:$B$1001=B129)*('تشخيص الحالات'!$G$2:$G$1001=6)*ROW('تشخيص الحالات'!$B$2:$B$1001))-1),""),"")&amp;IF(SUMPRODUCT(('تشخيص الحالات'!$B$2:$B$1001=B129)*('تشخيص الحالات'!$G$2:$G$1001=7))&gt;0,"، "&amp;IFERROR(INDEX('تشخيص الحالات'!$D$2:$D$1001,SUMPRODUCT(('تشخيص الحالات'!$B$2:$B$1001=B129)*('تشخيص الحالات'!$G$2:$G$1001=7)*ROW('تشخيص الحالات'!$B$2:$B$1001))-1),""),"")&amp;IF(SUMPRODUCT(('تشخيص الحالات'!$B$2:$B$1001=B129)*('تشخيص الحالات'!$G$2:$G$1001=8))&gt;0,"، "&amp;IFERROR(INDEX('تشخيص الحالات'!$D$2:$D$1001,SUMPRODUCT(('تشخيص الحالات'!$B$2:$B$1001=B129)*('تشخيص الحالات'!$G$2:$G$1001=8)*ROW('تشخيص الحالات'!$B$2:$B$1001))-1),""),"")</f>
        <v>مشكلات لغوية، اضطراب تواصل اجتماعي، مشكلات أسرية / اجتماعية</v>
      </c>
      <c r="J129" s="1">
        <v>80</v>
      </c>
      <c r="K129" s="1" t="s">
        <v>39</v>
      </c>
      <c r="L129" s="1">
        <v>4000</v>
      </c>
      <c r="M129" s="1" t="s">
        <v>41</v>
      </c>
      <c r="N129" s="1">
        <v>0</v>
      </c>
      <c r="O129" s="1">
        <v>8</v>
      </c>
      <c r="P129" s="1">
        <v>4</v>
      </c>
      <c r="Q129" s="1">
        <v>2</v>
      </c>
      <c r="R129" s="1">
        <v>0</v>
      </c>
      <c r="S129" s="1">
        <v>2</v>
      </c>
      <c r="T129">
        <f>SUM(tbl_Beneficiaries[[#This Row],[ التربية الخاصة ]:[ التأهيل النفسي الحركي ]])</f>
        <v>16</v>
      </c>
    </row>
    <row r="130" spans="1:20" x14ac:dyDescent="0.2">
      <c r="A130" s="1">
        <v>129</v>
      </c>
      <c r="B130" s="1">
        <v>1508553395</v>
      </c>
      <c r="C130" s="1" t="s">
        <v>462</v>
      </c>
      <c r="D130" s="1" t="s">
        <v>3</v>
      </c>
      <c r="E130" s="3">
        <v>43792</v>
      </c>
      <c r="F130" s="1" t="s">
        <v>361</v>
      </c>
      <c r="G130" s="1" t="s">
        <v>4</v>
      </c>
      <c r="H130" s="3">
        <v>44773</v>
      </c>
      <c r="I130" t="str">
        <f>IFERROR(INDEX('تشخيص الحالات'!$D$2:$D$1001,SUMPRODUCT(('تشخيص الحالات'!$B$2:$B$1001=B130)*('تشخيص الحالات'!$G$2:$G$1001=1)*ROW('تشخيص الحالات'!$B$2:$B$1001))-1),"")&amp;IF(SUMPRODUCT(('تشخيص الحالات'!$B$2:$B$1001=B130)*('تشخيص الحالات'!$G$2:$G$1001=2))&gt;0,"، "&amp;IFERROR(INDEX('تشخيص الحالات'!$D$2:$D$1001,SUMPRODUCT(('تشخيص الحالات'!$B$2:$B$1001=B130)*('تشخيص الحالات'!$G$2:$G$1001=2)*ROW('تشخيص الحالات'!$B$2:$B$1001))-1),""),"")&amp;IF(SUMPRODUCT(('تشخيص الحالات'!$B$2:$B$1001=B130)*('تشخيص الحالات'!$G$2:$G$1001=3))&gt;0,"، "&amp;IFERROR(INDEX('تشخيص الحالات'!$D$2:$D$1001,SUMPRODUCT(('تشخيص الحالات'!$B$2:$B$1001=B130)*('تشخيص الحالات'!$G$2:$G$1001=3)*ROW('تشخيص الحالات'!$B$2:$B$1001))-1),""),"")&amp;IF(SUMPRODUCT(('تشخيص الحالات'!$B$2:$B$1001=B130)*('تشخيص الحالات'!$G$2:$G$1001=4))&gt;0,"، "&amp;IFERROR(INDEX('تشخيص الحالات'!$D$2:$D$1001,SUMPRODUCT(('تشخيص الحالات'!$B$2:$B$1001=B130)*('تشخيص الحالات'!$G$2:$G$1001=4)*ROW('تشخيص الحالات'!$B$2:$B$1001))-1),""),"")&amp;IF(SUMPRODUCT(('تشخيص الحالات'!$B$2:$B$1001=B130)*('تشخيص الحالات'!$G$2:$G$1001=5))&gt;0,"، "&amp;IFERROR(INDEX('تشخيص الحالات'!$D$2:$D$1001,SUMPRODUCT(('تشخيص الحالات'!$B$2:$B$1001=B130)*('تشخيص الحالات'!$G$2:$G$1001=5)*ROW('تشخيص الحالات'!$B$2:$B$1001))-1),""),"")&amp;IF(SUMPRODUCT(('تشخيص الحالات'!$B$2:$B$1001=B130)*('تشخيص الحالات'!$G$2:$G$1001=6))&gt;0,"، "&amp;IFERROR(INDEX('تشخيص الحالات'!$D$2:$D$1001,SUMPRODUCT(('تشخيص الحالات'!$B$2:$B$1001=B130)*('تشخيص الحالات'!$G$2:$G$1001=6)*ROW('تشخيص الحالات'!$B$2:$B$1001))-1),""),"")&amp;IF(SUMPRODUCT(('تشخيص الحالات'!$B$2:$B$1001=B130)*('تشخيص الحالات'!$G$2:$G$1001=7))&gt;0,"، "&amp;IFERROR(INDEX('تشخيص الحالات'!$D$2:$D$1001,SUMPRODUCT(('تشخيص الحالات'!$B$2:$B$1001=B130)*('تشخيص الحالات'!$G$2:$G$1001=7)*ROW('تشخيص الحالات'!$B$2:$B$1001))-1),""),"")&amp;IF(SUMPRODUCT(('تشخيص الحالات'!$B$2:$B$1001=B130)*('تشخيص الحالات'!$G$2:$G$1001=8))&gt;0,"، "&amp;IFERROR(INDEX('تشخيص الحالات'!$D$2:$D$1001,SUMPRODUCT(('تشخيص الحالات'!$B$2:$B$1001=B130)*('تشخيص الحالات'!$G$2:$G$1001=8)*ROW('تشخيص الحالات'!$B$2:$B$1001))-1),""),"")</f>
        <v>إعاقة ذهنية</v>
      </c>
      <c r="J130" s="1">
        <v>79</v>
      </c>
      <c r="K130" s="1" t="s">
        <v>38</v>
      </c>
      <c r="L130" s="1">
        <v>3500</v>
      </c>
      <c r="M130" s="1" t="s">
        <v>43</v>
      </c>
      <c r="N130" s="1">
        <v>1</v>
      </c>
      <c r="O130" s="1">
        <v>7</v>
      </c>
      <c r="P130" s="1">
        <v>2</v>
      </c>
      <c r="Q130" s="1">
        <v>2</v>
      </c>
      <c r="R130" s="1">
        <v>4</v>
      </c>
      <c r="S130" s="1">
        <v>1</v>
      </c>
      <c r="T130">
        <f>SUM(tbl_Beneficiaries[[#This Row],[ التربية الخاصة ]:[ التأهيل النفسي الحركي ]])</f>
        <v>17</v>
      </c>
    </row>
    <row r="131" spans="1:20" x14ac:dyDescent="0.2">
      <c r="A131" s="1">
        <v>130</v>
      </c>
      <c r="B131" s="1">
        <v>1648463946</v>
      </c>
      <c r="C131" s="1" t="s">
        <v>463</v>
      </c>
      <c r="D131" s="1" t="s">
        <v>7</v>
      </c>
      <c r="E131" s="3">
        <v>41818</v>
      </c>
      <c r="F131" s="1" t="s">
        <v>360</v>
      </c>
      <c r="G131" s="1" t="s">
        <v>0</v>
      </c>
      <c r="H131" s="3">
        <v>45158</v>
      </c>
      <c r="I131" t="str">
        <f>IFERROR(INDEX('تشخيص الحالات'!$D$2:$D$1001,SUMPRODUCT(('تشخيص الحالات'!$B$2:$B$1001=B131)*('تشخيص الحالات'!$G$2:$G$1001=1)*ROW('تشخيص الحالات'!$B$2:$B$1001))-1),"")&amp;IF(SUMPRODUCT(('تشخيص الحالات'!$B$2:$B$1001=B131)*('تشخيص الحالات'!$G$2:$G$1001=2))&gt;0,"، "&amp;IFERROR(INDEX('تشخيص الحالات'!$D$2:$D$1001,SUMPRODUCT(('تشخيص الحالات'!$B$2:$B$1001=B131)*('تشخيص الحالات'!$G$2:$G$1001=2)*ROW('تشخيص الحالات'!$B$2:$B$1001))-1),""),"")&amp;IF(SUMPRODUCT(('تشخيص الحالات'!$B$2:$B$1001=B131)*('تشخيص الحالات'!$G$2:$G$1001=3))&gt;0,"، "&amp;IFERROR(INDEX('تشخيص الحالات'!$D$2:$D$1001,SUMPRODUCT(('تشخيص الحالات'!$B$2:$B$1001=B131)*('تشخيص الحالات'!$G$2:$G$1001=3)*ROW('تشخيص الحالات'!$B$2:$B$1001))-1),""),"")&amp;IF(SUMPRODUCT(('تشخيص الحالات'!$B$2:$B$1001=B131)*('تشخيص الحالات'!$G$2:$G$1001=4))&gt;0,"، "&amp;IFERROR(INDEX('تشخيص الحالات'!$D$2:$D$1001,SUMPRODUCT(('تشخيص الحالات'!$B$2:$B$1001=B131)*('تشخيص الحالات'!$G$2:$G$1001=4)*ROW('تشخيص الحالات'!$B$2:$B$1001))-1),""),"")&amp;IF(SUMPRODUCT(('تشخيص الحالات'!$B$2:$B$1001=B131)*('تشخيص الحالات'!$G$2:$G$1001=5))&gt;0,"، "&amp;IFERROR(INDEX('تشخيص الحالات'!$D$2:$D$1001,SUMPRODUCT(('تشخيص الحالات'!$B$2:$B$1001=B131)*('تشخيص الحالات'!$G$2:$G$1001=5)*ROW('تشخيص الحالات'!$B$2:$B$1001))-1),""),"")&amp;IF(SUMPRODUCT(('تشخيص الحالات'!$B$2:$B$1001=B131)*('تشخيص الحالات'!$G$2:$G$1001=6))&gt;0,"، "&amp;IFERROR(INDEX('تشخيص الحالات'!$D$2:$D$1001,SUMPRODUCT(('تشخيص الحالات'!$B$2:$B$1001=B131)*('تشخيص الحالات'!$G$2:$G$1001=6)*ROW('تشخيص الحالات'!$B$2:$B$1001))-1),""),"")&amp;IF(SUMPRODUCT(('تشخيص الحالات'!$B$2:$B$1001=B131)*('تشخيص الحالات'!$G$2:$G$1001=7))&gt;0,"، "&amp;IFERROR(INDEX('تشخيص الحالات'!$D$2:$D$1001,SUMPRODUCT(('تشخيص الحالات'!$B$2:$B$1001=B131)*('تشخيص الحالات'!$G$2:$G$1001=7)*ROW('تشخيص الحالات'!$B$2:$B$1001))-1),""),"")&amp;IF(SUMPRODUCT(('تشخيص الحالات'!$B$2:$B$1001=B131)*('تشخيص الحالات'!$G$2:$G$1001=8))&gt;0,"، "&amp;IFERROR(INDEX('تشخيص الحالات'!$D$2:$D$1001,SUMPRODUCT(('تشخيص الحالات'!$B$2:$B$1001=B131)*('تشخيص الحالات'!$G$2:$G$1001=8)*ROW('تشخيص الحالات'!$B$2:$B$1001))-1),""),"")</f>
        <v>إعاقة ذهنية</v>
      </c>
      <c r="J131" s="1">
        <v>66</v>
      </c>
      <c r="K131" s="1" t="s">
        <v>4</v>
      </c>
      <c r="L131" s="1">
        <v>4000</v>
      </c>
      <c r="M131" s="1" t="s">
        <v>42</v>
      </c>
      <c r="N131" s="1">
        <v>0</v>
      </c>
      <c r="O131" s="1">
        <v>0</v>
      </c>
      <c r="P131" s="1">
        <v>4</v>
      </c>
      <c r="Q131" s="1">
        <v>0</v>
      </c>
      <c r="R131" s="1">
        <v>0</v>
      </c>
      <c r="S131" s="1">
        <v>7</v>
      </c>
      <c r="T131">
        <f>SUM(tbl_Beneficiaries[[#This Row],[ التربية الخاصة ]:[ التأهيل النفسي الحركي ]])</f>
        <v>11</v>
      </c>
    </row>
    <row r="132" spans="1:20" x14ac:dyDescent="0.2">
      <c r="A132" s="1">
        <v>131</v>
      </c>
      <c r="B132" s="1">
        <v>1751252727</v>
      </c>
      <c r="C132" s="1" t="s">
        <v>464</v>
      </c>
      <c r="D132" s="1" t="s">
        <v>7</v>
      </c>
      <c r="E132" s="3">
        <v>43624</v>
      </c>
      <c r="F132" s="1" t="s">
        <v>357</v>
      </c>
      <c r="G132" s="1" t="s">
        <v>0</v>
      </c>
      <c r="H132" s="3">
        <v>45173</v>
      </c>
      <c r="I132" t="str">
        <f>IFERROR(INDEX('تشخيص الحالات'!$D$2:$D$1001,SUMPRODUCT(('تشخيص الحالات'!$B$2:$B$1001=B132)*('تشخيص الحالات'!$G$2:$G$1001=1)*ROW('تشخيص الحالات'!$B$2:$B$1001))-1),"")&amp;IF(SUMPRODUCT(('تشخيص الحالات'!$B$2:$B$1001=B132)*('تشخيص الحالات'!$G$2:$G$1001=2))&gt;0,"، "&amp;IFERROR(INDEX('تشخيص الحالات'!$D$2:$D$1001,SUMPRODUCT(('تشخيص الحالات'!$B$2:$B$1001=B132)*('تشخيص الحالات'!$G$2:$G$1001=2)*ROW('تشخيص الحالات'!$B$2:$B$1001))-1),""),"")&amp;IF(SUMPRODUCT(('تشخيص الحالات'!$B$2:$B$1001=B132)*('تشخيص الحالات'!$G$2:$G$1001=3))&gt;0,"، "&amp;IFERROR(INDEX('تشخيص الحالات'!$D$2:$D$1001,SUMPRODUCT(('تشخيص الحالات'!$B$2:$B$1001=B132)*('تشخيص الحالات'!$G$2:$G$1001=3)*ROW('تشخيص الحالات'!$B$2:$B$1001))-1),""),"")&amp;IF(SUMPRODUCT(('تشخيص الحالات'!$B$2:$B$1001=B132)*('تشخيص الحالات'!$G$2:$G$1001=4))&gt;0,"، "&amp;IFERROR(INDEX('تشخيص الحالات'!$D$2:$D$1001,SUMPRODUCT(('تشخيص الحالات'!$B$2:$B$1001=B132)*('تشخيص الحالات'!$G$2:$G$1001=4)*ROW('تشخيص الحالات'!$B$2:$B$1001))-1),""),"")&amp;IF(SUMPRODUCT(('تشخيص الحالات'!$B$2:$B$1001=B132)*('تشخيص الحالات'!$G$2:$G$1001=5))&gt;0,"، "&amp;IFERROR(INDEX('تشخيص الحالات'!$D$2:$D$1001,SUMPRODUCT(('تشخيص الحالات'!$B$2:$B$1001=B132)*('تشخيص الحالات'!$G$2:$G$1001=5)*ROW('تشخيص الحالات'!$B$2:$B$1001))-1),""),"")&amp;IF(SUMPRODUCT(('تشخيص الحالات'!$B$2:$B$1001=B132)*('تشخيص الحالات'!$G$2:$G$1001=6))&gt;0,"، "&amp;IFERROR(INDEX('تشخيص الحالات'!$D$2:$D$1001,SUMPRODUCT(('تشخيص الحالات'!$B$2:$B$1001=B132)*('تشخيص الحالات'!$G$2:$G$1001=6)*ROW('تشخيص الحالات'!$B$2:$B$1001))-1),""),"")&amp;IF(SUMPRODUCT(('تشخيص الحالات'!$B$2:$B$1001=B132)*('تشخيص الحالات'!$G$2:$G$1001=7))&gt;0,"، "&amp;IFERROR(INDEX('تشخيص الحالات'!$D$2:$D$1001,SUMPRODUCT(('تشخيص الحالات'!$B$2:$B$1001=B132)*('تشخيص الحالات'!$G$2:$G$1001=7)*ROW('تشخيص الحالات'!$B$2:$B$1001))-1),""),"")&amp;IF(SUMPRODUCT(('تشخيص الحالات'!$B$2:$B$1001=B132)*('تشخيص الحالات'!$G$2:$G$1001=8))&gt;0,"، "&amp;IFERROR(INDEX('تشخيص الحالات'!$D$2:$D$1001,SUMPRODUCT(('تشخيص الحالات'!$B$2:$B$1001=B132)*('تشخيص الحالات'!$G$2:$G$1001=8)*ROW('تشخيص الحالات'!$B$2:$B$1001))-1),""),"")</f>
        <v>اضطراب تواصل اجتماعي، اضطرابات سلوكية</v>
      </c>
      <c r="J132" s="1">
        <v>77</v>
      </c>
      <c r="K132" s="1" t="s">
        <v>39</v>
      </c>
      <c r="L132" s="1">
        <v>2000</v>
      </c>
      <c r="M132" s="1" t="s">
        <v>42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>
        <f>SUM(tbl_Beneficiaries[[#This Row],[ التربية الخاصة ]:[ التأهيل النفسي الحركي ]])</f>
        <v>0</v>
      </c>
    </row>
    <row r="133" spans="1:20" x14ac:dyDescent="0.2">
      <c r="A133" s="1">
        <v>132</v>
      </c>
      <c r="B133" s="1">
        <v>1543372068</v>
      </c>
      <c r="C133" s="1" t="s">
        <v>465</v>
      </c>
      <c r="D133" s="1" t="s">
        <v>7</v>
      </c>
      <c r="E133" s="3">
        <v>40206</v>
      </c>
      <c r="F133" s="1" t="s">
        <v>357</v>
      </c>
      <c r="G133" s="1" t="s">
        <v>1</v>
      </c>
      <c r="H133" s="3">
        <v>45415</v>
      </c>
      <c r="I133" t="str">
        <f>IFERROR(INDEX('تشخيص الحالات'!$D$2:$D$1001,SUMPRODUCT(('تشخيص الحالات'!$B$2:$B$1001=B133)*('تشخيص الحالات'!$G$2:$G$1001=1)*ROW('تشخيص الحالات'!$B$2:$B$1001))-1),"")&amp;IF(SUMPRODUCT(('تشخيص الحالات'!$B$2:$B$1001=B133)*('تشخيص الحالات'!$G$2:$G$1001=2))&gt;0,"، "&amp;IFERROR(INDEX('تشخيص الحالات'!$D$2:$D$1001,SUMPRODUCT(('تشخيص الحالات'!$B$2:$B$1001=B133)*('تشخيص الحالات'!$G$2:$G$1001=2)*ROW('تشخيص الحالات'!$B$2:$B$1001))-1),""),"")&amp;IF(SUMPRODUCT(('تشخيص الحالات'!$B$2:$B$1001=B133)*('تشخيص الحالات'!$G$2:$G$1001=3))&gt;0,"، "&amp;IFERROR(INDEX('تشخيص الحالات'!$D$2:$D$1001,SUMPRODUCT(('تشخيص الحالات'!$B$2:$B$1001=B133)*('تشخيص الحالات'!$G$2:$G$1001=3)*ROW('تشخيص الحالات'!$B$2:$B$1001))-1),""),"")&amp;IF(SUMPRODUCT(('تشخيص الحالات'!$B$2:$B$1001=B133)*('تشخيص الحالات'!$G$2:$G$1001=4))&gt;0,"، "&amp;IFERROR(INDEX('تشخيص الحالات'!$D$2:$D$1001,SUMPRODUCT(('تشخيص الحالات'!$B$2:$B$1001=B133)*('تشخيص الحالات'!$G$2:$G$1001=4)*ROW('تشخيص الحالات'!$B$2:$B$1001))-1),""),"")&amp;IF(SUMPRODUCT(('تشخيص الحالات'!$B$2:$B$1001=B133)*('تشخيص الحالات'!$G$2:$G$1001=5))&gt;0,"، "&amp;IFERROR(INDEX('تشخيص الحالات'!$D$2:$D$1001,SUMPRODUCT(('تشخيص الحالات'!$B$2:$B$1001=B133)*('تشخيص الحالات'!$G$2:$G$1001=5)*ROW('تشخيص الحالات'!$B$2:$B$1001))-1),""),"")&amp;IF(SUMPRODUCT(('تشخيص الحالات'!$B$2:$B$1001=B133)*('تشخيص الحالات'!$G$2:$G$1001=6))&gt;0,"، "&amp;IFERROR(INDEX('تشخيص الحالات'!$D$2:$D$1001,SUMPRODUCT(('تشخيص الحالات'!$B$2:$B$1001=B133)*('تشخيص الحالات'!$G$2:$G$1001=6)*ROW('تشخيص الحالات'!$B$2:$B$1001))-1),""),"")&amp;IF(SUMPRODUCT(('تشخيص الحالات'!$B$2:$B$1001=B133)*('تشخيص الحالات'!$G$2:$G$1001=7))&gt;0,"، "&amp;IFERROR(INDEX('تشخيص الحالات'!$D$2:$D$1001,SUMPRODUCT(('تشخيص الحالات'!$B$2:$B$1001=B133)*('تشخيص الحالات'!$G$2:$G$1001=7)*ROW('تشخيص الحالات'!$B$2:$B$1001))-1),""),"")&amp;IF(SUMPRODUCT(('تشخيص الحالات'!$B$2:$B$1001=B133)*('تشخيص الحالات'!$G$2:$G$1001=8))&gt;0,"، "&amp;IFERROR(INDEX('تشخيص الحالات'!$D$2:$D$1001,SUMPRODUCT(('تشخيص الحالات'!$B$2:$B$1001=B133)*('تشخيص الحالات'!$G$2:$G$1001=8)*ROW('تشخيص الحالات'!$B$2:$B$1001))-1),""),"")</f>
        <v>مشكلات لغوية، إعاقة ذهنية</v>
      </c>
      <c r="J133" s="1">
        <v>97</v>
      </c>
      <c r="K133" s="1" t="s">
        <v>4</v>
      </c>
      <c r="L133" s="1">
        <v>3500</v>
      </c>
      <c r="M133" s="1" t="s">
        <v>44</v>
      </c>
      <c r="N133" s="1">
        <v>0</v>
      </c>
      <c r="O133" s="1">
        <v>7</v>
      </c>
      <c r="P133" s="1">
        <v>0</v>
      </c>
      <c r="Q133" s="1">
        <v>0</v>
      </c>
      <c r="R133" s="1">
        <v>0</v>
      </c>
      <c r="S133" s="1">
        <v>5</v>
      </c>
      <c r="T133">
        <f>SUM(tbl_Beneficiaries[[#This Row],[ التربية الخاصة ]:[ التأهيل النفسي الحركي ]])</f>
        <v>12</v>
      </c>
    </row>
    <row r="134" spans="1:20" x14ac:dyDescent="0.2">
      <c r="A134" s="1">
        <v>133</v>
      </c>
      <c r="B134" s="1">
        <v>1049921311</v>
      </c>
      <c r="C134" s="1" t="s">
        <v>120</v>
      </c>
      <c r="D134" s="1" t="s">
        <v>3</v>
      </c>
      <c r="E134" s="3">
        <v>40321</v>
      </c>
      <c r="F134" s="1" t="s">
        <v>359</v>
      </c>
      <c r="G134" s="1" t="s">
        <v>4</v>
      </c>
      <c r="H134" s="3">
        <v>44655</v>
      </c>
      <c r="I134" t="str">
        <f>IFERROR(INDEX('تشخيص الحالات'!$D$2:$D$1001,SUMPRODUCT(('تشخيص الحالات'!$B$2:$B$1001=B134)*('تشخيص الحالات'!$G$2:$G$1001=1)*ROW('تشخيص الحالات'!$B$2:$B$1001))-1),"")&amp;IF(SUMPRODUCT(('تشخيص الحالات'!$B$2:$B$1001=B134)*('تشخيص الحالات'!$G$2:$G$1001=2))&gt;0,"، "&amp;IFERROR(INDEX('تشخيص الحالات'!$D$2:$D$1001,SUMPRODUCT(('تشخيص الحالات'!$B$2:$B$1001=B134)*('تشخيص الحالات'!$G$2:$G$1001=2)*ROW('تشخيص الحالات'!$B$2:$B$1001))-1),""),"")&amp;IF(SUMPRODUCT(('تشخيص الحالات'!$B$2:$B$1001=B134)*('تشخيص الحالات'!$G$2:$G$1001=3))&gt;0,"، "&amp;IFERROR(INDEX('تشخيص الحالات'!$D$2:$D$1001,SUMPRODUCT(('تشخيص الحالات'!$B$2:$B$1001=B134)*('تشخيص الحالات'!$G$2:$G$1001=3)*ROW('تشخيص الحالات'!$B$2:$B$1001))-1),""),"")&amp;IF(SUMPRODUCT(('تشخيص الحالات'!$B$2:$B$1001=B134)*('تشخيص الحالات'!$G$2:$G$1001=4))&gt;0,"، "&amp;IFERROR(INDEX('تشخيص الحالات'!$D$2:$D$1001,SUMPRODUCT(('تشخيص الحالات'!$B$2:$B$1001=B134)*('تشخيص الحالات'!$G$2:$G$1001=4)*ROW('تشخيص الحالات'!$B$2:$B$1001))-1),""),"")&amp;IF(SUMPRODUCT(('تشخيص الحالات'!$B$2:$B$1001=B134)*('تشخيص الحالات'!$G$2:$G$1001=5))&gt;0,"، "&amp;IFERROR(INDEX('تشخيص الحالات'!$D$2:$D$1001,SUMPRODUCT(('تشخيص الحالات'!$B$2:$B$1001=B134)*('تشخيص الحالات'!$G$2:$G$1001=5)*ROW('تشخيص الحالات'!$B$2:$B$1001))-1),""),"")&amp;IF(SUMPRODUCT(('تشخيص الحالات'!$B$2:$B$1001=B134)*('تشخيص الحالات'!$G$2:$G$1001=6))&gt;0,"، "&amp;IFERROR(INDEX('تشخيص الحالات'!$D$2:$D$1001,SUMPRODUCT(('تشخيص الحالات'!$B$2:$B$1001=B134)*('تشخيص الحالات'!$G$2:$G$1001=6)*ROW('تشخيص الحالات'!$B$2:$B$1001))-1),""),"")&amp;IF(SUMPRODUCT(('تشخيص الحالات'!$B$2:$B$1001=B134)*('تشخيص الحالات'!$G$2:$G$1001=7))&gt;0,"، "&amp;IFERROR(INDEX('تشخيص الحالات'!$D$2:$D$1001,SUMPRODUCT(('تشخيص الحالات'!$B$2:$B$1001=B134)*('تشخيص الحالات'!$G$2:$G$1001=7)*ROW('تشخيص الحالات'!$B$2:$B$1001))-1),""),"")&amp;IF(SUMPRODUCT(('تشخيص الحالات'!$B$2:$B$1001=B134)*('تشخيص الحالات'!$G$2:$G$1001=8))&gt;0,"، "&amp;IFERROR(INDEX('تشخيص الحالات'!$D$2:$D$1001,SUMPRODUCT(('تشخيص الحالات'!$B$2:$B$1001=B134)*('تشخيص الحالات'!$G$2:$G$1001=8)*ROW('تشخيص الحالات'!$B$2:$B$1001))-1),""),"")</f>
        <v>فرط الحركة وتشتت الانتباه، صعوبات تعلم، مشكلات أسرية / اجتماعية، إعاقة بصرية</v>
      </c>
      <c r="J134" s="1">
        <v>75</v>
      </c>
      <c r="K134" s="1" t="s">
        <v>39</v>
      </c>
      <c r="L134" s="1">
        <v>1500</v>
      </c>
      <c r="M134" s="1" t="s">
        <v>44</v>
      </c>
      <c r="N134" s="1">
        <v>0</v>
      </c>
      <c r="O134" s="1">
        <v>2</v>
      </c>
      <c r="P134" s="1">
        <v>8</v>
      </c>
      <c r="Q134" s="1">
        <v>6</v>
      </c>
      <c r="R134" s="1">
        <v>0</v>
      </c>
      <c r="S134" s="1">
        <v>2</v>
      </c>
      <c r="T134">
        <f>SUM(tbl_Beneficiaries[[#This Row],[ التربية الخاصة ]:[ التأهيل النفسي الحركي ]])</f>
        <v>18</v>
      </c>
    </row>
    <row r="135" spans="1:20" x14ac:dyDescent="0.2">
      <c r="A135" s="1">
        <v>134</v>
      </c>
      <c r="B135" s="1">
        <v>1055787167</v>
      </c>
      <c r="C135" s="1" t="s">
        <v>466</v>
      </c>
      <c r="D135" s="1" t="s">
        <v>7</v>
      </c>
      <c r="E135" s="3">
        <v>44110</v>
      </c>
      <c r="F135" s="1" t="s">
        <v>358</v>
      </c>
      <c r="G135" s="1" t="s">
        <v>1</v>
      </c>
      <c r="H135" s="3">
        <v>45228</v>
      </c>
      <c r="I135" t="str">
        <f>IFERROR(INDEX('تشخيص الحالات'!$D$2:$D$1001,SUMPRODUCT(('تشخيص الحالات'!$B$2:$B$1001=B135)*('تشخيص الحالات'!$G$2:$G$1001=1)*ROW('تشخيص الحالات'!$B$2:$B$1001))-1),"")&amp;IF(SUMPRODUCT(('تشخيص الحالات'!$B$2:$B$1001=B135)*('تشخيص الحالات'!$G$2:$G$1001=2))&gt;0,"، "&amp;IFERROR(INDEX('تشخيص الحالات'!$D$2:$D$1001,SUMPRODUCT(('تشخيص الحالات'!$B$2:$B$1001=B135)*('تشخيص الحالات'!$G$2:$G$1001=2)*ROW('تشخيص الحالات'!$B$2:$B$1001))-1),""),"")&amp;IF(SUMPRODUCT(('تشخيص الحالات'!$B$2:$B$1001=B135)*('تشخيص الحالات'!$G$2:$G$1001=3))&gt;0,"، "&amp;IFERROR(INDEX('تشخيص الحالات'!$D$2:$D$1001,SUMPRODUCT(('تشخيص الحالات'!$B$2:$B$1001=B135)*('تشخيص الحالات'!$G$2:$G$1001=3)*ROW('تشخيص الحالات'!$B$2:$B$1001))-1),""),"")&amp;IF(SUMPRODUCT(('تشخيص الحالات'!$B$2:$B$1001=B135)*('تشخيص الحالات'!$G$2:$G$1001=4))&gt;0,"، "&amp;IFERROR(INDEX('تشخيص الحالات'!$D$2:$D$1001,SUMPRODUCT(('تشخيص الحالات'!$B$2:$B$1001=B135)*('تشخيص الحالات'!$G$2:$G$1001=4)*ROW('تشخيص الحالات'!$B$2:$B$1001))-1),""),"")&amp;IF(SUMPRODUCT(('تشخيص الحالات'!$B$2:$B$1001=B135)*('تشخيص الحالات'!$G$2:$G$1001=5))&gt;0,"، "&amp;IFERROR(INDEX('تشخيص الحالات'!$D$2:$D$1001,SUMPRODUCT(('تشخيص الحالات'!$B$2:$B$1001=B135)*('تشخيص الحالات'!$G$2:$G$1001=5)*ROW('تشخيص الحالات'!$B$2:$B$1001))-1),""),"")&amp;IF(SUMPRODUCT(('تشخيص الحالات'!$B$2:$B$1001=B135)*('تشخيص الحالات'!$G$2:$G$1001=6))&gt;0,"، "&amp;IFERROR(INDEX('تشخيص الحالات'!$D$2:$D$1001,SUMPRODUCT(('تشخيص الحالات'!$B$2:$B$1001=B135)*('تشخيص الحالات'!$G$2:$G$1001=6)*ROW('تشخيص الحالات'!$B$2:$B$1001))-1),""),"")&amp;IF(SUMPRODUCT(('تشخيص الحالات'!$B$2:$B$1001=B135)*('تشخيص الحالات'!$G$2:$G$1001=7))&gt;0,"، "&amp;IFERROR(INDEX('تشخيص الحالات'!$D$2:$D$1001,SUMPRODUCT(('تشخيص الحالات'!$B$2:$B$1001=B135)*('تشخيص الحالات'!$G$2:$G$1001=7)*ROW('تشخيص الحالات'!$B$2:$B$1001))-1),""),"")&amp;IF(SUMPRODUCT(('تشخيص الحالات'!$B$2:$B$1001=B135)*('تشخيص الحالات'!$G$2:$G$1001=8))&gt;0,"، "&amp;IFERROR(INDEX('تشخيص الحالات'!$D$2:$D$1001,SUMPRODUCT(('تشخيص الحالات'!$B$2:$B$1001=B135)*('تشخيص الحالات'!$G$2:$G$1001=8)*ROW('تشخيص الحالات'!$B$2:$B$1001))-1),""),"")</f>
        <v>تأخر حركي، اضطراب تواصل اجتماعي، اضطراب تكامل حسي</v>
      </c>
      <c r="J135" s="1">
        <v>98</v>
      </c>
      <c r="K135" s="1" t="s">
        <v>4</v>
      </c>
      <c r="L135" s="1">
        <v>3500</v>
      </c>
      <c r="M135" s="1" t="s">
        <v>42</v>
      </c>
      <c r="N135" s="1">
        <v>0</v>
      </c>
      <c r="O135" s="1">
        <v>2</v>
      </c>
      <c r="P135" s="1">
        <v>4</v>
      </c>
      <c r="Q135" s="1">
        <v>0</v>
      </c>
      <c r="R135" s="1">
        <v>6</v>
      </c>
      <c r="S135" s="1">
        <v>4</v>
      </c>
      <c r="T135">
        <f>SUM(tbl_Beneficiaries[[#This Row],[ التربية الخاصة ]:[ التأهيل النفسي الحركي ]])</f>
        <v>16</v>
      </c>
    </row>
    <row r="136" spans="1:20" x14ac:dyDescent="0.2">
      <c r="A136" s="1">
        <v>135</v>
      </c>
      <c r="B136" s="1">
        <v>1090991477</v>
      </c>
      <c r="C136" s="1" t="s">
        <v>467</v>
      </c>
      <c r="D136" s="1" t="s">
        <v>3</v>
      </c>
      <c r="E136" s="3">
        <v>41685</v>
      </c>
      <c r="F136" s="1" t="s">
        <v>357</v>
      </c>
      <c r="G136" s="1" t="s">
        <v>0</v>
      </c>
      <c r="H136" s="3">
        <v>45414</v>
      </c>
      <c r="I136" t="str">
        <f>IFERROR(INDEX('تشخيص الحالات'!$D$2:$D$1001,SUMPRODUCT(('تشخيص الحالات'!$B$2:$B$1001=B136)*('تشخيص الحالات'!$G$2:$G$1001=1)*ROW('تشخيص الحالات'!$B$2:$B$1001))-1),"")&amp;IF(SUMPRODUCT(('تشخيص الحالات'!$B$2:$B$1001=B136)*('تشخيص الحالات'!$G$2:$G$1001=2))&gt;0,"، "&amp;IFERROR(INDEX('تشخيص الحالات'!$D$2:$D$1001,SUMPRODUCT(('تشخيص الحالات'!$B$2:$B$1001=B136)*('تشخيص الحالات'!$G$2:$G$1001=2)*ROW('تشخيص الحالات'!$B$2:$B$1001))-1),""),"")&amp;IF(SUMPRODUCT(('تشخيص الحالات'!$B$2:$B$1001=B136)*('تشخيص الحالات'!$G$2:$G$1001=3))&gt;0,"، "&amp;IFERROR(INDEX('تشخيص الحالات'!$D$2:$D$1001,SUMPRODUCT(('تشخيص الحالات'!$B$2:$B$1001=B136)*('تشخيص الحالات'!$G$2:$G$1001=3)*ROW('تشخيص الحالات'!$B$2:$B$1001))-1),""),"")&amp;IF(SUMPRODUCT(('تشخيص الحالات'!$B$2:$B$1001=B136)*('تشخيص الحالات'!$G$2:$G$1001=4))&gt;0,"، "&amp;IFERROR(INDEX('تشخيص الحالات'!$D$2:$D$1001,SUMPRODUCT(('تشخيص الحالات'!$B$2:$B$1001=B136)*('تشخيص الحالات'!$G$2:$G$1001=4)*ROW('تشخيص الحالات'!$B$2:$B$1001))-1),""),"")&amp;IF(SUMPRODUCT(('تشخيص الحالات'!$B$2:$B$1001=B136)*('تشخيص الحالات'!$G$2:$G$1001=5))&gt;0,"، "&amp;IFERROR(INDEX('تشخيص الحالات'!$D$2:$D$1001,SUMPRODUCT(('تشخيص الحالات'!$B$2:$B$1001=B136)*('تشخيص الحالات'!$G$2:$G$1001=5)*ROW('تشخيص الحالات'!$B$2:$B$1001))-1),""),"")&amp;IF(SUMPRODUCT(('تشخيص الحالات'!$B$2:$B$1001=B136)*('تشخيص الحالات'!$G$2:$G$1001=6))&gt;0,"، "&amp;IFERROR(INDEX('تشخيص الحالات'!$D$2:$D$1001,SUMPRODUCT(('تشخيص الحالات'!$B$2:$B$1001=B136)*('تشخيص الحالات'!$G$2:$G$1001=6)*ROW('تشخيص الحالات'!$B$2:$B$1001))-1),""),"")&amp;IF(SUMPRODUCT(('تشخيص الحالات'!$B$2:$B$1001=B136)*('تشخيص الحالات'!$G$2:$G$1001=7))&gt;0,"، "&amp;IFERROR(INDEX('تشخيص الحالات'!$D$2:$D$1001,SUMPRODUCT(('تشخيص الحالات'!$B$2:$B$1001=B136)*('تشخيص الحالات'!$G$2:$G$1001=7)*ROW('تشخيص الحالات'!$B$2:$B$1001))-1),""),"")&amp;IF(SUMPRODUCT(('تشخيص الحالات'!$B$2:$B$1001=B136)*('تشخيص الحالات'!$G$2:$G$1001=8))&gt;0,"، "&amp;IFERROR(INDEX('تشخيص الحالات'!$D$2:$D$1001,SUMPRODUCT(('تشخيص الحالات'!$B$2:$B$1001=B136)*('تشخيص الحالات'!$G$2:$G$1001=8)*ROW('تشخيص الحالات'!$B$2:$B$1001))-1),""),"")</f>
        <v>شلل دماغي، اضطراب طيف التوحد، مشكلات أسرية / اجتماعية، إعاقة بصرية</v>
      </c>
      <c r="J136" s="1">
        <v>100</v>
      </c>
      <c r="K136" s="1" t="s">
        <v>4</v>
      </c>
      <c r="L136" s="1">
        <v>1500</v>
      </c>
      <c r="M136" s="1" t="s">
        <v>44</v>
      </c>
      <c r="N136" s="1">
        <v>4</v>
      </c>
      <c r="O136" s="1">
        <v>2</v>
      </c>
      <c r="P136" s="1">
        <v>0</v>
      </c>
      <c r="Q136" s="1">
        <v>9</v>
      </c>
      <c r="R136" s="1">
        <v>3</v>
      </c>
      <c r="S136" s="1">
        <v>2</v>
      </c>
      <c r="T136">
        <f>SUM(tbl_Beneficiaries[[#This Row],[ التربية الخاصة ]:[ التأهيل النفسي الحركي ]])</f>
        <v>20</v>
      </c>
    </row>
    <row r="137" spans="1:20" x14ac:dyDescent="0.2">
      <c r="A137" s="1">
        <v>136</v>
      </c>
      <c r="B137" s="1">
        <v>1234479307</v>
      </c>
      <c r="C137" s="1" t="s">
        <v>468</v>
      </c>
      <c r="D137" s="1" t="s">
        <v>3</v>
      </c>
      <c r="E137" s="3">
        <v>43578</v>
      </c>
      <c r="F137" s="1" t="s">
        <v>360</v>
      </c>
      <c r="G137" s="1" t="s">
        <v>0</v>
      </c>
      <c r="H137" s="3">
        <v>45024</v>
      </c>
      <c r="I137" t="str">
        <f>IFERROR(INDEX('تشخيص الحالات'!$D$2:$D$1001,SUMPRODUCT(('تشخيص الحالات'!$B$2:$B$1001=B137)*('تشخيص الحالات'!$G$2:$G$1001=1)*ROW('تشخيص الحالات'!$B$2:$B$1001))-1),"")&amp;IF(SUMPRODUCT(('تشخيص الحالات'!$B$2:$B$1001=B137)*('تشخيص الحالات'!$G$2:$G$1001=2))&gt;0,"، "&amp;IFERROR(INDEX('تشخيص الحالات'!$D$2:$D$1001,SUMPRODUCT(('تشخيص الحالات'!$B$2:$B$1001=B137)*('تشخيص الحالات'!$G$2:$G$1001=2)*ROW('تشخيص الحالات'!$B$2:$B$1001))-1),""),"")&amp;IF(SUMPRODUCT(('تشخيص الحالات'!$B$2:$B$1001=B137)*('تشخيص الحالات'!$G$2:$G$1001=3))&gt;0,"، "&amp;IFERROR(INDEX('تشخيص الحالات'!$D$2:$D$1001,SUMPRODUCT(('تشخيص الحالات'!$B$2:$B$1001=B137)*('تشخيص الحالات'!$G$2:$G$1001=3)*ROW('تشخيص الحالات'!$B$2:$B$1001))-1),""),"")&amp;IF(SUMPRODUCT(('تشخيص الحالات'!$B$2:$B$1001=B137)*('تشخيص الحالات'!$G$2:$G$1001=4))&gt;0,"، "&amp;IFERROR(INDEX('تشخيص الحالات'!$D$2:$D$1001,SUMPRODUCT(('تشخيص الحالات'!$B$2:$B$1001=B137)*('تشخيص الحالات'!$G$2:$G$1001=4)*ROW('تشخيص الحالات'!$B$2:$B$1001))-1),""),"")&amp;IF(SUMPRODUCT(('تشخيص الحالات'!$B$2:$B$1001=B137)*('تشخيص الحالات'!$G$2:$G$1001=5))&gt;0,"، "&amp;IFERROR(INDEX('تشخيص الحالات'!$D$2:$D$1001,SUMPRODUCT(('تشخيص الحالات'!$B$2:$B$1001=B137)*('تشخيص الحالات'!$G$2:$G$1001=5)*ROW('تشخيص الحالات'!$B$2:$B$1001))-1),""),"")&amp;IF(SUMPRODUCT(('تشخيص الحالات'!$B$2:$B$1001=B137)*('تشخيص الحالات'!$G$2:$G$1001=6))&gt;0,"، "&amp;IFERROR(INDEX('تشخيص الحالات'!$D$2:$D$1001,SUMPRODUCT(('تشخيص الحالات'!$B$2:$B$1001=B137)*('تشخيص الحالات'!$G$2:$G$1001=6)*ROW('تشخيص الحالات'!$B$2:$B$1001))-1),""),"")&amp;IF(SUMPRODUCT(('تشخيص الحالات'!$B$2:$B$1001=B137)*('تشخيص الحالات'!$G$2:$G$1001=7))&gt;0,"، "&amp;IFERROR(INDEX('تشخيص الحالات'!$D$2:$D$1001,SUMPRODUCT(('تشخيص الحالات'!$B$2:$B$1001=B137)*('تشخيص الحالات'!$G$2:$G$1001=7)*ROW('تشخيص الحالات'!$B$2:$B$1001))-1),""),"")&amp;IF(SUMPRODUCT(('تشخيص الحالات'!$B$2:$B$1001=B137)*('تشخيص الحالات'!$G$2:$G$1001=8))&gt;0,"، "&amp;IFERROR(INDEX('تشخيص الحالات'!$D$2:$D$1001,SUMPRODUCT(('تشخيص الحالات'!$B$2:$B$1001=B137)*('تشخيص الحالات'!$G$2:$G$1001=8)*ROW('تشخيص الحالات'!$B$2:$B$1001))-1),""),"")</f>
        <v>اضطرابات سلوكية، مشكلات لغوية</v>
      </c>
      <c r="J137" s="1">
        <v>60</v>
      </c>
      <c r="K137" s="1" t="s">
        <v>38</v>
      </c>
      <c r="L137" s="1">
        <v>2500</v>
      </c>
      <c r="M137" s="1" t="s">
        <v>43</v>
      </c>
      <c r="N137" s="1">
        <v>6</v>
      </c>
      <c r="O137" s="1">
        <v>0</v>
      </c>
      <c r="P137" s="1">
        <v>2</v>
      </c>
      <c r="Q137" s="1">
        <v>0</v>
      </c>
      <c r="R137" s="1">
        <v>0</v>
      </c>
      <c r="S137" s="1">
        <v>5</v>
      </c>
      <c r="T137">
        <f>SUM(tbl_Beneficiaries[[#This Row],[ التربية الخاصة ]:[ التأهيل النفسي الحركي ]])</f>
        <v>13</v>
      </c>
    </row>
    <row r="138" spans="1:20" x14ac:dyDescent="0.2">
      <c r="A138" s="1">
        <v>137</v>
      </c>
      <c r="B138" s="1">
        <v>1181831202</v>
      </c>
      <c r="C138" s="1" t="s">
        <v>469</v>
      </c>
      <c r="D138" s="1" t="s">
        <v>7</v>
      </c>
      <c r="E138" s="3">
        <v>40778</v>
      </c>
      <c r="F138" s="1" t="s">
        <v>357</v>
      </c>
      <c r="G138" s="1" t="s">
        <v>4</v>
      </c>
      <c r="H138" s="3">
        <v>45515</v>
      </c>
      <c r="I138" t="str">
        <f>IFERROR(INDEX('تشخيص الحالات'!$D$2:$D$1001,SUMPRODUCT(('تشخيص الحالات'!$B$2:$B$1001=B138)*('تشخيص الحالات'!$G$2:$G$1001=1)*ROW('تشخيص الحالات'!$B$2:$B$1001))-1),"")&amp;IF(SUMPRODUCT(('تشخيص الحالات'!$B$2:$B$1001=B138)*('تشخيص الحالات'!$G$2:$G$1001=2))&gt;0,"، "&amp;IFERROR(INDEX('تشخيص الحالات'!$D$2:$D$1001,SUMPRODUCT(('تشخيص الحالات'!$B$2:$B$1001=B138)*('تشخيص الحالات'!$G$2:$G$1001=2)*ROW('تشخيص الحالات'!$B$2:$B$1001))-1),""),"")&amp;IF(SUMPRODUCT(('تشخيص الحالات'!$B$2:$B$1001=B138)*('تشخيص الحالات'!$G$2:$G$1001=3))&gt;0,"، "&amp;IFERROR(INDEX('تشخيص الحالات'!$D$2:$D$1001,SUMPRODUCT(('تشخيص الحالات'!$B$2:$B$1001=B138)*('تشخيص الحالات'!$G$2:$G$1001=3)*ROW('تشخيص الحالات'!$B$2:$B$1001))-1),""),"")&amp;IF(SUMPRODUCT(('تشخيص الحالات'!$B$2:$B$1001=B138)*('تشخيص الحالات'!$G$2:$G$1001=4))&gt;0,"، "&amp;IFERROR(INDEX('تشخيص الحالات'!$D$2:$D$1001,SUMPRODUCT(('تشخيص الحالات'!$B$2:$B$1001=B138)*('تشخيص الحالات'!$G$2:$G$1001=4)*ROW('تشخيص الحالات'!$B$2:$B$1001))-1),""),"")&amp;IF(SUMPRODUCT(('تشخيص الحالات'!$B$2:$B$1001=B138)*('تشخيص الحالات'!$G$2:$G$1001=5))&gt;0,"، "&amp;IFERROR(INDEX('تشخيص الحالات'!$D$2:$D$1001,SUMPRODUCT(('تشخيص الحالات'!$B$2:$B$1001=B138)*('تشخيص الحالات'!$G$2:$G$1001=5)*ROW('تشخيص الحالات'!$B$2:$B$1001))-1),""),"")&amp;IF(SUMPRODUCT(('تشخيص الحالات'!$B$2:$B$1001=B138)*('تشخيص الحالات'!$G$2:$G$1001=6))&gt;0,"، "&amp;IFERROR(INDEX('تشخيص الحالات'!$D$2:$D$1001,SUMPRODUCT(('تشخيص الحالات'!$B$2:$B$1001=B138)*('تشخيص الحالات'!$G$2:$G$1001=6)*ROW('تشخيص الحالات'!$B$2:$B$1001))-1),""),"")&amp;IF(SUMPRODUCT(('تشخيص الحالات'!$B$2:$B$1001=B138)*('تشخيص الحالات'!$G$2:$G$1001=7))&gt;0,"، "&amp;IFERROR(INDEX('تشخيص الحالات'!$D$2:$D$1001,SUMPRODUCT(('تشخيص الحالات'!$B$2:$B$1001=B138)*('تشخيص الحالات'!$G$2:$G$1001=7)*ROW('تشخيص الحالات'!$B$2:$B$1001))-1),""),"")&amp;IF(SUMPRODUCT(('تشخيص الحالات'!$B$2:$B$1001=B138)*('تشخيص الحالات'!$G$2:$G$1001=8))&gt;0,"، "&amp;IFERROR(INDEX('تشخيص الحالات'!$D$2:$D$1001,SUMPRODUCT(('تشخيص الحالات'!$B$2:$B$1001=B138)*('تشخيص الحالات'!$G$2:$G$1001=8)*ROW('تشخيص الحالات'!$B$2:$B$1001))-1),""),"")</f>
        <v>إعاقة ذهنية، مشكلات لغوية، تأخر نمائي</v>
      </c>
      <c r="J138" s="1">
        <v>89</v>
      </c>
      <c r="K138" s="1" t="s">
        <v>39</v>
      </c>
      <c r="L138" s="1">
        <v>2000</v>
      </c>
      <c r="M138" s="1" t="s">
        <v>41</v>
      </c>
      <c r="N138" s="1">
        <v>0</v>
      </c>
      <c r="O138" s="1">
        <v>0</v>
      </c>
      <c r="P138" s="1">
        <v>8</v>
      </c>
      <c r="Q138" s="1">
        <v>0</v>
      </c>
      <c r="R138" s="1">
        <v>0</v>
      </c>
      <c r="S138" s="1">
        <v>0</v>
      </c>
      <c r="T138">
        <f>SUM(tbl_Beneficiaries[[#This Row],[ التربية الخاصة ]:[ التأهيل النفسي الحركي ]])</f>
        <v>8</v>
      </c>
    </row>
    <row r="139" spans="1:20" x14ac:dyDescent="0.2">
      <c r="A139" s="1">
        <v>138</v>
      </c>
      <c r="B139" s="1">
        <v>1762847665</v>
      </c>
      <c r="C139" s="1" t="s">
        <v>470</v>
      </c>
      <c r="D139" s="1" t="s">
        <v>7</v>
      </c>
      <c r="E139" s="3">
        <v>43552</v>
      </c>
      <c r="F139" s="1" t="s">
        <v>361</v>
      </c>
      <c r="G139" s="1" t="s">
        <v>0</v>
      </c>
      <c r="H139" s="3">
        <v>45404</v>
      </c>
      <c r="I139" t="str">
        <f>IFERROR(INDEX('تشخيص الحالات'!$D$2:$D$1001,SUMPRODUCT(('تشخيص الحالات'!$B$2:$B$1001=B139)*('تشخيص الحالات'!$G$2:$G$1001=1)*ROW('تشخيص الحالات'!$B$2:$B$1001))-1),"")&amp;IF(SUMPRODUCT(('تشخيص الحالات'!$B$2:$B$1001=B139)*('تشخيص الحالات'!$G$2:$G$1001=2))&gt;0,"، "&amp;IFERROR(INDEX('تشخيص الحالات'!$D$2:$D$1001,SUMPRODUCT(('تشخيص الحالات'!$B$2:$B$1001=B139)*('تشخيص الحالات'!$G$2:$G$1001=2)*ROW('تشخيص الحالات'!$B$2:$B$1001))-1),""),"")&amp;IF(SUMPRODUCT(('تشخيص الحالات'!$B$2:$B$1001=B139)*('تشخيص الحالات'!$G$2:$G$1001=3))&gt;0,"، "&amp;IFERROR(INDEX('تشخيص الحالات'!$D$2:$D$1001,SUMPRODUCT(('تشخيص الحالات'!$B$2:$B$1001=B139)*('تشخيص الحالات'!$G$2:$G$1001=3)*ROW('تشخيص الحالات'!$B$2:$B$1001))-1),""),"")&amp;IF(SUMPRODUCT(('تشخيص الحالات'!$B$2:$B$1001=B139)*('تشخيص الحالات'!$G$2:$G$1001=4))&gt;0,"، "&amp;IFERROR(INDEX('تشخيص الحالات'!$D$2:$D$1001,SUMPRODUCT(('تشخيص الحالات'!$B$2:$B$1001=B139)*('تشخيص الحالات'!$G$2:$G$1001=4)*ROW('تشخيص الحالات'!$B$2:$B$1001))-1),""),"")&amp;IF(SUMPRODUCT(('تشخيص الحالات'!$B$2:$B$1001=B139)*('تشخيص الحالات'!$G$2:$G$1001=5))&gt;0,"، "&amp;IFERROR(INDEX('تشخيص الحالات'!$D$2:$D$1001,SUMPRODUCT(('تشخيص الحالات'!$B$2:$B$1001=B139)*('تشخيص الحالات'!$G$2:$G$1001=5)*ROW('تشخيص الحالات'!$B$2:$B$1001))-1),""),"")&amp;IF(SUMPRODUCT(('تشخيص الحالات'!$B$2:$B$1001=B139)*('تشخيص الحالات'!$G$2:$G$1001=6))&gt;0,"، "&amp;IFERROR(INDEX('تشخيص الحالات'!$D$2:$D$1001,SUMPRODUCT(('تشخيص الحالات'!$B$2:$B$1001=B139)*('تشخيص الحالات'!$G$2:$G$1001=6)*ROW('تشخيص الحالات'!$B$2:$B$1001))-1),""),"")&amp;IF(SUMPRODUCT(('تشخيص الحالات'!$B$2:$B$1001=B139)*('تشخيص الحالات'!$G$2:$G$1001=7))&gt;0,"، "&amp;IFERROR(INDEX('تشخيص الحالات'!$D$2:$D$1001,SUMPRODUCT(('تشخيص الحالات'!$B$2:$B$1001=B139)*('تشخيص الحالات'!$G$2:$G$1001=7)*ROW('تشخيص الحالات'!$B$2:$B$1001))-1),""),"")&amp;IF(SUMPRODUCT(('تشخيص الحالات'!$B$2:$B$1001=B139)*('تشخيص الحالات'!$G$2:$G$1001=8))&gt;0,"، "&amp;IFERROR(INDEX('تشخيص الحالات'!$D$2:$D$1001,SUMPRODUCT(('تشخيص الحالات'!$B$2:$B$1001=B139)*('تشخيص الحالات'!$G$2:$G$1001=8)*ROW('تشخيص الحالات'!$B$2:$B$1001))-1),""),"")</f>
        <v>فرط الحركة وتشتت الانتباه</v>
      </c>
      <c r="J139" s="1">
        <v>105</v>
      </c>
      <c r="K139" s="1" t="s">
        <v>4</v>
      </c>
      <c r="L139" s="1">
        <v>3000</v>
      </c>
      <c r="M139" s="1" t="s">
        <v>43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>
        <f>SUM(tbl_Beneficiaries[[#This Row],[ التربية الخاصة ]:[ التأهيل النفسي الحركي ]])</f>
        <v>0</v>
      </c>
    </row>
    <row r="140" spans="1:20" x14ac:dyDescent="0.2">
      <c r="A140" s="1">
        <v>139</v>
      </c>
      <c r="B140" s="1">
        <v>1883810977</v>
      </c>
      <c r="C140" s="1" t="s">
        <v>471</v>
      </c>
      <c r="D140" s="1" t="s">
        <v>7</v>
      </c>
      <c r="E140" s="3">
        <v>41458</v>
      </c>
      <c r="F140" s="1" t="s">
        <v>361</v>
      </c>
      <c r="G140" s="1" t="s">
        <v>1</v>
      </c>
      <c r="H140" s="3">
        <v>45463</v>
      </c>
      <c r="I140" t="str">
        <f>IFERROR(INDEX('تشخيص الحالات'!$D$2:$D$1001,SUMPRODUCT(('تشخيص الحالات'!$B$2:$B$1001=B140)*('تشخيص الحالات'!$G$2:$G$1001=1)*ROW('تشخيص الحالات'!$B$2:$B$1001))-1),"")&amp;IF(SUMPRODUCT(('تشخيص الحالات'!$B$2:$B$1001=B140)*('تشخيص الحالات'!$G$2:$G$1001=2))&gt;0,"، "&amp;IFERROR(INDEX('تشخيص الحالات'!$D$2:$D$1001,SUMPRODUCT(('تشخيص الحالات'!$B$2:$B$1001=B140)*('تشخيص الحالات'!$G$2:$G$1001=2)*ROW('تشخيص الحالات'!$B$2:$B$1001))-1),""),"")&amp;IF(SUMPRODUCT(('تشخيص الحالات'!$B$2:$B$1001=B140)*('تشخيص الحالات'!$G$2:$G$1001=3))&gt;0,"، "&amp;IFERROR(INDEX('تشخيص الحالات'!$D$2:$D$1001,SUMPRODUCT(('تشخيص الحالات'!$B$2:$B$1001=B140)*('تشخيص الحالات'!$G$2:$G$1001=3)*ROW('تشخيص الحالات'!$B$2:$B$1001))-1),""),"")&amp;IF(SUMPRODUCT(('تشخيص الحالات'!$B$2:$B$1001=B140)*('تشخيص الحالات'!$G$2:$G$1001=4))&gt;0,"، "&amp;IFERROR(INDEX('تشخيص الحالات'!$D$2:$D$1001,SUMPRODUCT(('تشخيص الحالات'!$B$2:$B$1001=B140)*('تشخيص الحالات'!$G$2:$G$1001=4)*ROW('تشخيص الحالات'!$B$2:$B$1001))-1),""),"")&amp;IF(SUMPRODUCT(('تشخيص الحالات'!$B$2:$B$1001=B140)*('تشخيص الحالات'!$G$2:$G$1001=5))&gt;0,"، "&amp;IFERROR(INDEX('تشخيص الحالات'!$D$2:$D$1001,SUMPRODUCT(('تشخيص الحالات'!$B$2:$B$1001=B140)*('تشخيص الحالات'!$G$2:$G$1001=5)*ROW('تشخيص الحالات'!$B$2:$B$1001))-1),""),"")&amp;IF(SUMPRODUCT(('تشخيص الحالات'!$B$2:$B$1001=B140)*('تشخيص الحالات'!$G$2:$G$1001=6))&gt;0,"، "&amp;IFERROR(INDEX('تشخيص الحالات'!$D$2:$D$1001,SUMPRODUCT(('تشخيص الحالات'!$B$2:$B$1001=B140)*('تشخيص الحالات'!$G$2:$G$1001=6)*ROW('تشخيص الحالات'!$B$2:$B$1001))-1),""),"")&amp;IF(SUMPRODUCT(('تشخيص الحالات'!$B$2:$B$1001=B140)*('تشخيص الحالات'!$G$2:$G$1001=7))&gt;0,"، "&amp;IFERROR(INDEX('تشخيص الحالات'!$D$2:$D$1001,SUMPRODUCT(('تشخيص الحالات'!$B$2:$B$1001=B140)*('تشخيص الحالات'!$G$2:$G$1001=7)*ROW('تشخيص الحالات'!$B$2:$B$1001))-1),""),"")&amp;IF(SUMPRODUCT(('تشخيص الحالات'!$B$2:$B$1001=B140)*('تشخيص الحالات'!$G$2:$G$1001=8))&gt;0,"، "&amp;IFERROR(INDEX('تشخيص الحالات'!$D$2:$D$1001,SUMPRODUCT(('تشخيص الحالات'!$B$2:$B$1001=B140)*('تشخيص الحالات'!$G$2:$G$1001=8)*ROW('تشخيص الحالات'!$B$2:$B$1001))-1),""),"")</f>
        <v>اضطرابات سلوكية، متلازمة داون</v>
      </c>
      <c r="J140" s="1">
        <v>90</v>
      </c>
      <c r="K140" s="1" t="s">
        <v>38</v>
      </c>
      <c r="L140" s="1">
        <v>2000</v>
      </c>
      <c r="M140" s="1" t="s">
        <v>42</v>
      </c>
      <c r="N140" s="1">
        <v>0</v>
      </c>
      <c r="O140" s="1">
        <v>2</v>
      </c>
      <c r="P140" s="1">
        <v>0</v>
      </c>
      <c r="Q140" s="1">
        <v>0</v>
      </c>
      <c r="R140" s="1">
        <v>2</v>
      </c>
      <c r="S140" s="1">
        <v>7</v>
      </c>
      <c r="T140">
        <f>SUM(tbl_Beneficiaries[[#This Row],[ التربية الخاصة ]:[ التأهيل النفسي الحركي ]])</f>
        <v>11</v>
      </c>
    </row>
    <row r="141" spans="1:20" x14ac:dyDescent="0.2">
      <c r="A141" s="1">
        <v>140</v>
      </c>
      <c r="B141" s="1">
        <v>1098792726</v>
      </c>
      <c r="C141" s="1" t="s">
        <v>472</v>
      </c>
      <c r="D141" s="1" t="s">
        <v>7</v>
      </c>
      <c r="E141" s="3">
        <v>42116</v>
      </c>
      <c r="F141" s="1" t="s">
        <v>361</v>
      </c>
      <c r="G141" s="1" t="s">
        <v>0</v>
      </c>
      <c r="H141" s="3">
        <v>45485</v>
      </c>
      <c r="I141" t="str">
        <f>IFERROR(INDEX('تشخيص الحالات'!$D$2:$D$1001,SUMPRODUCT(('تشخيص الحالات'!$B$2:$B$1001=B141)*('تشخيص الحالات'!$G$2:$G$1001=1)*ROW('تشخيص الحالات'!$B$2:$B$1001))-1),"")&amp;IF(SUMPRODUCT(('تشخيص الحالات'!$B$2:$B$1001=B141)*('تشخيص الحالات'!$G$2:$G$1001=2))&gt;0,"، "&amp;IFERROR(INDEX('تشخيص الحالات'!$D$2:$D$1001,SUMPRODUCT(('تشخيص الحالات'!$B$2:$B$1001=B141)*('تشخيص الحالات'!$G$2:$G$1001=2)*ROW('تشخيص الحالات'!$B$2:$B$1001))-1),""),"")&amp;IF(SUMPRODUCT(('تشخيص الحالات'!$B$2:$B$1001=B141)*('تشخيص الحالات'!$G$2:$G$1001=3))&gt;0,"، "&amp;IFERROR(INDEX('تشخيص الحالات'!$D$2:$D$1001,SUMPRODUCT(('تشخيص الحالات'!$B$2:$B$1001=B141)*('تشخيص الحالات'!$G$2:$G$1001=3)*ROW('تشخيص الحالات'!$B$2:$B$1001))-1),""),"")&amp;IF(SUMPRODUCT(('تشخيص الحالات'!$B$2:$B$1001=B141)*('تشخيص الحالات'!$G$2:$G$1001=4))&gt;0,"، "&amp;IFERROR(INDEX('تشخيص الحالات'!$D$2:$D$1001,SUMPRODUCT(('تشخيص الحالات'!$B$2:$B$1001=B141)*('تشخيص الحالات'!$G$2:$G$1001=4)*ROW('تشخيص الحالات'!$B$2:$B$1001))-1),""),"")&amp;IF(SUMPRODUCT(('تشخيص الحالات'!$B$2:$B$1001=B141)*('تشخيص الحالات'!$G$2:$G$1001=5))&gt;0,"، "&amp;IFERROR(INDEX('تشخيص الحالات'!$D$2:$D$1001,SUMPRODUCT(('تشخيص الحالات'!$B$2:$B$1001=B141)*('تشخيص الحالات'!$G$2:$G$1001=5)*ROW('تشخيص الحالات'!$B$2:$B$1001))-1),""),"")&amp;IF(SUMPRODUCT(('تشخيص الحالات'!$B$2:$B$1001=B141)*('تشخيص الحالات'!$G$2:$G$1001=6))&gt;0,"، "&amp;IFERROR(INDEX('تشخيص الحالات'!$D$2:$D$1001,SUMPRODUCT(('تشخيص الحالات'!$B$2:$B$1001=B141)*('تشخيص الحالات'!$G$2:$G$1001=6)*ROW('تشخيص الحالات'!$B$2:$B$1001))-1),""),"")&amp;IF(SUMPRODUCT(('تشخيص الحالات'!$B$2:$B$1001=B141)*('تشخيص الحالات'!$G$2:$G$1001=7))&gt;0,"، "&amp;IFERROR(INDEX('تشخيص الحالات'!$D$2:$D$1001,SUMPRODUCT(('تشخيص الحالات'!$B$2:$B$1001=B141)*('تشخيص الحالات'!$G$2:$G$1001=7)*ROW('تشخيص الحالات'!$B$2:$B$1001))-1),""),"")&amp;IF(SUMPRODUCT(('تشخيص الحالات'!$B$2:$B$1001=B141)*('تشخيص الحالات'!$G$2:$G$1001=8))&gt;0,"، "&amp;IFERROR(INDEX('تشخيص الحالات'!$D$2:$D$1001,SUMPRODUCT(('تشخيص الحالات'!$B$2:$B$1001=B141)*('تشخيص الحالات'!$G$2:$G$1001=8)*ROW('تشخيص الحالات'!$B$2:$B$1001))-1),""),"")</f>
        <v>فرط الحركة وتشتت الانتباه، مشكلات لغوية، شلل دماغي، إعاقة سمعية</v>
      </c>
      <c r="J141" s="1">
        <v>98</v>
      </c>
      <c r="K141" s="1" t="s">
        <v>39</v>
      </c>
      <c r="L141" s="1">
        <v>4000</v>
      </c>
      <c r="M141" s="1" t="s">
        <v>43</v>
      </c>
      <c r="N141" s="1">
        <v>0</v>
      </c>
      <c r="O141" s="1">
        <v>0</v>
      </c>
      <c r="P141" s="1">
        <v>9</v>
      </c>
      <c r="Q141" s="1">
        <v>5</v>
      </c>
      <c r="R141" s="1">
        <v>5</v>
      </c>
      <c r="S141" s="1">
        <v>0</v>
      </c>
      <c r="T141">
        <f>SUM(tbl_Beneficiaries[[#This Row],[ التربية الخاصة ]:[ التأهيل النفسي الحركي ]])</f>
        <v>19</v>
      </c>
    </row>
    <row r="142" spans="1:20" x14ac:dyDescent="0.2">
      <c r="A142" s="1">
        <v>141</v>
      </c>
      <c r="B142" s="1">
        <v>1690864686</v>
      </c>
      <c r="C142" s="1" t="s">
        <v>121</v>
      </c>
      <c r="D142" s="1" t="s">
        <v>7</v>
      </c>
      <c r="E142" s="3">
        <v>41982</v>
      </c>
      <c r="F142" s="1" t="s">
        <v>361</v>
      </c>
      <c r="G142" s="1" t="s">
        <v>4</v>
      </c>
      <c r="H142" s="3">
        <v>45050</v>
      </c>
      <c r="I142" t="str">
        <f>IFERROR(INDEX('تشخيص الحالات'!$D$2:$D$1001,SUMPRODUCT(('تشخيص الحالات'!$B$2:$B$1001=B142)*('تشخيص الحالات'!$G$2:$G$1001=1)*ROW('تشخيص الحالات'!$B$2:$B$1001))-1),"")&amp;IF(SUMPRODUCT(('تشخيص الحالات'!$B$2:$B$1001=B142)*('تشخيص الحالات'!$G$2:$G$1001=2))&gt;0,"، "&amp;IFERROR(INDEX('تشخيص الحالات'!$D$2:$D$1001,SUMPRODUCT(('تشخيص الحالات'!$B$2:$B$1001=B142)*('تشخيص الحالات'!$G$2:$G$1001=2)*ROW('تشخيص الحالات'!$B$2:$B$1001))-1),""),"")&amp;IF(SUMPRODUCT(('تشخيص الحالات'!$B$2:$B$1001=B142)*('تشخيص الحالات'!$G$2:$G$1001=3))&gt;0,"، "&amp;IFERROR(INDEX('تشخيص الحالات'!$D$2:$D$1001,SUMPRODUCT(('تشخيص الحالات'!$B$2:$B$1001=B142)*('تشخيص الحالات'!$G$2:$G$1001=3)*ROW('تشخيص الحالات'!$B$2:$B$1001))-1),""),"")&amp;IF(SUMPRODUCT(('تشخيص الحالات'!$B$2:$B$1001=B142)*('تشخيص الحالات'!$G$2:$G$1001=4))&gt;0,"، "&amp;IFERROR(INDEX('تشخيص الحالات'!$D$2:$D$1001,SUMPRODUCT(('تشخيص الحالات'!$B$2:$B$1001=B142)*('تشخيص الحالات'!$G$2:$G$1001=4)*ROW('تشخيص الحالات'!$B$2:$B$1001))-1),""),"")&amp;IF(SUMPRODUCT(('تشخيص الحالات'!$B$2:$B$1001=B142)*('تشخيص الحالات'!$G$2:$G$1001=5))&gt;0,"، "&amp;IFERROR(INDEX('تشخيص الحالات'!$D$2:$D$1001,SUMPRODUCT(('تشخيص الحالات'!$B$2:$B$1001=B142)*('تشخيص الحالات'!$G$2:$G$1001=5)*ROW('تشخيص الحالات'!$B$2:$B$1001))-1),""),"")&amp;IF(SUMPRODUCT(('تشخيص الحالات'!$B$2:$B$1001=B142)*('تشخيص الحالات'!$G$2:$G$1001=6))&gt;0,"، "&amp;IFERROR(INDEX('تشخيص الحالات'!$D$2:$D$1001,SUMPRODUCT(('تشخيص الحالات'!$B$2:$B$1001=B142)*('تشخيص الحالات'!$G$2:$G$1001=6)*ROW('تشخيص الحالات'!$B$2:$B$1001))-1),""),"")&amp;IF(SUMPRODUCT(('تشخيص الحالات'!$B$2:$B$1001=B142)*('تشخيص الحالات'!$G$2:$G$1001=7))&gt;0,"، "&amp;IFERROR(INDEX('تشخيص الحالات'!$D$2:$D$1001,SUMPRODUCT(('تشخيص الحالات'!$B$2:$B$1001=B142)*('تشخيص الحالات'!$G$2:$G$1001=7)*ROW('تشخيص الحالات'!$B$2:$B$1001))-1),""),"")&amp;IF(SUMPRODUCT(('تشخيص الحالات'!$B$2:$B$1001=B142)*('تشخيص الحالات'!$G$2:$G$1001=8))&gt;0,"، "&amp;IFERROR(INDEX('تشخيص الحالات'!$D$2:$D$1001,SUMPRODUCT(('تشخيص الحالات'!$B$2:$B$1001=B142)*('تشخيص الحالات'!$G$2:$G$1001=8)*ROW('تشخيص الحالات'!$B$2:$B$1001))-1),""),"")</f>
        <v>اضطراب نفسي حركي، إعاقة ذهنية</v>
      </c>
      <c r="J142" s="1">
        <v>106</v>
      </c>
      <c r="K142" s="1" t="s">
        <v>38</v>
      </c>
      <c r="L142" s="1">
        <v>2500</v>
      </c>
      <c r="M142" s="1" t="s">
        <v>42</v>
      </c>
      <c r="N142" s="1">
        <v>5</v>
      </c>
      <c r="O142" s="1">
        <v>0</v>
      </c>
      <c r="P142" s="1">
        <v>6</v>
      </c>
      <c r="Q142" s="1">
        <v>0</v>
      </c>
      <c r="R142" s="1">
        <v>0</v>
      </c>
      <c r="S142" s="1">
        <v>1</v>
      </c>
      <c r="T142">
        <f>SUM(tbl_Beneficiaries[[#This Row],[ التربية الخاصة ]:[ التأهيل النفسي الحركي ]])</f>
        <v>12</v>
      </c>
    </row>
    <row r="143" spans="1:20" x14ac:dyDescent="0.2">
      <c r="A143" s="1">
        <v>142</v>
      </c>
      <c r="B143" s="1">
        <v>1777729908</v>
      </c>
      <c r="C143" s="1" t="s">
        <v>473</v>
      </c>
      <c r="D143" s="1" t="s">
        <v>3</v>
      </c>
      <c r="E143" s="3">
        <v>41348</v>
      </c>
      <c r="F143" s="1" t="s">
        <v>358</v>
      </c>
      <c r="G143" s="1" t="s">
        <v>4</v>
      </c>
      <c r="H143" s="3">
        <v>45338</v>
      </c>
      <c r="I143" t="str">
        <f>IFERROR(INDEX('تشخيص الحالات'!$D$2:$D$1001,SUMPRODUCT(('تشخيص الحالات'!$B$2:$B$1001=B143)*('تشخيص الحالات'!$G$2:$G$1001=1)*ROW('تشخيص الحالات'!$B$2:$B$1001))-1),"")&amp;IF(SUMPRODUCT(('تشخيص الحالات'!$B$2:$B$1001=B143)*('تشخيص الحالات'!$G$2:$G$1001=2))&gt;0,"، "&amp;IFERROR(INDEX('تشخيص الحالات'!$D$2:$D$1001,SUMPRODUCT(('تشخيص الحالات'!$B$2:$B$1001=B143)*('تشخيص الحالات'!$G$2:$G$1001=2)*ROW('تشخيص الحالات'!$B$2:$B$1001))-1),""),"")&amp;IF(SUMPRODUCT(('تشخيص الحالات'!$B$2:$B$1001=B143)*('تشخيص الحالات'!$G$2:$G$1001=3))&gt;0,"، "&amp;IFERROR(INDEX('تشخيص الحالات'!$D$2:$D$1001,SUMPRODUCT(('تشخيص الحالات'!$B$2:$B$1001=B143)*('تشخيص الحالات'!$G$2:$G$1001=3)*ROW('تشخيص الحالات'!$B$2:$B$1001))-1),""),"")&amp;IF(SUMPRODUCT(('تشخيص الحالات'!$B$2:$B$1001=B143)*('تشخيص الحالات'!$G$2:$G$1001=4))&gt;0,"، "&amp;IFERROR(INDEX('تشخيص الحالات'!$D$2:$D$1001,SUMPRODUCT(('تشخيص الحالات'!$B$2:$B$1001=B143)*('تشخيص الحالات'!$G$2:$G$1001=4)*ROW('تشخيص الحالات'!$B$2:$B$1001))-1),""),"")&amp;IF(SUMPRODUCT(('تشخيص الحالات'!$B$2:$B$1001=B143)*('تشخيص الحالات'!$G$2:$G$1001=5))&gt;0,"، "&amp;IFERROR(INDEX('تشخيص الحالات'!$D$2:$D$1001,SUMPRODUCT(('تشخيص الحالات'!$B$2:$B$1001=B143)*('تشخيص الحالات'!$G$2:$G$1001=5)*ROW('تشخيص الحالات'!$B$2:$B$1001))-1),""),"")&amp;IF(SUMPRODUCT(('تشخيص الحالات'!$B$2:$B$1001=B143)*('تشخيص الحالات'!$G$2:$G$1001=6))&gt;0,"، "&amp;IFERROR(INDEX('تشخيص الحالات'!$D$2:$D$1001,SUMPRODUCT(('تشخيص الحالات'!$B$2:$B$1001=B143)*('تشخيص الحالات'!$G$2:$G$1001=6)*ROW('تشخيص الحالات'!$B$2:$B$1001))-1),""),"")&amp;IF(SUMPRODUCT(('تشخيص الحالات'!$B$2:$B$1001=B143)*('تشخيص الحالات'!$G$2:$G$1001=7))&gt;0,"، "&amp;IFERROR(INDEX('تشخيص الحالات'!$D$2:$D$1001,SUMPRODUCT(('تشخيص الحالات'!$B$2:$B$1001=B143)*('تشخيص الحالات'!$G$2:$G$1001=7)*ROW('تشخيص الحالات'!$B$2:$B$1001))-1),""),"")&amp;IF(SUMPRODUCT(('تشخيص الحالات'!$B$2:$B$1001=B143)*('تشخيص الحالات'!$G$2:$G$1001=8))&gt;0,"، "&amp;IFERROR(INDEX('تشخيص الحالات'!$D$2:$D$1001,SUMPRODUCT(('تشخيص الحالات'!$B$2:$B$1001=B143)*('تشخيص الحالات'!$G$2:$G$1001=8)*ROW('تشخيص الحالات'!$B$2:$B$1001))-1),""),"")</f>
        <v>اضطراب طيف التوحد</v>
      </c>
      <c r="J143" s="1">
        <v>82</v>
      </c>
      <c r="K143" s="1" t="s">
        <v>39</v>
      </c>
      <c r="L143" s="1">
        <v>2500</v>
      </c>
      <c r="M143" s="1" t="s">
        <v>40</v>
      </c>
      <c r="N143" s="1">
        <v>0</v>
      </c>
      <c r="O143" s="1">
        <v>8</v>
      </c>
      <c r="P143" s="1">
        <v>6</v>
      </c>
      <c r="Q143" s="1">
        <v>0</v>
      </c>
      <c r="R143" s="1">
        <v>0</v>
      </c>
      <c r="S143" s="1">
        <v>6</v>
      </c>
      <c r="T143">
        <f>SUM(tbl_Beneficiaries[[#This Row],[ التربية الخاصة ]:[ التأهيل النفسي الحركي ]])</f>
        <v>20</v>
      </c>
    </row>
    <row r="144" spans="1:20" x14ac:dyDescent="0.2">
      <c r="A144" s="1">
        <v>143</v>
      </c>
      <c r="B144" s="1">
        <v>1672405739</v>
      </c>
      <c r="C144" s="1" t="s">
        <v>474</v>
      </c>
      <c r="D144" s="1" t="s">
        <v>7</v>
      </c>
      <c r="E144" s="3">
        <v>41131</v>
      </c>
      <c r="F144" s="1" t="s">
        <v>361</v>
      </c>
      <c r="G144" s="1" t="s">
        <v>4</v>
      </c>
      <c r="H144" s="3">
        <v>44951</v>
      </c>
      <c r="I144" t="str">
        <f>IFERROR(INDEX('تشخيص الحالات'!$D$2:$D$1001,SUMPRODUCT(('تشخيص الحالات'!$B$2:$B$1001=B144)*('تشخيص الحالات'!$G$2:$G$1001=1)*ROW('تشخيص الحالات'!$B$2:$B$1001))-1),"")&amp;IF(SUMPRODUCT(('تشخيص الحالات'!$B$2:$B$1001=B144)*('تشخيص الحالات'!$G$2:$G$1001=2))&gt;0,"، "&amp;IFERROR(INDEX('تشخيص الحالات'!$D$2:$D$1001,SUMPRODUCT(('تشخيص الحالات'!$B$2:$B$1001=B144)*('تشخيص الحالات'!$G$2:$G$1001=2)*ROW('تشخيص الحالات'!$B$2:$B$1001))-1),""),"")&amp;IF(SUMPRODUCT(('تشخيص الحالات'!$B$2:$B$1001=B144)*('تشخيص الحالات'!$G$2:$G$1001=3))&gt;0,"، "&amp;IFERROR(INDEX('تشخيص الحالات'!$D$2:$D$1001,SUMPRODUCT(('تشخيص الحالات'!$B$2:$B$1001=B144)*('تشخيص الحالات'!$G$2:$G$1001=3)*ROW('تشخيص الحالات'!$B$2:$B$1001))-1),""),"")&amp;IF(SUMPRODUCT(('تشخيص الحالات'!$B$2:$B$1001=B144)*('تشخيص الحالات'!$G$2:$G$1001=4))&gt;0,"، "&amp;IFERROR(INDEX('تشخيص الحالات'!$D$2:$D$1001,SUMPRODUCT(('تشخيص الحالات'!$B$2:$B$1001=B144)*('تشخيص الحالات'!$G$2:$G$1001=4)*ROW('تشخيص الحالات'!$B$2:$B$1001))-1),""),"")&amp;IF(SUMPRODUCT(('تشخيص الحالات'!$B$2:$B$1001=B144)*('تشخيص الحالات'!$G$2:$G$1001=5))&gt;0,"، "&amp;IFERROR(INDEX('تشخيص الحالات'!$D$2:$D$1001,SUMPRODUCT(('تشخيص الحالات'!$B$2:$B$1001=B144)*('تشخيص الحالات'!$G$2:$G$1001=5)*ROW('تشخيص الحالات'!$B$2:$B$1001))-1),""),"")&amp;IF(SUMPRODUCT(('تشخيص الحالات'!$B$2:$B$1001=B144)*('تشخيص الحالات'!$G$2:$G$1001=6))&gt;0,"، "&amp;IFERROR(INDEX('تشخيص الحالات'!$D$2:$D$1001,SUMPRODUCT(('تشخيص الحالات'!$B$2:$B$1001=B144)*('تشخيص الحالات'!$G$2:$G$1001=6)*ROW('تشخيص الحالات'!$B$2:$B$1001))-1),""),"")&amp;IF(SUMPRODUCT(('تشخيص الحالات'!$B$2:$B$1001=B144)*('تشخيص الحالات'!$G$2:$G$1001=7))&gt;0,"، "&amp;IFERROR(INDEX('تشخيص الحالات'!$D$2:$D$1001,SUMPRODUCT(('تشخيص الحالات'!$B$2:$B$1001=B144)*('تشخيص الحالات'!$G$2:$G$1001=7)*ROW('تشخيص الحالات'!$B$2:$B$1001))-1),""),"")&amp;IF(SUMPRODUCT(('تشخيص الحالات'!$B$2:$B$1001=B144)*('تشخيص الحالات'!$G$2:$G$1001=8))&gt;0,"، "&amp;IFERROR(INDEX('تشخيص الحالات'!$D$2:$D$1001,SUMPRODUCT(('تشخيص الحالات'!$B$2:$B$1001=B144)*('تشخيص الحالات'!$G$2:$G$1001=8)*ROW('تشخيص الحالات'!$B$2:$B$1001))-1),""),"")</f>
        <v>مشكلات لغوية، اضطرابات سلوكية</v>
      </c>
      <c r="J144" s="1">
        <v>53</v>
      </c>
      <c r="K144" s="1" t="s">
        <v>4</v>
      </c>
      <c r="L144" s="1">
        <v>4000</v>
      </c>
      <c r="M144" s="1" t="s">
        <v>43</v>
      </c>
      <c r="N144" s="1">
        <v>3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>
        <f>SUM(tbl_Beneficiaries[[#This Row],[ التربية الخاصة ]:[ التأهيل النفسي الحركي ]])</f>
        <v>3</v>
      </c>
    </row>
    <row r="145" spans="1:20" x14ac:dyDescent="0.2">
      <c r="A145" s="1">
        <v>144</v>
      </c>
      <c r="B145" s="1">
        <v>1079496892</v>
      </c>
      <c r="C145" s="1" t="s">
        <v>475</v>
      </c>
      <c r="D145" s="1" t="s">
        <v>3</v>
      </c>
      <c r="E145" s="3">
        <v>43947</v>
      </c>
      <c r="F145" s="1" t="s">
        <v>361</v>
      </c>
      <c r="G145" s="1" t="s">
        <v>4</v>
      </c>
      <c r="H145" s="3">
        <v>45388</v>
      </c>
      <c r="I145" t="str">
        <f>IFERROR(INDEX('تشخيص الحالات'!$D$2:$D$1001,SUMPRODUCT(('تشخيص الحالات'!$B$2:$B$1001=B145)*('تشخيص الحالات'!$G$2:$G$1001=1)*ROW('تشخيص الحالات'!$B$2:$B$1001))-1),"")&amp;IF(SUMPRODUCT(('تشخيص الحالات'!$B$2:$B$1001=B145)*('تشخيص الحالات'!$G$2:$G$1001=2))&gt;0,"، "&amp;IFERROR(INDEX('تشخيص الحالات'!$D$2:$D$1001,SUMPRODUCT(('تشخيص الحالات'!$B$2:$B$1001=B145)*('تشخيص الحالات'!$G$2:$G$1001=2)*ROW('تشخيص الحالات'!$B$2:$B$1001))-1),""),"")&amp;IF(SUMPRODUCT(('تشخيص الحالات'!$B$2:$B$1001=B145)*('تشخيص الحالات'!$G$2:$G$1001=3))&gt;0,"، "&amp;IFERROR(INDEX('تشخيص الحالات'!$D$2:$D$1001,SUMPRODUCT(('تشخيص الحالات'!$B$2:$B$1001=B145)*('تشخيص الحالات'!$G$2:$G$1001=3)*ROW('تشخيص الحالات'!$B$2:$B$1001))-1),""),"")&amp;IF(SUMPRODUCT(('تشخيص الحالات'!$B$2:$B$1001=B145)*('تشخيص الحالات'!$G$2:$G$1001=4))&gt;0,"، "&amp;IFERROR(INDEX('تشخيص الحالات'!$D$2:$D$1001,SUMPRODUCT(('تشخيص الحالات'!$B$2:$B$1001=B145)*('تشخيص الحالات'!$G$2:$G$1001=4)*ROW('تشخيص الحالات'!$B$2:$B$1001))-1),""),"")&amp;IF(SUMPRODUCT(('تشخيص الحالات'!$B$2:$B$1001=B145)*('تشخيص الحالات'!$G$2:$G$1001=5))&gt;0,"، "&amp;IFERROR(INDEX('تشخيص الحالات'!$D$2:$D$1001,SUMPRODUCT(('تشخيص الحالات'!$B$2:$B$1001=B145)*('تشخيص الحالات'!$G$2:$G$1001=5)*ROW('تشخيص الحالات'!$B$2:$B$1001))-1),""),"")&amp;IF(SUMPRODUCT(('تشخيص الحالات'!$B$2:$B$1001=B145)*('تشخيص الحالات'!$G$2:$G$1001=6))&gt;0,"، "&amp;IFERROR(INDEX('تشخيص الحالات'!$D$2:$D$1001,SUMPRODUCT(('تشخيص الحالات'!$B$2:$B$1001=B145)*('تشخيص الحالات'!$G$2:$G$1001=6)*ROW('تشخيص الحالات'!$B$2:$B$1001))-1),""),"")&amp;IF(SUMPRODUCT(('تشخيص الحالات'!$B$2:$B$1001=B145)*('تشخيص الحالات'!$G$2:$G$1001=7))&gt;0,"، "&amp;IFERROR(INDEX('تشخيص الحالات'!$D$2:$D$1001,SUMPRODUCT(('تشخيص الحالات'!$B$2:$B$1001=B145)*('تشخيص الحالات'!$G$2:$G$1001=7)*ROW('تشخيص الحالات'!$B$2:$B$1001))-1),""),"")&amp;IF(SUMPRODUCT(('تشخيص الحالات'!$B$2:$B$1001=B145)*('تشخيص الحالات'!$G$2:$G$1001=8))&gt;0,"، "&amp;IFERROR(INDEX('تشخيص الحالات'!$D$2:$D$1001,SUMPRODUCT(('تشخيص الحالات'!$B$2:$B$1001=B145)*('تشخيص الحالات'!$G$2:$G$1001=8)*ROW('تشخيص الحالات'!$B$2:$B$1001))-1),""),"")</f>
        <v>اضطراب تكامل حسي، متلازمة داون، اضطراب طيف التوحد</v>
      </c>
      <c r="J145" s="1">
        <v>56</v>
      </c>
      <c r="K145" s="1" t="s">
        <v>4</v>
      </c>
      <c r="L145" s="1">
        <v>1500</v>
      </c>
      <c r="M145" s="1" t="s">
        <v>43</v>
      </c>
      <c r="N145" s="1">
        <v>1</v>
      </c>
      <c r="O145" s="1">
        <v>0</v>
      </c>
      <c r="P145" s="1">
        <v>0</v>
      </c>
      <c r="Q145" s="1">
        <v>1</v>
      </c>
      <c r="R145" s="1">
        <v>4</v>
      </c>
      <c r="S145" s="1">
        <v>0</v>
      </c>
      <c r="T145">
        <f>SUM(tbl_Beneficiaries[[#This Row],[ التربية الخاصة ]:[ التأهيل النفسي الحركي ]])</f>
        <v>6</v>
      </c>
    </row>
    <row r="146" spans="1:20" x14ac:dyDescent="0.2">
      <c r="A146" s="1">
        <v>145</v>
      </c>
      <c r="B146" s="1">
        <v>1750266812</v>
      </c>
      <c r="C146" s="1" t="s">
        <v>122</v>
      </c>
      <c r="D146" s="1" t="s">
        <v>3</v>
      </c>
      <c r="E146" s="3">
        <v>41635</v>
      </c>
      <c r="F146" s="1" t="s">
        <v>361</v>
      </c>
      <c r="G146" s="1" t="s">
        <v>1</v>
      </c>
      <c r="H146" s="3">
        <v>45502</v>
      </c>
      <c r="I146" t="str">
        <f>IFERROR(INDEX('تشخيص الحالات'!$D$2:$D$1001,SUMPRODUCT(('تشخيص الحالات'!$B$2:$B$1001=B146)*('تشخيص الحالات'!$G$2:$G$1001=1)*ROW('تشخيص الحالات'!$B$2:$B$1001))-1),"")&amp;IF(SUMPRODUCT(('تشخيص الحالات'!$B$2:$B$1001=B146)*('تشخيص الحالات'!$G$2:$G$1001=2))&gt;0,"، "&amp;IFERROR(INDEX('تشخيص الحالات'!$D$2:$D$1001,SUMPRODUCT(('تشخيص الحالات'!$B$2:$B$1001=B146)*('تشخيص الحالات'!$G$2:$G$1001=2)*ROW('تشخيص الحالات'!$B$2:$B$1001))-1),""),"")&amp;IF(SUMPRODUCT(('تشخيص الحالات'!$B$2:$B$1001=B146)*('تشخيص الحالات'!$G$2:$G$1001=3))&gt;0,"، "&amp;IFERROR(INDEX('تشخيص الحالات'!$D$2:$D$1001,SUMPRODUCT(('تشخيص الحالات'!$B$2:$B$1001=B146)*('تشخيص الحالات'!$G$2:$G$1001=3)*ROW('تشخيص الحالات'!$B$2:$B$1001))-1),""),"")&amp;IF(SUMPRODUCT(('تشخيص الحالات'!$B$2:$B$1001=B146)*('تشخيص الحالات'!$G$2:$G$1001=4))&gt;0,"، "&amp;IFERROR(INDEX('تشخيص الحالات'!$D$2:$D$1001,SUMPRODUCT(('تشخيص الحالات'!$B$2:$B$1001=B146)*('تشخيص الحالات'!$G$2:$G$1001=4)*ROW('تشخيص الحالات'!$B$2:$B$1001))-1),""),"")&amp;IF(SUMPRODUCT(('تشخيص الحالات'!$B$2:$B$1001=B146)*('تشخيص الحالات'!$G$2:$G$1001=5))&gt;0,"، "&amp;IFERROR(INDEX('تشخيص الحالات'!$D$2:$D$1001,SUMPRODUCT(('تشخيص الحالات'!$B$2:$B$1001=B146)*('تشخيص الحالات'!$G$2:$G$1001=5)*ROW('تشخيص الحالات'!$B$2:$B$1001))-1),""),"")&amp;IF(SUMPRODUCT(('تشخيص الحالات'!$B$2:$B$1001=B146)*('تشخيص الحالات'!$G$2:$G$1001=6))&gt;0,"، "&amp;IFERROR(INDEX('تشخيص الحالات'!$D$2:$D$1001,SUMPRODUCT(('تشخيص الحالات'!$B$2:$B$1001=B146)*('تشخيص الحالات'!$G$2:$G$1001=6)*ROW('تشخيص الحالات'!$B$2:$B$1001))-1),""),"")&amp;IF(SUMPRODUCT(('تشخيص الحالات'!$B$2:$B$1001=B146)*('تشخيص الحالات'!$G$2:$G$1001=7))&gt;0,"، "&amp;IFERROR(INDEX('تشخيص الحالات'!$D$2:$D$1001,SUMPRODUCT(('تشخيص الحالات'!$B$2:$B$1001=B146)*('تشخيص الحالات'!$G$2:$G$1001=7)*ROW('تشخيص الحالات'!$B$2:$B$1001))-1),""),"")&amp;IF(SUMPRODUCT(('تشخيص الحالات'!$B$2:$B$1001=B146)*('تشخيص الحالات'!$G$2:$G$1001=8))&gt;0,"، "&amp;IFERROR(INDEX('تشخيص الحالات'!$D$2:$D$1001,SUMPRODUCT(('تشخيص الحالات'!$B$2:$B$1001=B146)*('تشخيص الحالات'!$G$2:$G$1001=8)*ROW('تشخيص الحالات'!$B$2:$B$1001))-1),""),"")</f>
        <v>مشكلات لغوية</v>
      </c>
      <c r="J146" s="1">
        <v>107</v>
      </c>
      <c r="K146" s="1" t="s">
        <v>39</v>
      </c>
      <c r="L146" s="1">
        <v>3000</v>
      </c>
      <c r="M146" s="1" t="s">
        <v>40</v>
      </c>
      <c r="N146" s="1">
        <v>0</v>
      </c>
      <c r="O146" s="1">
        <v>6</v>
      </c>
      <c r="P146" s="1">
        <v>1</v>
      </c>
      <c r="Q146" s="1">
        <v>0</v>
      </c>
      <c r="R146" s="1">
        <v>0</v>
      </c>
      <c r="S146" s="1">
        <v>0</v>
      </c>
      <c r="T146">
        <f>SUM(tbl_Beneficiaries[[#This Row],[ التربية الخاصة ]:[ التأهيل النفسي الحركي ]])</f>
        <v>7</v>
      </c>
    </row>
    <row r="147" spans="1:20" x14ac:dyDescent="0.2">
      <c r="A147" s="1">
        <v>146</v>
      </c>
      <c r="B147" s="1">
        <v>1144287415</v>
      </c>
      <c r="C147" s="1" t="s">
        <v>123</v>
      </c>
      <c r="D147" s="1" t="s">
        <v>3</v>
      </c>
      <c r="E147" s="3">
        <v>42877</v>
      </c>
      <c r="F147" s="1" t="s">
        <v>358</v>
      </c>
      <c r="G147" s="1" t="s">
        <v>0</v>
      </c>
      <c r="H147" s="3">
        <v>44784</v>
      </c>
      <c r="I147" t="str">
        <f>IFERROR(INDEX('تشخيص الحالات'!$D$2:$D$1001,SUMPRODUCT(('تشخيص الحالات'!$B$2:$B$1001=B147)*('تشخيص الحالات'!$G$2:$G$1001=1)*ROW('تشخيص الحالات'!$B$2:$B$1001))-1),"")&amp;IF(SUMPRODUCT(('تشخيص الحالات'!$B$2:$B$1001=B147)*('تشخيص الحالات'!$G$2:$G$1001=2))&gt;0,"، "&amp;IFERROR(INDEX('تشخيص الحالات'!$D$2:$D$1001,SUMPRODUCT(('تشخيص الحالات'!$B$2:$B$1001=B147)*('تشخيص الحالات'!$G$2:$G$1001=2)*ROW('تشخيص الحالات'!$B$2:$B$1001))-1),""),"")&amp;IF(SUMPRODUCT(('تشخيص الحالات'!$B$2:$B$1001=B147)*('تشخيص الحالات'!$G$2:$G$1001=3))&gt;0,"، "&amp;IFERROR(INDEX('تشخيص الحالات'!$D$2:$D$1001,SUMPRODUCT(('تشخيص الحالات'!$B$2:$B$1001=B147)*('تشخيص الحالات'!$G$2:$G$1001=3)*ROW('تشخيص الحالات'!$B$2:$B$1001))-1),""),"")&amp;IF(SUMPRODUCT(('تشخيص الحالات'!$B$2:$B$1001=B147)*('تشخيص الحالات'!$G$2:$G$1001=4))&gt;0,"، "&amp;IFERROR(INDEX('تشخيص الحالات'!$D$2:$D$1001,SUMPRODUCT(('تشخيص الحالات'!$B$2:$B$1001=B147)*('تشخيص الحالات'!$G$2:$G$1001=4)*ROW('تشخيص الحالات'!$B$2:$B$1001))-1),""),"")&amp;IF(SUMPRODUCT(('تشخيص الحالات'!$B$2:$B$1001=B147)*('تشخيص الحالات'!$G$2:$G$1001=5))&gt;0,"، "&amp;IFERROR(INDEX('تشخيص الحالات'!$D$2:$D$1001,SUMPRODUCT(('تشخيص الحالات'!$B$2:$B$1001=B147)*('تشخيص الحالات'!$G$2:$G$1001=5)*ROW('تشخيص الحالات'!$B$2:$B$1001))-1),""),"")&amp;IF(SUMPRODUCT(('تشخيص الحالات'!$B$2:$B$1001=B147)*('تشخيص الحالات'!$G$2:$G$1001=6))&gt;0,"، "&amp;IFERROR(INDEX('تشخيص الحالات'!$D$2:$D$1001,SUMPRODUCT(('تشخيص الحالات'!$B$2:$B$1001=B147)*('تشخيص الحالات'!$G$2:$G$1001=6)*ROW('تشخيص الحالات'!$B$2:$B$1001))-1),""),"")&amp;IF(SUMPRODUCT(('تشخيص الحالات'!$B$2:$B$1001=B147)*('تشخيص الحالات'!$G$2:$G$1001=7))&gt;0,"، "&amp;IFERROR(INDEX('تشخيص الحالات'!$D$2:$D$1001,SUMPRODUCT(('تشخيص الحالات'!$B$2:$B$1001=B147)*('تشخيص الحالات'!$G$2:$G$1001=7)*ROW('تشخيص الحالات'!$B$2:$B$1001))-1),""),"")&amp;IF(SUMPRODUCT(('تشخيص الحالات'!$B$2:$B$1001=B147)*('تشخيص الحالات'!$G$2:$G$1001=8))&gt;0,"، "&amp;IFERROR(INDEX('تشخيص الحالات'!$D$2:$D$1001,SUMPRODUCT(('تشخيص الحالات'!$B$2:$B$1001=B147)*('تشخيص الحالات'!$G$2:$G$1001=8)*ROW('تشخيص الحالات'!$B$2:$B$1001))-1),""),"")</f>
        <v>متلازمة داون</v>
      </c>
      <c r="J147" s="1">
        <v>49</v>
      </c>
      <c r="K147" s="1" t="s">
        <v>38</v>
      </c>
      <c r="L147" s="1">
        <v>3500</v>
      </c>
      <c r="M147" s="1" t="s">
        <v>43</v>
      </c>
      <c r="N147" s="1">
        <v>5</v>
      </c>
      <c r="O147" s="1">
        <v>8</v>
      </c>
      <c r="P147" s="1">
        <v>0</v>
      </c>
      <c r="Q147" s="1">
        <v>1</v>
      </c>
      <c r="R147" s="1">
        <v>0</v>
      </c>
      <c r="S147" s="1">
        <v>3</v>
      </c>
      <c r="T147">
        <f>SUM(tbl_Beneficiaries[[#This Row],[ التربية الخاصة ]:[ التأهيل النفسي الحركي ]])</f>
        <v>17</v>
      </c>
    </row>
    <row r="148" spans="1:20" x14ac:dyDescent="0.2">
      <c r="A148" s="1">
        <v>147</v>
      </c>
      <c r="B148" s="1">
        <v>1368977349</v>
      </c>
      <c r="C148" s="1" t="s">
        <v>476</v>
      </c>
      <c r="D148" s="1" t="s">
        <v>3</v>
      </c>
      <c r="E148" s="3">
        <v>40816</v>
      </c>
      <c r="F148" s="1" t="s">
        <v>357</v>
      </c>
      <c r="G148" s="1" t="s">
        <v>1</v>
      </c>
      <c r="H148" s="3">
        <v>45196</v>
      </c>
      <c r="I148" t="str">
        <f>IFERROR(INDEX('تشخيص الحالات'!$D$2:$D$1001,SUMPRODUCT(('تشخيص الحالات'!$B$2:$B$1001=B148)*('تشخيص الحالات'!$G$2:$G$1001=1)*ROW('تشخيص الحالات'!$B$2:$B$1001))-1),"")&amp;IF(SUMPRODUCT(('تشخيص الحالات'!$B$2:$B$1001=B148)*('تشخيص الحالات'!$G$2:$G$1001=2))&gt;0,"، "&amp;IFERROR(INDEX('تشخيص الحالات'!$D$2:$D$1001,SUMPRODUCT(('تشخيص الحالات'!$B$2:$B$1001=B148)*('تشخيص الحالات'!$G$2:$G$1001=2)*ROW('تشخيص الحالات'!$B$2:$B$1001))-1),""),"")&amp;IF(SUMPRODUCT(('تشخيص الحالات'!$B$2:$B$1001=B148)*('تشخيص الحالات'!$G$2:$G$1001=3))&gt;0,"، "&amp;IFERROR(INDEX('تشخيص الحالات'!$D$2:$D$1001,SUMPRODUCT(('تشخيص الحالات'!$B$2:$B$1001=B148)*('تشخيص الحالات'!$G$2:$G$1001=3)*ROW('تشخيص الحالات'!$B$2:$B$1001))-1),""),"")&amp;IF(SUMPRODUCT(('تشخيص الحالات'!$B$2:$B$1001=B148)*('تشخيص الحالات'!$G$2:$G$1001=4))&gt;0,"، "&amp;IFERROR(INDEX('تشخيص الحالات'!$D$2:$D$1001,SUMPRODUCT(('تشخيص الحالات'!$B$2:$B$1001=B148)*('تشخيص الحالات'!$G$2:$G$1001=4)*ROW('تشخيص الحالات'!$B$2:$B$1001))-1),""),"")&amp;IF(SUMPRODUCT(('تشخيص الحالات'!$B$2:$B$1001=B148)*('تشخيص الحالات'!$G$2:$G$1001=5))&gt;0,"، "&amp;IFERROR(INDEX('تشخيص الحالات'!$D$2:$D$1001,SUMPRODUCT(('تشخيص الحالات'!$B$2:$B$1001=B148)*('تشخيص الحالات'!$G$2:$G$1001=5)*ROW('تشخيص الحالات'!$B$2:$B$1001))-1),""),"")&amp;IF(SUMPRODUCT(('تشخيص الحالات'!$B$2:$B$1001=B148)*('تشخيص الحالات'!$G$2:$G$1001=6))&gt;0,"، "&amp;IFERROR(INDEX('تشخيص الحالات'!$D$2:$D$1001,SUMPRODUCT(('تشخيص الحالات'!$B$2:$B$1001=B148)*('تشخيص الحالات'!$G$2:$G$1001=6)*ROW('تشخيص الحالات'!$B$2:$B$1001))-1),""),"")&amp;IF(SUMPRODUCT(('تشخيص الحالات'!$B$2:$B$1001=B148)*('تشخيص الحالات'!$G$2:$G$1001=7))&gt;0,"، "&amp;IFERROR(INDEX('تشخيص الحالات'!$D$2:$D$1001,SUMPRODUCT(('تشخيص الحالات'!$B$2:$B$1001=B148)*('تشخيص الحالات'!$G$2:$G$1001=7)*ROW('تشخيص الحالات'!$B$2:$B$1001))-1),""),"")&amp;IF(SUMPRODUCT(('تشخيص الحالات'!$B$2:$B$1001=B148)*('تشخيص الحالات'!$G$2:$G$1001=8))&gt;0,"، "&amp;IFERROR(INDEX('تشخيص الحالات'!$D$2:$D$1001,SUMPRODUCT(('تشخيص الحالات'!$B$2:$B$1001=B148)*('تشخيص الحالات'!$G$2:$G$1001=8)*ROW('تشخيص الحالات'!$B$2:$B$1001))-1),""),"")</f>
        <v>فرط الحركة وتشتت الانتباه، تأخر نمائي، اضطراب تواصل اجتماعي، مشكلات أسرية / اجتماعية</v>
      </c>
      <c r="J148" s="1">
        <v>103</v>
      </c>
      <c r="K148" s="1" t="s">
        <v>38</v>
      </c>
      <c r="L148" s="1">
        <v>2500</v>
      </c>
      <c r="M148" s="1" t="s">
        <v>42</v>
      </c>
      <c r="N148" s="1">
        <v>0</v>
      </c>
      <c r="O148" s="1">
        <v>3</v>
      </c>
      <c r="P148" s="1">
        <v>2</v>
      </c>
      <c r="Q148" s="1">
        <v>2</v>
      </c>
      <c r="R148" s="1">
        <v>1</v>
      </c>
      <c r="S148" s="1">
        <v>0</v>
      </c>
      <c r="T148">
        <f>SUM(tbl_Beneficiaries[[#This Row],[ التربية الخاصة ]:[ التأهيل النفسي الحركي ]])</f>
        <v>8</v>
      </c>
    </row>
    <row r="149" spans="1:20" x14ac:dyDescent="0.2">
      <c r="A149" s="1">
        <v>148</v>
      </c>
      <c r="B149" s="1">
        <v>1672893974</v>
      </c>
      <c r="C149" s="1" t="s">
        <v>477</v>
      </c>
      <c r="D149" s="1" t="s">
        <v>3</v>
      </c>
      <c r="E149" s="3">
        <v>43160</v>
      </c>
      <c r="F149" s="1" t="s">
        <v>360</v>
      </c>
      <c r="G149" s="1" t="s">
        <v>1</v>
      </c>
      <c r="H149" s="3">
        <v>44999</v>
      </c>
      <c r="I149" t="str">
        <f>IFERROR(INDEX('تشخيص الحالات'!$D$2:$D$1001,SUMPRODUCT(('تشخيص الحالات'!$B$2:$B$1001=B149)*('تشخيص الحالات'!$G$2:$G$1001=1)*ROW('تشخيص الحالات'!$B$2:$B$1001))-1),"")&amp;IF(SUMPRODUCT(('تشخيص الحالات'!$B$2:$B$1001=B149)*('تشخيص الحالات'!$G$2:$G$1001=2))&gt;0,"، "&amp;IFERROR(INDEX('تشخيص الحالات'!$D$2:$D$1001,SUMPRODUCT(('تشخيص الحالات'!$B$2:$B$1001=B149)*('تشخيص الحالات'!$G$2:$G$1001=2)*ROW('تشخيص الحالات'!$B$2:$B$1001))-1),""),"")&amp;IF(SUMPRODUCT(('تشخيص الحالات'!$B$2:$B$1001=B149)*('تشخيص الحالات'!$G$2:$G$1001=3))&gt;0,"، "&amp;IFERROR(INDEX('تشخيص الحالات'!$D$2:$D$1001,SUMPRODUCT(('تشخيص الحالات'!$B$2:$B$1001=B149)*('تشخيص الحالات'!$G$2:$G$1001=3)*ROW('تشخيص الحالات'!$B$2:$B$1001))-1),""),"")&amp;IF(SUMPRODUCT(('تشخيص الحالات'!$B$2:$B$1001=B149)*('تشخيص الحالات'!$G$2:$G$1001=4))&gt;0,"، "&amp;IFERROR(INDEX('تشخيص الحالات'!$D$2:$D$1001,SUMPRODUCT(('تشخيص الحالات'!$B$2:$B$1001=B149)*('تشخيص الحالات'!$G$2:$G$1001=4)*ROW('تشخيص الحالات'!$B$2:$B$1001))-1),""),"")&amp;IF(SUMPRODUCT(('تشخيص الحالات'!$B$2:$B$1001=B149)*('تشخيص الحالات'!$G$2:$G$1001=5))&gt;0,"، "&amp;IFERROR(INDEX('تشخيص الحالات'!$D$2:$D$1001,SUMPRODUCT(('تشخيص الحالات'!$B$2:$B$1001=B149)*('تشخيص الحالات'!$G$2:$G$1001=5)*ROW('تشخيص الحالات'!$B$2:$B$1001))-1),""),"")&amp;IF(SUMPRODUCT(('تشخيص الحالات'!$B$2:$B$1001=B149)*('تشخيص الحالات'!$G$2:$G$1001=6))&gt;0,"، "&amp;IFERROR(INDEX('تشخيص الحالات'!$D$2:$D$1001,SUMPRODUCT(('تشخيص الحالات'!$B$2:$B$1001=B149)*('تشخيص الحالات'!$G$2:$G$1001=6)*ROW('تشخيص الحالات'!$B$2:$B$1001))-1),""),"")&amp;IF(SUMPRODUCT(('تشخيص الحالات'!$B$2:$B$1001=B149)*('تشخيص الحالات'!$G$2:$G$1001=7))&gt;0,"، "&amp;IFERROR(INDEX('تشخيص الحالات'!$D$2:$D$1001,SUMPRODUCT(('تشخيص الحالات'!$B$2:$B$1001=B149)*('تشخيص الحالات'!$G$2:$G$1001=7)*ROW('تشخيص الحالات'!$B$2:$B$1001))-1),""),"")&amp;IF(SUMPRODUCT(('تشخيص الحالات'!$B$2:$B$1001=B149)*('تشخيص الحالات'!$G$2:$G$1001=8))&gt;0,"، "&amp;IFERROR(INDEX('تشخيص الحالات'!$D$2:$D$1001,SUMPRODUCT(('تشخيص الحالات'!$B$2:$B$1001=B149)*('تشخيص الحالات'!$G$2:$G$1001=8)*ROW('تشخيص الحالات'!$B$2:$B$1001))-1),""),"")</f>
        <v>متلازمة داون، اضطراب تكامل حسي، مشكلات أسرية / اجتماعية</v>
      </c>
      <c r="J149" s="1">
        <v>66</v>
      </c>
      <c r="K149" s="1" t="s">
        <v>4</v>
      </c>
      <c r="L149" s="1">
        <v>4000</v>
      </c>
      <c r="M149" s="1" t="s">
        <v>44</v>
      </c>
      <c r="N149" s="1">
        <v>8</v>
      </c>
      <c r="O149" s="1">
        <v>9</v>
      </c>
      <c r="P149" s="1">
        <v>9</v>
      </c>
      <c r="Q149" s="1">
        <v>5</v>
      </c>
      <c r="R149" s="1">
        <v>2</v>
      </c>
      <c r="S149" s="1">
        <v>0</v>
      </c>
      <c r="T149">
        <f>SUM(tbl_Beneficiaries[[#This Row],[ التربية الخاصة ]:[ التأهيل النفسي الحركي ]])</f>
        <v>33</v>
      </c>
    </row>
    <row r="150" spans="1:20" x14ac:dyDescent="0.2">
      <c r="A150" s="1">
        <v>149</v>
      </c>
      <c r="B150" s="1">
        <v>1614390911</v>
      </c>
      <c r="C150" s="1" t="s">
        <v>478</v>
      </c>
      <c r="D150" s="1" t="s">
        <v>7</v>
      </c>
      <c r="E150" s="3">
        <v>43401</v>
      </c>
      <c r="F150" s="1" t="s">
        <v>359</v>
      </c>
      <c r="G150" s="1" t="s">
        <v>0</v>
      </c>
      <c r="H150" s="3">
        <v>45323</v>
      </c>
      <c r="I150" t="str">
        <f>IFERROR(INDEX('تشخيص الحالات'!$D$2:$D$1001,SUMPRODUCT(('تشخيص الحالات'!$B$2:$B$1001=B150)*('تشخيص الحالات'!$G$2:$G$1001=1)*ROW('تشخيص الحالات'!$B$2:$B$1001))-1),"")&amp;IF(SUMPRODUCT(('تشخيص الحالات'!$B$2:$B$1001=B150)*('تشخيص الحالات'!$G$2:$G$1001=2))&gt;0,"، "&amp;IFERROR(INDEX('تشخيص الحالات'!$D$2:$D$1001,SUMPRODUCT(('تشخيص الحالات'!$B$2:$B$1001=B150)*('تشخيص الحالات'!$G$2:$G$1001=2)*ROW('تشخيص الحالات'!$B$2:$B$1001))-1),""),"")&amp;IF(SUMPRODUCT(('تشخيص الحالات'!$B$2:$B$1001=B150)*('تشخيص الحالات'!$G$2:$G$1001=3))&gt;0,"، "&amp;IFERROR(INDEX('تشخيص الحالات'!$D$2:$D$1001,SUMPRODUCT(('تشخيص الحالات'!$B$2:$B$1001=B150)*('تشخيص الحالات'!$G$2:$G$1001=3)*ROW('تشخيص الحالات'!$B$2:$B$1001))-1),""),"")&amp;IF(SUMPRODUCT(('تشخيص الحالات'!$B$2:$B$1001=B150)*('تشخيص الحالات'!$G$2:$G$1001=4))&gt;0,"، "&amp;IFERROR(INDEX('تشخيص الحالات'!$D$2:$D$1001,SUMPRODUCT(('تشخيص الحالات'!$B$2:$B$1001=B150)*('تشخيص الحالات'!$G$2:$G$1001=4)*ROW('تشخيص الحالات'!$B$2:$B$1001))-1),""),"")&amp;IF(SUMPRODUCT(('تشخيص الحالات'!$B$2:$B$1001=B150)*('تشخيص الحالات'!$G$2:$G$1001=5))&gt;0,"، "&amp;IFERROR(INDEX('تشخيص الحالات'!$D$2:$D$1001,SUMPRODUCT(('تشخيص الحالات'!$B$2:$B$1001=B150)*('تشخيص الحالات'!$G$2:$G$1001=5)*ROW('تشخيص الحالات'!$B$2:$B$1001))-1),""),"")&amp;IF(SUMPRODUCT(('تشخيص الحالات'!$B$2:$B$1001=B150)*('تشخيص الحالات'!$G$2:$G$1001=6))&gt;0,"، "&amp;IFERROR(INDEX('تشخيص الحالات'!$D$2:$D$1001,SUMPRODUCT(('تشخيص الحالات'!$B$2:$B$1001=B150)*('تشخيص الحالات'!$G$2:$G$1001=6)*ROW('تشخيص الحالات'!$B$2:$B$1001))-1),""),"")&amp;IF(SUMPRODUCT(('تشخيص الحالات'!$B$2:$B$1001=B150)*('تشخيص الحالات'!$G$2:$G$1001=7))&gt;0,"، "&amp;IFERROR(INDEX('تشخيص الحالات'!$D$2:$D$1001,SUMPRODUCT(('تشخيص الحالات'!$B$2:$B$1001=B150)*('تشخيص الحالات'!$G$2:$G$1001=7)*ROW('تشخيص الحالات'!$B$2:$B$1001))-1),""),"")&amp;IF(SUMPRODUCT(('تشخيص الحالات'!$B$2:$B$1001=B150)*('تشخيص الحالات'!$G$2:$G$1001=8))&gt;0,"، "&amp;IFERROR(INDEX('تشخيص الحالات'!$D$2:$D$1001,SUMPRODUCT(('تشخيص الحالات'!$B$2:$B$1001=B150)*('تشخيص الحالات'!$G$2:$G$1001=8)*ROW('تشخيص الحالات'!$B$2:$B$1001))-1),""),"")</f>
        <v>اضطراب نفسي، اضطراب طيف التوحد، تأخر نمائي، مشكلات أسرية / اجتماعية</v>
      </c>
      <c r="J150" s="1">
        <v>93</v>
      </c>
      <c r="K150" s="1" t="s">
        <v>4</v>
      </c>
      <c r="L150" s="1">
        <v>2500</v>
      </c>
      <c r="M150" s="1" t="s">
        <v>42</v>
      </c>
      <c r="N150" s="1">
        <v>4</v>
      </c>
      <c r="O150" s="1">
        <v>8</v>
      </c>
      <c r="P150" s="1">
        <v>0</v>
      </c>
      <c r="Q150" s="1">
        <v>0</v>
      </c>
      <c r="R150" s="1">
        <v>2</v>
      </c>
      <c r="S150" s="1">
        <v>1</v>
      </c>
      <c r="T150">
        <f>SUM(tbl_Beneficiaries[[#This Row],[ التربية الخاصة ]:[ التأهيل النفسي الحركي ]])</f>
        <v>15</v>
      </c>
    </row>
    <row r="151" spans="1:20" x14ac:dyDescent="0.2">
      <c r="A151" s="1">
        <v>150</v>
      </c>
      <c r="B151" s="1">
        <v>1224071000</v>
      </c>
      <c r="C151" s="1" t="s">
        <v>124</v>
      </c>
      <c r="D151" s="1" t="s">
        <v>3</v>
      </c>
      <c r="E151" s="3">
        <v>43580</v>
      </c>
      <c r="F151" s="1" t="s">
        <v>360</v>
      </c>
      <c r="G151" s="1" t="s">
        <v>0</v>
      </c>
      <c r="H151" s="3">
        <v>45394</v>
      </c>
      <c r="I151" t="str">
        <f>IFERROR(INDEX('تشخيص الحالات'!$D$2:$D$1001,SUMPRODUCT(('تشخيص الحالات'!$B$2:$B$1001=B151)*('تشخيص الحالات'!$G$2:$G$1001=1)*ROW('تشخيص الحالات'!$B$2:$B$1001))-1),"")&amp;IF(SUMPRODUCT(('تشخيص الحالات'!$B$2:$B$1001=B151)*('تشخيص الحالات'!$G$2:$G$1001=2))&gt;0,"، "&amp;IFERROR(INDEX('تشخيص الحالات'!$D$2:$D$1001,SUMPRODUCT(('تشخيص الحالات'!$B$2:$B$1001=B151)*('تشخيص الحالات'!$G$2:$G$1001=2)*ROW('تشخيص الحالات'!$B$2:$B$1001))-1),""),"")&amp;IF(SUMPRODUCT(('تشخيص الحالات'!$B$2:$B$1001=B151)*('تشخيص الحالات'!$G$2:$G$1001=3))&gt;0,"، "&amp;IFERROR(INDEX('تشخيص الحالات'!$D$2:$D$1001,SUMPRODUCT(('تشخيص الحالات'!$B$2:$B$1001=B151)*('تشخيص الحالات'!$G$2:$G$1001=3)*ROW('تشخيص الحالات'!$B$2:$B$1001))-1),""),"")&amp;IF(SUMPRODUCT(('تشخيص الحالات'!$B$2:$B$1001=B151)*('تشخيص الحالات'!$G$2:$G$1001=4))&gt;0,"، "&amp;IFERROR(INDEX('تشخيص الحالات'!$D$2:$D$1001,SUMPRODUCT(('تشخيص الحالات'!$B$2:$B$1001=B151)*('تشخيص الحالات'!$G$2:$G$1001=4)*ROW('تشخيص الحالات'!$B$2:$B$1001))-1),""),"")&amp;IF(SUMPRODUCT(('تشخيص الحالات'!$B$2:$B$1001=B151)*('تشخيص الحالات'!$G$2:$G$1001=5))&gt;0,"، "&amp;IFERROR(INDEX('تشخيص الحالات'!$D$2:$D$1001,SUMPRODUCT(('تشخيص الحالات'!$B$2:$B$1001=B151)*('تشخيص الحالات'!$G$2:$G$1001=5)*ROW('تشخيص الحالات'!$B$2:$B$1001))-1),""),"")&amp;IF(SUMPRODUCT(('تشخيص الحالات'!$B$2:$B$1001=B151)*('تشخيص الحالات'!$G$2:$G$1001=6))&gt;0,"، "&amp;IFERROR(INDEX('تشخيص الحالات'!$D$2:$D$1001,SUMPRODUCT(('تشخيص الحالات'!$B$2:$B$1001=B151)*('تشخيص الحالات'!$G$2:$G$1001=6)*ROW('تشخيص الحالات'!$B$2:$B$1001))-1),""),"")&amp;IF(SUMPRODUCT(('تشخيص الحالات'!$B$2:$B$1001=B151)*('تشخيص الحالات'!$G$2:$G$1001=7))&gt;0,"، "&amp;IFERROR(INDEX('تشخيص الحالات'!$D$2:$D$1001,SUMPRODUCT(('تشخيص الحالات'!$B$2:$B$1001=B151)*('تشخيص الحالات'!$G$2:$G$1001=7)*ROW('تشخيص الحالات'!$B$2:$B$1001))-1),""),"")&amp;IF(SUMPRODUCT(('تشخيص الحالات'!$B$2:$B$1001=B151)*('تشخيص الحالات'!$G$2:$G$1001=8))&gt;0,"، "&amp;IFERROR(INDEX('تشخيص الحالات'!$D$2:$D$1001,SUMPRODUCT(('تشخيص الحالات'!$B$2:$B$1001=B151)*('تشخيص الحالات'!$G$2:$G$1001=8)*ROW('تشخيص الحالات'!$B$2:$B$1001))-1),""),"")</f>
        <v>اضطرابات سلوكية، إعاقة سمعية</v>
      </c>
      <c r="J151" s="1">
        <v>57</v>
      </c>
      <c r="K151" s="1" t="s">
        <v>4</v>
      </c>
      <c r="L151" s="1">
        <v>1500</v>
      </c>
      <c r="M151" s="1" t="s">
        <v>42</v>
      </c>
      <c r="N151" s="1">
        <v>8</v>
      </c>
      <c r="O151" s="1">
        <v>2</v>
      </c>
      <c r="P151" s="1">
        <v>0</v>
      </c>
      <c r="Q151" s="1">
        <v>3</v>
      </c>
      <c r="R151" s="1">
        <v>0</v>
      </c>
      <c r="S151" s="1">
        <v>0</v>
      </c>
      <c r="T151">
        <f>SUM(tbl_Beneficiaries[[#This Row],[ التربية الخاصة ]:[ التأهيل النفسي الحركي ]])</f>
        <v>13</v>
      </c>
    </row>
    <row r="152" spans="1:20" x14ac:dyDescent="0.2">
      <c r="A152" s="1">
        <v>151</v>
      </c>
      <c r="B152" s="1">
        <v>1714015460</v>
      </c>
      <c r="C152" s="1" t="s">
        <v>479</v>
      </c>
      <c r="D152" s="1" t="s">
        <v>3</v>
      </c>
      <c r="E152" s="3">
        <v>42084</v>
      </c>
      <c r="F152" s="1" t="s">
        <v>357</v>
      </c>
      <c r="G152" s="1" t="s">
        <v>4</v>
      </c>
      <c r="H152" s="3">
        <v>44998</v>
      </c>
      <c r="I152" t="str">
        <f>IFERROR(INDEX('تشخيص الحالات'!$D$2:$D$1001,SUMPRODUCT(('تشخيص الحالات'!$B$2:$B$1001=B152)*('تشخيص الحالات'!$G$2:$G$1001=1)*ROW('تشخيص الحالات'!$B$2:$B$1001))-1),"")&amp;IF(SUMPRODUCT(('تشخيص الحالات'!$B$2:$B$1001=B152)*('تشخيص الحالات'!$G$2:$G$1001=2))&gt;0,"، "&amp;IFERROR(INDEX('تشخيص الحالات'!$D$2:$D$1001,SUMPRODUCT(('تشخيص الحالات'!$B$2:$B$1001=B152)*('تشخيص الحالات'!$G$2:$G$1001=2)*ROW('تشخيص الحالات'!$B$2:$B$1001))-1),""),"")&amp;IF(SUMPRODUCT(('تشخيص الحالات'!$B$2:$B$1001=B152)*('تشخيص الحالات'!$G$2:$G$1001=3))&gt;0,"، "&amp;IFERROR(INDEX('تشخيص الحالات'!$D$2:$D$1001,SUMPRODUCT(('تشخيص الحالات'!$B$2:$B$1001=B152)*('تشخيص الحالات'!$G$2:$G$1001=3)*ROW('تشخيص الحالات'!$B$2:$B$1001))-1),""),"")&amp;IF(SUMPRODUCT(('تشخيص الحالات'!$B$2:$B$1001=B152)*('تشخيص الحالات'!$G$2:$G$1001=4))&gt;0,"، "&amp;IFERROR(INDEX('تشخيص الحالات'!$D$2:$D$1001,SUMPRODUCT(('تشخيص الحالات'!$B$2:$B$1001=B152)*('تشخيص الحالات'!$G$2:$G$1001=4)*ROW('تشخيص الحالات'!$B$2:$B$1001))-1),""),"")&amp;IF(SUMPRODUCT(('تشخيص الحالات'!$B$2:$B$1001=B152)*('تشخيص الحالات'!$G$2:$G$1001=5))&gt;0,"، "&amp;IFERROR(INDEX('تشخيص الحالات'!$D$2:$D$1001,SUMPRODUCT(('تشخيص الحالات'!$B$2:$B$1001=B152)*('تشخيص الحالات'!$G$2:$G$1001=5)*ROW('تشخيص الحالات'!$B$2:$B$1001))-1),""),"")&amp;IF(SUMPRODUCT(('تشخيص الحالات'!$B$2:$B$1001=B152)*('تشخيص الحالات'!$G$2:$G$1001=6))&gt;0,"، "&amp;IFERROR(INDEX('تشخيص الحالات'!$D$2:$D$1001,SUMPRODUCT(('تشخيص الحالات'!$B$2:$B$1001=B152)*('تشخيص الحالات'!$G$2:$G$1001=6)*ROW('تشخيص الحالات'!$B$2:$B$1001))-1),""),"")&amp;IF(SUMPRODUCT(('تشخيص الحالات'!$B$2:$B$1001=B152)*('تشخيص الحالات'!$G$2:$G$1001=7))&gt;0,"، "&amp;IFERROR(INDEX('تشخيص الحالات'!$D$2:$D$1001,SUMPRODUCT(('تشخيص الحالات'!$B$2:$B$1001=B152)*('تشخيص الحالات'!$G$2:$G$1001=7)*ROW('تشخيص الحالات'!$B$2:$B$1001))-1),""),"")&amp;IF(SUMPRODUCT(('تشخيص الحالات'!$B$2:$B$1001=B152)*('تشخيص الحالات'!$G$2:$G$1001=8))&gt;0,"، "&amp;IFERROR(INDEX('تشخيص الحالات'!$D$2:$D$1001,SUMPRODUCT(('تشخيص الحالات'!$B$2:$B$1001=B152)*('تشخيص الحالات'!$G$2:$G$1001=8)*ROW('تشخيص الحالات'!$B$2:$B$1001))-1),""),"")</f>
        <v>اضطراب نفسي، تأخر حركي</v>
      </c>
      <c r="J152" s="1">
        <v>94</v>
      </c>
      <c r="K152" s="1" t="s">
        <v>39</v>
      </c>
      <c r="L152" s="1">
        <v>3500</v>
      </c>
      <c r="M152" s="1" t="s">
        <v>43</v>
      </c>
      <c r="N152" s="1">
        <v>3</v>
      </c>
      <c r="O152" s="1">
        <v>0</v>
      </c>
      <c r="P152" s="1">
        <v>7</v>
      </c>
      <c r="Q152" s="1">
        <v>3</v>
      </c>
      <c r="R152" s="1">
        <v>4</v>
      </c>
      <c r="S152" s="1">
        <v>0</v>
      </c>
      <c r="T152">
        <f>SUM(tbl_Beneficiaries[[#This Row],[ التربية الخاصة ]:[ التأهيل النفسي الحركي ]])</f>
        <v>17</v>
      </c>
    </row>
    <row r="153" spans="1:20" x14ac:dyDescent="0.2">
      <c r="A153" s="1">
        <v>152</v>
      </c>
      <c r="B153" s="1">
        <v>1723683973</v>
      </c>
      <c r="C153" s="1" t="s">
        <v>480</v>
      </c>
      <c r="D153" s="1" t="s">
        <v>7</v>
      </c>
      <c r="E153" s="3">
        <v>40941</v>
      </c>
      <c r="F153" s="1" t="s">
        <v>360</v>
      </c>
      <c r="G153" s="1" t="s">
        <v>0</v>
      </c>
      <c r="H153" s="3">
        <v>45247</v>
      </c>
      <c r="I153" t="str">
        <f>IFERROR(INDEX('تشخيص الحالات'!$D$2:$D$1001,SUMPRODUCT(('تشخيص الحالات'!$B$2:$B$1001=B153)*('تشخيص الحالات'!$G$2:$G$1001=1)*ROW('تشخيص الحالات'!$B$2:$B$1001))-1),"")&amp;IF(SUMPRODUCT(('تشخيص الحالات'!$B$2:$B$1001=B153)*('تشخيص الحالات'!$G$2:$G$1001=2))&gt;0,"، "&amp;IFERROR(INDEX('تشخيص الحالات'!$D$2:$D$1001,SUMPRODUCT(('تشخيص الحالات'!$B$2:$B$1001=B153)*('تشخيص الحالات'!$G$2:$G$1001=2)*ROW('تشخيص الحالات'!$B$2:$B$1001))-1),""),"")&amp;IF(SUMPRODUCT(('تشخيص الحالات'!$B$2:$B$1001=B153)*('تشخيص الحالات'!$G$2:$G$1001=3))&gt;0,"، "&amp;IFERROR(INDEX('تشخيص الحالات'!$D$2:$D$1001,SUMPRODUCT(('تشخيص الحالات'!$B$2:$B$1001=B153)*('تشخيص الحالات'!$G$2:$G$1001=3)*ROW('تشخيص الحالات'!$B$2:$B$1001))-1),""),"")&amp;IF(SUMPRODUCT(('تشخيص الحالات'!$B$2:$B$1001=B153)*('تشخيص الحالات'!$G$2:$G$1001=4))&gt;0,"، "&amp;IFERROR(INDEX('تشخيص الحالات'!$D$2:$D$1001,SUMPRODUCT(('تشخيص الحالات'!$B$2:$B$1001=B153)*('تشخيص الحالات'!$G$2:$G$1001=4)*ROW('تشخيص الحالات'!$B$2:$B$1001))-1),""),"")&amp;IF(SUMPRODUCT(('تشخيص الحالات'!$B$2:$B$1001=B153)*('تشخيص الحالات'!$G$2:$G$1001=5))&gt;0,"، "&amp;IFERROR(INDEX('تشخيص الحالات'!$D$2:$D$1001,SUMPRODUCT(('تشخيص الحالات'!$B$2:$B$1001=B153)*('تشخيص الحالات'!$G$2:$G$1001=5)*ROW('تشخيص الحالات'!$B$2:$B$1001))-1),""),"")&amp;IF(SUMPRODUCT(('تشخيص الحالات'!$B$2:$B$1001=B153)*('تشخيص الحالات'!$G$2:$G$1001=6))&gt;0,"، "&amp;IFERROR(INDEX('تشخيص الحالات'!$D$2:$D$1001,SUMPRODUCT(('تشخيص الحالات'!$B$2:$B$1001=B153)*('تشخيص الحالات'!$G$2:$G$1001=6)*ROW('تشخيص الحالات'!$B$2:$B$1001))-1),""),"")&amp;IF(SUMPRODUCT(('تشخيص الحالات'!$B$2:$B$1001=B153)*('تشخيص الحالات'!$G$2:$G$1001=7))&gt;0,"، "&amp;IFERROR(INDEX('تشخيص الحالات'!$D$2:$D$1001,SUMPRODUCT(('تشخيص الحالات'!$B$2:$B$1001=B153)*('تشخيص الحالات'!$G$2:$G$1001=7)*ROW('تشخيص الحالات'!$B$2:$B$1001))-1),""),"")&amp;IF(SUMPRODUCT(('تشخيص الحالات'!$B$2:$B$1001=B153)*('تشخيص الحالات'!$G$2:$G$1001=8))&gt;0,"، "&amp;IFERROR(INDEX('تشخيص الحالات'!$D$2:$D$1001,SUMPRODUCT(('تشخيص الحالات'!$B$2:$B$1001=B153)*('تشخيص الحالات'!$G$2:$G$1001=8)*ROW('تشخيص الحالات'!$B$2:$B$1001))-1),""),"")</f>
        <v>اضطرابات سلوكية، فرط الحركة وتشتت الانتباه، شلل دماغي</v>
      </c>
      <c r="J153" s="1">
        <v>66</v>
      </c>
      <c r="K153" s="1" t="s">
        <v>39</v>
      </c>
      <c r="L153" s="1">
        <v>4000</v>
      </c>
      <c r="M153" s="1" t="s">
        <v>43</v>
      </c>
      <c r="N153" s="1">
        <v>8</v>
      </c>
      <c r="O153" s="1">
        <v>0</v>
      </c>
      <c r="P153" s="1">
        <v>7</v>
      </c>
      <c r="Q153" s="1">
        <v>0</v>
      </c>
      <c r="R153" s="1">
        <v>0</v>
      </c>
      <c r="S153" s="1">
        <v>0</v>
      </c>
      <c r="T153">
        <f>SUM(tbl_Beneficiaries[[#This Row],[ التربية الخاصة ]:[ التأهيل النفسي الحركي ]])</f>
        <v>15</v>
      </c>
    </row>
    <row r="154" spans="1:20" x14ac:dyDescent="0.2">
      <c r="A154" s="1">
        <v>153</v>
      </c>
      <c r="B154" s="1">
        <v>1744297633</v>
      </c>
      <c r="C154" s="1" t="s">
        <v>481</v>
      </c>
      <c r="D154" s="1" t="s">
        <v>3</v>
      </c>
      <c r="E154" s="3">
        <v>40958</v>
      </c>
      <c r="F154" s="1" t="s">
        <v>359</v>
      </c>
      <c r="G154" s="1" t="s">
        <v>1</v>
      </c>
      <c r="H154" s="3">
        <v>45277</v>
      </c>
      <c r="I154" t="str">
        <f>IFERROR(INDEX('تشخيص الحالات'!$D$2:$D$1001,SUMPRODUCT(('تشخيص الحالات'!$B$2:$B$1001=B154)*('تشخيص الحالات'!$G$2:$G$1001=1)*ROW('تشخيص الحالات'!$B$2:$B$1001))-1),"")&amp;IF(SUMPRODUCT(('تشخيص الحالات'!$B$2:$B$1001=B154)*('تشخيص الحالات'!$G$2:$G$1001=2))&gt;0,"، "&amp;IFERROR(INDEX('تشخيص الحالات'!$D$2:$D$1001,SUMPRODUCT(('تشخيص الحالات'!$B$2:$B$1001=B154)*('تشخيص الحالات'!$G$2:$G$1001=2)*ROW('تشخيص الحالات'!$B$2:$B$1001))-1),""),"")&amp;IF(SUMPRODUCT(('تشخيص الحالات'!$B$2:$B$1001=B154)*('تشخيص الحالات'!$G$2:$G$1001=3))&gt;0,"، "&amp;IFERROR(INDEX('تشخيص الحالات'!$D$2:$D$1001,SUMPRODUCT(('تشخيص الحالات'!$B$2:$B$1001=B154)*('تشخيص الحالات'!$G$2:$G$1001=3)*ROW('تشخيص الحالات'!$B$2:$B$1001))-1),""),"")&amp;IF(SUMPRODUCT(('تشخيص الحالات'!$B$2:$B$1001=B154)*('تشخيص الحالات'!$G$2:$G$1001=4))&gt;0,"، "&amp;IFERROR(INDEX('تشخيص الحالات'!$D$2:$D$1001,SUMPRODUCT(('تشخيص الحالات'!$B$2:$B$1001=B154)*('تشخيص الحالات'!$G$2:$G$1001=4)*ROW('تشخيص الحالات'!$B$2:$B$1001))-1),""),"")&amp;IF(SUMPRODUCT(('تشخيص الحالات'!$B$2:$B$1001=B154)*('تشخيص الحالات'!$G$2:$G$1001=5))&gt;0,"، "&amp;IFERROR(INDEX('تشخيص الحالات'!$D$2:$D$1001,SUMPRODUCT(('تشخيص الحالات'!$B$2:$B$1001=B154)*('تشخيص الحالات'!$G$2:$G$1001=5)*ROW('تشخيص الحالات'!$B$2:$B$1001))-1),""),"")&amp;IF(SUMPRODUCT(('تشخيص الحالات'!$B$2:$B$1001=B154)*('تشخيص الحالات'!$G$2:$G$1001=6))&gt;0,"، "&amp;IFERROR(INDEX('تشخيص الحالات'!$D$2:$D$1001,SUMPRODUCT(('تشخيص الحالات'!$B$2:$B$1001=B154)*('تشخيص الحالات'!$G$2:$G$1001=6)*ROW('تشخيص الحالات'!$B$2:$B$1001))-1),""),"")&amp;IF(SUMPRODUCT(('تشخيص الحالات'!$B$2:$B$1001=B154)*('تشخيص الحالات'!$G$2:$G$1001=7))&gt;0,"، "&amp;IFERROR(INDEX('تشخيص الحالات'!$D$2:$D$1001,SUMPRODUCT(('تشخيص الحالات'!$B$2:$B$1001=B154)*('تشخيص الحالات'!$G$2:$G$1001=7)*ROW('تشخيص الحالات'!$B$2:$B$1001))-1),""),"")&amp;IF(SUMPRODUCT(('تشخيص الحالات'!$B$2:$B$1001=B154)*('تشخيص الحالات'!$G$2:$G$1001=8))&gt;0,"، "&amp;IFERROR(INDEX('تشخيص الحالات'!$D$2:$D$1001,SUMPRODUCT(('تشخيص الحالات'!$B$2:$B$1001=B154)*('تشخيص الحالات'!$G$2:$G$1001=8)*ROW('تشخيص الحالات'!$B$2:$B$1001))-1),""),"")</f>
        <v>اضطرابات سلوكية</v>
      </c>
      <c r="J154" s="1">
        <v>95</v>
      </c>
      <c r="K154" s="1" t="s">
        <v>38</v>
      </c>
      <c r="L154" s="1">
        <v>3000</v>
      </c>
      <c r="M154" s="1" t="s">
        <v>42</v>
      </c>
      <c r="N154" s="1">
        <v>7</v>
      </c>
      <c r="O154" s="1">
        <v>3</v>
      </c>
      <c r="P154" s="1">
        <v>0</v>
      </c>
      <c r="Q154" s="1">
        <v>5</v>
      </c>
      <c r="R154" s="1">
        <v>0</v>
      </c>
      <c r="S154" s="1">
        <v>0</v>
      </c>
      <c r="T154">
        <f>SUM(tbl_Beneficiaries[[#This Row],[ التربية الخاصة ]:[ التأهيل النفسي الحركي ]])</f>
        <v>15</v>
      </c>
    </row>
    <row r="155" spans="1:20" x14ac:dyDescent="0.2">
      <c r="A155" s="1">
        <v>154</v>
      </c>
      <c r="B155" s="1">
        <v>1687244119</v>
      </c>
      <c r="C155" s="1" t="s">
        <v>482</v>
      </c>
      <c r="D155" s="1" t="s">
        <v>7</v>
      </c>
      <c r="E155" s="3">
        <v>40489</v>
      </c>
      <c r="F155" s="1" t="s">
        <v>357</v>
      </c>
      <c r="G155" s="1" t="s">
        <v>1</v>
      </c>
      <c r="H155" s="3">
        <v>44832</v>
      </c>
      <c r="I155" t="str">
        <f>IFERROR(INDEX('تشخيص الحالات'!$D$2:$D$1001,SUMPRODUCT(('تشخيص الحالات'!$B$2:$B$1001=B155)*('تشخيص الحالات'!$G$2:$G$1001=1)*ROW('تشخيص الحالات'!$B$2:$B$1001))-1),"")&amp;IF(SUMPRODUCT(('تشخيص الحالات'!$B$2:$B$1001=B155)*('تشخيص الحالات'!$G$2:$G$1001=2))&gt;0,"، "&amp;IFERROR(INDEX('تشخيص الحالات'!$D$2:$D$1001,SUMPRODUCT(('تشخيص الحالات'!$B$2:$B$1001=B155)*('تشخيص الحالات'!$G$2:$G$1001=2)*ROW('تشخيص الحالات'!$B$2:$B$1001))-1),""),"")&amp;IF(SUMPRODUCT(('تشخيص الحالات'!$B$2:$B$1001=B155)*('تشخيص الحالات'!$G$2:$G$1001=3))&gt;0,"، "&amp;IFERROR(INDEX('تشخيص الحالات'!$D$2:$D$1001,SUMPRODUCT(('تشخيص الحالات'!$B$2:$B$1001=B155)*('تشخيص الحالات'!$G$2:$G$1001=3)*ROW('تشخيص الحالات'!$B$2:$B$1001))-1),""),"")&amp;IF(SUMPRODUCT(('تشخيص الحالات'!$B$2:$B$1001=B155)*('تشخيص الحالات'!$G$2:$G$1001=4))&gt;0,"، "&amp;IFERROR(INDEX('تشخيص الحالات'!$D$2:$D$1001,SUMPRODUCT(('تشخيص الحالات'!$B$2:$B$1001=B155)*('تشخيص الحالات'!$G$2:$G$1001=4)*ROW('تشخيص الحالات'!$B$2:$B$1001))-1),""),"")&amp;IF(SUMPRODUCT(('تشخيص الحالات'!$B$2:$B$1001=B155)*('تشخيص الحالات'!$G$2:$G$1001=5))&gt;0,"، "&amp;IFERROR(INDEX('تشخيص الحالات'!$D$2:$D$1001,SUMPRODUCT(('تشخيص الحالات'!$B$2:$B$1001=B155)*('تشخيص الحالات'!$G$2:$G$1001=5)*ROW('تشخيص الحالات'!$B$2:$B$1001))-1),""),"")&amp;IF(SUMPRODUCT(('تشخيص الحالات'!$B$2:$B$1001=B155)*('تشخيص الحالات'!$G$2:$G$1001=6))&gt;0,"، "&amp;IFERROR(INDEX('تشخيص الحالات'!$D$2:$D$1001,SUMPRODUCT(('تشخيص الحالات'!$B$2:$B$1001=B155)*('تشخيص الحالات'!$G$2:$G$1001=6)*ROW('تشخيص الحالات'!$B$2:$B$1001))-1),""),"")&amp;IF(SUMPRODUCT(('تشخيص الحالات'!$B$2:$B$1001=B155)*('تشخيص الحالات'!$G$2:$G$1001=7))&gt;0,"، "&amp;IFERROR(INDEX('تشخيص الحالات'!$D$2:$D$1001,SUMPRODUCT(('تشخيص الحالات'!$B$2:$B$1001=B155)*('تشخيص الحالات'!$G$2:$G$1001=7)*ROW('تشخيص الحالات'!$B$2:$B$1001))-1),""),"")&amp;IF(SUMPRODUCT(('تشخيص الحالات'!$B$2:$B$1001=B155)*('تشخيص الحالات'!$G$2:$G$1001=8))&gt;0,"، "&amp;IFERROR(INDEX('تشخيص الحالات'!$D$2:$D$1001,SUMPRODUCT(('تشخيص الحالات'!$B$2:$B$1001=B155)*('تشخيص الحالات'!$G$2:$G$1001=8)*ROW('تشخيص الحالات'!$B$2:$B$1001))-1),""),"")</f>
        <v>إعاقة ذهنية، إعاقة سمعية، فرط الحركة وتشتت الانتباه</v>
      </c>
      <c r="J155" s="1">
        <v>60</v>
      </c>
      <c r="K155" s="1" t="s">
        <v>39</v>
      </c>
      <c r="L155" s="1">
        <v>3000</v>
      </c>
      <c r="M155" s="1" t="s">
        <v>40</v>
      </c>
      <c r="N155" s="1">
        <v>6</v>
      </c>
      <c r="O155" s="1">
        <v>6</v>
      </c>
      <c r="P155" s="1">
        <v>3</v>
      </c>
      <c r="Q155" s="1">
        <v>6</v>
      </c>
      <c r="R155" s="1">
        <v>5</v>
      </c>
      <c r="S155" s="1">
        <v>8</v>
      </c>
      <c r="T155">
        <f>SUM(tbl_Beneficiaries[[#This Row],[ التربية الخاصة ]:[ التأهيل النفسي الحركي ]])</f>
        <v>34</v>
      </c>
    </row>
    <row r="156" spans="1:20" x14ac:dyDescent="0.2">
      <c r="A156" s="1">
        <v>155</v>
      </c>
      <c r="B156" s="1">
        <v>1905329493</v>
      </c>
      <c r="C156" s="1" t="s">
        <v>483</v>
      </c>
      <c r="D156" s="1" t="s">
        <v>3</v>
      </c>
      <c r="E156" s="3">
        <v>43884</v>
      </c>
      <c r="F156" s="1" t="s">
        <v>357</v>
      </c>
      <c r="G156" s="1" t="s">
        <v>4</v>
      </c>
      <c r="H156" s="3">
        <v>44687</v>
      </c>
      <c r="I156" t="str">
        <f>IFERROR(INDEX('تشخيص الحالات'!$D$2:$D$1001,SUMPRODUCT(('تشخيص الحالات'!$B$2:$B$1001=B156)*('تشخيص الحالات'!$G$2:$G$1001=1)*ROW('تشخيص الحالات'!$B$2:$B$1001))-1),"")&amp;IF(SUMPRODUCT(('تشخيص الحالات'!$B$2:$B$1001=B156)*('تشخيص الحالات'!$G$2:$G$1001=2))&gt;0,"، "&amp;IFERROR(INDEX('تشخيص الحالات'!$D$2:$D$1001,SUMPRODUCT(('تشخيص الحالات'!$B$2:$B$1001=B156)*('تشخيص الحالات'!$G$2:$G$1001=2)*ROW('تشخيص الحالات'!$B$2:$B$1001))-1),""),"")&amp;IF(SUMPRODUCT(('تشخيص الحالات'!$B$2:$B$1001=B156)*('تشخيص الحالات'!$G$2:$G$1001=3))&gt;0,"، "&amp;IFERROR(INDEX('تشخيص الحالات'!$D$2:$D$1001,SUMPRODUCT(('تشخيص الحالات'!$B$2:$B$1001=B156)*('تشخيص الحالات'!$G$2:$G$1001=3)*ROW('تشخيص الحالات'!$B$2:$B$1001))-1),""),"")&amp;IF(SUMPRODUCT(('تشخيص الحالات'!$B$2:$B$1001=B156)*('تشخيص الحالات'!$G$2:$G$1001=4))&gt;0,"، "&amp;IFERROR(INDEX('تشخيص الحالات'!$D$2:$D$1001,SUMPRODUCT(('تشخيص الحالات'!$B$2:$B$1001=B156)*('تشخيص الحالات'!$G$2:$G$1001=4)*ROW('تشخيص الحالات'!$B$2:$B$1001))-1),""),"")&amp;IF(SUMPRODUCT(('تشخيص الحالات'!$B$2:$B$1001=B156)*('تشخيص الحالات'!$G$2:$G$1001=5))&gt;0,"، "&amp;IFERROR(INDEX('تشخيص الحالات'!$D$2:$D$1001,SUMPRODUCT(('تشخيص الحالات'!$B$2:$B$1001=B156)*('تشخيص الحالات'!$G$2:$G$1001=5)*ROW('تشخيص الحالات'!$B$2:$B$1001))-1),""),"")&amp;IF(SUMPRODUCT(('تشخيص الحالات'!$B$2:$B$1001=B156)*('تشخيص الحالات'!$G$2:$G$1001=6))&gt;0,"، "&amp;IFERROR(INDEX('تشخيص الحالات'!$D$2:$D$1001,SUMPRODUCT(('تشخيص الحالات'!$B$2:$B$1001=B156)*('تشخيص الحالات'!$G$2:$G$1001=6)*ROW('تشخيص الحالات'!$B$2:$B$1001))-1),""),"")&amp;IF(SUMPRODUCT(('تشخيص الحالات'!$B$2:$B$1001=B156)*('تشخيص الحالات'!$G$2:$G$1001=7))&gt;0,"، "&amp;IFERROR(INDEX('تشخيص الحالات'!$D$2:$D$1001,SUMPRODUCT(('تشخيص الحالات'!$B$2:$B$1001=B156)*('تشخيص الحالات'!$G$2:$G$1001=7)*ROW('تشخيص الحالات'!$B$2:$B$1001))-1),""),"")&amp;IF(SUMPRODUCT(('تشخيص الحالات'!$B$2:$B$1001=B156)*('تشخيص الحالات'!$G$2:$G$1001=8))&gt;0,"، "&amp;IFERROR(INDEX('تشخيص الحالات'!$D$2:$D$1001,SUMPRODUCT(('تشخيص الحالات'!$B$2:$B$1001=B156)*('تشخيص الحالات'!$G$2:$G$1001=8)*ROW('تشخيص الحالات'!$B$2:$B$1001))-1),""),"")</f>
        <v>اضطراب طيف التوحد، تأخر نمائي، مشكلات أسرية / اجتماعية</v>
      </c>
      <c r="J156" s="1">
        <v>57</v>
      </c>
      <c r="K156" s="1" t="s">
        <v>38</v>
      </c>
      <c r="L156" s="1">
        <v>4000</v>
      </c>
      <c r="M156" s="1" t="s">
        <v>43</v>
      </c>
      <c r="N156" s="1">
        <v>6</v>
      </c>
      <c r="O156" s="1">
        <v>0</v>
      </c>
      <c r="P156" s="1">
        <v>4</v>
      </c>
      <c r="Q156" s="1">
        <v>0</v>
      </c>
      <c r="R156" s="1">
        <v>1</v>
      </c>
      <c r="S156" s="1">
        <v>0</v>
      </c>
      <c r="T156">
        <f>SUM(tbl_Beneficiaries[[#This Row],[ التربية الخاصة ]:[ التأهيل النفسي الحركي ]])</f>
        <v>11</v>
      </c>
    </row>
    <row r="157" spans="1:20" x14ac:dyDescent="0.2">
      <c r="A157" s="1">
        <v>156</v>
      </c>
      <c r="B157" s="1">
        <v>1296378535</v>
      </c>
      <c r="C157" s="1" t="s">
        <v>484</v>
      </c>
      <c r="D157" s="1" t="s">
        <v>3</v>
      </c>
      <c r="E157" s="3">
        <v>41967</v>
      </c>
      <c r="F157" s="1" t="s">
        <v>360</v>
      </c>
      <c r="G157" s="1" t="s">
        <v>0</v>
      </c>
      <c r="H157" s="3">
        <v>45122</v>
      </c>
      <c r="I157" t="str">
        <f>IFERROR(INDEX('تشخيص الحالات'!$D$2:$D$1001,SUMPRODUCT(('تشخيص الحالات'!$B$2:$B$1001=B157)*('تشخيص الحالات'!$G$2:$G$1001=1)*ROW('تشخيص الحالات'!$B$2:$B$1001))-1),"")&amp;IF(SUMPRODUCT(('تشخيص الحالات'!$B$2:$B$1001=B157)*('تشخيص الحالات'!$G$2:$G$1001=2))&gt;0,"، "&amp;IFERROR(INDEX('تشخيص الحالات'!$D$2:$D$1001,SUMPRODUCT(('تشخيص الحالات'!$B$2:$B$1001=B157)*('تشخيص الحالات'!$G$2:$G$1001=2)*ROW('تشخيص الحالات'!$B$2:$B$1001))-1),""),"")&amp;IF(SUMPRODUCT(('تشخيص الحالات'!$B$2:$B$1001=B157)*('تشخيص الحالات'!$G$2:$G$1001=3))&gt;0,"، "&amp;IFERROR(INDEX('تشخيص الحالات'!$D$2:$D$1001,SUMPRODUCT(('تشخيص الحالات'!$B$2:$B$1001=B157)*('تشخيص الحالات'!$G$2:$G$1001=3)*ROW('تشخيص الحالات'!$B$2:$B$1001))-1),""),"")&amp;IF(SUMPRODUCT(('تشخيص الحالات'!$B$2:$B$1001=B157)*('تشخيص الحالات'!$G$2:$G$1001=4))&gt;0,"، "&amp;IFERROR(INDEX('تشخيص الحالات'!$D$2:$D$1001,SUMPRODUCT(('تشخيص الحالات'!$B$2:$B$1001=B157)*('تشخيص الحالات'!$G$2:$G$1001=4)*ROW('تشخيص الحالات'!$B$2:$B$1001))-1),""),"")&amp;IF(SUMPRODUCT(('تشخيص الحالات'!$B$2:$B$1001=B157)*('تشخيص الحالات'!$G$2:$G$1001=5))&gt;0,"، "&amp;IFERROR(INDEX('تشخيص الحالات'!$D$2:$D$1001,SUMPRODUCT(('تشخيص الحالات'!$B$2:$B$1001=B157)*('تشخيص الحالات'!$G$2:$G$1001=5)*ROW('تشخيص الحالات'!$B$2:$B$1001))-1),""),"")&amp;IF(SUMPRODUCT(('تشخيص الحالات'!$B$2:$B$1001=B157)*('تشخيص الحالات'!$G$2:$G$1001=6))&gt;0,"، "&amp;IFERROR(INDEX('تشخيص الحالات'!$D$2:$D$1001,SUMPRODUCT(('تشخيص الحالات'!$B$2:$B$1001=B157)*('تشخيص الحالات'!$G$2:$G$1001=6)*ROW('تشخيص الحالات'!$B$2:$B$1001))-1),""),"")&amp;IF(SUMPRODUCT(('تشخيص الحالات'!$B$2:$B$1001=B157)*('تشخيص الحالات'!$G$2:$G$1001=7))&gt;0,"، "&amp;IFERROR(INDEX('تشخيص الحالات'!$D$2:$D$1001,SUMPRODUCT(('تشخيص الحالات'!$B$2:$B$1001=B157)*('تشخيص الحالات'!$G$2:$G$1001=7)*ROW('تشخيص الحالات'!$B$2:$B$1001))-1),""),"")&amp;IF(SUMPRODUCT(('تشخيص الحالات'!$B$2:$B$1001=B157)*('تشخيص الحالات'!$G$2:$G$1001=8))&gt;0,"، "&amp;IFERROR(INDEX('تشخيص الحالات'!$D$2:$D$1001,SUMPRODUCT(('تشخيص الحالات'!$B$2:$B$1001=B157)*('تشخيص الحالات'!$G$2:$G$1001=8)*ROW('تشخيص الحالات'!$B$2:$B$1001))-1),""),"")</f>
        <v>اضطراب تواصل اجتماعي، صعوبات تعلم، إعاقة سمعية، اضطراب نفسي حركي</v>
      </c>
      <c r="J157" s="1">
        <v>81</v>
      </c>
      <c r="K157" s="1" t="s">
        <v>39</v>
      </c>
      <c r="L157" s="1">
        <v>3500</v>
      </c>
      <c r="M157" s="1" t="s">
        <v>44</v>
      </c>
      <c r="N157" s="1">
        <v>4</v>
      </c>
      <c r="O157" s="1">
        <v>1</v>
      </c>
      <c r="P157" s="1">
        <v>0</v>
      </c>
      <c r="Q157" s="1">
        <v>9</v>
      </c>
      <c r="R157" s="1">
        <v>7</v>
      </c>
      <c r="S157" s="1">
        <v>0</v>
      </c>
      <c r="T157">
        <f>SUM(tbl_Beneficiaries[[#This Row],[ التربية الخاصة ]:[ التأهيل النفسي الحركي ]])</f>
        <v>21</v>
      </c>
    </row>
    <row r="158" spans="1:20" x14ac:dyDescent="0.2">
      <c r="A158" s="1">
        <v>157</v>
      </c>
      <c r="B158" s="1">
        <v>1265180355</v>
      </c>
      <c r="C158" s="1" t="s">
        <v>485</v>
      </c>
      <c r="D158" s="1" t="s">
        <v>7</v>
      </c>
      <c r="E158" s="3">
        <v>42738</v>
      </c>
      <c r="F158" s="1" t="s">
        <v>359</v>
      </c>
      <c r="G158" s="1" t="s">
        <v>0</v>
      </c>
      <c r="H158" s="3">
        <v>44940</v>
      </c>
      <c r="I158" t="str">
        <f>IFERROR(INDEX('تشخيص الحالات'!$D$2:$D$1001,SUMPRODUCT(('تشخيص الحالات'!$B$2:$B$1001=B158)*('تشخيص الحالات'!$G$2:$G$1001=1)*ROW('تشخيص الحالات'!$B$2:$B$1001))-1),"")&amp;IF(SUMPRODUCT(('تشخيص الحالات'!$B$2:$B$1001=B158)*('تشخيص الحالات'!$G$2:$G$1001=2))&gt;0,"، "&amp;IFERROR(INDEX('تشخيص الحالات'!$D$2:$D$1001,SUMPRODUCT(('تشخيص الحالات'!$B$2:$B$1001=B158)*('تشخيص الحالات'!$G$2:$G$1001=2)*ROW('تشخيص الحالات'!$B$2:$B$1001))-1),""),"")&amp;IF(SUMPRODUCT(('تشخيص الحالات'!$B$2:$B$1001=B158)*('تشخيص الحالات'!$G$2:$G$1001=3))&gt;0,"، "&amp;IFERROR(INDEX('تشخيص الحالات'!$D$2:$D$1001,SUMPRODUCT(('تشخيص الحالات'!$B$2:$B$1001=B158)*('تشخيص الحالات'!$G$2:$G$1001=3)*ROW('تشخيص الحالات'!$B$2:$B$1001))-1),""),"")&amp;IF(SUMPRODUCT(('تشخيص الحالات'!$B$2:$B$1001=B158)*('تشخيص الحالات'!$G$2:$G$1001=4))&gt;0,"، "&amp;IFERROR(INDEX('تشخيص الحالات'!$D$2:$D$1001,SUMPRODUCT(('تشخيص الحالات'!$B$2:$B$1001=B158)*('تشخيص الحالات'!$G$2:$G$1001=4)*ROW('تشخيص الحالات'!$B$2:$B$1001))-1),""),"")&amp;IF(SUMPRODUCT(('تشخيص الحالات'!$B$2:$B$1001=B158)*('تشخيص الحالات'!$G$2:$G$1001=5))&gt;0,"، "&amp;IFERROR(INDEX('تشخيص الحالات'!$D$2:$D$1001,SUMPRODUCT(('تشخيص الحالات'!$B$2:$B$1001=B158)*('تشخيص الحالات'!$G$2:$G$1001=5)*ROW('تشخيص الحالات'!$B$2:$B$1001))-1),""),"")&amp;IF(SUMPRODUCT(('تشخيص الحالات'!$B$2:$B$1001=B158)*('تشخيص الحالات'!$G$2:$G$1001=6))&gt;0,"، "&amp;IFERROR(INDEX('تشخيص الحالات'!$D$2:$D$1001,SUMPRODUCT(('تشخيص الحالات'!$B$2:$B$1001=B158)*('تشخيص الحالات'!$G$2:$G$1001=6)*ROW('تشخيص الحالات'!$B$2:$B$1001))-1),""),"")&amp;IF(SUMPRODUCT(('تشخيص الحالات'!$B$2:$B$1001=B158)*('تشخيص الحالات'!$G$2:$G$1001=7))&gt;0,"، "&amp;IFERROR(INDEX('تشخيص الحالات'!$D$2:$D$1001,SUMPRODUCT(('تشخيص الحالات'!$B$2:$B$1001=B158)*('تشخيص الحالات'!$G$2:$G$1001=7)*ROW('تشخيص الحالات'!$B$2:$B$1001))-1),""),"")&amp;IF(SUMPRODUCT(('تشخيص الحالات'!$B$2:$B$1001=B158)*('تشخيص الحالات'!$G$2:$G$1001=8))&gt;0,"، "&amp;IFERROR(INDEX('تشخيص الحالات'!$D$2:$D$1001,SUMPRODUCT(('تشخيص الحالات'!$B$2:$B$1001=B158)*('تشخيص الحالات'!$G$2:$G$1001=8)*ROW('تشخيص الحالات'!$B$2:$B$1001))-1),""),"")</f>
        <v>مشكلات لغوية، متلازمة داون، إعاقة سمعية</v>
      </c>
      <c r="J158" s="1">
        <v>90</v>
      </c>
      <c r="K158" s="1" t="s">
        <v>4</v>
      </c>
      <c r="L158" s="1">
        <v>3500</v>
      </c>
      <c r="M158" s="1" t="s">
        <v>41</v>
      </c>
      <c r="N158" s="1">
        <v>6</v>
      </c>
      <c r="O158" s="1">
        <v>3</v>
      </c>
      <c r="P158" s="1">
        <v>0</v>
      </c>
      <c r="Q158" s="1">
        <v>7</v>
      </c>
      <c r="R158" s="1">
        <v>0</v>
      </c>
      <c r="S158" s="1">
        <v>0</v>
      </c>
      <c r="T158">
        <f>SUM(tbl_Beneficiaries[[#This Row],[ التربية الخاصة ]:[ التأهيل النفسي الحركي ]])</f>
        <v>16</v>
      </c>
    </row>
    <row r="159" spans="1:20" x14ac:dyDescent="0.2">
      <c r="A159" s="1">
        <v>158</v>
      </c>
      <c r="B159" s="1">
        <v>1612775609</v>
      </c>
      <c r="C159" s="1" t="s">
        <v>125</v>
      </c>
      <c r="D159" s="1" t="s">
        <v>3</v>
      </c>
      <c r="E159" s="3">
        <v>42883</v>
      </c>
      <c r="F159" s="1" t="s">
        <v>360</v>
      </c>
      <c r="G159" s="1" t="s">
        <v>4</v>
      </c>
      <c r="H159" s="3">
        <v>45179</v>
      </c>
      <c r="I159" t="str">
        <f>IFERROR(INDEX('تشخيص الحالات'!$D$2:$D$1001,SUMPRODUCT(('تشخيص الحالات'!$B$2:$B$1001=B159)*('تشخيص الحالات'!$G$2:$G$1001=1)*ROW('تشخيص الحالات'!$B$2:$B$1001))-1),"")&amp;IF(SUMPRODUCT(('تشخيص الحالات'!$B$2:$B$1001=B159)*('تشخيص الحالات'!$G$2:$G$1001=2))&gt;0,"، "&amp;IFERROR(INDEX('تشخيص الحالات'!$D$2:$D$1001,SUMPRODUCT(('تشخيص الحالات'!$B$2:$B$1001=B159)*('تشخيص الحالات'!$G$2:$G$1001=2)*ROW('تشخيص الحالات'!$B$2:$B$1001))-1),""),"")&amp;IF(SUMPRODUCT(('تشخيص الحالات'!$B$2:$B$1001=B159)*('تشخيص الحالات'!$G$2:$G$1001=3))&gt;0,"، "&amp;IFERROR(INDEX('تشخيص الحالات'!$D$2:$D$1001,SUMPRODUCT(('تشخيص الحالات'!$B$2:$B$1001=B159)*('تشخيص الحالات'!$G$2:$G$1001=3)*ROW('تشخيص الحالات'!$B$2:$B$1001))-1),""),"")&amp;IF(SUMPRODUCT(('تشخيص الحالات'!$B$2:$B$1001=B159)*('تشخيص الحالات'!$G$2:$G$1001=4))&gt;0,"، "&amp;IFERROR(INDEX('تشخيص الحالات'!$D$2:$D$1001,SUMPRODUCT(('تشخيص الحالات'!$B$2:$B$1001=B159)*('تشخيص الحالات'!$G$2:$G$1001=4)*ROW('تشخيص الحالات'!$B$2:$B$1001))-1),""),"")&amp;IF(SUMPRODUCT(('تشخيص الحالات'!$B$2:$B$1001=B159)*('تشخيص الحالات'!$G$2:$G$1001=5))&gt;0,"، "&amp;IFERROR(INDEX('تشخيص الحالات'!$D$2:$D$1001,SUMPRODUCT(('تشخيص الحالات'!$B$2:$B$1001=B159)*('تشخيص الحالات'!$G$2:$G$1001=5)*ROW('تشخيص الحالات'!$B$2:$B$1001))-1),""),"")&amp;IF(SUMPRODUCT(('تشخيص الحالات'!$B$2:$B$1001=B159)*('تشخيص الحالات'!$G$2:$G$1001=6))&gt;0,"، "&amp;IFERROR(INDEX('تشخيص الحالات'!$D$2:$D$1001,SUMPRODUCT(('تشخيص الحالات'!$B$2:$B$1001=B159)*('تشخيص الحالات'!$G$2:$G$1001=6)*ROW('تشخيص الحالات'!$B$2:$B$1001))-1),""),"")&amp;IF(SUMPRODUCT(('تشخيص الحالات'!$B$2:$B$1001=B159)*('تشخيص الحالات'!$G$2:$G$1001=7))&gt;0,"، "&amp;IFERROR(INDEX('تشخيص الحالات'!$D$2:$D$1001,SUMPRODUCT(('تشخيص الحالات'!$B$2:$B$1001=B159)*('تشخيص الحالات'!$G$2:$G$1001=7)*ROW('تشخيص الحالات'!$B$2:$B$1001))-1),""),"")&amp;IF(SUMPRODUCT(('تشخيص الحالات'!$B$2:$B$1001=B159)*('تشخيص الحالات'!$G$2:$G$1001=8))&gt;0,"، "&amp;IFERROR(INDEX('تشخيص الحالات'!$D$2:$D$1001,SUMPRODUCT(('تشخيص الحالات'!$B$2:$B$1001=B159)*('تشخيص الحالات'!$G$2:$G$1001=8)*ROW('تشخيص الحالات'!$B$2:$B$1001))-1),""),"")</f>
        <v>اضطراب طيف التوحد، تأخر حركي، اضطرابات سلوكية، متلازمة داون</v>
      </c>
      <c r="J159" s="1">
        <v>78</v>
      </c>
      <c r="K159" s="1" t="s">
        <v>4</v>
      </c>
      <c r="L159" s="1">
        <v>4000</v>
      </c>
      <c r="M159" s="1" t="s">
        <v>44</v>
      </c>
      <c r="N159" s="1">
        <v>3</v>
      </c>
      <c r="O159" s="1">
        <v>0</v>
      </c>
      <c r="P159" s="1">
        <v>0</v>
      </c>
      <c r="Q159" s="1">
        <v>0</v>
      </c>
      <c r="R159" s="1">
        <v>0</v>
      </c>
      <c r="S159" s="1">
        <v>6</v>
      </c>
      <c r="T159">
        <f>SUM(tbl_Beneficiaries[[#This Row],[ التربية الخاصة ]:[ التأهيل النفسي الحركي ]])</f>
        <v>9</v>
      </c>
    </row>
    <row r="160" spans="1:20" x14ac:dyDescent="0.2">
      <c r="A160" s="1">
        <v>159</v>
      </c>
      <c r="B160" s="1">
        <v>1093177984</v>
      </c>
      <c r="C160" s="1" t="s">
        <v>486</v>
      </c>
      <c r="D160" s="1" t="s">
        <v>7</v>
      </c>
      <c r="E160" s="3">
        <v>42684</v>
      </c>
      <c r="F160" s="1" t="s">
        <v>361</v>
      </c>
      <c r="G160" s="1" t="s">
        <v>4</v>
      </c>
      <c r="H160" s="3">
        <v>45439</v>
      </c>
      <c r="I160" t="str">
        <f>IFERROR(INDEX('تشخيص الحالات'!$D$2:$D$1001,SUMPRODUCT(('تشخيص الحالات'!$B$2:$B$1001=B160)*('تشخيص الحالات'!$G$2:$G$1001=1)*ROW('تشخيص الحالات'!$B$2:$B$1001))-1),"")&amp;IF(SUMPRODUCT(('تشخيص الحالات'!$B$2:$B$1001=B160)*('تشخيص الحالات'!$G$2:$G$1001=2))&gt;0,"، "&amp;IFERROR(INDEX('تشخيص الحالات'!$D$2:$D$1001,SUMPRODUCT(('تشخيص الحالات'!$B$2:$B$1001=B160)*('تشخيص الحالات'!$G$2:$G$1001=2)*ROW('تشخيص الحالات'!$B$2:$B$1001))-1),""),"")&amp;IF(SUMPRODUCT(('تشخيص الحالات'!$B$2:$B$1001=B160)*('تشخيص الحالات'!$G$2:$G$1001=3))&gt;0,"، "&amp;IFERROR(INDEX('تشخيص الحالات'!$D$2:$D$1001,SUMPRODUCT(('تشخيص الحالات'!$B$2:$B$1001=B160)*('تشخيص الحالات'!$G$2:$G$1001=3)*ROW('تشخيص الحالات'!$B$2:$B$1001))-1),""),"")&amp;IF(SUMPRODUCT(('تشخيص الحالات'!$B$2:$B$1001=B160)*('تشخيص الحالات'!$G$2:$G$1001=4))&gt;0,"، "&amp;IFERROR(INDEX('تشخيص الحالات'!$D$2:$D$1001,SUMPRODUCT(('تشخيص الحالات'!$B$2:$B$1001=B160)*('تشخيص الحالات'!$G$2:$G$1001=4)*ROW('تشخيص الحالات'!$B$2:$B$1001))-1),""),"")&amp;IF(SUMPRODUCT(('تشخيص الحالات'!$B$2:$B$1001=B160)*('تشخيص الحالات'!$G$2:$G$1001=5))&gt;0,"، "&amp;IFERROR(INDEX('تشخيص الحالات'!$D$2:$D$1001,SUMPRODUCT(('تشخيص الحالات'!$B$2:$B$1001=B160)*('تشخيص الحالات'!$G$2:$G$1001=5)*ROW('تشخيص الحالات'!$B$2:$B$1001))-1),""),"")&amp;IF(SUMPRODUCT(('تشخيص الحالات'!$B$2:$B$1001=B160)*('تشخيص الحالات'!$G$2:$G$1001=6))&gt;0,"، "&amp;IFERROR(INDEX('تشخيص الحالات'!$D$2:$D$1001,SUMPRODUCT(('تشخيص الحالات'!$B$2:$B$1001=B160)*('تشخيص الحالات'!$G$2:$G$1001=6)*ROW('تشخيص الحالات'!$B$2:$B$1001))-1),""),"")&amp;IF(SUMPRODUCT(('تشخيص الحالات'!$B$2:$B$1001=B160)*('تشخيص الحالات'!$G$2:$G$1001=7))&gt;0,"، "&amp;IFERROR(INDEX('تشخيص الحالات'!$D$2:$D$1001,SUMPRODUCT(('تشخيص الحالات'!$B$2:$B$1001=B160)*('تشخيص الحالات'!$G$2:$G$1001=7)*ROW('تشخيص الحالات'!$B$2:$B$1001))-1),""),"")&amp;IF(SUMPRODUCT(('تشخيص الحالات'!$B$2:$B$1001=B160)*('تشخيص الحالات'!$G$2:$G$1001=8))&gt;0,"، "&amp;IFERROR(INDEX('تشخيص الحالات'!$D$2:$D$1001,SUMPRODUCT(('تشخيص الحالات'!$B$2:$B$1001=B160)*('تشخيص الحالات'!$G$2:$G$1001=8)*ROW('تشخيص الحالات'!$B$2:$B$1001))-1),""),"")</f>
        <v>متلازمة داون، اضطرابات سلوكية</v>
      </c>
      <c r="J160" s="1">
        <v>43</v>
      </c>
      <c r="K160" s="1" t="s">
        <v>4</v>
      </c>
      <c r="L160" s="1">
        <v>1500</v>
      </c>
      <c r="M160" s="1" t="s">
        <v>43</v>
      </c>
      <c r="N160" s="1">
        <v>1</v>
      </c>
      <c r="O160" s="1">
        <v>6</v>
      </c>
      <c r="P160" s="1">
        <v>0</v>
      </c>
      <c r="Q160" s="1">
        <v>0</v>
      </c>
      <c r="R160" s="1">
        <v>0</v>
      </c>
      <c r="S160" s="1">
        <v>0</v>
      </c>
      <c r="T160">
        <f>SUM(tbl_Beneficiaries[[#This Row],[ التربية الخاصة ]:[ التأهيل النفسي الحركي ]])</f>
        <v>7</v>
      </c>
    </row>
    <row r="161" spans="1:20" x14ac:dyDescent="0.2">
      <c r="A161" s="1">
        <v>160</v>
      </c>
      <c r="B161" s="1">
        <v>1423056836</v>
      </c>
      <c r="C161" s="1" t="s">
        <v>487</v>
      </c>
      <c r="D161" s="1" t="s">
        <v>7</v>
      </c>
      <c r="E161" s="3">
        <v>42991</v>
      </c>
      <c r="F161" s="1" t="s">
        <v>361</v>
      </c>
      <c r="G161" s="1" t="s">
        <v>1</v>
      </c>
      <c r="H161" s="3">
        <v>44852</v>
      </c>
      <c r="I161" t="str">
        <f>IFERROR(INDEX('تشخيص الحالات'!$D$2:$D$1001,SUMPRODUCT(('تشخيص الحالات'!$B$2:$B$1001=B161)*('تشخيص الحالات'!$G$2:$G$1001=1)*ROW('تشخيص الحالات'!$B$2:$B$1001))-1),"")&amp;IF(SUMPRODUCT(('تشخيص الحالات'!$B$2:$B$1001=B161)*('تشخيص الحالات'!$G$2:$G$1001=2))&gt;0,"، "&amp;IFERROR(INDEX('تشخيص الحالات'!$D$2:$D$1001,SUMPRODUCT(('تشخيص الحالات'!$B$2:$B$1001=B161)*('تشخيص الحالات'!$G$2:$G$1001=2)*ROW('تشخيص الحالات'!$B$2:$B$1001))-1),""),"")&amp;IF(SUMPRODUCT(('تشخيص الحالات'!$B$2:$B$1001=B161)*('تشخيص الحالات'!$G$2:$G$1001=3))&gt;0,"، "&amp;IFERROR(INDEX('تشخيص الحالات'!$D$2:$D$1001,SUMPRODUCT(('تشخيص الحالات'!$B$2:$B$1001=B161)*('تشخيص الحالات'!$G$2:$G$1001=3)*ROW('تشخيص الحالات'!$B$2:$B$1001))-1),""),"")&amp;IF(SUMPRODUCT(('تشخيص الحالات'!$B$2:$B$1001=B161)*('تشخيص الحالات'!$G$2:$G$1001=4))&gt;0,"، "&amp;IFERROR(INDEX('تشخيص الحالات'!$D$2:$D$1001,SUMPRODUCT(('تشخيص الحالات'!$B$2:$B$1001=B161)*('تشخيص الحالات'!$G$2:$G$1001=4)*ROW('تشخيص الحالات'!$B$2:$B$1001))-1),""),"")&amp;IF(SUMPRODUCT(('تشخيص الحالات'!$B$2:$B$1001=B161)*('تشخيص الحالات'!$G$2:$G$1001=5))&gt;0,"، "&amp;IFERROR(INDEX('تشخيص الحالات'!$D$2:$D$1001,SUMPRODUCT(('تشخيص الحالات'!$B$2:$B$1001=B161)*('تشخيص الحالات'!$G$2:$G$1001=5)*ROW('تشخيص الحالات'!$B$2:$B$1001))-1),""),"")&amp;IF(SUMPRODUCT(('تشخيص الحالات'!$B$2:$B$1001=B161)*('تشخيص الحالات'!$G$2:$G$1001=6))&gt;0,"، "&amp;IFERROR(INDEX('تشخيص الحالات'!$D$2:$D$1001,SUMPRODUCT(('تشخيص الحالات'!$B$2:$B$1001=B161)*('تشخيص الحالات'!$G$2:$G$1001=6)*ROW('تشخيص الحالات'!$B$2:$B$1001))-1),""),"")&amp;IF(SUMPRODUCT(('تشخيص الحالات'!$B$2:$B$1001=B161)*('تشخيص الحالات'!$G$2:$G$1001=7))&gt;0,"، "&amp;IFERROR(INDEX('تشخيص الحالات'!$D$2:$D$1001,SUMPRODUCT(('تشخيص الحالات'!$B$2:$B$1001=B161)*('تشخيص الحالات'!$G$2:$G$1001=7)*ROW('تشخيص الحالات'!$B$2:$B$1001))-1),""),"")&amp;IF(SUMPRODUCT(('تشخيص الحالات'!$B$2:$B$1001=B161)*('تشخيص الحالات'!$G$2:$G$1001=8))&gt;0,"، "&amp;IFERROR(INDEX('تشخيص الحالات'!$D$2:$D$1001,SUMPRODUCT(('تشخيص الحالات'!$B$2:$B$1001=B161)*('تشخيص الحالات'!$G$2:$G$1001=8)*ROW('تشخيص الحالات'!$B$2:$B$1001))-1),""),"")</f>
        <v>صعوبات تعلم، اضطرابات سلوكية، اضطراب تواصل اجتماعي، إعاقة بصرية</v>
      </c>
      <c r="J161" s="1">
        <v>50</v>
      </c>
      <c r="K161" s="1" t="s">
        <v>38</v>
      </c>
      <c r="L161" s="1">
        <v>1500</v>
      </c>
      <c r="M161" s="1" t="s">
        <v>41</v>
      </c>
      <c r="N161" s="1">
        <v>0</v>
      </c>
      <c r="O161" s="1">
        <v>7</v>
      </c>
      <c r="P161" s="1">
        <v>0</v>
      </c>
      <c r="Q161" s="1">
        <v>1</v>
      </c>
      <c r="R161" s="1">
        <v>0</v>
      </c>
      <c r="S161" s="1">
        <v>6</v>
      </c>
      <c r="T161">
        <f>SUM(tbl_Beneficiaries[[#This Row],[ التربية الخاصة ]:[ التأهيل النفسي الحركي ]])</f>
        <v>14</v>
      </c>
    </row>
    <row r="162" spans="1:20" x14ac:dyDescent="0.2">
      <c r="A162" s="1">
        <v>161</v>
      </c>
      <c r="B162" s="1">
        <v>1773160728</v>
      </c>
      <c r="C162" s="1" t="s">
        <v>488</v>
      </c>
      <c r="D162" s="1" t="s">
        <v>7</v>
      </c>
      <c r="E162" s="3">
        <v>41014</v>
      </c>
      <c r="F162" s="1" t="s">
        <v>360</v>
      </c>
      <c r="G162" s="1" t="s">
        <v>1</v>
      </c>
      <c r="H162" s="3">
        <v>44618</v>
      </c>
      <c r="I162" t="str">
        <f>IFERROR(INDEX('تشخيص الحالات'!$D$2:$D$1001,SUMPRODUCT(('تشخيص الحالات'!$B$2:$B$1001=B162)*('تشخيص الحالات'!$G$2:$G$1001=1)*ROW('تشخيص الحالات'!$B$2:$B$1001))-1),"")&amp;IF(SUMPRODUCT(('تشخيص الحالات'!$B$2:$B$1001=B162)*('تشخيص الحالات'!$G$2:$G$1001=2))&gt;0,"، "&amp;IFERROR(INDEX('تشخيص الحالات'!$D$2:$D$1001,SUMPRODUCT(('تشخيص الحالات'!$B$2:$B$1001=B162)*('تشخيص الحالات'!$G$2:$G$1001=2)*ROW('تشخيص الحالات'!$B$2:$B$1001))-1),""),"")&amp;IF(SUMPRODUCT(('تشخيص الحالات'!$B$2:$B$1001=B162)*('تشخيص الحالات'!$G$2:$G$1001=3))&gt;0,"، "&amp;IFERROR(INDEX('تشخيص الحالات'!$D$2:$D$1001,SUMPRODUCT(('تشخيص الحالات'!$B$2:$B$1001=B162)*('تشخيص الحالات'!$G$2:$G$1001=3)*ROW('تشخيص الحالات'!$B$2:$B$1001))-1),""),"")&amp;IF(SUMPRODUCT(('تشخيص الحالات'!$B$2:$B$1001=B162)*('تشخيص الحالات'!$G$2:$G$1001=4))&gt;0,"، "&amp;IFERROR(INDEX('تشخيص الحالات'!$D$2:$D$1001,SUMPRODUCT(('تشخيص الحالات'!$B$2:$B$1001=B162)*('تشخيص الحالات'!$G$2:$G$1001=4)*ROW('تشخيص الحالات'!$B$2:$B$1001))-1),""),"")&amp;IF(SUMPRODUCT(('تشخيص الحالات'!$B$2:$B$1001=B162)*('تشخيص الحالات'!$G$2:$G$1001=5))&gt;0,"، "&amp;IFERROR(INDEX('تشخيص الحالات'!$D$2:$D$1001,SUMPRODUCT(('تشخيص الحالات'!$B$2:$B$1001=B162)*('تشخيص الحالات'!$G$2:$G$1001=5)*ROW('تشخيص الحالات'!$B$2:$B$1001))-1),""),"")&amp;IF(SUMPRODUCT(('تشخيص الحالات'!$B$2:$B$1001=B162)*('تشخيص الحالات'!$G$2:$G$1001=6))&gt;0,"، "&amp;IFERROR(INDEX('تشخيص الحالات'!$D$2:$D$1001,SUMPRODUCT(('تشخيص الحالات'!$B$2:$B$1001=B162)*('تشخيص الحالات'!$G$2:$G$1001=6)*ROW('تشخيص الحالات'!$B$2:$B$1001))-1),""),"")&amp;IF(SUMPRODUCT(('تشخيص الحالات'!$B$2:$B$1001=B162)*('تشخيص الحالات'!$G$2:$G$1001=7))&gt;0,"، "&amp;IFERROR(INDEX('تشخيص الحالات'!$D$2:$D$1001,SUMPRODUCT(('تشخيص الحالات'!$B$2:$B$1001=B162)*('تشخيص الحالات'!$G$2:$G$1001=7)*ROW('تشخيص الحالات'!$B$2:$B$1001))-1),""),"")&amp;IF(SUMPRODUCT(('تشخيص الحالات'!$B$2:$B$1001=B162)*('تشخيص الحالات'!$G$2:$G$1001=8))&gt;0,"، "&amp;IFERROR(INDEX('تشخيص الحالات'!$D$2:$D$1001,SUMPRODUCT(('تشخيص الحالات'!$B$2:$B$1001=B162)*('تشخيص الحالات'!$G$2:$G$1001=8)*ROW('تشخيص الحالات'!$B$2:$B$1001))-1),""),"")</f>
        <v>إعاقة بصرية، اضطراب طيف التوحد، تأخر نمائي، اضطرابات سلوكية</v>
      </c>
      <c r="J162" s="1">
        <v>75</v>
      </c>
      <c r="K162" s="1" t="s">
        <v>38</v>
      </c>
      <c r="L162" s="1">
        <v>3000</v>
      </c>
      <c r="M162" s="1" t="s">
        <v>40</v>
      </c>
      <c r="N162" s="1">
        <v>0</v>
      </c>
      <c r="O162" s="1">
        <v>0</v>
      </c>
      <c r="P162" s="1">
        <v>0</v>
      </c>
      <c r="Q162" s="1">
        <v>3</v>
      </c>
      <c r="R162" s="1">
        <v>3</v>
      </c>
      <c r="S162" s="1">
        <v>0</v>
      </c>
      <c r="T162">
        <f>SUM(tbl_Beneficiaries[[#This Row],[ التربية الخاصة ]:[ التأهيل النفسي الحركي ]])</f>
        <v>6</v>
      </c>
    </row>
    <row r="163" spans="1:20" x14ac:dyDescent="0.2">
      <c r="A163" s="1">
        <v>162</v>
      </c>
      <c r="B163" s="1">
        <v>1183545493</v>
      </c>
      <c r="C163" s="1" t="s">
        <v>489</v>
      </c>
      <c r="D163" s="1" t="s">
        <v>7</v>
      </c>
      <c r="E163" s="3">
        <v>42671</v>
      </c>
      <c r="F163" s="1" t="s">
        <v>358</v>
      </c>
      <c r="G163" s="1" t="s">
        <v>1</v>
      </c>
      <c r="H163" s="3">
        <v>44937</v>
      </c>
      <c r="I163" t="str">
        <f>IFERROR(INDEX('تشخيص الحالات'!$D$2:$D$1001,SUMPRODUCT(('تشخيص الحالات'!$B$2:$B$1001=B163)*('تشخيص الحالات'!$G$2:$G$1001=1)*ROW('تشخيص الحالات'!$B$2:$B$1001))-1),"")&amp;IF(SUMPRODUCT(('تشخيص الحالات'!$B$2:$B$1001=B163)*('تشخيص الحالات'!$G$2:$G$1001=2))&gt;0,"، "&amp;IFERROR(INDEX('تشخيص الحالات'!$D$2:$D$1001,SUMPRODUCT(('تشخيص الحالات'!$B$2:$B$1001=B163)*('تشخيص الحالات'!$G$2:$G$1001=2)*ROW('تشخيص الحالات'!$B$2:$B$1001))-1),""),"")&amp;IF(SUMPRODUCT(('تشخيص الحالات'!$B$2:$B$1001=B163)*('تشخيص الحالات'!$G$2:$G$1001=3))&gt;0,"، "&amp;IFERROR(INDEX('تشخيص الحالات'!$D$2:$D$1001,SUMPRODUCT(('تشخيص الحالات'!$B$2:$B$1001=B163)*('تشخيص الحالات'!$G$2:$G$1001=3)*ROW('تشخيص الحالات'!$B$2:$B$1001))-1),""),"")&amp;IF(SUMPRODUCT(('تشخيص الحالات'!$B$2:$B$1001=B163)*('تشخيص الحالات'!$G$2:$G$1001=4))&gt;0,"، "&amp;IFERROR(INDEX('تشخيص الحالات'!$D$2:$D$1001,SUMPRODUCT(('تشخيص الحالات'!$B$2:$B$1001=B163)*('تشخيص الحالات'!$G$2:$G$1001=4)*ROW('تشخيص الحالات'!$B$2:$B$1001))-1),""),"")&amp;IF(SUMPRODUCT(('تشخيص الحالات'!$B$2:$B$1001=B163)*('تشخيص الحالات'!$G$2:$G$1001=5))&gt;0,"، "&amp;IFERROR(INDEX('تشخيص الحالات'!$D$2:$D$1001,SUMPRODUCT(('تشخيص الحالات'!$B$2:$B$1001=B163)*('تشخيص الحالات'!$G$2:$G$1001=5)*ROW('تشخيص الحالات'!$B$2:$B$1001))-1),""),"")&amp;IF(SUMPRODUCT(('تشخيص الحالات'!$B$2:$B$1001=B163)*('تشخيص الحالات'!$G$2:$G$1001=6))&gt;0,"، "&amp;IFERROR(INDEX('تشخيص الحالات'!$D$2:$D$1001,SUMPRODUCT(('تشخيص الحالات'!$B$2:$B$1001=B163)*('تشخيص الحالات'!$G$2:$G$1001=6)*ROW('تشخيص الحالات'!$B$2:$B$1001))-1),""),"")&amp;IF(SUMPRODUCT(('تشخيص الحالات'!$B$2:$B$1001=B163)*('تشخيص الحالات'!$G$2:$G$1001=7))&gt;0,"، "&amp;IFERROR(INDEX('تشخيص الحالات'!$D$2:$D$1001,SUMPRODUCT(('تشخيص الحالات'!$B$2:$B$1001=B163)*('تشخيص الحالات'!$G$2:$G$1001=7)*ROW('تشخيص الحالات'!$B$2:$B$1001))-1),""),"")&amp;IF(SUMPRODUCT(('تشخيص الحالات'!$B$2:$B$1001=B163)*('تشخيص الحالات'!$G$2:$G$1001=8))&gt;0,"، "&amp;IFERROR(INDEX('تشخيص الحالات'!$D$2:$D$1001,SUMPRODUCT(('تشخيص الحالات'!$B$2:$B$1001=B163)*('تشخيص الحالات'!$G$2:$G$1001=8)*ROW('تشخيص الحالات'!$B$2:$B$1001))-1),""),"")</f>
        <v>إعاقة بصرية، اضطراب نفسي</v>
      </c>
      <c r="J163" s="1">
        <v>72</v>
      </c>
      <c r="K163" s="1" t="s">
        <v>39</v>
      </c>
      <c r="L163" s="1">
        <v>3500</v>
      </c>
      <c r="M163" s="1" t="s">
        <v>42</v>
      </c>
      <c r="N163" s="1">
        <v>0</v>
      </c>
      <c r="O163" s="1">
        <v>0</v>
      </c>
      <c r="P163" s="1">
        <v>0</v>
      </c>
      <c r="Q163" s="1">
        <v>7</v>
      </c>
      <c r="R163" s="1">
        <v>7</v>
      </c>
      <c r="S163" s="1">
        <v>0</v>
      </c>
      <c r="T163">
        <f>SUM(tbl_Beneficiaries[[#This Row],[ التربية الخاصة ]:[ التأهيل النفسي الحركي ]])</f>
        <v>14</v>
      </c>
    </row>
    <row r="164" spans="1:20" x14ac:dyDescent="0.2">
      <c r="A164" s="1">
        <v>163</v>
      </c>
      <c r="B164" s="1">
        <v>1647278696</v>
      </c>
      <c r="C164" s="1" t="s">
        <v>126</v>
      </c>
      <c r="D164" s="1" t="s">
        <v>7</v>
      </c>
      <c r="E164" s="3">
        <v>41541</v>
      </c>
      <c r="F164" s="1" t="s">
        <v>359</v>
      </c>
      <c r="G164" s="1" t="s">
        <v>0</v>
      </c>
      <c r="H164" s="3">
        <v>45291</v>
      </c>
      <c r="I164" t="str">
        <f>IFERROR(INDEX('تشخيص الحالات'!$D$2:$D$1001,SUMPRODUCT(('تشخيص الحالات'!$B$2:$B$1001=B164)*('تشخيص الحالات'!$G$2:$G$1001=1)*ROW('تشخيص الحالات'!$B$2:$B$1001))-1),"")&amp;IF(SUMPRODUCT(('تشخيص الحالات'!$B$2:$B$1001=B164)*('تشخيص الحالات'!$G$2:$G$1001=2))&gt;0,"، "&amp;IFERROR(INDEX('تشخيص الحالات'!$D$2:$D$1001,SUMPRODUCT(('تشخيص الحالات'!$B$2:$B$1001=B164)*('تشخيص الحالات'!$G$2:$G$1001=2)*ROW('تشخيص الحالات'!$B$2:$B$1001))-1),""),"")&amp;IF(SUMPRODUCT(('تشخيص الحالات'!$B$2:$B$1001=B164)*('تشخيص الحالات'!$G$2:$G$1001=3))&gt;0,"، "&amp;IFERROR(INDEX('تشخيص الحالات'!$D$2:$D$1001,SUMPRODUCT(('تشخيص الحالات'!$B$2:$B$1001=B164)*('تشخيص الحالات'!$G$2:$G$1001=3)*ROW('تشخيص الحالات'!$B$2:$B$1001))-1),""),"")&amp;IF(SUMPRODUCT(('تشخيص الحالات'!$B$2:$B$1001=B164)*('تشخيص الحالات'!$G$2:$G$1001=4))&gt;0,"، "&amp;IFERROR(INDEX('تشخيص الحالات'!$D$2:$D$1001,SUMPRODUCT(('تشخيص الحالات'!$B$2:$B$1001=B164)*('تشخيص الحالات'!$G$2:$G$1001=4)*ROW('تشخيص الحالات'!$B$2:$B$1001))-1),""),"")&amp;IF(SUMPRODUCT(('تشخيص الحالات'!$B$2:$B$1001=B164)*('تشخيص الحالات'!$G$2:$G$1001=5))&gt;0,"، "&amp;IFERROR(INDEX('تشخيص الحالات'!$D$2:$D$1001,SUMPRODUCT(('تشخيص الحالات'!$B$2:$B$1001=B164)*('تشخيص الحالات'!$G$2:$G$1001=5)*ROW('تشخيص الحالات'!$B$2:$B$1001))-1),""),"")&amp;IF(SUMPRODUCT(('تشخيص الحالات'!$B$2:$B$1001=B164)*('تشخيص الحالات'!$G$2:$G$1001=6))&gt;0,"، "&amp;IFERROR(INDEX('تشخيص الحالات'!$D$2:$D$1001,SUMPRODUCT(('تشخيص الحالات'!$B$2:$B$1001=B164)*('تشخيص الحالات'!$G$2:$G$1001=6)*ROW('تشخيص الحالات'!$B$2:$B$1001))-1),""),"")&amp;IF(SUMPRODUCT(('تشخيص الحالات'!$B$2:$B$1001=B164)*('تشخيص الحالات'!$G$2:$G$1001=7))&gt;0,"، "&amp;IFERROR(INDEX('تشخيص الحالات'!$D$2:$D$1001,SUMPRODUCT(('تشخيص الحالات'!$B$2:$B$1001=B164)*('تشخيص الحالات'!$G$2:$G$1001=7)*ROW('تشخيص الحالات'!$B$2:$B$1001))-1),""),"")&amp;IF(SUMPRODUCT(('تشخيص الحالات'!$B$2:$B$1001=B164)*('تشخيص الحالات'!$G$2:$G$1001=8))&gt;0,"، "&amp;IFERROR(INDEX('تشخيص الحالات'!$D$2:$D$1001,SUMPRODUCT(('تشخيص الحالات'!$B$2:$B$1001=B164)*('تشخيص الحالات'!$G$2:$G$1001=8)*ROW('تشخيص الحالات'!$B$2:$B$1001))-1),""),"")</f>
        <v>اضطراب تواصل اجتماعي، شلل دماغي</v>
      </c>
      <c r="J164" s="1">
        <v>91</v>
      </c>
      <c r="K164" s="1" t="s">
        <v>4</v>
      </c>
      <c r="L164" s="1">
        <v>3500</v>
      </c>
      <c r="M164" s="1" t="s">
        <v>44</v>
      </c>
      <c r="N164" s="1">
        <v>1</v>
      </c>
      <c r="O164" s="1">
        <v>0</v>
      </c>
      <c r="P164" s="1">
        <v>0</v>
      </c>
      <c r="Q164" s="1">
        <v>3</v>
      </c>
      <c r="R164" s="1">
        <v>2</v>
      </c>
      <c r="S164" s="1">
        <v>9</v>
      </c>
      <c r="T164">
        <f>SUM(tbl_Beneficiaries[[#This Row],[ التربية الخاصة ]:[ التأهيل النفسي الحركي ]])</f>
        <v>15</v>
      </c>
    </row>
    <row r="165" spans="1:20" x14ac:dyDescent="0.2">
      <c r="A165" s="1">
        <v>164</v>
      </c>
      <c r="B165" s="1">
        <v>1356048067</v>
      </c>
      <c r="C165" s="1" t="s">
        <v>490</v>
      </c>
      <c r="D165" s="1" t="s">
        <v>3</v>
      </c>
      <c r="E165" s="3">
        <v>40200</v>
      </c>
      <c r="F165" s="1" t="s">
        <v>360</v>
      </c>
      <c r="G165" s="1" t="s">
        <v>0</v>
      </c>
      <c r="H165" s="3">
        <v>45059</v>
      </c>
      <c r="I165" t="str">
        <f>IFERROR(INDEX('تشخيص الحالات'!$D$2:$D$1001,SUMPRODUCT(('تشخيص الحالات'!$B$2:$B$1001=B165)*('تشخيص الحالات'!$G$2:$G$1001=1)*ROW('تشخيص الحالات'!$B$2:$B$1001))-1),"")&amp;IF(SUMPRODUCT(('تشخيص الحالات'!$B$2:$B$1001=B165)*('تشخيص الحالات'!$G$2:$G$1001=2))&gt;0,"، "&amp;IFERROR(INDEX('تشخيص الحالات'!$D$2:$D$1001,SUMPRODUCT(('تشخيص الحالات'!$B$2:$B$1001=B165)*('تشخيص الحالات'!$G$2:$G$1001=2)*ROW('تشخيص الحالات'!$B$2:$B$1001))-1),""),"")&amp;IF(SUMPRODUCT(('تشخيص الحالات'!$B$2:$B$1001=B165)*('تشخيص الحالات'!$G$2:$G$1001=3))&gt;0,"، "&amp;IFERROR(INDEX('تشخيص الحالات'!$D$2:$D$1001,SUMPRODUCT(('تشخيص الحالات'!$B$2:$B$1001=B165)*('تشخيص الحالات'!$G$2:$G$1001=3)*ROW('تشخيص الحالات'!$B$2:$B$1001))-1),""),"")&amp;IF(SUMPRODUCT(('تشخيص الحالات'!$B$2:$B$1001=B165)*('تشخيص الحالات'!$G$2:$G$1001=4))&gt;0,"، "&amp;IFERROR(INDEX('تشخيص الحالات'!$D$2:$D$1001,SUMPRODUCT(('تشخيص الحالات'!$B$2:$B$1001=B165)*('تشخيص الحالات'!$G$2:$G$1001=4)*ROW('تشخيص الحالات'!$B$2:$B$1001))-1),""),"")&amp;IF(SUMPRODUCT(('تشخيص الحالات'!$B$2:$B$1001=B165)*('تشخيص الحالات'!$G$2:$G$1001=5))&gt;0,"، "&amp;IFERROR(INDEX('تشخيص الحالات'!$D$2:$D$1001,SUMPRODUCT(('تشخيص الحالات'!$B$2:$B$1001=B165)*('تشخيص الحالات'!$G$2:$G$1001=5)*ROW('تشخيص الحالات'!$B$2:$B$1001))-1),""),"")&amp;IF(SUMPRODUCT(('تشخيص الحالات'!$B$2:$B$1001=B165)*('تشخيص الحالات'!$G$2:$G$1001=6))&gt;0,"، "&amp;IFERROR(INDEX('تشخيص الحالات'!$D$2:$D$1001,SUMPRODUCT(('تشخيص الحالات'!$B$2:$B$1001=B165)*('تشخيص الحالات'!$G$2:$G$1001=6)*ROW('تشخيص الحالات'!$B$2:$B$1001))-1),""),"")&amp;IF(SUMPRODUCT(('تشخيص الحالات'!$B$2:$B$1001=B165)*('تشخيص الحالات'!$G$2:$G$1001=7))&gt;0,"، "&amp;IFERROR(INDEX('تشخيص الحالات'!$D$2:$D$1001,SUMPRODUCT(('تشخيص الحالات'!$B$2:$B$1001=B165)*('تشخيص الحالات'!$G$2:$G$1001=7)*ROW('تشخيص الحالات'!$B$2:$B$1001))-1),""),"")&amp;IF(SUMPRODUCT(('تشخيص الحالات'!$B$2:$B$1001=B165)*('تشخيص الحالات'!$G$2:$G$1001=8))&gt;0,"، "&amp;IFERROR(INDEX('تشخيص الحالات'!$D$2:$D$1001,SUMPRODUCT(('تشخيص الحالات'!$B$2:$B$1001=B165)*('تشخيص الحالات'!$G$2:$G$1001=8)*ROW('تشخيص الحالات'!$B$2:$B$1001))-1),""),"")</f>
        <v>اضطراب طيف التوحد</v>
      </c>
      <c r="J165" s="1">
        <v>44</v>
      </c>
      <c r="K165" s="1" t="s">
        <v>38</v>
      </c>
      <c r="L165" s="1">
        <v>2500</v>
      </c>
      <c r="M165" s="1" t="s">
        <v>42</v>
      </c>
      <c r="N165" s="1">
        <v>1</v>
      </c>
      <c r="O165" s="1">
        <v>9</v>
      </c>
      <c r="P165" s="1">
        <v>8</v>
      </c>
      <c r="Q165" s="1">
        <v>4</v>
      </c>
      <c r="R165" s="1">
        <v>0</v>
      </c>
      <c r="S165" s="1">
        <v>0</v>
      </c>
      <c r="T165">
        <f>SUM(tbl_Beneficiaries[[#This Row],[ التربية الخاصة ]:[ التأهيل النفسي الحركي ]])</f>
        <v>22</v>
      </c>
    </row>
    <row r="166" spans="1:20" x14ac:dyDescent="0.2">
      <c r="A166" s="1">
        <v>165</v>
      </c>
      <c r="B166" s="1">
        <v>1147655592</v>
      </c>
      <c r="C166" s="1" t="s">
        <v>491</v>
      </c>
      <c r="D166" s="1" t="s">
        <v>7</v>
      </c>
      <c r="E166" s="3">
        <v>42009</v>
      </c>
      <c r="F166" s="1" t="s">
        <v>358</v>
      </c>
      <c r="G166" s="1" t="s">
        <v>4</v>
      </c>
      <c r="H166" s="3">
        <v>45142</v>
      </c>
      <c r="I166" t="str">
        <f>IFERROR(INDEX('تشخيص الحالات'!$D$2:$D$1001,SUMPRODUCT(('تشخيص الحالات'!$B$2:$B$1001=B166)*('تشخيص الحالات'!$G$2:$G$1001=1)*ROW('تشخيص الحالات'!$B$2:$B$1001))-1),"")&amp;IF(SUMPRODUCT(('تشخيص الحالات'!$B$2:$B$1001=B166)*('تشخيص الحالات'!$G$2:$G$1001=2))&gt;0,"، "&amp;IFERROR(INDEX('تشخيص الحالات'!$D$2:$D$1001,SUMPRODUCT(('تشخيص الحالات'!$B$2:$B$1001=B166)*('تشخيص الحالات'!$G$2:$G$1001=2)*ROW('تشخيص الحالات'!$B$2:$B$1001))-1),""),"")&amp;IF(SUMPRODUCT(('تشخيص الحالات'!$B$2:$B$1001=B166)*('تشخيص الحالات'!$G$2:$G$1001=3))&gt;0,"، "&amp;IFERROR(INDEX('تشخيص الحالات'!$D$2:$D$1001,SUMPRODUCT(('تشخيص الحالات'!$B$2:$B$1001=B166)*('تشخيص الحالات'!$G$2:$G$1001=3)*ROW('تشخيص الحالات'!$B$2:$B$1001))-1),""),"")&amp;IF(SUMPRODUCT(('تشخيص الحالات'!$B$2:$B$1001=B166)*('تشخيص الحالات'!$G$2:$G$1001=4))&gt;0,"، "&amp;IFERROR(INDEX('تشخيص الحالات'!$D$2:$D$1001,SUMPRODUCT(('تشخيص الحالات'!$B$2:$B$1001=B166)*('تشخيص الحالات'!$G$2:$G$1001=4)*ROW('تشخيص الحالات'!$B$2:$B$1001))-1),""),"")&amp;IF(SUMPRODUCT(('تشخيص الحالات'!$B$2:$B$1001=B166)*('تشخيص الحالات'!$G$2:$G$1001=5))&gt;0,"، "&amp;IFERROR(INDEX('تشخيص الحالات'!$D$2:$D$1001,SUMPRODUCT(('تشخيص الحالات'!$B$2:$B$1001=B166)*('تشخيص الحالات'!$G$2:$G$1001=5)*ROW('تشخيص الحالات'!$B$2:$B$1001))-1),""),"")&amp;IF(SUMPRODUCT(('تشخيص الحالات'!$B$2:$B$1001=B166)*('تشخيص الحالات'!$G$2:$G$1001=6))&gt;0,"، "&amp;IFERROR(INDEX('تشخيص الحالات'!$D$2:$D$1001,SUMPRODUCT(('تشخيص الحالات'!$B$2:$B$1001=B166)*('تشخيص الحالات'!$G$2:$G$1001=6)*ROW('تشخيص الحالات'!$B$2:$B$1001))-1),""),"")&amp;IF(SUMPRODUCT(('تشخيص الحالات'!$B$2:$B$1001=B166)*('تشخيص الحالات'!$G$2:$G$1001=7))&gt;0,"، "&amp;IFERROR(INDEX('تشخيص الحالات'!$D$2:$D$1001,SUMPRODUCT(('تشخيص الحالات'!$B$2:$B$1001=B166)*('تشخيص الحالات'!$G$2:$G$1001=7)*ROW('تشخيص الحالات'!$B$2:$B$1001))-1),""),"")&amp;IF(SUMPRODUCT(('تشخيص الحالات'!$B$2:$B$1001=B166)*('تشخيص الحالات'!$G$2:$G$1001=8))&gt;0,"، "&amp;IFERROR(INDEX('تشخيص الحالات'!$D$2:$D$1001,SUMPRODUCT(('تشخيص الحالات'!$B$2:$B$1001=B166)*('تشخيص الحالات'!$G$2:$G$1001=8)*ROW('تشخيص الحالات'!$B$2:$B$1001))-1),""),"")</f>
        <v>متلازمة داون، فرط الحركة وتشتت الانتباه</v>
      </c>
      <c r="J166" s="1">
        <v>53</v>
      </c>
      <c r="K166" s="1" t="s">
        <v>39</v>
      </c>
      <c r="L166" s="1">
        <v>2000</v>
      </c>
      <c r="M166" s="1" t="s">
        <v>40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9</v>
      </c>
      <c r="T166">
        <f>SUM(tbl_Beneficiaries[[#This Row],[ التربية الخاصة ]:[ التأهيل النفسي الحركي ]])</f>
        <v>9</v>
      </c>
    </row>
    <row r="167" spans="1:20" x14ac:dyDescent="0.2">
      <c r="A167" s="1">
        <v>166</v>
      </c>
      <c r="B167" s="1">
        <v>1026299883</v>
      </c>
      <c r="C167" s="1" t="s">
        <v>492</v>
      </c>
      <c r="D167" s="1" t="s">
        <v>3</v>
      </c>
      <c r="E167" s="3">
        <v>41338</v>
      </c>
      <c r="F167" s="1" t="s">
        <v>357</v>
      </c>
      <c r="G167" s="1" t="s">
        <v>4</v>
      </c>
      <c r="H167" s="3">
        <v>44904</v>
      </c>
      <c r="I167" t="str">
        <f>IFERROR(INDEX('تشخيص الحالات'!$D$2:$D$1001,SUMPRODUCT(('تشخيص الحالات'!$B$2:$B$1001=B167)*('تشخيص الحالات'!$G$2:$G$1001=1)*ROW('تشخيص الحالات'!$B$2:$B$1001))-1),"")&amp;IF(SUMPRODUCT(('تشخيص الحالات'!$B$2:$B$1001=B167)*('تشخيص الحالات'!$G$2:$G$1001=2))&gt;0,"، "&amp;IFERROR(INDEX('تشخيص الحالات'!$D$2:$D$1001,SUMPRODUCT(('تشخيص الحالات'!$B$2:$B$1001=B167)*('تشخيص الحالات'!$G$2:$G$1001=2)*ROW('تشخيص الحالات'!$B$2:$B$1001))-1),""),"")&amp;IF(SUMPRODUCT(('تشخيص الحالات'!$B$2:$B$1001=B167)*('تشخيص الحالات'!$G$2:$G$1001=3))&gt;0,"، "&amp;IFERROR(INDEX('تشخيص الحالات'!$D$2:$D$1001,SUMPRODUCT(('تشخيص الحالات'!$B$2:$B$1001=B167)*('تشخيص الحالات'!$G$2:$G$1001=3)*ROW('تشخيص الحالات'!$B$2:$B$1001))-1),""),"")&amp;IF(SUMPRODUCT(('تشخيص الحالات'!$B$2:$B$1001=B167)*('تشخيص الحالات'!$G$2:$G$1001=4))&gt;0,"، "&amp;IFERROR(INDEX('تشخيص الحالات'!$D$2:$D$1001,SUMPRODUCT(('تشخيص الحالات'!$B$2:$B$1001=B167)*('تشخيص الحالات'!$G$2:$G$1001=4)*ROW('تشخيص الحالات'!$B$2:$B$1001))-1),""),"")&amp;IF(SUMPRODUCT(('تشخيص الحالات'!$B$2:$B$1001=B167)*('تشخيص الحالات'!$G$2:$G$1001=5))&gt;0,"، "&amp;IFERROR(INDEX('تشخيص الحالات'!$D$2:$D$1001,SUMPRODUCT(('تشخيص الحالات'!$B$2:$B$1001=B167)*('تشخيص الحالات'!$G$2:$G$1001=5)*ROW('تشخيص الحالات'!$B$2:$B$1001))-1),""),"")&amp;IF(SUMPRODUCT(('تشخيص الحالات'!$B$2:$B$1001=B167)*('تشخيص الحالات'!$G$2:$G$1001=6))&gt;0,"، "&amp;IFERROR(INDEX('تشخيص الحالات'!$D$2:$D$1001,SUMPRODUCT(('تشخيص الحالات'!$B$2:$B$1001=B167)*('تشخيص الحالات'!$G$2:$G$1001=6)*ROW('تشخيص الحالات'!$B$2:$B$1001))-1),""),"")&amp;IF(SUMPRODUCT(('تشخيص الحالات'!$B$2:$B$1001=B167)*('تشخيص الحالات'!$G$2:$G$1001=7))&gt;0,"، "&amp;IFERROR(INDEX('تشخيص الحالات'!$D$2:$D$1001,SUMPRODUCT(('تشخيص الحالات'!$B$2:$B$1001=B167)*('تشخيص الحالات'!$G$2:$G$1001=7)*ROW('تشخيص الحالات'!$B$2:$B$1001))-1),""),"")&amp;IF(SUMPRODUCT(('تشخيص الحالات'!$B$2:$B$1001=B167)*('تشخيص الحالات'!$G$2:$G$1001=8))&gt;0,"، "&amp;IFERROR(INDEX('تشخيص الحالات'!$D$2:$D$1001,SUMPRODUCT(('تشخيص الحالات'!$B$2:$B$1001=B167)*('تشخيص الحالات'!$G$2:$G$1001=8)*ROW('تشخيص الحالات'!$B$2:$B$1001))-1),""),"")</f>
        <v>اضطراب نفسي، اضطراب تواصل اجتماعي، اضطراب نفسي حركي، صعوبات تعلم</v>
      </c>
      <c r="J167" s="1">
        <v>105</v>
      </c>
      <c r="K167" s="1" t="s">
        <v>4</v>
      </c>
      <c r="L167" s="1">
        <v>3500</v>
      </c>
      <c r="M167" s="1" t="s">
        <v>44</v>
      </c>
      <c r="N167" s="1">
        <v>6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>
        <f>SUM(tbl_Beneficiaries[[#This Row],[ التربية الخاصة ]:[ التأهيل النفسي الحركي ]])</f>
        <v>6</v>
      </c>
    </row>
    <row r="168" spans="1:20" x14ac:dyDescent="0.2">
      <c r="A168" s="1">
        <v>167</v>
      </c>
      <c r="B168" s="1">
        <v>1932054889</v>
      </c>
      <c r="C168" s="1" t="s">
        <v>493</v>
      </c>
      <c r="D168" s="1" t="s">
        <v>3</v>
      </c>
      <c r="E168" s="3">
        <v>43900</v>
      </c>
      <c r="F168" s="1" t="s">
        <v>357</v>
      </c>
      <c r="G168" s="1" t="s">
        <v>0</v>
      </c>
      <c r="H168" s="3">
        <v>45231</v>
      </c>
      <c r="I168" t="str">
        <f>IFERROR(INDEX('تشخيص الحالات'!$D$2:$D$1001,SUMPRODUCT(('تشخيص الحالات'!$B$2:$B$1001=B168)*('تشخيص الحالات'!$G$2:$G$1001=1)*ROW('تشخيص الحالات'!$B$2:$B$1001))-1),"")&amp;IF(SUMPRODUCT(('تشخيص الحالات'!$B$2:$B$1001=B168)*('تشخيص الحالات'!$G$2:$G$1001=2))&gt;0,"، "&amp;IFERROR(INDEX('تشخيص الحالات'!$D$2:$D$1001,SUMPRODUCT(('تشخيص الحالات'!$B$2:$B$1001=B168)*('تشخيص الحالات'!$G$2:$G$1001=2)*ROW('تشخيص الحالات'!$B$2:$B$1001))-1),""),"")&amp;IF(SUMPRODUCT(('تشخيص الحالات'!$B$2:$B$1001=B168)*('تشخيص الحالات'!$G$2:$G$1001=3))&gt;0,"، "&amp;IFERROR(INDEX('تشخيص الحالات'!$D$2:$D$1001,SUMPRODUCT(('تشخيص الحالات'!$B$2:$B$1001=B168)*('تشخيص الحالات'!$G$2:$G$1001=3)*ROW('تشخيص الحالات'!$B$2:$B$1001))-1),""),"")&amp;IF(SUMPRODUCT(('تشخيص الحالات'!$B$2:$B$1001=B168)*('تشخيص الحالات'!$G$2:$G$1001=4))&gt;0,"، "&amp;IFERROR(INDEX('تشخيص الحالات'!$D$2:$D$1001,SUMPRODUCT(('تشخيص الحالات'!$B$2:$B$1001=B168)*('تشخيص الحالات'!$G$2:$G$1001=4)*ROW('تشخيص الحالات'!$B$2:$B$1001))-1),""),"")&amp;IF(SUMPRODUCT(('تشخيص الحالات'!$B$2:$B$1001=B168)*('تشخيص الحالات'!$G$2:$G$1001=5))&gt;0,"، "&amp;IFERROR(INDEX('تشخيص الحالات'!$D$2:$D$1001,SUMPRODUCT(('تشخيص الحالات'!$B$2:$B$1001=B168)*('تشخيص الحالات'!$G$2:$G$1001=5)*ROW('تشخيص الحالات'!$B$2:$B$1001))-1),""),"")&amp;IF(SUMPRODUCT(('تشخيص الحالات'!$B$2:$B$1001=B168)*('تشخيص الحالات'!$G$2:$G$1001=6))&gt;0,"، "&amp;IFERROR(INDEX('تشخيص الحالات'!$D$2:$D$1001,SUMPRODUCT(('تشخيص الحالات'!$B$2:$B$1001=B168)*('تشخيص الحالات'!$G$2:$G$1001=6)*ROW('تشخيص الحالات'!$B$2:$B$1001))-1),""),"")&amp;IF(SUMPRODUCT(('تشخيص الحالات'!$B$2:$B$1001=B168)*('تشخيص الحالات'!$G$2:$G$1001=7))&gt;0,"، "&amp;IFERROR(INDEX('تشخيص الحالات'!$D$2:$D$1001,SUMPRODUCT(('تشخيص الحالات'!$B$2:$B$1001=B168)*('تشخيص الحالات'!$G$2:$G$1001=7)*ROW('تشخيص الحالات'!$B$2:$B$1001))-1),""),"")&amp;IF(SUMPRODUCT(('تشخيص الحالات'!$B$2:$B$1001=B168)*('تشخيص الحالات'!$G$2:$G$1001=8))&gt;0,"، "&amp;IFERROR(INDEX('تشخيص الحالات'!$D$2:$D$1001,SUMPRODUCT(('تشخيص الحالات'!$B$2:$B$1001=B168)*('تشخيص الحالات'!$G$2:$G$1001=8)*ROW('تشخيص الحالات'!$B$2:$B$1001))-1),""),"")</f>
        <v>اضطراب نفسي حركي، فرط الحركة وتشتت الانتباه، اضطراب تواصل اجتماعي، اضطرابات سلوكية</v>
      </c>
      <c r="J168" s="1">
        <v>88</v>
      </c>
      <c r="K168" s="1" t="s">
        <v>39</v>
      </c>
      <c r="L168" s="1">
        <v>1500</v>
      </c>
      <c r="M168" s="1" t="s">
        <v>43</v>
      </c>
      <c r="N168" s="1">
        <v>0</v>
      </c>
      <c r="O168" s="1">
        <v>9</v>
      </c>
      <c r="P168" s="1">
        <v>3</v>
      </c>
      <c r="Q168" s="1">
        <v>0</v>
      </c>
      <c r="R168" s="1">
        <v>5</v>
      </c>
      <c r="S168" s="1">
        <v>0</v>
      </c>
      <c r="T168">
        <f>SUM(tbl_Beneficiaries[[#This Row],[ التربية الخاصة ]:[ التأهيل النفسي الحركي ]])</f>
        <v>17</v>
      </c>
    </row>
    <row r="169" spans="1:20" x14ac:dyDescent="0.2">
      <c r="A169" s="1">
        <v>168</v>
      </c>
      <c r="B169" s="1">
        <v>1369201926</v>
      </c>
      <c r="C169" s="1" t="s">
        <v>494</v>
      </c>
      <c r="D169" s="1" t="s">
        <v>7</v>
      </c>
      <c r="E169" s="3">
        <v>41036</v>
      </c>
      <c r="F169" s="1" t="s">
        <v>360</v>
      </c>
      <c r="G169" s="1" t="s">
        <v>4</v>
      </c>
      <c r="H169" s="3">
        <v>44696</v>
      </c>
      <c r="I169" t="str">
        <f>IFERROR(INDEX('تشخيص الحالات'!$D$2:$D$1001,SUMPRODUCT(('تشخيص الحالات'!$B$2:$B$1001=B169)*('تشخيص الحالات'!$G$2:$G$1001=1)*ROW('تشخيص الحالات'!$B$2:$B$1001))-1),"")&amp;IF(SUMPRODUCT(('تشخيص الحالات'!$B$2:$B$1001=B169)*('تشخيص الحالات'!$G$2:$G$1001=2))&gt;0,"، "&amp;IFERROR(INDEX('تشخيص الحالات'!$D$2:$D$1001,SUMPRODUCT(('تشخيص الحالات'!$B$2:$B$1001=B169)*('تشخيص الحالات'!$G$2:$G$1001=2)*ROW('تشخيص الحالات'!$B$2:$B$1001))-1),""),"")&amp;IF(SUMPRODUCT(('تشخيص الحالات'!$B$2:$B$1001=B169)*('تشخيص الحالات'!$G$2:$G$1001=3))&gt;0,"، "&amp;IFERROR(INDEX('تشخيص الحالات'!$D$2:$D$1001,SUMPRODUCT(('تشخيص الحالات'!$B$2:$B$1001=B169)*('تشخيص الحالات'!$G$2:$G$1001=3)*ROW('تشخيص الحالات'!$B$2:$B$1001))-1),""),"")&amp;IF(SUMPRODUCT(('تشخيص الحالات'!$B$2:$B$1001=B169)*('تشخيص الحالات'!$G$2:$G$1001=4))&gt;0,"، "&amp;IFERROR(INDEX('تشخيص الحالات'!$D$2:$D$1001,SUMPRODUCT(('تشخيص الحالات'!$B$2:$B$1001=B169)*('تشخيص الحالات'!$G$2:$G$1001=4)*ROW('تشخيص الحالات'!$B$2:$B$1001))-1),""),"")&amp;IF(SUMPRODUCT(('تشخيص الحالات'!$B$2:$B$1001=B169)*('تشخيص الحالات'!$G$2:$G$1001=5))&gt;0,"، "&amp;IFERROR(INDEX('تشخيص الحالات'!$D$2:$D$1001,SUMPRODUCT(('تشخيص الحالات'!$B$2:$B$1001=B169)*('تشخيص الحالات'!$G$2:$G$1001=5)*ROW('تشخيص الحالات'!$B$2:$B$1001))-1),""),"")&amp;IF(SUMPRODUCT(('تشخيص الحالات'!$B$2:$B$1001=B169)*('تشخيص الحالات'!$G$2:$G$1001=6))&gt;0,"، "&amp;IFERROR(INDEX('تشخيص الحالات'!$D$2:$D$1001,SUMPRODUCT(('تشخيص الحالات'!$B$2:$B$1001=B169)*('تشخيص الحالات'!$G$2:$G$1001=6)*ROW('تشخيص الحالات'!$B$2:$B$1001))-1),""),"")&amp;IF(SUMPRODUCT(('تشخيص الحالات'!$B$2:$B$1001=B169)*('تشخيص الحالات'!$G$2:$G$1001=7))&gt;0,"، "&amp;IFERROR(INDEX('تشخيص الحالات'!$D$2:$D$1001,SUMPRODUCT(('تشخيص الحالات'!$B$2:$B$1001=B169)*('تشخيص الحالات'!$G$2:$G$1001=7)*ROW('تشخيص الحالات'!$B$2:$B$1001))-1),""),"")&amp;IF(SUMPRODUCT(('تشخيص الحالات'!$B$2:$B$1001=B169)*('تشخيص الحالات'!$G$2:$G$1001=8))&gt;0,"، "&amp;IFERROR(INDEX('تشخيص الحالات'!$D$2:$D$1001,SUMPRODUCT(('تشخيص الحالات'!$B$2:$B$1001=B169)*('تشخيص الحالات'!$G$2:$G$1001=8)*ROW('تشخيص الحالات'!$B$2:$B$1001))-1),""),"")</f>
        <v>اضطراب نفسي، اضطرابات سلوكية، مشكلات أسرية / اجتماعية</v>
      </c>
      <c r="J169" s="1">
        <v>80</v>
      </c>
      <c r="K169" s="1" t="s">
        <v>4</v>
      </c>
      <c r="L169" s="1">
        <v>1500</v>
      </c>
      <c r="M169" s="1" t="s">
        <v>41</v>
      </c>
      <c r="N169" s="1">
        <v>3</v>
      </c>
      <c r="O169" s="1">
        <v>0</v>
      </c>
      <c r="P169" s="1">
        <v>0</v>
      </c>
      <c r="Q169" s="1">
        <v>0</v>
      </c>
      <c r="R169" s="1">
        <v>0</v>
      </c>
      <c r="S169" s="1">
        <v>4</v>
      </c>
      <c r="T169">
        <f>SUM(tbl_Beneficiaries[[#This Row],[ التربية الخاصة ]:[ التأهيل النفسي الحركي ]])</f>
        <v>7</v>
      </c>
    </row>
    <row r="170" spans="1:20" x14ac:dyDescent="0.2">
      <c r="A170" s="1">
        <v>169</v>
      </c>
      <c r="B170" s="1">
        <v>1120965748</v>
      </c>
      <c r="C170" s="1" t="s">
        <v>495</v>
      </c>
      <c r="D170" s="1" t="s">
        <v>7</v>
      </c>
      <c r="E170" s="3">
        <v>43086</v>
      </c>
      <c r="F170" s="1" t="s">
        <v>360</v>
      </c>
      <c r="G170" s="1" t="s">
        <v>1</v>
      </c>
      <c r="H170" s="3">
        <v>45178</v>
      </c>
      <c r="I170" t="str">
        <f>IFERROR(INDEX('تشخيص الحالات'!$D$2:$D$1001,SUMPRODUCT(('تشخيص الحالات'!$B$2:$B$1001=B170)*('تشخيص الحالات'!$G$2:$G$1001=1)*ROW('تشخيص الحالات'!$B$2:$B$1001))-1),"")&amp;IF(SUMPRODUCT(('تشخيص الحالات'!$B$2:$B$1001=B170)*('تشخيص الحالات'!$G$2:$G$1001=2))&gt;0,"، "&amp;IFERROR(INDEX('تشخيص الحالات'!$D$2:$D$1001,SUMPRODUCT(('تشخيص الحالات'!$B$2:$B$1001=B170)*('تشخيص الحالات'!$G$2:$G$1001=2)*ROW('تشخيص الحالات'!$B$2:$B$1001))-1),""),"")&amp;IF(SUMPRODUCT(('تشخيص الحالات'!$B$2:$B$1001=B170)*('تشخيص الحالات'!$G$2:$G$1001=3))&gt;0,"، "&amp;IFERROR(INDEX('تشخيص الحالات'!$D$2:$D$1001,SUMPRODUCT(('تشخيص الحالات'!$B$2:$B$1001=B170)*('تشخيص الحالات'!$G$2:$G$1001=3)*ROW('تشخيص الحالات'!$B$2:$B$1001))-1),""),"")&amp;IF(SUMPRODUCT(('تشخيص الحالات'!$B$2:$B$1001=B170)*('تشخيص الحالات'!$G$2:$G$1001=4))&gt;0,"، "&amp;IFERROR(INDEX('تشخيص الحالات'!$D$2:$D$1001,SUMPRODUCT(('تشخيص الحالات'!$B$2:$B$1001=B170)*('تشخيص الحالات'!$G$2:$G$1001=4)*ROW('تشخيص الحالات'!$B$2:$B$1001))-1),""),"")&amp;IF(SUMPRODUCT(('تشخيص الحالات'!$B$2:$B$1001=B170)*('تشخيص الحالات'!$G$2:$G$1001=5))&gt;0,"، "&amp;IFERROR(INDEX('تشخيص الحالات'!$D$2:$D$1001,SUMPRODUCT(('تشخيص الحالات'!$B$2:$B$1001=B170)*('تشخيص الحالات'!$G$2:$G$1001=5)*ROW('تشخيص الحالات'!$B$2:$B$1001))-1),""),"")&amp;IF(SUMPRODUCT(('تشخيص الحالات'!$B$2:$B$1001=B170)*('تشخيص الحالات'!$G$2:$G$1001=6))&gt;0,"، "&amp;IFERROR(INDEX('تشخيص الحالات'!$D$2:$D$1001,SUMPRODUCT(('تشخيص الحالات'!$B$2:$B$1001=B170)*('تشخيص الحالات'!$G$2:$G$1001=6)*ROW('تشخيص الحالات'!$B$2:$B$1001))-1),""),"")&amp;IF(SUMPRODUCT(('تشخيص الحالات'!$B$2:$B$1001=B170)*('تشخيص الحالات'!$G$2:$G$1001=7))&gt;0,"، "&amp;IFERROR(INDEX('تشخيص الحالات'!$D$2:$D$1001,SUMPRODUCT(('تشخيص الحالات'!$B$2:$B$1001=B170)*('تشخيص الحالات'!$G$2:$G$1001=7)*ROW('تشخيص الحالات'!$B$2:$B$1001))-1),""),"")&amp;IF(SUMPRODUCT(('تشخيص الحالات'!$B$2:$B$1001=B170)*('تشخيص الحالات'!$G$2:$G$1001=8))&gt;0,"، "&amp;IFERROR(INDEX('تشخيص الحالات'!$D$2:$D$1001,SUMPRODUCT(('تشخيص الحالات'!$B$2:$B$1001=B170)*('تشخيص الحالات'!$G$2:$G$1001=8)*ROW('تشخيص الحالات'!$B$2:$B$1001))-1),""),"")</f>
        <v>اضطراب تكامل حسي، اضطراب نفسي حركي، فرط الحركة وتشتت الانتباه</v>
      </c>
      <c r="J170" s="1">
        <v>101</v>
      </c>
      <c r="K170" s="1" t="s">
        <v>4</v>
      </c>
      <c r="L170" s="1">
        <v>4000</v>
      </c>
      <c r="M170" s="1" t="s">
        <v>44</v>
      </c>
      <c r="N170" s="1">
        <v>9</v>
      </c>
      <c r="O170" s="1">
        <v>9</v>
      </c>
      <c r="P170" s="1">
        <v>0</v>
      </c>
      <c r="Q170" s="1">
        <v>4</v>
      </c>
      <c r="R170" s="1">
        <v>0</v>
      </c>
      <c r="S170" s="1">
        <v>0</v>
      </c>
      <c r="T170">
        <f>SUM(tbl_Beneficiaries[[#This Row],[ التربية الخاصة ]:[ التأهيل النفسي الحركي ]])</f>
        <v>22</v>
      </c>
    </row>
    <row r="171" spans="1:20" x14ac:dyDescent="0.2">
      <c r="A171" s="1">
        <v>170</v>
      </c>
      <c r="B171" s="1">
        <v>1919727514</v>
      </c>
      <c r="C171" s="1" t="s">
        <v>496</v>
      </c>
      <c r="D171" s="1" t="s">
        <v>7</v>
      </c>
      <c r="E171" s="3">
        <v>42121</v>
      </c>
      <c r="F171" s="1" t="s">
        <v>360</v>
      </c>
      <c r="G171" s="1" t="s">
        <v>1</v>
      </c>
      <c r="H171" s="3">
        <v>45369</v>
      </c>
      <c r="I171" t="str">
        <f>IFERROR(INDEX('تشخيص الحالات'!$D$2:$D$1001,SUMPRODUCT(('تشخيص الحالات'!$B$2:$B$1001=B171)*('تشخيص الحالات'!$G$2:$G$1001=1)*ROW('تشخيص الحالات'!$B$2:$B$1001))-1),"")&amp;IF(SUMPRODUCT(('تشخيص الحالات'!$B$2:$B$1001=B171)*('تشخيص الحالات'!$G$2:$G$1001=2))&gt;0,"، "&amp;IFERROR(INDEX('تشخيص الحالات'!$D$2:$D$1001,SUMPRODUCT(('تشخيص الحالات'!$B$2:$B$1001=B171)*('تشخيص الحالات'!$G$2:$G$1001=2)*ROW('تشخيص الحالات'!$B$2:$B$1001))-1),""),"")&amp;IF(SUMPRODUCT(('تشخيص الحالات'!$B$2:$B$1001=B171)*('تشخيص الحالات'!$G$2:$G$1001=3))&gt;0,"، "&amp;IFERROR(INDEX('تشخيص الحالات'!$D$2:$D$1001,SUMPRODUCT(('تشخيص الحالات'!$B$2:$B$1001=B171)*('تشخيص الحالات'!$G$2:$G$1001=3)*ROW('تشخيص الحالات'!$B$2:$B$1001))-1),""),"")&amp;IF(SUMPRODUCT(('تشخيص الحالات'!$B$2:$B$1001=B171)*('تشخيص الحالات'!$G$2:$G$1001=4))&gt;0,"، "&amp;IFERROR(INDEX('تشخيص الحالات'!$D$2:$D$1001,SUMPRODUCT(('تشخيص الحالات'!$B$2:$B$1001=B171)*('تشخيص الحالات'!$G$2:$G$1001=4)*ROW('تشخيص الحالات'!$B$2:$B$1001))-1),""),"")&amp;IF(SUMPRODUCT(('تشخيص الحالات'!$B$2:$B$1001=B171)*('تشخيص الحالات'!$G$2:$G$1001=5))&gt;0,"، "&amp;IFERROR(INDEX('تشخيص الحالات'!$D$2:$D$1001,SUMPRODUCT(('تشخيص الحالات'!$B$2:$B$1001=B171)*('تشخيص الحالات'!$G$2:$G$1001=5)*ROW('تشخيص الحالات'!$B$2:$B$1001))-1),""),"")&amp;IF(SUMPRODUCT(('تشخيص الحالات'!$B$2:$B$1001=B171)*('تشخيص الحالات'!$G$2:$G$1001=6))&gt;0,"، "&amp;IFERROR(INDEX('تشخيص الحالات'!$D$2:$D$1001,SUMPRODUCT(('تشخيص الحالات'!$B$2:$B$1001=B171)*('تشخيص الحالات'!$G$2:$G$1001=6)*ROW('تشخيص الحالات'!$B$2:$B$1001))-1),""),"")&amp;IF(SUMPRODUCT(('تشخيص الحالات'!$B$2:$B$1001=B171)*('تشخيص الحالات'!$G$2:$G$1001=7))&gt;0,"، "&amp;IFERROR(INDEX('تشخيص الحالات'!$D$2:$D$1001,SUMPRODUCT(('تشخيص الحالات'!$B$2:$B$1001=B171)*('تشخيص الحالات'!$G$2:$G$1001=7)*ROW('تشخيص الحالات'!$B$2:$B$1001))-1),""),"")&amp;IF(SUMPRODUCT(('تشخيص الحالات'!$B$2:$B$1001=B171)*('تشخيص الحالات'!$G$2:$G$1001=8))&gt;0,"، "&amp;IFERROR(INDEX('تشخيص الحالات'!$D$2:$D$1001,SUMPRODUCT(('تشخيص الحالات'!$B$2:$B$1001=B171)*('تشخيص الحالات'!$G$2:$G$1001=8)*ROW('تشخيص الحالات'!$B$2:$B$1001))-1),""),"")</f>
        <v>صعوبات تعلم، مشكلات لغوية، إعاقة بصرية</v>
      </c>
      <c r="J171" s="1">
        <v>68</v>
      </c>
      <c r="K171" s="1" t="s">
        <v>39</v>
      </c>
      <c r="L171" s="1">
        <v>2000</v>
      </c>
      <c r="M171" s="1" t="s">
        <v>41</v>
      </c>
      <c r="N171" s="1">
        <v>7</v>
      </c>
      <c r="O171" s="1">
        <v>0</v>
      </c>
      <c r="P171" s="1">
        <v>2</v>
      </c>
      <c r="Q171" s="1">
        <v>0</v>
      </c>
      <c r="R171" s="1">
        <v>8</v>
      </c>
      <c r="S171" s="1">
        <v>0</v>
      </c>
      <c r="T171">
        <f>SUM(tbl_Beneficiaries[[#This Row],[ التربية الخاصة ]:[ التأهيل النفسي الحركي ]])</f>
        <v>17</v>
      </c>
    </row>
    <row r="172" spans="1:20" x14ac:dyDescent="0.2">
      <c r="A172" s="1">
        <v>171</v>
      </c>
      <c r="B172" s="1">
        <v>1885244360</v>
      </c>
      <c r="C172" s="1" t="s">
        <v>127</v>
      </c>
      <c r="D172" s="1" t="s">
        <v>7</v>
      </c>
      <c r="E172" s="3">
        <v>40961</v>
      </c>
      <c r="F172" s="1" t="s">
        <v>360</v>
      </c>
      <c r="G172" s="1" t="s">
        <v>0</v>
      </c>
      <c r="H172" s="3">
        <v>44620</v>
      </c>
      <c r="I172" t="str">
        <f>IFERROR(INDEX('تشخيص الحالات'!$D$2:$D$1001,SUMPRODUCT(('تشخيص الحالات'!$B$2:$B$1001=B172)*('تشخيص الحالات'!$G$2:$G$1001=1)*ROW('تشخيص الحالات'!$B$2:$B$1001))-1),"")&amp;IF(SUMPRODUCT(('تشخيص الحالات'!$B$2:$B$1001=B172)*('تشخيص الحالات'!$G$2:$G$1001=2))&gt;0,"، "&amp;IFERROR(INDEX('تشخيص الحالات'!$D$2:$D$1001,SUMPRODUCT(('تشخيص الحالات'!$B$2:$B$1001=B172)*('تشخيص الحالات'!$G$2:$G$1001=2)*ROW('تشخيص الحالات'!$B$2:$B$1001))-1),""),"")&amp;IF(SUMPRODUCT(('تشخيص الحالات'!$B$2:$B$1001=B172)*('تشخيص الحالات'!$G$2:$G$1001=3))&gt;0,"، "&amp;IFERROR(INDEX('تشخيص الحالات'!$D$2:$D$1001,SUMPRODUCT(('تشخيص الحالات'!$B$2:$B$1001=B172)*('تشخيص الحالات'!$G$2:$G$1001=3)*ROW('تشخيص الحالات'!$B$2:$B$1001))-1),""),"")&amp;IF(SUMPRODUCT(('تشخيص الحالات'!$B$2:$B$1001=B172)*('تشخيص الحالات'!$G$2:$G$1001=4))&gt;0,"، "&amp;IFERROR(INDEX('تشخيص الحالات'!$D$2:$D$1001,SUMPRODUCT(('تشخيص الحالات'!$B$2:$B$1001=B172)*('تشخيص الحالات'!$G$2:$G$1001=4)*ROW('تشخيص الحالات'!$B$2:$B$1001))-1),""),"")&amp;IF(SUMPRODUCT(('تشخيص الحالات'!$B$2:$B$1001=B172)*('تشخيص الحالات'!$G$2:$G$1001=5))&gt;0,"، "&amp;IFERROR(INDEX('تشخيص الحالات'!$D$2:$D$1001,SUMPRODUCT(('تشخيص الحالات'!$B$2:$B$1001=B172)*('تشخيص الحالات'!$G$2:$G$1001=5)*ROW('تشخيص الحالات'!$B$2:$B$1001))-1),""),"")&amp;IF(SUMPRODUCT(('تشخيص الحالات'!$B$2:$B$1001=B172)*('تشخيص الحالات'!$G$2:$G$1001=6))&gt;0,"، "&amp;IFERROR(INDEX('تشخيص الحالات'!$D$2:$D$1001,SUMPRODUCT(('تشخيص الحالات'!$B$2:$B$1001=B172)*('تشخيص الحالات'!$G$2:$G$1001=6)*ROW('تشخيص الحالات'!$B$2:$B$1001))-1),""),"")&amp;IF(SUMPRODUCT(('تشخيص الحالات'!$B$2:$B$1001=B172)*('تشخيص الحالات'!$G$2:$G$1001=7))&gt;0,"، "&amp;IFERROR(INDEX('تشخيص الحالات'!$D$2:$D$1001,SUMPRODUCT(('تشخيص الحالات'!$B$2:$B$1001=B172)*('تشخيص الحالات'!$G$2:$G$1001=7)*ROW('تشخيص الحالات'!$B$2:$B$1001))-1),""),"")&amp;IF(SUMPRODUCT(('تشخيص الحالات'!$B$2:$B$1001=B172)*('تشخيص الحالات'!$G$2:$G$1001=8))&gt;0,"، "&amp;IFERROR(INDEX('تشخيص الحالات'!$D$2:$D$1001,SUMPRODUCT(('تشخيص الحالات'!$B$2:$B$1001=B172)*('تشخيص الحالات'!$G$2:$G$1001=8)*ROW('تشخيص الحالات'!$B$2:$B$1001))-1),""),"")</f>
        <v>تأخر حركي</v>
      </c>
      <c r="J172" s="1">
        <v>93</v>
      </c>
      <c r="K172" s="1" t="s">
        <v>38</v>
      </c>
      <c r="L172" s="1">
        <v>3000</v>
      </c>
      <c r="M172" s="1" t="s">
        <v>42</v>
      </c>
      <c r="N172" s="1">
        <v>0</v>
      </c>
      <c r="O172" s="1">
        <v>0</v>
      </c>
      <c r="P172" s="1">
        <v>4</v>
      </c>
      <c r="Q172" s="1">
        <v>0</v>
      </c>
      <c r="R172" s="1">
        <v>0</v>
      </c>
      <c r="S172" s="1">
        <v>7</v>
      </c>
      <c r="T172">
        <f>SUM(tbl_Beneficiaries[[#This Row],[ التربية الخاصة ]:[ التأهيل النفسي الحركي ]])</f>
        <v>11</v>
      </c>
    </row>
    <row r="173" spans="1:20" x14ac:dyDescent="0.2">
      <c r="A173" s="1">
        <v>172</v>
      </c>
      <c r="B173" s="1">
        <v>1489760898</v>
      </c>
      <c r="C173" s="1" t="s">
        <v>497</v>
      </c>
      <c r="D173" s="1" t="s">
        <v>7</v>
      </c>
      <c r="E173" s="3">
        <v>40325</v>
      </c>
      <c r="F173" s="1" t="s">
        <v>361</v>
      </c>
      <c r="G173" s="1" t="s">
        <v>1</v>
      </c>
      <c r="H173" s="3">
        <v>45397</v>
      </c>
      <c r="I173" t="str">
        <f>IFERROR(INDEX('تشخيص الحالات'!$D$2:$D$1001,SUMPRODUCT(('تشخيص الحالات'!$B$2:$B$1001=B173)*('تشخيص الحالات'!$G$2:$G$1001=1)*ROW('تشخيص الحالات'!$B$2:$B$1001))-1),"")&amp;IF(SUMPRODUCT(('تشخيص الحالات'!$B$2:$B$1001=B173)*('تشخيص الحالات'!$G$2:$G$1001=2))&gt;0,"، "&amp;IFERROR(INDEX('تشخيص الحالات'!$D$2:$D$1001,SUMPRODUCT(('تشخيص الحالات'!$B$2:$B$1001=B173)*('تشخيص الحالات'!$G$2:$G$1001=2)*ROW('تشخيص الحالات'!$B$2:$B$1001))-1),""),"")&amp;IF(SUMPRODUCT(('تشخيص الحالات'!$B$2:$B$1001=B173)*('تشخيص الحالات'!$G$2:$G$1001=3))&gt;0,"، "&amp;IFERROR(INDEX('تشخيص الحالات'!$D$2:$D$1001,SUMPRODUCT(('تشخيص الحالات'!$B$2:$B$1001=B173)*('تشخيص الحالات'!$G$2:$G$1001=3)*ROW('تشخيص الحالات'!$B$2:$B$1001))-1),""),"")&amp;IF(SUMPRODUCT(('تشخيص الحالات'!$B$2:$B$1001=B173)*('تشخيص الحالات'!$G$2:$G$1001=4))&gt;0,"، "&amp;IFERROR(INDEX('تشخيص الحالات'!$D$2:$D$1001,SUMPRODUCT(('تشخيص الحالات'!$B$2:$B$1001=B173)*('تشخيص الحالات'!$G$2:$G$1001=4)*ROW('تشخيص الحالات'!$B$2:$B$1001))-1),""),"")&amp;IF(SUMPRODUCT(('تشخيص الحالات'!$B$2:$B$1001=B173)*('تشخيص الحالات'!$G$2:$G$1001=5))&gt;0,"، "&amp;IFERROR(INDEX('تشخيص الحالات'!$D$2:$D$1001,SUMPRODUCT(('تشخيص الحالات'!$B$2:$B$1001=B173)*('تشخيص الحالات'!$G$2:$G$1001=5)*ROW('تشخيص الحالات'!$B$2:$B$1001))-1),""),"")&amp;IF(SUMPRODUCT(('تشخيص الحالات'!$B$2:$B$1001=B173)*('تشخيص الحالات'!$G$2:$G$1001=6))&gt;0,"، "&amp;IFERROR(INDEX('تشخيص الحالات'!$D$2:$D$1001,SUMPRODUCT(('تشخيص الحالات'!$B$2:$B$1001=B173)*('تشخيص الحالات'!$G$2:$G$1001=6)*ROW('تشخيص الحالات'!$B$2:$B$1001))-1),""),"")&amp;IF(SUMPRODUCT(('تشخيص الحالات'!$B$2:$B$1001=B173)*('تشخيص الحالات'!$G$2:$G$1001=7))&gt;0,"، "&amp;IFERROR(INDEX('تشخيص الحالات'!$D$2:$D$1001,SUMPRODUCT(('تشخيص الحالات'!$B$2:$B$1001=B173)*('تشخيص الحالات'!$G$2:$G$1001=7)*ROW('تشخيص الحالات'!$B$2:$B$1001))-1),""),"")&amp;IF(SUMPRODUCT(('تشخيص الحالات'!$B$2:$B$1001=B173)*('تشخيص الحالات'!$G$2:$G$1001=8))&gt;0,"، "&amp;IFERROR(INDEX('تشخيص الحالات'!$D$2:$D$1001,SUMPRODUCT(('تشخيص الحالات'!$B$2:$B$1001=B173)*('تشخيص الحالات'!$G$2:$G$1001=8)*ROW('تشخيص الحالات'!$B$2:$B$1001))-1),""),"")</f>
        <v>شلل دماغي</v>
      </c>
      <c r="J173" s="1">
        <v>60</v>
      </c>
      <c r="K173" s="1" t="s">
        <v>39</v>
      </c>
      <c r="L173" s="1">
        <v>3500</v>
      </c>
      <c r="M173" s="1" t="s">
        <v>42</v>
      </c>
      <c r="N173" s="1">
        <v>0</v>
      </c>
      <c r="O173" s="1">
        <v>0</v>
      </c>
      <c r="P173" s="1">
        <v>0</v>
      </c>
      <c r="Q173" s="1">
        <v>0</v>
      </c>
      <c r="R173" s="1">
        <v>7</v>
      </c>
      <c r="S173" s="1">
        <v>5</v>
      </c>
      <c r="T173">
        <f>SUM(tbl_Beneficiaries[[#This Row],[ التربية الخاصة ]:[ التأهيل النفسي الحركي ]])</f>
        <v>12</v>
      </c>
    </row>
    <row r="174" spans="1:20" x14ac:dyDescent="0.2">
      <c r="A174" s="1">
        <v>173</v>
      </c>
      <c r="B174" s="1">
        <v>1640872800</v>
      </c>
      <c r="C174" s="1" t="s">
        <v>498</v>
      </c>
      <c r="D174" s="1" t="s">
        <v>3</v>
      </c>
      <c r="E174" s="3">
        <v>44105</v>
      </c>
      <c r="F174" s="1" t="s">
        <v>358</v>
      </c>
      <c r="G174" s="1" t="s">
        <v>0</v>
      </c>
      <c r="H174" s="3">
        <v>44880</v>
      </c>
      <c r="I174" t="str">
        <f>IFERROR(INDEX('تشخيص الحالات'!$D$2:$D$1001,SUMPRODUCT(('تشخيص الحالات'!$B$2:$B$1001=B174)*('تشخيص الحالات'!$G$2:$G$1001=1)*ROW('تشخيص الحالات'!$B$2:$B$1001))-1),"")&amp;IF(SUMPRODUCT(('تشخيص الحالات'!$B$2:$B$1001=B174)*('تشخيص الحالات'!$G$2:$G$1001=2))&gt;0,"، "&amp;IFERROR(INDEX('تشخيص الحالات'!$D$2:$D$1001,SUMPRODUCT(('تشخيص الحالات'!$B$2:$B$1001=B174)*('تشخيص الحالات'!$G$2:$G$1001=2)*ROW('تشخيص الحالات'!$B$2:$B$1001))-1),""),"")&amp;IF(SUMPRODUCT(('تشخيص الحالات'!$B$2:$B$1001=B174)*('تشخيص الحالات'!$G$2:$G$1001=3))&gt;0,"، "&amp;IFERROR(INDEX('تشخيص الحالات'!$D$2:$D$1001,SUMPRODUCT(('تشخيص الحالات'!$B$2:$B$1001=B174)*('تشخيص الحالات'!$G$2:$G$1001=3)*ROW('تشخيص الحالات'!$B$2:$B$1001))-1),""),"")&amp;IF(SUMPRODUCT(('تشخيص الحالات'!$B$2:$B$1001=B174)*('تشخيص الحالات'!$G$2:$G$1001=4))&gt;0,"، "&amp;IFERROR(INDEX('تشخيص الحالات'!$D$2:$D$1001,SUMPRODUCT(('تشخيص الحالات'!$B$2:$B$1001=B174)*('تشخيص الحالات'!$G$2:$G$1001=4)*ROW('تشخيص الحالات'!$B$2:$B$1001))-1),""),"")&amp;IF(SUMPRODUCT(('تشخيص الحالات'!$B$2:$B$1001=B174)*('تشخيص الحالات'!$G$2:$G$1001=5))&gt;0,"، "&amp;IFERROR(INDEX('تشخيص الحالات'!$D$2:$D$1001,SUMPRODUCT(('تشخيص الحالات'!$B$2:$B$1001=B174)*('تشخيص الحالات'!$G$2:$G$1001=5)*ROW('تشخيص الحالات'!$B$2:$B$1001))-1),""),"")&amp;IF(SUMPRODUCT(('تشخيص الحالات'!$B$2:$B$1001=B174)*('تشخيص الحالات'!$G$2:$G$1001=6))&gt;0,"، "&amp;IFERROR(INDEX('تشخيص الحالات'!$D$2:$D$1001,SUMPRODUCT(('تشخيص الحالات'!$B$2:$B$1001=B174)*('تشخيص الحالات'!$G$2:$G$1001=6)*ROW('تشخيص الحالات'!$B$2:$B$1001))-1),""),"")&amp;IF(SUMPRODUCT(('تشخيص الحالات'!$B$2:$B$1001=B174)*('تشخيص الحالات'!$G$2:$G$1001=7))&gt;0,"، "&amp;IFERROR(INDEX('تشخيص الحالات'!$D$2:$D$1001,SUMPRODUCT(('تشخيص الحالات'!$B$2:$B$1001=B174)*('تشخيص الحالات'!$G$2:$G$1001=7)*ROW('تشخيص الحالات'!$B$2:$B$1001))-1),""),"")&amp;IF(SUMPRODUCT(('تشخيص الحالات'!$B$2:$B$1001=B174)*('تشخيص الحالات'!$G$2:$G$1001=8))&gt;0,"، "&amp;IFERROR(INDEX('تشخيص الحالات'!$D$2:$D$1001,SUMPRODUCT(('تشخيص الحالات'!$B$2:$B$1001=B174)*('تشخيص الحالات'!$G$2:$G$1001=8)*ROW('تشخيص الحالات'!$B$2:$B$1001))-1),""),"")</f>
        <v>مشكلات لغوية، اضطراب تكامل حسي</v>
      </c>
      <c r="J174" s="1">
        <v>104</v>
      </c>
      <c r="K174" s="1" t="s">
        <v>38</v>
      </c>
      <c r="L174" s="1">
        <v>2500</v>
      </c>
      <c r="M174" s="1" t="s">
        <v>40</v>
      </c>
      <c r="N174" s="1">
        <v>0</v>
      </c>
      <c r="O174" s="1">
        <v>0</v>
      </c>
      <c r="P174" s="1">
        <v>9</v>
      </c>
      <c r="Q174" s="1">
        <v>0</v>
      </c>
      <c r="R174" s="1">
        <v>9</v>
      </c>
      <c r="S174" s="1">
        <v>0</v>
      </c>
      <c r="T174">
        <f>SUM(tbl_Beneficiaries[[#This Row],[ التربية الخاصة ]:[ التأهيل النفسي الحركي ]])</f>
        <v>18</v>
      </c>
    </row>
    <row r="175" spans="1:20" x14ac:dyDescent="0.2">
      <c r="A175" s="1">
        <v>174</v>
      </c>
      <c r="B175" s="1">
        <v>1914106815</v>
      </c>
      <c r="C175" s="1" t="s">
        <v>499</v>
      </c>
      <c r="D175" s="1" t="s">
        <v>7</v>
      </c>
      <c r="E175" s="3">
        <v>42584</v>
      </c>
      <c r="F175" s="1" t="s">
        <v>359</v>
      </c>
      <c r="G175" s="1" t="s">
        <v>1</v>
      </c>
      <c r="H175" s="3">
        <v>44779</v>
      </c>
      <c r="I175" t="str">
        <f>IFERROR(INDEX('تشخيص الحالات'!$D$2:$D$1001,SUMPRODUCT(('تشخيص الحالات'!$B$2:$B$1001=B175)*('تشخيص الحالات'!$G$2:$G$1001=1)*ROW('تشخيص الحالات'!$B$2:$B$1001))-1),"")&amp;IF(SUMPRODUCT(('تشخيص الحالات'!$B$2:$B$1001=B175)*('تشخيص الحالات'!$G$2:$G$1001=2))&gt;0,"، "&amp;IFERROR(INDEX('تشخيص الحالات'!$D$2:$D$1001,SUMPRODUCT(('تشخيص الحالات'!$B$2:$B$1001=B175)*('تشخيص الحالات'!$G$2:$G$1001=2)*ROW('تشخيص الحالات'!$B$2:$B$1001))-1),""),"")&amp;IF(SUMPRODUCT(('تشخيص الحالات'!$B$2:$B$1001=B175)*('تشخيص الحالات'!$G$2:$G$1001=3))&gt;0,"، "&amp;IFERROR(INDEX('تشخيص الحالات'!$D$2:$D$1001,SUMPRODUCT(('تشخيص الحالات'!$B$2:$B$1001=B175)*('تشخيص الحالات'!$G$2:$G$1001=3)*ROW('تشخيص الحالات'!$B$2:$B$1001))-1),""),"")&amp;IF(SUMPRODUCT(('تشخيص الحالات'!$B$2:$B$1001=B175)*('تشخيص الحالات'!$G$2:$G$1001=4))&gt;0,"، "&amp;IFERROR(INDEX('تشخيص الحالات'!$D$2:$D$1001,SUMPRODUCT(('تشخيص الحالات'!$B$2:$B$1001=B175)*('تشخيص الحالات'!$G$2:$G$1001=4)*ROW('تشخيص الحالات'!$B$2:$B$1001))-1),""),"")&amp;IF(SUMPRODUCT(('تشخيص الحالات'!$B$2:$B$1001=B175)*('تشخيص الحالات'!$G$2:$G$1001=5))&gt;0,"، "&amp;IFERROR(INDEX('تشخيص الحالات'!$D$2:$D$1001,SUMPRODUCT(('تشخيص الحالات'!$B$2:$B$1001=B175)*('تشخيص الحالات'!$G$2:$G$1001=5)*ROW('تشخيص الحالات'!$B$2:$B$1001))-1),""),"")&amp;IF(SUMPRODUCT(('تشخيص الحالات'!$B$2:$B$1001=B175)*('تشخيص الحالات'!$G$2:$G$1001=6))&gt;0,"، "&amp;IFERROR(INDEX('تشخيص الحالات'!$D$2:$D$1001,SUMPRODUCT(('تشخيص الحالات'!$B$2:$B$1001=B175)*('تشخيص الحالات'!$G$2:$G$1001=6)*ROW('تشخيص الحالات'!$B$2:$B$1001))-1),""),"")&amp;IF(SUMPRODUCT(('تشخيص الحالات'!$B$2:$B$1001=B175)*('تشخيص الحالات'!$G$2:$G$1001=7))&gt;0,"، "&amp;IFERROR(INDEX('تشخيص الحالات'!$D$2:$D$1001,SUMPRODUCT(('تشخيص الحالات'!$B$2:$B$1001=B175)*('تشخيص الحالات'!$G$2:$G$1001=7)*ROW('تشخيص الحالات'!$B$2:$B$1001))-1),""),"")&amp;IF(SUMPRODUCT(('تشخيص الحالات'!$B$2:$B$1001=B175)*('تشخيص الحالات'!$G$2:$G$1001=8))&gt;0,"، "&amp;IFERROR(INDEX('تشخيص الحالات'!$D$2:$D$1001,SUMPRODUCT(('تشخيص الحالات'!$B$2:$B$1001=B175)*('تشخيص الحالات'!$G$2:$G$1001=8)*ROW('تشخيص الحالات'!$B$2:$B$1001))-1),""),"")</f>
        <v>اضطراب تواصل اجتماعي، إعاقة بصرية، مشكلات أسرية / اجتماعية</v>
      </c>
      <c r="J175" s="1">
        <v>78</v>
      </c>
      <c r="K175" s="1" t="s">
        <v>38</v>
      </c>
      <c r="L175" s="1">
        <v>3000</v>
      </c>
      <c r="M175" s="1" t="s">
        <v>41</v>
      </c>
      <c r="N175" s="1">
        <v>0</v>
      </c>
      <c r="O175" s="1">
        <v>5</v>
      </c>
      <c r="P175" s="1">
        <v>9</v>
      </c>
      <c r="Q175" s="1">
        <v>7</v>
      </c>
      <c r="R175" s="1">
        <v>0</v>
      </c>
      <c r="S175" s="1">
        <v>0</v>
      </c>
      <c r="T175">
        <f>SUM(tbl_Beneficiaries[[#This Row],[ التربية الخاصة ]:[ التأهيل النفسي الحركي ]])</f>
        <v>21</v>
      </c>
    </row>
    <row r="176" spans="1:20" x14ac:dyDescent="0.2">
      <c r="A176" s="1">
        <v>175</v>
      </c>
      <c r="B176" s="1">
        <v>1696333011</v>
      </c>
      <c r="C176" s="1" t="s">
        <v>128</v>
      </c>
      <c r="D176" s="1" t="s">
        <v>7</v>
      </c>
      <c r="E176" s="3">
        <v>43344</v>
      </c>
      <c r="F176" s="1" t="s">
        <v>357</v>
      </c>
      <c r="G176" s="1" t="s">
        <v>1</v>
      </c>
      <c r="H176" s="3">
        <v>44690</v>
      </c>
      <c r="I176" t="str">
        <f>IFERROR(INDEX('تشخيص الحالات'!$D$2:$D$1001,SUMPRODUCT(('تشخيص الحالات'!$B$2:$B$1001=B176)*('تشخيص الحالات'!$G$2:$G$1001=1)*ROW('تشخيص الحالات'!$B$2:$B$1001))-1),"")&amp;IF(SUMPRODUCT(('تشخيص الحالات'!$B$2:$B$1001=B176)*('تشخيص الحالات'!$G$2:$G$1001=2))&gt;0,"، "&amp;IFERROR(INDEX('تشخيص الحالات'!$D$2:$D$1001,SUMPRODUCT(('تشخيص الحالات'!$B$2:$B$1001=B176)*('تشخيص الحالات'!$G$2:$G$1001=2)*ROW('تشخيص الحالات'!$B$2:$B$1001))-1),""),"")&amp;IF(SUMPRODUCT(('تشخيص الحالات'!$B$2:$B$1001=B176)*('تشخيص الحالات'!$G$2:$G$1001=3))&gt;0,"، "&amp;IFERROR(INDEX('تشخيص الحالات'!$D$2:$D$1001,SUMPRODUCT(('تشخيص الحالات'!$B$2:$B$1001=B176)*('تشخيص الحالات'!$G$2:$G$1001=3)*ROW('تشخيص الحالات'!$B$2:$B$1001))-1),""),"")&amp;IF(SUMPRODUCT(('تشخيص الحالات'!$B$2:$B$1001=B176)*('تشخيص الحالات'!$G$2:$G$1001=4))&gt;0,"، "&amp;IFERROR(INDEX('تشخيص الحالات'!$D$2:$D$1001,SUMPRODUCT(('تشخيص الحالات'!$B$2:$B$1001=B176)*('تشخيص الحالات'!$G$2:$G$1001=4)*ROW('تشخيص الحالات'!$B$2:$B$1001))-1),""),"")&amp;IF(SUMPRODUCT(('تشخيص الحالات'!$B$2:$B$1001=B176)*('تشخيص الحالات'!$G$2:$G$1001=5))&gt;0,"، "&amp;IFERROR(INDEX('تشخيص الحالات'!$D$2:$D$1001,SUMPRODUCT(('تشخيص الحالات'!$B$2:$B$1001=B176)*('تشخيص الحالات'!$G$2:$G$1001=5)*ROW('تشخيص الحالات'!$B$2:$B$1001))-1),""),"")&amp;IF(SUMPRODUCT(('تشخيص الحالات'!$B$2:$B$1001=B176)*('تشخيص الحالات'!$G$2:$G$1001=6))&gt;0,"، "&amp;IFERROR(INDEX('تشخيص الحالات'!$D$2:$D$1001,SUMPRODUCT(('تشخيص الحالات'!$B$2:$B$1001=B176)*('تشخيص الحالات'!$G$2:$G$1001=6)*ROW('تشخيص الحالات'!$B$2:$B$1001))-1),""),"")&amp;IF(SUMPRODUCT(('تشخيص الحالات'!$B$2:$B$1001=B176)*('تشخيص الحالات'!$G$2:$G$1001=7))&gt;0,"، "&amp;IFERROR(INDEX('تشخيص الحالات'!$D$2:$D$1001,SUMPRODUCT(('تشخيص الحالات'!$B$2:$B$1001=B176)*('تشخيص الحالات'!$G$2:$G$1001=7)*ROW('تشخيص الحالات'!$B$2:$B$1001))-1),""),"")&amp;IF(SUMPRODUCT(('تشخيص الحالات'!$B$2:$B$1001=B176)*('تشخيص الحالات'!$G$2:$G$1001=8))&gt;0,"، "&amp;IFERROR(INDEX('تشخيص الحالات'!$D$2:$D$1001,SUMPRODUCT(('تشخيص الحالات'!$B$2:$B$1001=B176)*('تشخيص الحالات'!$G$2:$G$1001=8)*ROW('تشخيص الحالات'!$B$2:$B$1001))-1),""),"")</f>
        <v>فرط الحركة وتشتت الانتباه</v>
      </c>
      <c r="J176" s="1">
        <v>95</v>
      </c>
      <c r="K176" s="1" t="s">
        <v>38</v>
      </c>
      <c r="L176" s="1">
        <v>3000</v>
      </c>
      <c r="M176" s="1" t="s">
        <v>40</v>
      </c>
      <c r="N176" s="1">
        <v>0</v>
      </c>
      <c r="O176" s="1">
        <v>3</v>
      </c>
      <c r="P176" s="1">
        <v>0</v>
      </c>
      <c r="Q176" s="1">
        <v>4</v>
      </c>
      <c r="R176" s="1">
        <v>0</v>
      </c>
      <c r="S176" s="1">
        <v>3</v>
      </c>
      <c r="T176">
        <f>SUM(tbl_Beneficiaries[[#This Row],[ التربية الخاصة ]:[ التأهيل النفسي الحركي ]])</f>
        <v>10</v>
      </c>
    </row>
    <row r="177" spans="1:20" x14ac:dyDescent="0.2">
      <c r="A177" s="1">
        <v>176</v>
      </c>
      <c r="B177" s="1">
        <v>1216832990</v>
      </c>
      <c r="C177" s="1" t="s">
        <v>129</v>
      </c>
      <c r="D177" s="1" t="s">
        <v>3</v>
      </c>
      <c r="E177" s="3">
        <v>44142</v>
      </c>
      <c r="F177" s="1" t="s">
        <v>357</v>
      </c>
      <c r="G177" s="1" t="s">
        <v>0</v>
      </c>
      <c r="H177" s="3">
        <v>45038</v>
      </c>
      <c r="I177" t="str">
        <f>IFERROR(INDEX('تشخيص الحالات'!$D$2:$D$1001,SUMPRODUCT(('تشخيص الحالات'!$B$2:$B$1001=B177)*('تشخيص الحالات'!$G$2:$G$1001=1)*ROW('تشخيص الحالات'!$B$2:$B$1001))-1),"")&amp;IF(SUMPRODUCT(('تشخيص الحالات'!$B$2:$B$1001=B177)*('تشخيص الحالات'!$G$2:$G$1001=2))&gt;0,"، "&amp;IFERROR(INDEX('تشخيص الحالات'!$D$2:$D$1001,SUMPRODUCT(('تشخيص الحالات'!$B$2:$B$1001=B177)*('تشخيص الحالات'!$G$2:$G$1001=2)*ROW('تشخيص الحالات'!$B$2:$B$1001))-1),""),"")&amp;IF(SUMPRODUCT(('تشخيص الحالات'!$B$2:$B$1001=B177)*('تشخيص الحالات'!$G$2:$G$1001=3))&gt;0,"، "&amp;IFERROR(INDEX('تشخيص الحالات'!$D$2:$D$1001,SUMPRODUCT(('تشخيص الحالات'!$B$2:$B$1001=B177)*('تشخيص الحالات'!$G$2:$G$1001=3)*ROW('تشخيص الحالات'!$B$2:$B$1001))-1),""),"")&amp;IF(SUMPRODUCT(('تشخيص الحالات'!$B$2:$B$1001=B177)*('تشخيص الحالات'!$G$2:$G$1001=4))&gt;0,"، "&amp;IFERROR(INDEX('تشخيص الحالات'!$D$2:$D$1001,SUMPRODUCT(('تشخيص الحالات'!$B$2:$B$1001=B177)*('تشخيص الحالات'!$G$2:$G$1001=4)*ROW('تشخيص الحالات'!$B$2:$B$1001))-1),""),"")&amp;IF(SUMPRODUCT(('تشخيص الحالات'!$B$2:$B$1001=B177)*('تشخيص الحالات'!$G$2:$G$1001=5))&gt;0,"، "&amp;IFERROR(INDEX('تشخيص الحالات'!$D$2:$D$1001,SUMPRODUCT(('تشخيص الحالات'!$B$2:$B$1001=B177)*('تشخيص الحالات'!$G$2:$G$1001=5)*ROW('تشخيص الحالات'!$B$2:$B$1001))-1),""),"")&amp;IF(SUMPRODUCT(('تشخيص الحالات'!$B$2:$B$1001=B177)*('تشخيص الحالات'!$G$2:$G$1001=6))&gt;0,"، "&amp;IFERROR(INDEX('تشخيص الحالات'!$D$2:$D$1001,SUMPRODUCT(('تشخيص الحالات'!$B$2:$B$1001=B177)*('تشخيص الحالات'!$G$2:$G$1001=6)*ROW('تشخيص الحالات'!$B$2:$B$1001))-1),""),"")&amp;IF(SUMPRODUCT(('تشخيص الحالات'!$B$2:$B$1001=B177)*('تشخيص الحالات'!$G$2:$G$1001=7))&gt;0,"، "&amp;IFERROR(INDEX('تشخيص الحالات'!$D$2:$D$1001,SUMPRODUCT(('تشخيص الحالات'!$B$2:$B$1001=B177)*('تشخيص الحالات'!$G$2:$G$1001=7)*ROW('تشخيص الحالات'!$B$2:$B$1001))-1),""),"")&amp;IF(SUMPRODUCT(('تشخيص الحالات'!$B$2:$B$1001=B177)*('تشخيص الحالات'!$G$2:$G$1001=8))&gt;0,"، "&amp;IFERROR(INDEX('تشخيص الحالات'!$D$2:$D$1001,SUMPRODUCT(('تشخيص الحالات'!$B$2:$B$1001=B177)*('تشخيص الحالات'!$G$2:$G$1001=8)*ROW('تشخيص الحالات'!$B$2:$B$1001))-1),""),"")</f>
        <v>صعوبات تعلم، متلازمة داون</v>
      </c>
      <c r="J177" s="1">
        <v>70</v>
      </c>
      <c r="K177" s="1" t="s">
        <v>38</v>
      </c>
      <c r="L177" s="1">
        <v>3000</v>
      </c>
      <c r="M177" s="1" t="s">
        <v>41</v>
      </c>
      <c r="N177" s="1">
        <v>8</v>
      </c>
      <c r="O177" s="1">
        <v>0</v>
      </c>
      <c r="P177" s="1">
        <v>4</v>
      </c>
      <c r="Q177" s="1">
        <v>0</v>
      </c>
      <c r="R177" s="1">
        <v>2</v>
      </c>
      <c r="S177" s="1">
        <v>0</v>
      </c>
      <c r="T177">
        <f>SUM(tbl_Beneficiaries[[#This Row],[ التربية الخاصة ]:[ التأهيل النفسي الحركي ]])</f>
        <v>14</v>
      </c>
    </row>
    <row r="178" spans="1:20" x14ac:dyDescent="0.2">
      <c r="A178" s="1">
        <v>177</v>
      </c>
      <c r="B178" s="1">
        <v>1817449144</v>
      </c>
      <c r="C178" s="1" t="s">
        <v>500</v>
      </c>
      <c r="D178" s="1" t="s">
        <v>3</v>
      </c>
      <c r="E178" s="3">
        <v>40201</v>
      </c>
      <c r="F178" s="1" t="s">
        <v>358</v>
      </c>
      <c r="G178" s="1" t="s">
        <v>4</v>
      </c>
      <c r="H178" s="3">
        <v>44566</v>
      </c>
      <c r="I178" t="str">
        <f>IFERROR(INDEX('تشخيص الحالات'!$D$2:$D$1001,SUMPRODUCT(('تشخيص الحالات'!$B$2:$B$1001=B178)*('تشخيص الحالات'!$G$2:$G$1001=1)*ROW('تشخيص الحالات'!$B$2:$B$1001))-1),"")&amp;IF(SUMPRODUCT(('تشخيص الحالات'!$B$2:$B$1001=B178)*('تشخيص الحالات'!$G$2:$G$1001=2))&gt;0,"، "&amp;IFERROR(INDEX('تشخيص الحالات'!$D$2:$D$1001,SUMPRODUCT(('تشخيص الحالات'!$B$2:$B$1001=B178)*('تشخيص الحالات'!$G$2:$G$1001=2)*ROW('تشخيص الحالات'!$B$2:$B$1001))-1),""),"")&amp;IF(SUMPRODUCT(('تشخيص الحالات'!$B$2:$B$1001=B178)*('تشخيص الحالات'!$G$2:$G$1001=3))&gt;0,"، "&amp;IFERROR(INDEX('تشخيص الحالات'!$D$2:$D$1001,SUMPRODUCT(('تشخيص الحالات'!$B$2:$B$1001=B178)*('تشخيص الحالات'!$G$2:$G$1001=3)*ROW('تشخيص الحالات'!$B$2:$B$1001))-1),""),"")&amp;IF(SUMPRODUCT(('تشخيص الحالات'!$B$2:$B$1001=B178)*('تشخيص الحالات'!$G$2:$G$1001=4))&gt;0,"، "&amp;IFERROR(INDEX('تشخيص الحالات'!$D$2:$D$1001,SUMPRODUCT(('تشخيص الحالات'!$B$2:$B$1001=B178)*('تشخيص الحالات'!$G$2:$G$1001=4)*ROW('تشخيص الحالات'!$B$2:$B$1001))-1),""),"")&amp;IF(SUMPRODUCT(('تشخيص الحالات'!$B$2:$B$1001=B178)*('تشخيص الحالات'!$G$2:$G$1001=5))&gt;0,"، "&amp;IFERROR(INDEX('تشخيص الحالات'!$D$2:$D$1001,SUMPRODUCT(('تشخيص الحالات'!$B$2:$B$1001=B178)*('تشخيص الحالات'!$G$2:$G$1001=5)*ROW('تشخيص الحالات'!$B$2:$B$1001))-1),""),"")&amp;IF(SUMPRODUCT(('تشخيص الحالات'!$B$2:$B$1001=B178)*('تشخيص الحالات'!$G$2:$G$1001=6))&gt;0,"، "&amp;IFERROR(INDEX('تشخيص الحالات'!$D$2:$D$1001,SUMPRODUCT(('تشخيص الحالات'!$B$2:$B$1001=B178)*('تشخيص الحالات'!$G$2:$G$1001=6)*ROW('تشخيص الحالات'!$B$2:$B$1001))-1),""),"")&amp;IF(SUMPRODUCT(('تشخيص الحالات'!$B$2:$B$1001=B178)*('تشخيص الحالات'!$G$2:$G$1001=7))&gt;0,"، "&amp;IFERROR(INDEX('تشخيص الحالات'!$D$2:$D$1001,SUMPRODUCT(('تشخيص الحالات'!$B$2:$B$1001=B178)*('تشخيص الحالات'!$G$2:$G$1001=7)*ROW('تشخيص الحالات'!$B$2:$B$1001))-1),""),"")&amp;IF(SUMPRODUCT(('تشخيص الحالات'!$B$2:$B$1001=B178)*('تشخيص الحالات'!$G$2:$G$1001=8))&gt;0,"، "&amp;IFERROR(INDEX('تشخيص الحالات'!$D$2:$D$1001,SUMPRODUCT(('تشخيص الحالات'!$B$2:$B$1001=B178)*('تشخيص الحالات'!$G$2:$G$1001=8)*ROW('تشخيص الحالات'!$B$2:$B$1001))-1),""),"")</f>
        <v>فرط الحركة وتشتت الانتباه</v>
      </c>
      <c r="J178" s="1">
        <v>41</v>
      </c>
      <c r="K178" s="1" t="s">
        <v>38</v>
      </c>
      <c r="L178" s="1">
        <v>2000</v>
      </c>
      <c r="M178" s="1" t="s">
        <v>43</v>
      </c>
      <c r="N178" s="1">
        <v>0</v>
      </c>
      <c r="O178" s="1">
        <v>0</v>
      </c>
      <c r="P178" s="1">
        <v>0</v>
      </c>
      <c r="Q178" s="1">
        <v>1</v>
      </c>
      <c r="R178" s="1">
        <v>0</v>
      </c>
      <c r="S178" s="1">
        <v>5</v>
      </c>
      <c r="T178">
        <f>SUM(tbl_Beneficiaries[[#This Row],[ التربية الخاصة ]:[ التأهيل النفسي الحركي ]])</f>
        <v>6</v>
      </c>
    </row>
    <row r="179" spans="1:20" x14ac:dyDescent="0.2">
      <c r="A179" s="1">
        <v>178</v>
      </c>
      <c r="B179" s="1">
        <v>1548238329</v>
      </c>
      <c r="C179" s="1" t="s">
        <v>501</v>
      </c>
      <c r="D179" s="1" t="s">
        <v>7</v>
      </c>
      <c r="E179" s="3">
        <v>40973</v>
      </c>
      <c r="F179" s="1" t="s">
        <v>360</v>
      </c>
      <c r="G179" s="1" t="s">
        <v>4</v>
      </c>
      <c r="H179" s="3">
        <v>45443</v>
      </c>
      <c r="I179" t="str">
        <f>IFERROR(INDEX('تشخيص الحالات'!$D$2:$D$1001,SUMPRODUCT(('تشخيص الحالات'!$B$2:$B$1001=B179)*('تشخيص الحالات'!$G$2:$G$1001=1)*ROW('تشخيص الحالات'!$B$2:$B$1001))-1),"")&amp;IF(SUMPRODUCT(('تشخيص الحالات'!$B$2:$B$1001=B179)*('تشخيص الحالات'!$G$2:$G$1001=2))&gt;0,"، "&amp;IFERROR(INDEX('تشخيص الحالات'!$D$2:$D$1001,SUMPRODUCT(('تشخيص الحالات'!$B$2:$B$1001=B179)*('تشخيص الحالات'!$G$2:$G$1001=2)*ROW('تشخيص الحالات'!$B$2:$B$1001))-1),""),"")&amp;IF(SUMPRODUCT(('تشخيص الحالات'!$B$2:$B$1001=B179)*('تشخيص الحالات'!$G$2:$G$1001=3))&gt;0,"، "&amp;IFERROR(INDEX('تشخيص الحالات'!$D$2:$D$1001,SUMPRODUCT(('تشخيص الحالات'!$B$2:$B$1001=B179)*('تشخيص الحالات'!$G$2:$G$1001=3)*ROW('تشخيص الحالات'!$B$2:$B$1001))-1),""),"")&amp;IF(SUMPRODUCT(('تشخيص الحالات'!$B$2:$B$1001=B179)*('تشخيص الحالات'!$G$2:$G$1001=4))&gt;0,"، "&amp;IFERROR(INDEX('تشخيص الحالات'!$D$2:$D$1001,SUMPRODUCT(('تشخيص الحالات'!$B$2:$B$1001=B179)*('تشخيص الحالات'!$G$2:$G$1001=4)*ROW('تشخيص الحالات'!$B$2:$B$1001))-1),""),"")&amp;IF(SUMPRODUCT(('تشخيص الحالات'!$B$2:$B$1001=B179)*('تشخيص الحالات'!$G$2:$G$1001=5))&gt;0,"، "&amp;IFERROR(INDEX('تشخيص الحالات'!$D$2:$D$1001,SUMPRODUCT(('تشخيص الحالات'!$B$2:$B$1001=B179)*('تشخيص الحالات'!$G$2:$G$1001=5)*ROW('تشخيص الحالات'!$B$2:$B$1001))-1),""),"")&amp;IF(SUMPRODUCT(('تشخيص الحالات'!$B$2:$B$1001=B179)*('تشخيص الحالات'!$G$2:$G$1001=6))&gt;0,"، "&amp;IFERROR(INDEX('تشخيص الحالات'!$D$2:$D$1001,SUMPRODUCT(('تشخيص الحالات'!$B$2:$B$1001=B179)*('تشخيص الحالات'!$G$2:$G$1001=6)*ROW('تشخيص الحالات'!$B$2:$B$1001))-1),""),"")&amp;IF(SUMPRODUCT(('تشخيص الحالات'!$B$2:$B$1001=B179)*('تشخيص الحالات'!$G$2:$G$1001=7))&gt;0,"، "&amp;IFERROR(INDEX('تشخيص الحالات'!$D$2:$D$1001,SUMPRODUCT(('تشخيص الحالات'!$B$2:$B$1001=B179)*('تشخيص الحالات'!$G$2:$G$1001=7)*ROW('تشخيص الحالات'!$B$2:$B$1001))-1),""),"")&amp;IF(SUMPRODUCT(('تشخيص الحالات'!$B$2:$B$1001=B179)*('تشخيص الحالات'!$G$2:$G$1001=8))&gt;0,"، "&amp;IFERROR(INDEX('تشخيص الحالات'!$D$2:$D$1001,SUMPRODUCT(('تشخيص الحالات'!$B$2:$B$1001=B179)*('تشخيص الحالات'!$G$2:$G$1001=8)*ROW('تشخيص الحالات'!$B$2:$B$1001))-1),""),"")</f>
        <v>مشكلات لغوية، تأخر حركي، اضطراب نفسي حركي، تأخر نمائي</v>
      </c>
      <c r="J179" s="1">
        <v>83</v>
      </c>
      <c r="K179" s="1" t="s">
        <v>38</v>
      </c>
      <c r="L179" s="1">
        <v>2500</v>
      </c>
      <c r="M179" s="1" t="s">
        <v>43</v>
      </c>
      <c r="N179" s="1">
        <v>9</v>
      </c>
      <c r="O179" s="1">
        <v>7</v>
      </c>
      <c r="P179" s="1">
        <v>0</v>
      </c>
      <c r="Q179" s="1">
        <v>0</v>
      </c>
      <c r="R179" s="1">
        <v>2</v>
      </c>
      <c r="S179" s="1">
        <v>9</v>
      </c>
      <c r="T179">
        <f>SUM(tbl_Beneficiaries[[#This Row],[ التربية الخاصة ]:[ التأهيل النفسي الحركي ]])</f>
        <v>27</v>
      </c>
    </row>
    <row r="180" spans="1:20" x14ac:dyDescent="0.2">
      <c r="A180" s="1">
        <v>179</v>
      </c>
      <c r="B180" s="1">
        <v>1392511676</v>
      </c>
      <c r="C180" s="1" t="s">
        <v>502</v>
      </c>
      <c r="D180" s="1" t="s">
        <v>3</v>
      </c>
      <c r="E180" s="3">
        <v>44013</v>
      </c>
      <c r="F180" s="1" t="s">
        <v>357</v>
      </c>
      <c r="G180" s="1" t="s">
        <v>1</v>
      </c>
      <c r="H180" s="3">
        <v>45289</v>
      </c>
      <c r="I180" t="str">
        <f>IFERROR(INDEX('تشخيص الحالات'!$D$2:$D$1001,SUMPRODUCT(('تشخيص الحالات'!$B$2:$B$1001=B180)*('تشخيص الحالات'!$G$2:$G$1001=1)*ROW('تشخيص الحالات'!$B$2:$B$1001))-1),"")&amp;IF(SUMPRODUCT(('تشخيص الحالات'!$B$2:$B$1001=B180)*('تشخيص الحالات'!$G$2:$G$1001=2))&gt;0,"، "&amp;IFERROR(INDEX('تشخيص الحالات'!$D$2:$D$1001,SUMPRODUCT(('تشخيص الحالات'!$B$2:$B$1001=B180)*('تشخيص الحالات'!$G$2:$G$1001=2)*ROW('تشخيص الحالات'!$B$2:$B$1001))-1),""),"")&amp;IF(SUMPRODUCT(('تشخيص الحالات'!$B$2:$B$1001=B180)*('تشخيص الحالات'!$G$2:$G$1001=3))&gt;0,"، "&amp;IFERROR(INDEX('تشخيص الحالات'!$D$2:$D$1001,SUMPRODUCT(('تشخيص الحالات'!$B$2:$B$1001=B180)*('تشخيص الحالات'!$G$2:$G$1001=3)*ROW('تشخيص الحالات'!$B$2:$B$1001))-1),""),"")&amp;IF(SUMPRODUCT(('تشخيص الحالات'!$B$2:$B$1001=B180)*('تشخيص الحالات'!$G$2:$G$1001=4))&gt;0,"، "&amp;IFERROR(INDEX('تشخيص الحالات'!$D$2:$D$1001,SUMPRODUCT(('تشخيص الحالات'!$B$2:$B$1001=B180)*('تشخيص الحالات'!$G$2:$G$1001=4)*ROW('تشخيص الحالات'!$B$2:$B$1001))-1),""),"")&amp;IF(SUMPRODUCT(('تشخيص الحالات'!$B$2:$B$1001=B180)*('تشخيص الحالات'!$G$2:$G$1001=5))&gt;0,"، "&amp;IFERROR(INDEX('تشخيص الحالات'!$D$2:$D$1001,SUMPRODUCT(('تشخيص الحالات'!$B$2:$B$1001=B180)*('تشخيص الحالات'!$G$2:$G$1001=5)*ROW('تشخيص الحالات'!$B$2:$B$1001))-1),""),"")&amp;IF(SUMPRODUCT(('تشخيص الحالات'!$B$2:$B$1001=B180)*('تشخيص الحالات'!$G$2:$G$1001=6))&gt;0,"، "&amp;IFERROR(INDEX('تشخيص الحالات'!$D$2:$D$1001,SUMPRODUCT(('تشخيص الحالات'!$B$2:$B$1001=B180)*('تشخيص الحالات'!$G$2:$G$1001=6)*ROW('تشخيص الحالات'!$B$2:$B$1001))-1),""),"")&amp;IF(SUMPRODUCT(('تشخيص الحالات'!$B$2:$B$1001=B180)*('تشخيص الحالات'!$G$2:$G$1001=7))&gt;0,"، "&amp;IFERROR(INDEX('تشخيص الحالات'!$D$2:$D$1001,SUMPRODUCT(('تشخيص الحالات'!$B$2:$B$1001=B180)*('تشخيص الحالات'!$G$2:$G$1001=7)*ROW('تشخيص الحالات'!$B$2:$B$1001))-1),""),"")&amp;IF(SUMPRODUCT(('تشخيص الحالات'!$B$2:$B$1001=B180)*('تشخيص الحالات'!$G$2:$G$1001=8))&gt;0,"، "&amp;IFERROR(INDEX('تشخيص الحالات'!$D$2:$D$1001,SUMPRODUCT(('تشخيص الحالات'!$B$2:$B$1001=B180)*('تشخيص الحالات'!$G$2:$G$1001=8)*ROW('تشخيص الحالات'!$B$2:$B$1001))-1),""),"")</f>
        <v>اضطراب نفسي، فرط الحركة وتشتت الانتباه</v>
      </c>
      <c r="J180" s="1">
        <v>97</v>
      </c>
      <c r="K180" s="1" t="s">
        <v>39</v>
      </c>
      <c r="L180" s="1">
        <v>3500</v>
      </c>
      <c r="M180" s="1" t="s">
        <v>43</v>
      </c>
      <c r="N180" s="1">
        <v>0</v>
      </c>
      <c r="O180" s="1">
        <v>2</v>
      </c>
      <c r="P180" s="1">
        <v>4</v>
      </c>
      <c r="Q180" s="1">
        <v>0</v>
      </c>
      <c r="R180" s="1">
        <v>0</v>
      </c>
      <c r="S180" s="1">
        <v>0</v>
      </c>
      <c r="T180">
        <f>SUM(tbl_Beneficiaries[[#This Row],[ التربية الخاصة ]:[ التأهيل النفسي الحركي ]])</f>
        <v>6</v>
      </c>
    </row>
    <row r="181" spans="1:20" x14ac:dyDescent="0.2">
      <c r="A181" s="1">
        <v>180</v>
      </c>
      <c r="B181" s="1">
        <v>1502704604</v>
      </c>
      <c r="C181" s="1" t="s">
        <v>130</v>
      </c>
      <c r="D181" s="1" t="s">
        <v>3</v>
      </c>
      <c r="E181" s="3">
        <v>42537</v>
      </c>
      <c r="F181" s="1" t="s">
        <v>361</v>
      </c>
      <c r="G181" s="1" t="s">
        <v>0</v>
      </c>
      <c r="H181" s="3">
        <v>45472</v>
      </c>
      <c r="I181" t="str">
        <f>IFERROR(INDEX('تشخيص الحالات'!$D$2:$D$1001,SUMPRODUCT(('تشخيص الحالات'!$B$2:$B$1001=B181)*('تشخيص الحالات'!$G$2:$G$1001=1)*ROW('تشخيص الحالات'!$B$2:$B$1001))-1),"")&amp;IF(SUMPRODUCT(('تشخيص الحالات'!$B$2:$B$1001=B181)*('تشخيص الحالات'!$G$2:$G$1001=2))&gt;0,"، "&amp;IFERROR(INDEX('تشخيص الحالات'!$D$2:$D$1001,SUMPRODUCT(('تشخيص الحالات'!$B$2:$B$1001=B181)*('تشخيص الحالات'!$G$2:$G$1001=2)*ROW('تشخيص الحالات'!$B$2:$B$1001))-1),""),"")&amp;IF(SUMPRODUCT(('تشخيص الحالات'!$B$2:$B$1001=B181)*('تشخيص الحالات'!$G$2:$G$1001=3))&gt;0,"، "&amp;IFERROR(INDEX('تشخيص الحالات'!$D$2:$D$1001,SUMPRODUCT(('تشخيص الحالات'!$B$2:$B$1001=B181)*('تشخيص الحالات'!$G$2:$G$1001=3)*ROW('تشخيص الحالات'!$B$2:$B$1001))-1),""),"")&amp;IF(SUMPRODUCT(('تشخيص الحالات'!$B$2:$B$1001=B181)*('تشخيص الحالات'!$G$2:$G$1001=4))&gt;0,"، "&amp;IFERROR(INDEX('تشخيص الحالات'!$D$2:$D$1001,SUMPRODUCT(('تشخيص الحالات'!$B$2:$B$1001=B181)*('تشخيص الحالات'!$G$2:$G$1001=4)*ROW('تشخيص الحالات'!$B$2:$B$1001))-1),""),"")&amp;IF(SUMPRODUCT(('تشخيص الحالات'!$B$2:$B$1001=B181)*('تشخيص الحالات'!$G$2:$G$1001=5))&gt;0,"، "&amp;IFERROR(INDEX('تشخيص الحالات'!$D$2:$D$1001,SUMPRODUCT(('تشخيص الحالات'!$B$2:$B$1001=B181)*('تشخيص الحالات'!$G$2:$G$1001=5)*ROW('تشخيص الحالات'!$B$2:$B$1001))-1),""),"")&amp;IF(SUMPRODUCT(('تشخيص الحالات'!$B$2:$B$1001=B181)*('تشخيص الحالات'!$G$2:$G$1001=6))&gt;0,"، "&amp;IFERROR(INDEX('تشخيص الحالات'!$D$2:$D$1001,SUMPRODUCT(('تشخيص الحالات'!$B$2:$B$1001=B181)*('تشخيص الحالات'!$G$2:$G$1001=6)*ROW('تشخيص الحالات'!$B$2:$B$1001))-1),""),"")&amp;IF(SUMPRODUCT(('تشخيص الحالات'!$B$2:$B$1001=B181)*('تشخيص الحالات'!$G$2:$G$1001=7))&gt;0,"، "&amp;IFERROR(INDEX('تشخيص الحالات'!$D$2:$D$1001,SUMPRODUCT(('تشخيص الحالات'!$B$2:$B$1001=B181)*('تشخيص الحالات'!$G$2:$G$1001=7)*ROW('تشخيص الحالات'!$B$2:$B$1001))-1),""),"")&amp;IF(SUMPRODUCT(('تشخيص الحالات'!$B$2:$B$1001=B181)*('تشخيص الحالات'!$G$2:$G$1001=8))&gt;0,"، "&amp;IFERROR(INDEX('تشخيص الحالات'!$D$2:$D$1001,SUMPRODUCT(('تشخيص الحالات'!$B$2:$B$1001=B181)*('تشخيص الحالات'!$G$2:$G$1001=8)*ROW('تشخيص الحالات'!$B$2:$B$1001))-1),""),"")</f>
        <v>مشكلات لغوية، فرط الحركة وتشتت الانتباه، إعاقة سمعية، إعاقة ذهنية</v>
      </c>
      <c r="J181" s="1">
        <v>70</v>
      </c>
      <c r="K181" s="1" t="s">
        <v>38</v>
      </c>
      <c r="L181" s="1">
        <v>1500</v>
      </c>
      <c r="M181" s="1" t="s">
        <v>41</v>
      </c>
      <c r="N181" s="1">
        <v>1</v>
      </c>
      <c r="O181" s="1">
        <v>8</v>
      </c>
      <c r="P181" s="1">
        <v>7</v>
      </c>
      <c r="Q181" s="1">
        <v>0</v>
      </c>
      <c r="R181" s="1">
        <v>0</v>
      </c>
      <c r="S181" s="1">
        <v>1</v>
      </c>
      <c r="T181">
        <f>SUM(tbl_Beneficiaries[[#This Row],[ التربية الخاصة ]:[ التأهيل النفسي الحركي ]])</f>
        <v>17</v>
      </c>
    </row>
    <row r="182" spans="1:20" x14ac:dyDescent="0.2">
      <c r="A182" s="1">
        <v>181</v>
      </c>
      <c r="B182" s="1">
        <v>1506829260</v>
      </c>
      <c r="C182" s="1" t="s">
        <v>503</v>
      </c>
      <c r="D182" s="1" t="s">
        <v>7</v>
      </c>
      <c r="E182" s="3">
        <v>41901</v>
      </c>
      <c r="F182" s="1" t="s">
        <v>357</v>
      </c>
      <c r="G182" s="1" t="s">
        <v>4</v>
      </c>
      <c r="H182" s="3">
        <v>45524</v>
      </c>
      <c r="I182" t="str">
        <f>IFERROR(INDEX('تشخيص الحالات'!$D$2:$D$1001,SUMPRODUCT(('تشخيص الحالات'!$B$2:$B$1001=B182)*('تشخيص الحالات'!$G$2:$G$1001=1)*ROW('تشخيص الحالات'!$B$2:$B$1001))-1),"")&amp;IF(SUMPRODUCT(('تشخيص الحالات'!$B$2:$B$1001=B182)*('تشخيص الحالات'!$G$2:$G$1001=2))&gt;0,"، "&amp;IFERROR(INDEX('تشخيص الحالات'!$D$2:$D$1001,SUMPRODUCT(('تشخيص الحالات'!$B$2:$B$1001=B182)*('تشخيص الحالات'!$G$2:$G$1001=2)*ROW('تشخيص الحالات'!$B$2:$B$1001))-1),""),"")&amp;IF(SUMPRODUCT(('تشخيص الحالات'!$B$2:$B$1001=B182)*('تشخيص الحالات'!$G$2:$G$1001=3))&gt;0,"، "&amp;IFERROR(INDEX('تشخيص الحالات'!$D$2:$D$1001,SUMPRODUCT(('تشخيص الحالات'!$B$2:$B$1001=B182)*('تشخيص الحالات'!$G$2:$G$1001=3)*ROW('تشخيص الحالات'!$B$2:$B$1001))-1),""),"")&amp;IF(SUMPRODUCT(('تشخيص الحالات'!$B$2:$B$1001=B182)*('تشخيص الحالات'!$G$2:$G$1001=4))&gt;0,"، "&amp;IFERROR(INDEX('تشخيص الحالات'!$D$2:$D$1001,SUMPRODUCT(('تشخيص الحالات'!$B$2:$B$1001=B182)*('تشخيص الحالات'!$G$2:$G$1001=4)*ROW('تشخيص الحالات'!$B$2:$B$1001))-1),""),"")&amp;IF(SUMPRODUCT(('تشخيص الحالات'!$B$2:$B$1001=B182)*('تشخيص الحالات'!$G$2:$G$1001=5))&gt;0,"، "&amp;IFERROR(INDEX('تشخيص الحالات'!$D$2:$D$1001,SUMPRODUCT(('تشخيص الحالات'!$B$2:$B$1001=B182)*('تشخيص الحالات'!$G$2:$G$1001=5)*ROW('تشخيص الحالات'!$B$2:$B$1001))-1),""),"")&amp;IF(SUMPRODUCT(('تشخيص الحالات'!$B$2:$B$1001=B182)*('تشخيص الحالات'!$G$2:$G$1001=6))&gt;0,"، "&amp;IFERROR(INDEX('تشخيص الحالات'!$D$2:$D$1001,SUMPRODUCT(('تشخيص الحالات'!$B$2:$B$1001=B182)*('تشخيص الحالات'!$G$2:$G$1001=6)*ROW('تشخيص الحالات'!$B$2:$B$1001))-1),""),"")&amp;IF(SUMPRODUCT(('تشخيص الحالات'!$B$2:$B$1001=B182)*('تشخيص الحالات'!$G$2:$G$1001=7))&gt;0,"، "&amp;IFERROR(INDEX('تشخيص الحالات'!$D$2:$D$1001,SUMPRODUCT(('تشخيص الحالات'!$B$2:$B$1001=B182)*('تشخيص الحالات'!$G$2:$G$1001=7)*ROW('تشخيص الحالات'!$B$2:$B$1001))-1),""),"")&amp;IF(SUMPRODUCT(('تشخيص الحالات'!$B$2:$B$1001=B182)*('تشخيص الحالات'!$G$2:$G$1001=8))&gt;0,"، "&amp;IFERROR(INDEX('تشخيص الحالات'!$D$2:$D$1001,SUMPRODUCT(('تشخيص الحالات'!$B$2:$B$1001=B182)*('تشخيص الحالات'!$G$2:$G$1001=8)*ROW('تشخيص الحالات'!$B$2:$B$1001))-1),""),"")</f>
        <v>إعاقة بصرية، إعاقة ذهنية</v>
      </c>
      <c r="J182" s="1">
        <v>40</v>
      </c>
      <c r="K182" s="1" t="s">
        <v>39</v>
      </c>
      <c r="L182" s="1">
        <v>3500</v>
      </c>
      <c r="M182" s="1" t="s">
        <v>40</v>
      </c>
      <c r="N182" s="1">
        <v>6</v>
      </c>
      <c r="O182" s="1">
        <v>7</v>
      </c>
      <c r="P182" s="1">
        <v>0</v>
      </c>
      <c r="Q182" s="1">
        <v>9</v>
      </c>
      <c r="R182" s="1">
        <v>0</v>
      </c>
      <c r="S182" s="1">
        <v>8</v>
      </c>
      <c r="T182">
        <f>SUM(tbl_Beneficiaries[[#This Row],[ التربية الخاصة ]:[ التأهيل النفسي الحركي ]])</f>
        <v>30</v>
      </c>
    </row>
    <row r="183" spans="1:20" x14ac:dyDescent="0.2">
      <c r="A183" s="1">
        <v>182</v>
      </c>
      <c r="B183" s="1">
        <v>1207180707</v>
      </c>
      <c r="C183" s="1" t="s">
        <v>504</v>
      </c>
      <c r="D183" s="1" t="s">
        <v>3</v>
      </c>
      <c r="E183" s="3">
        <v>40366</v>
      </c>
      <c r="F183" s="1" t="s">
        <v>359</v>
      </c>
      <c r="G183" s="1" t="s">
        <v>1</v>
      </c>
      <c r="H183" s="3">
        <v>45385</v>
      </c>
      <c r="I183" t="str">
        <f>IFERROR(INDEX('تشخيص الحالات'!$D$2:$D$1001,SUMPRODUCT(('تشخيص الحالات'!$B$2:$B$1001=B183)*('تشخيص الحالات'!$G$2:$G$1001=1)*ROW('تشخيص الحالات'!$B$2:$B$1001))-1),"")&amp;IF(SUMPRODUCT(('تشخيص الحالات'!$B$2:$B$1001=B183)*('تشخيص الحالات'!$G$2:$G$1001=2))&gt;0,"، "&amp;IFERROR(INDEX('تشخيص الحالات'!$D$2:$D$1001,SUMPRODUCT(('تشخيص الحالات'!$B$2:$B$1001=B183)*('تشخيص الحالات'!$G$2:$G$1001=2)*ROW('تشخيص الحالات'!$B$2:$B$1001))-1),""),"")&amp;IF(SUMPRODUCT(('تشخيص الحالات'!$B$2:$B$1001=B183)*('تشخيص الحالات'!$G$2:$G$1001=3))&gt;0,"، "&amp;IFERROR(INDEX('تشخيص الحالات'!$D$2:$D$1001,SUMPRODUCT(('تشخيص الحالات'!$B$2:$B$1001=B183)*('تشخيص الحالات'!$G$2:$G$1001=3)*ROW('تشخيص الحالات'!$B$2:$B$1001))-1),""),"")&amp;IF(SUMPRODUCT(('تشخيص الحالات'!$B$2:$B$1001=B183)*('تشخيص الحالات'!$G$2:$G$1001=4))&gt;0,"، "&amp;IFERROR(INDEX('تشخيص الحالات'!$D$2:$D$1001,SUMPRODUCT(('تشخيص الحالات'!$B$2:$B$1001=B183)*('تشخيص الحالات'!$G$2:$G$1001=4)*ROW('تشخيص الحالات'!$B$2:$B$1001))-1),""),"")&amp;IF(SUMPRODUCT(('تشخيص الحالات'!$B$2:$B$1001=B183)*('تشخيص الحالات'!$G$2:$G$1001=5))&gt;0,"، "&amp;IFERROR(INDEX('تشخيص الحالات'!$D$2:$D$1001,SUMPRODUCT(('تشخيص الحالات'!$B$2:$B$1001=B183)*('تشخيص الحالات'!$G$2:$G$1001=5)*ROW('تشخيص الحالات'!$B$2:$B$1001))-1),""),"")&amp;IF(SUMPRODUCT(('تشخيص الحالات'!$B$2:$B$1001=B183)*('تشخيص الحالات'!$G$2:$G$1001=6))&gt;0,"، "&amp;IFERROR(INDEX('تشخيص الحالات'!$D$2:$D$1001,SUMPRODUCT(('تشخيص الحالات'!$B$2:$B$1001=B183)*('تشخيص الحالات'!$G$2:$G$1001=6)*ROW('تشخيص الحالات'!$B$2:$B$1001))-1),""),"")&amp;IF(SUMPRODUCT(('تشخيص الحالات'!$B$2:$B$1001=B183)*('تشخيص الحالات'!$G$2:$G$1001=7))&gt;0,"، "&amp;IFERROR(INDEX('تشخيص الحالات'!$D$2:$D$1001,SUMPRODUCT(('تشخيص الحالات'!$B$2:$B$1001=B183)*('تشخيص الحالات'!$G$2:$G$1001=7)*ROW('تشخيص الحالات'!$B$2:$B$1001))-1),""),"")&amp;IF(SUMPRODUCT(('تشخيص الحالات'!$B$2:$B$1001=B183)*('تشخيص الحالات'!$G$2:$G$1001=8))&gt;0,"، "&amp;IFERROR(INDEX('تشخيص الحالات'!$D$2:$D$1001,SUMPRODUCT(('تشخيص الحالات'!$B$2:$B$1001=B183)*('تشخيص الحالات'!$G$2:$G$1001=8)*ROW('تشخيص الحالات'!$B$2:$B$1001))-1),""),"")</f>
        <v>إعاقة بصرية، مشكلات لغوية</v>
      </c>
      <c r="J183" s="1">
        <v>110</v>
      </c>
      <c r="K183" s="1" t="s">
        <v>38</v>
      </c>
      <c r="L183" s="1">
        <v>3500</v>
      </c>
      <c r="M183" s="1" t="s">
        <v>41</v>
      </c>
      <c r="N183" s="1">
        <v>2</v>
      </c>
      <c r="O183" s="1">
        <v>7</v>
      </c>
      <c r="P183" s="1">
        <v>8</v>
      </c>
      <c r="Q183" s="1">
        <v>5</v>
      </c>
      <c r="R183" s="1">
        <v>0</v>
      </c>
      <c r="S183" s="1">
        <v>5</v>
      </c>
      <c r="T183">
        <f>SUM(tbl_Beneficiaries[[#This Row],[ التربية الخاصة ]:[ التأهيل النفسي الحركي ]])</f>
        <v>27</v>
      </c>
    </row>
    <row r="184" spans="1:20" x14ac:dyDescent="0.2">
      <c r="A184" s="1">
        <v>183</v>
      </c>
      <c r="B184" s="1">
        <v>1069215057</v>
      </c>
      <c r="C184" s="1" t="s">
        <v>505</v>
      </c>
      <c r="D184" s="1" t="s">
        <v>3</v>
      </c>
      <c r="E184" s="3">
        <v>43857</v>
      </c>
      <c r="F184" s="1" t="s">
        <v>358</v>
      </c>
      <c r="G184" s="1" t="s">
        <v>1</v>
      </c>
      <c r="H184" s="3">
        <v>45134</v>
      </c>
      <c r="I184" t="str">
        <f>IFERROR(INDEX('تشخيص الحالات'!$D$2:$D$1001,SUMPRODUCT(('تشخيص الحالات'!$B$2:$B$1001=B184)*('تشخيص الحالات'!$G$2:$G$1001=1)*ROW('تشخيص الحالات'!$B$2:$B$1001))-1),"")&amp;IF(SUMPRODUCT(('تشخيص الحالات'!$B$2:$B$1001=B184)*('تشخيص الحالات'!$G$2:$G$1001=2))&gt;0,"، "&amp;IFERROR(INDEX('تشخيص الحالات'!$D$2:$D$1001,SUMPRODUCT(('تشخيص الحالات'!$B$2:$B$1001=B184)*('تشخيص الحالات'!$G$2:$G$1001=2)*ROW('تشخيص الحالات'!$B$2:$B$1001))-1),""),"")&amp;IF(SUMPRODUCT(('تشخيص الحالات'!$B$2:$B$1001=B184)*('تشخيص الحالات'!$G$2:$G$1001=3))&gt;0,"، "&amp;IFERROR(INDEX('تشخيص الحالات'!$D$2:$D$1001,SUMPRODUCT(('تشخيص الحالات'!$B$2:$B$1001=B184)*('تشخيص الحالات'!$G$2:$G$1001=3)*ROW('تشخيص الحالات'!$B$2:$B$1001))-1),""),"")&amp;IF(SUMPRODUCT(('تشخيص الحالات'!$B$2:$B$1001=B184)*('تشخيص الحالات'!$G$2:$G$1001=4))&gt;0,"، "&amp;IFERROR(INDEX('تشخيص الحالات'!$D$2:$D$1001,SUMPRODUCT(('تشخيص الحالات'!$B$2:$B$1001=B184)*('تشخيص الحالات'!$G$2:$G$1001=4)*ROW('تشخيص الحالات'!$B$2:$B$1001))-1),""),"")&amp;IF(SUMPRODUCT(('تشخيص الحالات'!$B$2:$B$1001=B184)*('تشخيص الحالات'!$G$2:$G$1001=5))&gt;0,"، "&amp;IFERROR(INDEX('تشخيص الحالات'!$D$2:$D$1001,SUMPRODUCT(('تشخيص الحالات'!$B$2:$B$1001=B184)*('تشخيص الحالات'!$G$2:$G$1001=5)*ROW('تشخيص الحالات'!$B$2:$B$1001))-1),""),"")&amp;IF(SUMPRODUCT(('تشخيص الحالات'!$B$2:$B$1001=B184)*('تشخيص الحالات'!$G$2:$G$1001=6))&gt;0,"، "&amp;IFERROR(INDEX('تشخيص الحالات'!$D$2:$D$1001,SUMPRODUCT(('تشخيص الحالات'!$B$2:$B$1001=B184)*('تشخيص الحالات'!$G$2:$G$1001=6)*ROW('تشخيص الحالات'!$B$2:$B$1001))-1),""),"")&amp;IF(SUMPRODUCT(('تشخيص الحالات'!$B$2:$B$1001=B184)*('تشخيص الحالات'!$G$2:$G$1001=7))&gt;0,"، "&amp;IFERROR(INDEX('تشخيص الحالات'!$D$2:$D$1001,SUMPRODUCT(('تشخيص الحالات'!$B$2:$B$1001=B184)*('تشخيص الحالات'!$G$2:$G$1001=7)*ROW('تشخيص الحالات'!$B$2:$B$1001))-1),""),"")&amp;IF(SUMPRODUCT(('تشخيص الحالات'!$B$2:$B$1001=B184)*('تشخيص الحالات'!$G$2:$G$1001=8))&gt;0,"، "&amp;IFERROR(INDEX('تشخيص الحالات'!$D$2:$D$1001,SUMPRODUCT(('تشخيص الحالات'!$B$2:$B$1001=B184)*('تشخيص الحالات'!$G$2:$G$1001=8)*ROW('تشخيص الحالات'!$B$2:$B$1001))-1),""),"")</f>
        <v>شلل دماغي</v>
      </c>
      <c r="J184" s="1">
        <v>44</v>
      </c>
      <c r="K184" s="1" t="s">
        <v>38</v>
      </c>
      <c r="L184" s="1">
        <v>3500</v>
      </c>
      <c r="M184" s="1" t="s">
        <v>44</v>
      </c>
      <c r="N184" s="1">
        <v>0</v>
      </c>
      <c r="O184" s="1">
        <v>3</v>
      </c>
      <c r="P184" s="1">
        <v>5</v>
      </c>
      <c r="Q184" s="1">
        <v>8</v>
      </c>
      <c r="R184" s="1">
        <v>0</v>
      </c>
      <c r="S184" s="1">
        <v>0</v>
      </c>
      <c r="T184">
        <f>SUM(tbl_Beneficiaries[[#This Row],[ التربية الخاصة ]:[ التأهيل النفسي الحركي ]])</f>
        <v>16</v>
      </c>
    </row>
    <row r="185" spans="1:20" x14ac:dyDescent="0.2">
      <c r="A185" s="1">
        <v>184</v>
      </c>
      <c r="B185" s="1">
        <v>1273952500</v>
      </c>
      <c r="C185" s="1" t="s">
        <v>506</v>
      </c>
      <c r="D185" s="1" t="s">
        <v>7</v>
      </c>
      <c r="E185" s="3">
        <v>42188</v>
      </c>
      <c r="F185" s="1" t="s">
        <v>358</v>
      </c>
      <c r="G185" s="1" t="s">
        <v>0</v>
      </c>
      <c r="H185" s="3">
        <v>44769</v>
      </c>
      <c r="I185" t="str">
        <f>IFERROR(INDEX('تشخيص الحالات'!$D$2:$D$1001,SUMPRODUCT(('تشخيص الحالات'!$B$2:$B$1001=B185)*('تشخيص الحالات'!$G$2:$G$1001=1)*ROW('تشخيص الحالات'!$B$2:$B$1001))-1),"")&amp;IF(SUMPRODUCT(('تشخيص الحالات'!$B$2:$B$1001=B185)*('تشخيص الحالات'!$G$2:$G$1001=2))&gt;0,"، "&amp;IFERROR(INDEX('تشخيص الحالات'!$D$2:$D$1001,SUMPRODUCT(('تشخيص الحالات'!$B$2:$B$1001=B185)*('تشخيص الحالات'!$G$2:$G$1001=2)*ROW('تشخيص الحالات'!$B$2:$B$1001))-1),""),"")&amp;IF(SUMPRODUCT(('تشخيص الحالات'!$B$2:$B$1001=B185)*('تشخيص الحالات'!$G$2:$G$1001=3))&gt;0,"، "&amp;IFERROR(INDEX('تشخيص الحالات'!$D$2:$D$1001,SUMPRODUCT(('تشخيص الحالات'!$B$2:$B$1001=B185)*('تشخيص الحالات'!$G$2:$G$1001=3)*ROW('تشخيص الحالات'!$B$2:$B$1001))-1),""),"")&amp;IF(SUMPRODUCT(('تشخيص الحالات'!$B$2:$B$1001=B185)*('تشخيص الحالات'!$G$2:$G$1001=4))&gt;0,"، "&amp;IFERROR(INDEX('تشخيص الحالات'!$D$2:$D$1001,SUMPRODUCT(('تشخيص الحالات'!$B$2:$B$1001=B185)*('تشخيص الحالات'!$G$2:$G$1001=4)*ROW('تشخيص الحالات'!$B$2:$B$1001))-1),""),"")&amp;IF(SUMPRODUCT(('تشخيص الحالات'!$B$2:$B$1001=B185)*('تشخيص الحالات'!$G$2:$G$1001=5))&gt;0,"، "&amp;IFERROR(INDEX('تشخيص الحالات'!$D$2:$D$1001,SUMPRODUCT(('تشخيص الحالات'!$B$2:$B$1001=B185)*('تشخيص الحالات'!$G$2:$G$1001=5)*ROW('تشخيص الحالات'!$B$2:$B$1001))-1),""),"")&amp;IF(SUMPRODUCT(('تشخيص الحالات'!$B$2:$B$1001=B185)*('تشخيص الحالات'!$G$2:$G$1001=6))&gt;0,"، "&amp;IFERROR(INDEX('تشخيص الحالات'!$D$2:$D$1001,SUMPRODUCT(('تشخيص الحالات'!$B$2:$B$1001=B185)*('تشخيص الحالات'!$G$2:$G$1001=6)*ROW('تشخيص الحالات'!$B$2:$B$1001))-1),""),"")&amp;IF(SUMPRODUCT(('تشخيص الحالات'!$B$2:$B$1001=B185)*('تشخيص الحالات'!$G$2:$G$1001=7))&gt;0,"، "&amp;IFERROR(INDEX('تشخيص الحالات'!$D$2:$D$1001,SUMPRODUCT(('تشخيص الحالات'!$B$2:$B$1001=B185)*('تشخيص الحالات'!$G$2:$G$1001=7)*ROW('تشخيص الحالات'!$B$2:$B$1001))-1),""),"")&amp;IF(SUMPRODUCT(('تشخيص الحالات'!$B$2:$B$1001=B185)*('تشخيص الحالات'!$G$2:$G$1001=8))&gt;0,"، "&amp;IFERROR(INDEX('تشخيص الحالات'!$D$2:$D$1001,SUMPRODUCT(('تشخيص الحالات'!$B$2:$B$1001=B185)*('تشخيص الحالات'!$G$2:$G$1001=8)*ROW('تشخيص الحالات'!$B$2:$B$1001))-1),""),"")</f>
        <v>تأخر نمائي، مشكلات لغوية</v>
      </c>
      <c r="J185" s="1">
        <v>54</v>
      </c>
      <c r="K185" s="1" t="s">
        <v>38</v>
      </c>
      <c r="L185" s="1">
        <v>3500</v>
      </c>
      <c r="M185" s="1" t="s">
        <v>43</v>
      </c>
      <c r="N185" s="1">
        <v>0</v>
      </c>
      <c r="O185" s="1">
        <v>0</v>
      </c>
      <c r="P185" s="1">
        <v>8</v>
      </c>
      <c r="Q185" s="1">
        <v>0</v>
      </c>
      <c r="R185" s="1">
        <v>0</v>
      </c>
      <c r="S185" s="1">
        <v>1</v>
      </c>
      <c r="T185">
        <f>SUM(tbl_Beneficiaries[[#This Row],[ التربية الخاصة ]:[ التأهيل النفسي الحركي ]])</f>
        <v>9</v>
      </c>
    </row>
    <row r="186" spans="1:20" x14ac:dyDescent="0.2">
      <c r="A186" s="1">
        <v>185</v>
      </c>
      <c r="B186" s="1">
        <v>1923240565</v>
      </c>
      <c r="C186" s="1" t="s">
        <v>507</v>
      </c>
      <c r="D186" s="1" t="s">
        <v>7</v>
      </c>
      <c r="E186" s="3">
        <v>40427</v>
      </c>
      <c r="F186" s="1" t="s">
        <v>361</v>
      </c>
      <c r="G186" s="1" t="s">
        <v>0</v>
      </c>
      <c r="H186" s="3">
        <v>44751</v>
      </c>
      <c r="I186" t="str">
        <f>IFERROR(INDEX('تشخيص الحالات'!$D$2:$D$1001,SUMPRODUCT(('تشخيص الحالات'!$B$2:$B$1001=B186)*('تشخيص الحالات'!$G$2:$G$1001=1)*ROW('تشخيص الحالات'!$B$2:$B$1001))-1),"")&amp;IF(SUMPRODUCT(('تشخيص الحالات'!$B$2:$B$1001=B186)*('تشخيص الحالات'!$G$2:$G$1001=2))&gt;0,"، "&amp;IFERROR(INDEX('تشخيص الحالات'!$D$2:$D$1001,SUMPRODUCT(('تشخيص الحالات'!$B$2:$B$1001=B186)*('تشخيص الحالات'!$G$2:$G$1001=2)*ROW('تشخيص الحالات'!$B$2:$B$1001))-1),""),"")&amp;IF(SUMPRODUCT(('تشخيص الحالات'!$B$2:$B$1001=B186)*('تشخيص الحالات'!$G$2:$G$1001=3))&gt;0,"، "&amp;IFERROR(INDEX('تشخيص الحالات'!$D$2:$D$1001,SUMPRODUCT(('تشخيص الحالات'!$B$2:$B$1001=B186)*('تشخيص الحالات'!$G$2:$G$1001=3)*ROW('تشخيص الحالات'!$B$2:$B$1001))-1),""),"")&amp;IF(SUMPRODUCT(('تشخيص الحالات'!$B$2:$B$1001=B186)*('تشخيص الحالات'!$G$2:$G$1001=4))&gt;0,"، "&amp;IFERROR(INDEX('تشخيص الحالات'!$D$2:$D$1001,SUMPRODUCT(('تشخيص الحالات'!$B$2:$B$1001=B186)*('تشخيص الحالات'!$G$2:$G$1001=4)*ROW('تشخيص الحالات'!$B$2:$B$1001))-1),""),"")&amp;IF(SUMPRODUCT(('تشخيص الحالات'!$B$2:$B$1001=B186)*('تشخيص الحالات'!$G$2:$G$1001=5))&gt;0,"، "&amp;IFERROR(INDEX('تشخيص الحالات'!$D$2:$D$1001,SUMPRODUCT(('تشخيص الحالات'!$B$2:$B$1001=B186)*('تشخيص الحالات'!$G$2:$G$1001=5)*ROW('تشخيص الحالات'!$B$2:$B$1001))-1),""),"")&amp;IF(SUMPRODUCT(('تشخيص الحالات'!$B$2:$B$1001=B186)*('تشخيص الحالات'!$G$2:$G$1001=6))&gt;0,"، "&amp;IFERROR(INDEX('تشخيص الحالات'!$D$2:$D$1001,SUMPRODUCT(('تشخيص الحالات'!$B$2:$B$1001=B186)*('تشخيص الحالات'!$G$2:$G$1001=6)*ROW('تشخيص الحالات'!$B$2:$B$1001))-1),""),"")&amp;IF(SUMPRODUCT(('تشخيص الحالات'!$B$2:$B$1001=B186)*('تشخيص الحالات'!$G$2:$G$1001=7))&gt;0,"، "&amp;IFERROR(INDEX('تشخيص الحالات'!$D$2:$D$1001,SUMPRODUCT(('تشخيص الحالات'!$B$2:$B$1001=B186)*('تشخيص الحالات'!$G$2:$G$1001=7)*ROW('تشخيص الحالات'!$B$2:$B$1001))-1),""),"")&amp;IF(SUMPRODUCT(('تشخيص الحالات'!$B$2:$B$1001=B186)*('تشخيص الحالات'!$G$2:$G$1001=8))&gt;0,"، "&amp;IFERROR(INDEX('تشخيص الحالات'!$D$2:$D$1001,SUMPRODUCT(('تشخيص الحالات'!$B$2:$B$1001=B186)*('تشخيص الحالات'!$G$2:$G$1001=8)*ROW('تشخيص الحالات'!$B$2:$B$1001))-1),""),"")</f>
        <v>اضطرابات سلوكية، إعاقة بصرية</v>
      </c>
      <c r="J186" s="1">
        <v>96</v>
      </c>
      <c r="K186" s="1" t="s">
        <v>39</v>
      </c>
      <c r="L186" s="1">
        <v>4000</v>
      </c>
      <c r="M186" s="1" t="s">
        <v>44</v>
      </c>
      <c r="N186" s="1">
        <v>0</v>
      </c>
      <c r="O186" s="1">
        <v>8</v>
      </c>
      <c r="P186" s="1">
        <v>0</v>
      </c>
      <c r="Q186" s="1">
        <v>1</v>
      </c>
      <c r="R186" s="1">
        <v>7</v>
      </c>
      <c r="S186" s="1">
        <v>8</v>
      </c>
      <c r="T186">
        <f>SUM(tbl_Beneficiaries[[#This Row],[ التربية الخاصة ]:[ التأهيل النفسي الحركي ]])</f>
        <v>24</v>
      </c>
    </row>
    <row r="187" spans="1:20" x14ac:dyDescent="0.2">
      <c r="A187" s="1">
        <v>186</v>
      </c>
      <c r="B187" s="1">
        <v>1113590304</v>
      </c>
      <c r="C187" s="1" t="s">
        <v>508</v>
      </c>
      <c r="D187" s="1" t="s">
        <v>7</v>
      </c>
      <c r="E187" s="3">
        <v>43566</v>
      </c>
      <c r="F187" s="1" t="s">
        <v>360</v>
      </c>
      <c r="G187" s="1" t="s">
        <v>0</v>
      </c>
      <c r="H187" s="3">
        <v>44730</v>
      </c>
      <c r="I187" t="str">
        <f>IFERROR(INDEX('تشخيص الحالات'!$D$2:$D$1001,SUMPRODUCT(('تشخيص الحالات'!$B$2:$B$1001=B187)*('تشخيص الحالات'!$G$2:$G$1001=1)*ROW('تشخيص الحالات'!$B$2:$B$1001))-1),"")&amp;IF(SUMPRODUCT(('تشخيص الحالات'!$B$2:$B$1001=B187)*('تشخيص الحالات'!$G$2:$G$1001=2))&gt;0,"، "&amp;IFERROR(INDEX('تشخيص الحالات'!$D$2:$D$1001,SUMPRODUCT(('تشخيص الحالات'!$B$2:$B$1001=B187)*('تشخيص الحالات'!$G$2:$G$1001=2)*ROW('تشخيص الحالات'!$B$2:$B$1001))-1),""),"")&amp;IF(SUMPRODUCT(('تشخيص الحالات'!$B$2:$B$1001=B187)*('تشخيص الحالات'!$G$2:$G$1001=3))&gt;0,"، "&amp;IFERROR(INDEX('تشخيص الحالات'!$D$2:$D$1001,SUMPRODUCT(('تشخيص الحالات'!$B$2:$B$1001=B187)*('تشخيص الحالات'!$G$2:$G$1001=3)*ROW('تشخيص الحالات'!$B$2:$B$1001))-1),""),"")&amp;IF(SUMPRODUCT(('تشخيص الحالات'!$B$2:$B$1001=B187)*('تشخيص الحالات'!$G$2:$G$1001=4))&gt;0,"، "&amp;IFERROR(INDEX('تشخيص الحالات'!$D$2:$D$1001,SUMPRODUCT(('تشخيص الحالات'!$B$2:$B$1001=B187)*('تشخيص الحالات'!$G$2:$G$1001=4)*ROW('تشخيص الحالات'!$B$2:$B$1001))-1),""),"")&amp;IF(SUMPRODUCT(('تشخيص الحالات'!$B$2:$B$1001=B187)*('تشخيص الحالات'!$G$2:$G$1001=5))&gt;0,"، "&amp;IFERROR(INDEX('تشخيص الحالات'!$D$2:$D$1001,SUMPRODUCT(('تشخيص الحالات'!$B$2:$B$1001=B187)*('تشخيص الحالات'!$G$2:$G$1001=5)*ROW('تشخيص الحالات'!$B$2:$B$1001))-1),""),"")&amp;IF(SUMPRODUCT(('تشخيص الحالات'!$B$2:$B$1001=B187)*('تشخيص الحالات'!$G$2:$G$1001=6))&gt;0,"، "&amp;IFERROR(INDEX('تشخيص الحالات'!$D$2:$D$1001,SUMPRODUCT(('تشخيص الحالات'!$B$2:$B$1001=B187)*('تشخيص الحالات'!$G$2:$G$1001=6)*ROW('تشخيص الحالات'!$B$2:$B$1001))-1),""),"")&amp;IF(SUMPRODUCT(('تشخيص الحالات'!$B$2:$B$1001=B187)*('تشخيص الحالات'!$G$2:$G$1001=7))&gt;0,"، "&amp;IFERROR(INDEX('تشخيص الحالات'!$D$2:$D$1001,SUMPRODUCT(('تشخيص الحالات'!$B$2:$B$1001=B187)*('تشخيص الحالات'!$G$2:$G$1001=7)*ROW('تشخيص الحالات'!$B$2:$B$1001))-1),""),"")&amp;IF(SUMPRODUCT(('تشخيص الحالات'!$B$2:$B$1001=B187)*('تشخيص الحالات'!$G$2:$G$1001=8))&gt;0,"، "&amp;IFERROR(INDEX('تشخيص الحالات'!$D$2:$D$1001,SUMPRODUCT(('تشخيص الحالات'!$B$2:$B$1001=B187)*('تشخيص الحالات'!$G$2:$G$1001=8)*ROW('تشخيص الحالات'!$B$2:$B$1001))-1),""),"")</f>
        <v>اضطراب نفسي، اضطراب تواصل اجتماعي، متلازمة داون، اضطراب نفسي حركي</v>
      </c>
      <c r="J187" s="1">
        <v>41</v>
      </c>
      <c r="K187" s="1" t="s">
        <v>39</v>
      </c>
      <c r="L187" s="1">
        <v>4000</v>
      </c>
      <c r="M187" s="1" t="s">
        <v>40</v>
      </c>
      <c r="N187" s="1">
        <v>0</v>
      </c>
      <c r="O187" s="1">
        <v>8</v>
      </c>
      <c r="P187" s="1">
        <v>8</v>
      </c>
      <c r="Q187" s="1">
        <v>0</v>
      </c>
      <c r="R187" s="1">
        <v>7</v>
      </c>
      <c r="S187" s="1">
        <v>1</v>
      </c>
      <c r="T187">
        <f>SUM(tbl_Beneficiaries[[#This Row],[ التربية الخاصة ]:[ التأهيل النفسي الحركي ]])</f>
        <v>24</v>
      </c>
    </row>
    <row r="188" spans="1:20" x14ac:dyDescent="0.2">
      <c r="A188" s="1">
        <v>187</v>
      </c>
      <c r="B188" s="1">
        <v>1525548329</v>
      </c>
      <c r="C188" s="1" t="s">
        <v>509</v>
      </c>
      <c r="D188" s="1" t="s">
        <v>7</v>
      </c>
      <c r="E188" s="3">
        <v>44034</v>
      </c>
      <c r="F188" s="1" t="s">
        <v>358</v>
      </c>
      <c r="G188" s="1" t="s">
        <v>1</v>
      </c>
      <c r="H188" s="3">
        <v>44636</v>
      </c>
      <c r="I188" t="str">
        <f>IFERROR(INDEX('تشخيص الحالات'!$D$2:$D$1001,SUMPRODUCT(('تشخيص الحالات'!$B$2:$B$1001=B188)*('تشخيص الحالات'!$G$2:$G$1001=1)*ROW('تشخيص الحالات'!$B$2:$B$1001))-1),"")&amp;IF(SUMPRODUCT(('تشخيص الحالات'!$B$2:$B$1001=B188)*('تشخيص الحالات'!$G$2:$G$1001=2))&gt;0,"، "&amp;IFERROR(INDEX('تشخيص الحالات'!$D$2:$D$1001,SUMPRODUCT(('تشخيص الحالات'!$B$2:$B$1001=B188)*('تشخيص الحالات'!$G$2:$G$1001=2)*ROW('تشخيص الحالات'!$B$2:$B$1001))-1),""),"")&amp;IF(SUMPRODUCT(('تشخيص الحالات'!$B$2:$B$1001=B188)*('تشخيص الحالات'!$G$2:$G$1001=3))&gt;0,"، "&amp;IFERROR(INDEX('تشخيص الحالات'!$D$2:$D$1001,SUMPRODUCT(('تشخيص الحالات'!$B$2:$B$1001=B188)*('تشخيص الحالات'!$G$2:$G$1001=3)*ROW('تشخيص الحالات'!$B$2:$B$1001))-1),""),"")&amp;IF(SUMPRODUCT(('تشخيص الحالات'!$B$2:$B$1001=B188)*('تشخيص الحالات'!$G$2:$G$1001=4))&gt;0,"، "&amp;IFERROR(INDEX('تشخيص الحالات'!$D$2:$D$1001,SUMPRODUCT(('تشخيص الحالات'!$B$2:$B$1001=B188)*('تشخيص الحالات'!$G$2:$G$1001=4)*ROW('تشخيص الحالات'!$B$2:$B$1001))-1),""),"")&amp;IF(SUMPRODUCT(('تشخيص الحالات'!$B$2:$B$1001=B188)*('تشخيص الحالات'!$G$2:$G$1001=5))&gt;0,"، "&amp;IFERROR(INDEX('تشخيص الحالات'!$D$2:$D$1001,SUMPRODUCT(('تشخيص الحالات'!$B$2:$B$1001=B188)*('تشخيص الحالات'!$G$2:$G$1001=5)*ROW('تشخيص الحالات'!$B$2:$B$1001))-1),""),"")&amp;IF(SUMPRODUCT(('تشخيص الحالات'!$B$2:$B$1001=B188)*('تشخيص الحالات'!$G$2:$G$1001=6))&gt;0,"، "&amp;IFERROR(INDEX('تشخيص الحالات'!$D$2:$D$1001,SUMPRODUCT(('تشخيص الحالات'!$B$2:$B$1001=B188)*('تشخيص الحالات'!$G$2:$G$1001=6)*ROW('تشخيص الحالات'!$B$2:$B$1001))-1),""),"")&amp;IF(SUMPRODUCT(('تشخيص الحالات'!$B$2:$B$1001=B188)*('تشخيص الحالات'!$G$2:$G$1001=7))&gt;0,"، "&amp;IFERROR(INDEX('تشخيص الحالات'!$D$2:$D$1001,SUMPRODUCT(('تشخيص الحالات'!$B$2:$B$1001=B188)*('تشخيص الحالات'!$G$2:$G$1001=7)*ROW('تشخيص الحالات'!$B$2:$B$1001))-1),""),"")&amp;IF(SUMPRODUCT(('تشخيص الحالات'!$B$2:$B$1001=B188)*('تشخيص الحالات'!$G$2:$G$1001=8))&gt;0,"، "&amp;IFERROR(INDEX('تشخيص الحالات'!$D$2:$D$1001,SUMPRODUCT(('تشخيص الحالات'!$B$2:$B$1001=B188)*('تشخيص الحالات'!$G$2:$G$1001=8)*ROW('تشخيص الحالات'!$B$2:$B$1001))-1),""),"")</f>
        <v>إعاقة ذهنية، مشكلات لغوية</v>
      </c>
      <c r="J188" s="1">
        <v>86</v>
      </c>
      <c r="K188" s="1" t="s">
        <v>38</v>
      </c>
      <c r="L188" s="1">
        <v>3500</v>
      </c>
      <c r="M188" s="1" t="s">
        <v>44</v>
      </c>
      <c r="N188" s="1">
        <v>9</v>
      </c>
      <c r="O188" s="1">
        <v>0</v>
      </c>
      <c r="P188" s="1">
        <v>0</v>
      </c>
      <c r="Q188" s="1">
        <v>0</v>
      </c>
      <c r="R188" s="1">
        <v>7</v>
      </c>
      <c r="S188" s="1">
        <v>8</v>
      </c>
      <c r="T188">
        <f>SUM(tbl_Beneficiaries[[#This Row],[ التربية الخاصة ]:[ التأهيل النفسي الحركي ]])</f>
        <v>24</v>
      </c>
    </row>
    <row r="189" spans="1:20" x14ac:dyDescent="0.2">
      <c r="A189" s="1">
        <v>188</v>
      </c>
      <c r="B189" s="1">
        <v>1285596817</v>
      </c>
      <c r="C189" s="1" t="s">
        <v>131</v>
      </c>
      <c r="D189" s="1" t="s">
        <v>7</v>
      </c>
      <c r="E189" s="3">
        <v>44067</v>
      </c>
      <c r="F189" s="1" t="s">
        <v>360</v>
      </c>
      <c r="G189" s="1" t="s">
        <v>4</v>
      </c>
      <c r="H189" s="3">
        <v>45049</v>
      </c>
      <c r="I189" t="str">
        <f>IFERROR(INDEX('تشخيص الحالات'!$D$2:$D$1001,SUMPRODUCT(('تشخيص الحالات'!$B$2:$B$1001=B189)*('تشخيص الحالات'!$G$2:$G$1001=1)*ROW('تشخيص الحالات'!$B$2:$B$1001))-1),"")&amp;IF(SUMPRODUCT(('تشخيص الحالات'!$B$2:$B$1001=B189)*('تشخيص الحالات'!$G$2:$G$1001=2))&gt;0,"، "&amp;IFERROR(INDEX('تشخيص الحالات'!$D$2:$D$1001,SUMPRODUCT(('تشخيص الحالات'!$B$2:$B$1001=B189)*('تشخيص الحالات'!$G$2:$G$1001=2)*ROW('تشخيص الحالات'!$B$2:$B$1001))-1),""),"")&amp;IF(SUMPRODUCT(('تشخيص الحالات'!$B$2:$B$1001=B189)*('تشخيص الحالات'!$G$2:$G$1001=3))&gt;0,"، "&amp;IFERROR(INDEX('تشخيص الحالات'!$D$2:$D$1001,SUMPRODUCT(('تشخيص الحالات'!$B$2:$B$1001=B189)*('تشخيص الحالات'!$G$2:$G$1001=3)*ROW('تشخيص الحالات'!$B$2:$B$1001))-1),""),"")&amp;IF(SUMPRODUCT(('تشخيص الحالات'!$B$2:$B$1001=B189)*('تشخيص الحالات'!$G$2:$G$1001=4))&gt;0,"، "&amp;IFERROR(INDEX('تشخيص الحالات'!$D$2:$D$1001,SUMPRODUCT(('تشخيص الحالات'!$B$2:$B$1001=B189)*('تشخيص الحالات'!$G$2:$G$1001=4)*ROW('تشخيص الحالات'!$B$2:$B$1001))-1),""),"")&amp;IF(SUMPRODUCT(('تشخيص الحالات'!$B$2:$B$1001=B189)*('تشخيص الحالات'!$G$2:$G$1001=5))&gt;0,"، "&amp;IFERROR(INDEX('تشخيص الحالات'!$D$2:$D$1001,SUMPRODUCT(('تشخيص الحالات'!$B$2:$B$1001=B189)*('تشخيص الحالات'!$G$2:$G$1001=5)*ROW('تشخيص الحالات'!$B$2:$B$1001))-1),""),"")&amp;IF(SUMPRODUCT(('تشخيص الحالات'!$B$2:$B$1001=B189)*('تشخيص الحالات'!$G$2:$G$1001=6))&gt;0,"، "&amp;IFERROR(INDEX('تشخيص الحالات'!$D$2:$D$1001,SUMPRODUCT(('تشخيص الحالات'!$B$2:$B$1001=B189)*('تشخيص الحالات'!$G$2:$G$1001=6)*ROW('تشخيص الحالات'!$B$2:$B$1001))-1),""),"")&amp;IF(SUMPRODUCT(('تشخيص الحالات'!$B$2:$B$1001=B189)*('تشخيص الحالات'!$G$2:$G$1001=7))&gt;0,"، "&amp;IFERROR(INDEX('تشخيص الحالات'!$D$2:$D$1001,SUMPRODUCT(('تشخيص الحالات'!$B$2:$B$1001=B189)*('تشخيص الحالات'!$G$2:$G$1001=7)*ROW('تشخيص الحالات'!$B$2:$B$1001))-1),""),"")&amp;IF(SUMPRODUCT(('تشخيص الحالات'!$B$2:$B$1001=B189)*('تشخيص الحالات'!$G$2:$G$1001=8))&gt;0,"، "&amp;IFERROR(INDEX('تشخيص الحالات'!$D$2:$D$1001,SUMPRODUCT(('تشخيص الحالات'!$B$2:$B$1001=B189)*('تشخيص الحالات'!$G$2:$G$1001=8)*ROW('تشخيص الحالات'!$B$2:$B$1001))-1),""),"")</f>
        <v>فرط الحركة وتشتت الانتباه</v>
      </c>
      <c r="J189" s="1">
        <v>84</v>
      </c>
      <c r="K189" s="1" t="s">
        <v>4</v>
      </c>
      <c r="L189" s="1">
        <v>1500</v>
      </c>
      <c r="M189" s="1" t="s">
        <v>44</v>
      </c>
      <c r="N189" s="1">
        <v>1</v>
      </c>
      <c r="O189" s="1">
        <v>3</v>
      </c>
      <c r="P189" s="1">
        <v>4</v>
      </c>
      <c r="Q189" s="1">
        <v>6</v>
      </c>
      <c r="R189" s="1">
        <v>6</v>
      </c>
      <c r="S189" s="1">
        <v>5</v>
      </c>
      <c r="T189">
        <f>SUM(tbl_Beneficiaries[[#This Row],[ التربية الخاصة ]:[ التأهيل النفسي الحركي ]])</f>
        <v>25</v>
      </c>
    </row>
    <row r="190" spans="1:20" x14ac:dyDescent="0.2">
      <c r="A190" s="1">
        <v>189</v>
      </c>
      <c r="B190" s="1">
        <v>1980725694</v>
      </c>
      <c r="C190" s="1" t="s">
        <v>510</v>
      </c>
      <c r="D190" s="1" t="s">
        <v>3</v>
      </c>
      <c r="E190" s="3">
        <v>42740</v>
      </c>
      <c r="F190" s="1" t="s">
        <v>359</v>
      </c>
      <c r="G190" s="1" t="s">
        <v>0</v>
      </c>
      <c r="H190" s="3">
        <v>45116</v>
      </c>
      <c r="I190" t="str">
        <f>IFERROR(INDEX('تشخيص الحالات'!$D$2:$D$1001,SUMPRODUCT(('تشخيص الحالات'!$B$2:$B$1001=B190)*('تشخيص الحالات'!$G$2:$G$1001=1)*ROW('تشخيص الحالات'!$B$2:$B$1001))-1),"")&amp;IF(SUMPRODUCT(('تشخيص الحالات'!$B$2:$B$1001=B190)*('تشخيص الحالات'!$G$2:$G$1001=2))&gt;0,"، "&amp;IFERROR(INDEX('تشخيص الحالات'!$D$2:$D$1001,SUMPRODUCT(('تشخيص الحالات'!$B$2:$B$1001=B190)*('تشخيص الحالات'!$G$2:$G$1001=2)*ROW('تشخيص الحالات'!$B$2:$B$1001))-1),""),"")&amp;IF(SUMPRODUCT(('تشخيص الحالات'!$B$2:$B$1001=B190)*('تشخيص الحالات'!$G$2:$G$1001=3))&gt;0,"، "&amp;IFERROR(INDEX('تشخيص الحالات'!$D$2:$D$1001,SUMPRODUCT(('تشخيص الحالات'!$B$2:$B$1001=B190)*('تشخيص الحالات'!$G$2:$G$1001=3)*ROW('تشخيص الحالات'!$B$2:$B$1001))-1),""),"")&amp;IF(SUMPRODUCT(('تشخيص الحالات'!$B$2:$B$1001=B190)*('تشخيص الحالات'!$G$2:$G$1001=4))&gt;0,"، "&amp;IFERROR(INDEX('تشخيص الحالات'!$D$2:$D$1001,SUMPRODUCT(('تشخيص الحالات'!$B$2:$B$1001=B190)*('تشخيص الحالات'!$G$2:$G$1001=4)*ROW('تشخيص الحالات'!$B$2:$B$1001))-1),""),"")&amp;IF(SUMPRODUCT(('تشخيص الحالات'!$B$2:$B$1001=B190)*('تشخيص الحالات'!$G$2:$G$1001=5))&gt;0,"، "&amp;IFERROR(INDEX('تشخيص الحالات'!$D$2:$D$1001,SUMPRODUCT(('تشخيص الحالات'!$B$2:$B$1001=B190)*('تشخيص الحالات'!$G$2:$G$1001=5)*ROW('تشخيص الحالات'!$B$2:$B$1001))-1),""),"")&amp;IF(SUMPRODUCT(('تشخيص الحالات'!$B$2:$B$1001=B190)*('تشخيص الحالات'!$G$2:$G$1001=6))&gt;0,"، "&amp;IFERROR(INDEX('تشخيص الحالات'!$D$2:$D$1001,SUMPRODUCT(('تشخيص الحالات'!$B$2:$B$1001=B190)*('تشخيص الحالات'!$G$2:$G$1001=6)*ROW('تشخيص الحالات'!$B$2:$B$1001))-1),""),"")&amp;IF(SUMPRODUCT(('تشخيص الحالات'!$B$2:$B$1001=B190)*('تشخيص الحالات'!$G$2:$G$1001=7))&gt;0,"، "&amp;IFERROR(INDEX('تشخيص الحالات'!$D$2:$D$1001,SUMPRODUCT(('تشخيص الحالات'!$B$2:$B$1001=B190)*('تشخيص الحالات'!$G$2:$G$1001=7)*ROW('تشخيص الحالات'!$B$2:$B$1001))-1),""),"")&amp;IF(SUMPRODUCT(('تشخيص الحالات'!$B$2:$B$1001=B190)*('تشخيص الحالات'!$G$2:$G$1001=8))&gt;0,"، "&amp;IFERROR(INDEX('تشخيص الحالات'!$D$2:$D$1001,SUMPRODUCT(('تشخيص الحالات'!$B$2:$B$1001=B190)*('تشخيص الحالات'!$G$2:$G$1001=8)*ROW('تشخيص الحالات'!$B$2:$B$1001))-1),""),"")</f>
        <v>متلازمة داون، إعاقة بصرية</v>
      </c>
      <c r="J190" s="1">
        <v>55</v>
      </c>
      <c r="K190" s="1" t="s">
        <v>4</v>
      </c>
      <c r="L190" s="1">
        <v>3500</v>
      </c>
      <c r="M190" s="1" t="s">
        <v>41</v>
      </c>
      <c r="N190" s="1">
        <v>5</v>
      </c>
      <c r="O190" s="1">
        <v>3</v>
      </c>
      <c r="P190" s="1">
        <v>0</v>
      </c>
      <c r="Q190" s="1">
        <v>0</v>
      </c>
      <c r="R190" s="1">
        <v>1</v>
      </c>
      <c r="S190" s="1">
        <v>0</v>
      </c>
      <c r="T190">
        <f>SUM(tbl_Beneficiaries[[#This Row],[ التربية الخاصة ]:[ التأهيل النفسي الحركي ]])</f>
        <v>9</v>
      </c>
    </row>
    <row r="191" spans="1:20" x14ac:dyDescent="0.2">
      <c r="A191" s="1">
        <v>190</v>
      </c>
      <c r="B191" s="1">
        <v>1374392968</v>
      </c>
      <c r="C191" s="1" t="s">
        <v>511</v>
      </c>
      <c r="D191" s="1" t="s">
        <v>7</v>
      </c>
      <c r="E191" s="3">
        <v>43767</v>
      </c>
      <c r="F191" s="1" t="s">
        <v>361</v>
      </c>
      <c r="G191" s="1" t="s">
        <v>0</v>
      </c>
      <c r="H191" s="3">
        <v>45324</v>
      </c>
      <c r="I191" t="str">
        <f>IFERROR(INDEX('تشخيص الحالات'!$D$2:$D$1001,SUMPRODUCT(('تشخيص الحالات'!$B$2:$B$1001=B191)*('تشخيص الحالات'!$G$2:$G$1001=1)*ROW('تشخيص الحالات'!$B$2:$B$1001))-1),"")&amp;IF(SUMPRODUCT(('تشخيص الحالات'!$B$2:$B$1001=B191)*('تشخيص الحالات'!$G$2:$G$1001=2))&gt;0,"، "&amp;IFERROR(INDEX('تشخيص الحالات'!$D$2:$D$1001,SUMPRODUCT(('تشخيص الحالات'!$B$2:$B$1001=B191)*('تشخيص الحالات'!$G$2:$G$1001=2)*ROW('تشخيص الحالات'!$B$2:$B$1001))-1),""),"")&amp;IF(SUMPRODUCT(('تشخيص الحالات'!$B$2:$B$1001=B191)*('تشخيص الحالات'!$G$2:$G$1001=3))&gt;0,"، "&amp;IFERROR(INDEX('تشخيص الحالات'!$D$2:$D$1001,SUMPRODUCT(('تشخيص الحالات'!$B$2:$B$1001=B191)*('تشخيص الحالات'!$G$2:$G$1001=3)*ROW('تشخيص الحالات'!$B$2:$B$1001))-1),""),"")&amp;IF(SUMPRODUCT(('تشخيص الحالات'!$B$2:$B$1001=B191)*('تشخيص الحالات'!$G$2:$G$1001=4))&gt;0,"، "&amp;IFERROR(INDEX('تشخيص الحالات'!$D$2:$D$1001,SUMPRODUCT(('تشخيص الحالات'!$B$2:$B$1001=B191)*('تشخيص الحالات'!$G$2:$G$1001=4)*ROW('تشخيص الحالات'!$B$2:$B$1001))-1),""),"")&amp;IF(SUMPRODUCT(('تشخيص الحالات'!$B$2:$B$1001=B191)*('تشخيص الحالات'!$G$2:$G$1001=5))&gt;0,"، "&amp;IFERROR(INDEX('تشخيص الحالات'!$D$2:$D$1001,SUMPRODUCT(('تشخيص الحالات'!$B$2:$B$1001=B191)*('تشخيص الحالات'!$G$2:$G$1001=5)*ROW('تشخيص الحالات'!$B$2:$B$1001))-1),""),"")&amp;IF(SUMPRODUCT(('تشخيص الحالات'!$B$2:$B$1001=B191)*('تشخيص الحالات'!$G$2:$G$1001=6))&gt;0,"، "&amp;IFERROR(INDEX('تشخيص الحالات'!$D$2:$D$1001,SUMPRODUCT(('تشخيص الحالات'!$B$2:$B$1001=B191)*('تشخيص الحالات'!$G$2:$G$1001=6)*ROW('تشخيص الحالات'!$B$2:$B$1001))-1),""),"")&amp;IF(SUMPRODUCT(('تشخيص الحالات'!$B$2:$B$1001=B191)*('تشخيص الحالات'!$G$2:$G$1001=7))&gt;0,"، "&amp;IFERROR(INDEX('تشخيص الحالات'!$D$2:$D$1001,SUMPRODUCT(('تشخيص الحالات'!$B$2:$B$1001=B191)*('تشخيص الحالات'!$G$2:$G$1001=7)*ROW('تشخيص الحالات'!$B$2:$B$1001))-1),""),"")&amp;IF(SUMPRODUCT(('تشخيص الحالات'!$B$2:$B$1001=B191)*('تشخيص الحالات'!$G$2:$G$1001=8))&gt;0,"، "&amp;IFERROR(INDEX('تشخيص الحالات'!$D$2:$D$1001,SUMPRODUCT(('تشخيص الحالات'!$B$2:$B$1001=B191)*('تشخيص الحالات'!$G$2:$G$1001=8)*ROW('تشخيص الحالات'!$B$2:$B$1001))-1),""),"")</f>
        <v>اضطراب تواصل اجتماعي، اضطراب نفسي</v>
      </c>
      <c r="J191" s="1">
        <v>40</v>
      </c>
      <c r="K191" s="1" t="s">
        <v>38</v>
      </c>
      <c r="L191" s="1">
        <v>2500</v>
      </c>
      <c r="M191" s="1" t="s">
        <v>42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9</v>
      </c>
      <c r="T191">
        <f>SUM(tbl_Beneficiaries[[#This Row],[ التربية الخاصة ]:[ التأهيل النفسي الحركي ]])</f>
        <v>9</v>
      </c>
    </row>
    <row r="192" spans="1:20" x14ac:dyDescent="0.2">
      <c r="A192" s="1">
        <v>191</v>
      </c>
      <c r="B192" s="1">
        <v>1225270924</v>
      </c>
      <c r="C192" s="1" t="s">
        <v>512</v>
      </c>
      <c r="D192" s="1" t="s">
        <v>3</v>
      </c>
      <c r="E192" s="3">
        <v>42969</v>
      </c>
      <c r="F192" s="1" t="s">
        <v>361</v>
      </c>
      <c r="G192" s="1" t="s">
        <v>0</v>
      </c>
      <c r="H192" s="3">
        <v>44747</v>
      </c>
      <c r="I192" t="str">
        <f>IFERROR(INDEX('تشخيص الحالات'!$D$2:$D$1001,SUMPRODUCT(('تشخيص الحالات'!$B$2:$B$1001=B192)*('تشخيص الحالات'!$G$2:$G$1001=1)*ROW('تشخيص الحالات'!$B$2:$B$1001))-1),"")&amp;IF(SUMPRODUCT(('تشخيص الحالات'!$B$2:$B$1001=B192)*('تشخيص الحالات'!$G$2:$G$1001=2))&gt;0,"، "&amp;IFERROR(INDEX('تشخيص الحالات'!$D$2:$D$1001,SUMPRODUCT(('تشخيص الحالات'!$B$2:$B$1001=B192)*('تشخيص الحالات'!$G$2:$G$1001=2)*ROW('تشخيص الحالات'!$B$2:$B$1001))-1),""),"")&amp;IF(SUMPRODUCT(('تشخيص الحالات'!$B$2:$B$1001=B192)*('تشخيص الحالات'!$G$2:$G$1001=3))&gt;0,"، "&amp;IFERROR(INDEX('تشخيص الحالات'!$D$2:$D$1001,SUMPRODUCT(('تشخيص الحالات'!$B$2:$B$1001=B192)*('تشخيص الحالات'!$G$2:$G$1001=3)*ROW('تشخيص الحالات'!$B$2:$B$1001))-1),""),"")&amp;IF(SUMPRODUCT(('تشخيص الحالات'!$B$2:$B$1001=B192)*('تشخيص الحالات'!$G$2:$G$1001=4))&gt;0,"، "&amp;IFERROR(INDEX('تشخيص الحالات'!$D$2:$D$1001,SUMPRODUCT(('تشخيص الحالات'!$B$2:$B$1001=B192)*('تشخيص الحالات'!$G$2:$G$1001=4)*ROW('تشخيص الحالات'!$B$2:$B$1001))-1),""),"")&amp;IF(SUMPRODUCT(('تشخيص الحالات'!$B$2:$B$1001=B192)*('تشخيص الحالات'!$G$2:$G$1001=5))&gt;0,"، "&amp;IFERROR(INDEX('تشخيص الحالات'!$D$2:$D$1001,SUMPRODUCT(('تشخيص الحالات'!$B$2:$B$1001=B192)*('تشخيص الحالات'!$G$2:$G$1001=5)*ROW('تشخيص الحالات'!$B$2:$B$1001))-1),""),"")&amp;IF(SUMPRODUCT(('تشخيص الحالات'!$B$2:$B$1001=B192)*('تشخيص الحالات'!$G$2:$G$1001=6))&gt;0,"، "&amp;IFERROR(INDEX('تشخيص الحالات'!$D$2:$D$1001,SUMPRODUCT(('تشخيص الحالات'!$B$2:$B$1001=B192)*('تشخيص الحالات'!$G$2:$G$1001=6)*ROW('تشخيص الحالات'!$B$2:$B$1001))-1),""),"")&amp;IF(SUMPRODUCT(('تشخيص الحالات'!$B$2:$B$1001=B192)*('تشخيص الحالات'!$G$2:$G$1001=7))&gt;0,"، "&amp;IFERROR(INDEX('تشخيص الحالات'!$D$2:$D$1001,SUMPRODUCT(('تشخيص الحالات'!$B$2:$B$1001=B192)*('تشخيص الحالات'!$G$2:$G$1001=7)*ROW('تشخيص الحالات'!$B$2:$B$1001))-1),""),"")&amp;IF(SUMPRODUCT(('تشخيص الحالات'!$B$2:$B$1001=B192)*('تشخيص الحالات'!$G$2:$G$1001=8))&gt;0,"، "&amp;IFERROR(INDEX('تشخيص الحالات'!$D$2:$D$1001,SUMPRODUCT(('تشخيص الحالات'!$B$2:$B$1001=B192)*('تشخيص الحالات'!$G$2:$G$1001=8)*ROW('تشخيص الحالات'!$B$2:$B$1001))-1),""),"")</f>
        <v>اضطراب نفسي حركي</v>
      </c>
      <c r="J192" s="1">
        <v>94</v>
      </c>
      <c r="K192" s="1" t="s">
        <v>38</v>
      </c>
      <c r="L192" s="1">
        <v>3500</v>
      </c>
      <c r="M192" s="1" t="s">
        <v>41</v>
      </c>
      <c r="N192" s="1">
        <v>0</v>
      </c>
      <c r="O192" s="1">
        <v>9</v>
      </c>
      <c r="P192" s="1">
        <v>0</v>
      </c>
      <c r="Q192" s="1">
        <v>3</v>
      </c>
      <c r="R192" s="1">
        <v>7</v>
      </c>
      <c r="S192" s="1">
        <v>4</v>
      </c>
      <c r="T192">
        <f>SUM(tbl_Beneficiaries[[#This Row],[ التربية الخاصة ]:[ التأهيل النفسي الحركي ]])</f>
        <v>23</v>
      </c>
    </row>
    <row r="193" spans="1:20" x14ac:dyDescent="0.2">
      <c r="A193" s="1">
        <v>192</v>
      </c>
      <c r="B193" s="1">
        <v>1845701828</v>
      </c>
      <c r="C193" s="1" t="s">
        <v>513</v>
      </c>
      <c r="D193" s="1" t="s">
        <v>3</v>
      </c>
      <c r="E193" s="3">
        <v>41294</v>
      </c>
      <c r="F193" s="1" t="s">
        <v>357</v>
      </c>
      <c r="G193" s="1" t="s">
        <v>4</v>
      </c>
      <c r="H193" s="3">
        <v>45499</v>
      </c>
      <c r="I193" t="str">
        <f>IFERROR(INDEX('تشخيص الحالات'!$D$2:$D$1001,SUMPRODUCT(('تشخيص الحالات'!$B$2:$B$1001=B193)*('تشخيص الحالات'!$G$2:$G$1001=1)*ROW('تشخيص الحالات'!$B$2:$B$1001))-1),"")&amp;IF(SUMPRODUCT(('تشخيص الحالات'!$B$2:$B$1001=B193)*('تشخيص الحالات'!$G$2:$G$1001=2))&gt;0,"، "&amp;IFERROR(INDEX('تشخيص الحالات'!$D$2:$D$1001,SUMPRODUCT(('تشخيص الحالات'!$B$2:$B$1001=B193)*('تشخيص الحالات'!$G$2:$G$1001=2)*ROW('تشخيص الحالات'!$B$2:$B$1001))-1),""),"")&amp;IF(SUMPRODUCT(('تشخيص الحالات'!$B$2:$B$1001=B193)*('تشخيص الحالات'!$G$2:$G$1001=3))&gt;0,"، "&amp;IFERROR(INDEX('تشخيص الحالات'!$D$2:$D$1001,SUMPRODUCT(('تشخيص الحالات'!$B$2:$B$1001=B193)*('تشخيص الحالات'!$G$2:$G$1001=3)*ROW('تشخيص الحالات'!$B$2:$B$1001))-1),""),"")&amp;IF(SUMPRODUCT(('تشخيص الحالات'!$B$2:$B$1001=B193)*('تشخيص الحالات'!$G$2:$G$1001=4))&gt;0,"، "&amp;IFERROR(INDEX('تشخيص الحالات'!$D$2:$D$1001,SUMPRODUCT(('تشخيص الحالات'!$B$2:$B$1001=B193)*('تشخيص الحالات'!$G$2:$G$1001=4)*ROW('تشخيص الحالات'!$B$2:$B$1001))-1),""),"")&amp;IF(SUMPRODUCT(('تشخيص الحالات'!$B$2:$B$1001=B193)*('تشخيص الحالات'!$G$2:$G$1001=5))&gt;0,"، "&amp;IFERROR(INDEX('تشخيص الحالات'!$D$2:$D$1001,SUMPRODUCT(('تشخيص الحالات'!$B$2:$B$1001=B193)*('تشخيص الحالات'!$G$2:$G$1001=5)*ROW('تشخيص الحالات'!$B$2:$B$1001))-1),""),"")&amp;IF(SUMPRODUCT(('تشخيص الحالات'!$B$2:$B$1001=B193)*('تشخيص الحالات'!$G$2:$G$1001=6))&gt;0,"، "&amp;IFERROR(INDEX('تشخيص الحالات'!$D$2:$D$1001,SUMPRODUCT(('تشخيص الحالات'!$B$2:$B$1001=B193)*('تشخيص الحالات'!$G$2:$G$1001=6)*ROW('تشخيص الحالات'!$B$2:$B$1001))-1),""),"")&amp;IF(SUMPRODUCT(('تشخيص الحالات'!$B$2:$B$1001=B193)*('تشخيص الحالات'!$G$2:$G$1001=7))&gt;0,"، "&amp;IFERROR(INDEX('تشخيص الحالات'!$D$2:$D$1001,SUMPRODUCT(('تشخيص الحالات'!$B$2:$B$1001=B193)*('تشخيص الحالات'!$G$2:$G$1001=7)*ROW('تشخيص الحالات'!$B$2:$B$1001))-1),""),"")&amp;IF(SUMPRODUCT(('تشخيص الحالات'!$B$2:$B$1001=B193)*('تشخيص الحالات'!$G$2:$G$1001=8))&gt;0,"، "&amp;IFERROR(INDEX('تشخيص الحالات'!$D$2:$D$1001,SUMPRODUCT(('تشخيص الحالات'!$B$2:$B$1001=B193)*('تشخيص الحالات'!$G$2:$G$1001=8)*ROW('تشخيص الحالات'!$B$2:$B$1001))-1),""),"")</f>
        <v>متلازمة داون، تأخر حركي، اضطراب نفسي حركي</v>
      </c>
      <c r="J193" s="1">
        <v>63</v>
      </c>
      <c r="K193" s="1" t="s">
        <v>39</v>
      </c>
      <c r="L193" s="1">
        <v>1500</v>
      </c>
      <c r="M193" s="1" t="s">
        <v>42</v>
      </c>
      <c r="N193" s="1">
        <v>7</v>
      </c>
      <c r="O193" s="1">
        <v>3</v>
      </c>
      <c r="P193" s="1">
        <v>9</v>
      </c>
      <c r="Q193" s="1">
        <v>0</v>
      </c>
      <c r="R193" s="1">
        <v>0</v>
      </c>
      <c r="S193" s="1">
        <v>2</v>
      </c>
      <c r="T193">
        <f>SUM(tbl_Beneficiaries[[#This Row],[ التربية الخاصة ]:[ التأهيل النفسي الحركي ]])</f>
        <v>21</v>
      </c>
    </row>
    <row r="194" spans="1:20" x14ac:dyDescent="0.2">
      <c r="A194" s="1">
        <v>193</v>
      </c>
      <c r="B194" s="1">
        <v>1337638473</v>
      </c>
      <c r="C194" s="1" t="s">
        <v>132</v>
      </c>
      <c r="D194" s="1" t="s">
        <v>3</v>
      </c>
      <c r="E194" s="3">
        <v>41812</v>
      </c>
      <c r="F194" s="1" t="s">
        <v>357</v>
      </c>
      <c r="G194" s="1" t="s">
        <v>4</v>
      </c>
      <c r="H194" s="3">
        <v>44777</v>
      </c>
      <c r="I194" t="str">
        <f>IFERROR(INDEX('تشخيص الحالات'!$D$2:$D$1001,SUMPRODUCT(('تشخيص الحالات'!$B$2:$B$1001=B194)*('تشخيص الحالات'!$G$2:$G$1001=1)*ROW('تشخيص الحالات'!$B$2:$B$1001))-1),"")&amp;IF(SUMPRODUCT(('تشخيص الحالات'!$B$2:$B$1001=B194)*('تشخيص الحالات'!$G$2:$G$1001=2))&gt;0,"، "&amp;IFERROR(INDEX('تشخيص الحالات'!$D$2:$D$1001,SUMPRODUCT(('تشخيص الحالات'!$B$2:$B$1001=B194)*('تشخيص الحالات'!$G$2:$G$1001=2)*ROW('تشخيص الحالات'!$B$2:$B$1001))-1),""),"")&amp;IF(SUMPRODUCT(('تشخيص الحالات'!$B$2:$B$1001=B194)*('تشخيص الحالات'!$G$2:$G$1001=3))&gt;0,"، "&amp;IFERROR(INDEX('تشخيص الحالات'!$D$2:$D$1001,SUMPRODUCT(('تشخيص الحالات'!$B$2:$B$1001=B194)*('تشخيص الحالات'!$G$2:$G$1001=3)*ROW('تشخيص الحالات'!$B$2:$B$1001))-1),""),"")&amp;IF(SUMPRODUCT(('تشخيص الحالات'!$B$2:$B$1001=B194)*('تشخيص الحالات'!$G$2:$G$1001=4))&gt;0,"، "&amp;IFERROR(INDEX('تشخيص الحالات'!$D$2:$D$1001,SUMPRODUCT(('تشخيص الحالات'!$B$2:$B$1001=B194)*('تشخيص الحالات'!$G$2:$G$1001=4)*ROW('تشخيص الحالات'!$B$2:$B$1001))-1),""),"")&amp;IF(SUMPRODUCT(('تشخيص الحالات'!$B$2:$B$1001=B194)*('تشخيص الحالات'!$G$2:$G$1001=5))&gt;0,"، "&amp;IFERROR(INDEX('تشخيص الحالات'!$D$2:$D$1001,SUMPRODUCT(('تشخيص الحالات'!$B$2:$B$1001=B194)*('تشخيص الحالات'!$G$2:$G$1001=5)*ROW('تشخيص الحالات'!$B$2:$B$1001))-1),""),"")&amp;IF(SUMPRODUCT(('تشخيص الحالات'!$B$2:$B$1001=B194)*('تشخيص الحالات'!$G$2:$G$1001=6))&gt;0,"، "&amp;IFERROR(INDEX('تشخيص الحالات'!$D$2:$D$1001,SUMPRODUCT(('تشخيص الحالات'!$B$2:$B$1001=B194)*('تشخيص الحالات'!$G$2:$G$1001=6)*ROW('تشخيص الحالات'!$B$2:$B$1001))-1),""),"")&amp;IF(SUMPRODUCT(('تشخيص الحالات'!$B$2:$B$1001=B194)*('تشخيص الحالات'!$G$2:$G$1001=7))&gt;0,"، "&amp;IFERROR(INDEX('تشخيص الحالات'!$D$2:$D$1001,SUMPRODUCT(('تشخيص الحالات'!$B$2:$B$1001=B194)*('تشخيص الحالات'!$G$2:$G$1001=7)*ROW('تشخيص الحالات'!$B$2:$B$1001))-1),""),"")&amp;IF(SUMPRODUCT(('تشخيص الحالات'!$B$2:$B$1001=B194)*('تشخيص الحالات'!$G$2:$G$1001=8))&gt;0,"، "&amp;IFERROR(INDEX('تشخيص الحالات'!$D$2:$D$1001,SUMPRODUCT(('تشخيص الحالات'!$B$2:$B$1001=B194)*('تشخيص الحالات'!$G$2:$G$1001=8)*ROW('تشخيص الحالات'!$B$2:$B$1001))-1),""),"")</f>
        <v>إعاقة سمعية</v>
      </c>
      <c r="J194" s="1">
        <v>53</v>
      </c>
      <c r="K194" s="1" t="s">
        <v>38</v>
      </c>
      <c r="L194" s="1">
        <v>3000</v>
      </c>
      <c r="M194" s="1" t="s">
        <v>44</v>
      </c>
      <c r="N194" s="1">
        <v>0</v>
      </c>
      <c r="O194" s="1">
        <v>7</v>
      </c>
      <c r="P194" s="1">
        <v>8</v>
      </c>
      <c r="Q194" s="1">
        <v>0</v>
      </c>
      <c r="R194" s="1">
        <v>8</v>
      </c>
      <c r="S194" s="1">
        <v>0</v>
      </c>
      <c r="T194">
        <f>SUM(tbl_Beneficiaries[[#This Row],[ التربية الخاصة ]:[ التأهيل النفسي الحركي ]])</f>
        <v>23</v>
      </c>
    </row>
    <row r="195" spans="1:20" x14ac:dyDescent="0.2">
      <c r="A195" s="1">
        <v>194</v>
      </c>
      <c r="B195" s="1">
        <v>1205178191</v>
      </c>
      <c r="C195" s="1" t="s">
        <v>514</v>
      </c>
      <c r="D195" s="1" t="s">
        <v>3</v>
      </c>
      <c r="E195" s="3">
        <v>43861</v>
      </c>
      <c r="F195" s="1" t="s">
        <v>359</v>
      </c>
      <c r="G195" s="1" t="s">
        <v>1</v>
      </c>
      <c r="H195" s="3">
        <v>45020</v>
      </c>
      <c r="I195" t="str">
        <f>IFERROR(INDEX('تشخيص الحالات'!$D$2:$D$1001,SUMPRODUCT(('تشخيص الحالات'!$B$2:$B$1001=B195)*('تشخيص الحالات'!$G$2:$G$1001=1)*ROW('تشخيص الحالات'!$B$2:$B$1001))-1),"")&amp;IF(SUMPRODUCT(('تشخيص الحالات'!$B$2:$B$1001=B195)*('تشخيص الحالات'!$G$2:$G$1001=2))&gt;0,"، "&amp;IFERROR(INDEX('تشخيص الحالات'!$D$2:$D$1001,SUMPRODUCT(('تشخيص الحالات'!$B$2:$B$1001=B195)*('تشخيص الحالات'!$G$2:$G$1001=2)*ROW('تشخيص الحالات'!$B$2:$B$1001))-1),""),"")&amp;IF(SUMPRODUCT(('تشخيص الحالات'!$B$2:$B$1001=B195)*('تشخيص الحالات'!$G$2:$G$1001=3))&gt;0,"، "&amp;IFERROR(INDEX('تشخيص الحالات'!$D$2:$D$1001,SUMPRODUCT(('تشخيص الحالات'!$B$2:$B$1001=B195)*('تشخيص الحالات'!$G$2:$G$1001=3)*ROW('تشخيص الحالات'!$B$2:$B$1001))-1),""),"")&amp;IF(SUMPRODUCT(('تشخيص الحالات'!$B$2:$B$1001=B195)*('تشخيص الحالات'!$G$2:$G$1001=4))&gt;0,"، "&amp;IFERROR(INDEX('تشخيص الحالات'!$D$2:$D$1001,SUMPRODUCT(('تشخيص الحالات'!$B$2:$B$1001=B195)*('تشخيص الحالات'!$G$2:$G$1001=4)*ROW('تشخيص الحالات'!$B$2:$B$1001))-1),""),"")&amp;IF(SUMPRODUCT(('تشخيص الحالات'!$B$2:$B$1001=B195)*('تشخيص الحالات'!$G$2:$G$1001=5))&gt;0,"، "&amp;IFERROR(INDEX('تشخيص الحالات'!$D$2:$D$1001,SUMPRODUCT(('تشخيص الحالات'!$B$2:$B$1001=B195)*('تشخيص الحالات'!$G$2:$G$1001=5)*ROW('تشخيص الحالات'!$B$2:$B$1001))-1),""),"")&amp;IF(SUMPRODUCT(('تشخيص الحالات'!$B$2:$B$1001=B195)*('تشخيص الحالات'!$G$2:$G$1001=6))&gt;0,"، "&amp;IFERROR(INDEX('تشخيص الحالات'!$D$2:$D$1001,SUMPRODUCT(('تشخيص الحالات'!$B$2:$B$1001=B195)*('تشخيص الحالات'!$G$2:$G$1001=6)*ROW('تشخيص الحالات'!$B$2:$B$1001))-1),""),"")&amp;IF(SUMPRODUCT(('تشخيص الحالات'!$B$2:$B$1001=B195)*('تشخيص الحالات'!$G$2:$G$1001=7))&gt;0,"، "&amp;IFERROR(INDEX('تشخيص الحالات'!$D$2:$D$1001,SUMPRODUCT(('تشخيص الحالات'!$B$2:$B$1001=B195)*('تشخيص الحالات'!$G$2:$G$1001=7)*ROW('تشخيص الحالات'!$B$2:$B$1001))-1),""),"")&amp;IF(SUMPRODUCT(('تشخيص الحالات'!$B$2:$B$1001=B195)*('تشخيص الحالات'!$G$2:$G$1001=8))&gt;0,"، "&amp;IFERROR(INDEX('تشخيص الحالات'!$D$2:$D$1001,SUMPRODUCT(('تشخيص الحالات'!$B$2:$B$1001=B195)*('تشخيص الحالات'!$G$2:$G$1001=8)*ROW('تشخيص الحالات'!$B$2:$B$1001))-1),""),"")</f>
        <v>اضطرابات سلوكية، اضطراب طيف التوحد، اضطراب نفسي</v>
      </c>
      <c r="J195" s="1">
        <v>99</v>
      </c>
      <c r="K195" s="1" t="s">
        <v>39</v>
      </c>
      <c r="L195" s="1">
        <v>2000</v>
      </c>
      <c r="M195" s="1" t="s">
        <v>43</v>
      </c>
      <c r="N195" s="1">
        <v>0</v>
      </c>
      <c r="O195" s="1">
        <v>0</v>
      </c>
      <c r="P195" s="1">
        <v>0</v>
      </c>
      <c r="Q195" s="1">
        <v>7</v>
      </c>
      <c r="R195" s="1">
        <v>6</v>
      </c>
      <c r="S195" s="1">
        <v>2</v>
      </c>
      <c r="T195">
        <f>SUM(tbl_Beneficiaries[[#This Row],[ التربية الخاصة ]:[ التأهيل النفسي الحركي ]])</f>
        <v>15</v>
      </c>
    </row>
    <row r="196" spans="1:20" x14ac:dyDescent="0.2">
      <c r="A196" s="1">
        <v>195</v>
      </c>
      <c r="B196" s="1">
        <v>1909062660</v>
      </c>
      <c r="C196" s="1" t="s">
        <v>515</v>
      </c>
      <c r="D196" s="1" t="s">
        <v>7</v>
      </c>
      <c r="E196" s="3">
        <v>41237</v>
      </c>
      <c r="F196" s="1" t="s">
        <v>359</v>
      </c>
      <c r="G196" s="1" t="s">
        <v>4</v>
      </c>
      <c r="H196" s="3">
        <v>45415</v>
      </c>
      <c r="I196" t="str">
        <f>IFERROR(INDEX('تشخيص الحالات'!$D$2:$D$1001,SUMPRODUCT(('تشخيص الحالات'!$B$2:$B$1001=B196)*('تشخيص الحالات'!$G$2:$G$1001=1)*ROW('تشخيص الحالات'!$B$2:$B$1001))-1),"")&amp;IF(SUMPRODUCT(('تشخيص الحالات'!$B$2:$B$1001=B196)*('تشخيص الحالات'!$G$2:$G$1001=2))&gt;0,"، "&amp;IFERROR(INDEX('تشخيص الحالات'!$D$2:$D$1001,SUMPRODUCT(('تشخيص الحالات'!$B$2:$B$1001=B196)*('تشخيص الحالات'!$G$2:$G$1001=2)*ROW('تشخيص الحالات'!$B$2:$B$1001))-1),""),"")&amp;IF(SUMPRODUCT(('تشخيص الحالات'!$B$2:$B$1001=B196)*('تشخيص الحالات'!$G$2:$G$1001=3))&gt;0,"، "&amp;IFERROR(INDEX('تشخيص الحالات'!$D$2:$D$1001,SUMPRODUCT(('تشخيص الحالات'!$B$2:$B$1001=B196)*('تشخيص الحالات'!$G$2:$G$1001=3)*ROW('تشخيص الحالات'!$B$2:$B$1001))-1),""),"")&amp;IF(SUMPRODUCT(('تشخيص الحالات'!$B$2:$B$1001=B196)*('تشخيص الحالات'!$G$2:$G$1001=4))&gt;0,"، "&amp;IFERROR(INDEX('تشخيص الحالات'!$D$2:$D$1001,SUMPRODUCT(('تشخيص الحالات'!$B$2:$B$1001=B196)*('تشخيص الحالات'!$G$2:$G$1001=4)*ROW('تشخيص الحالات'!$B$2:$B$1001))-1),""),"")&amp;IF(SUMPRODUCT(('تشخيص الحالات'!$B$2:$B$1001=B196)*('تشخيص الحالات'!$G$2:$G$1001=5))&gt;0,"، "&amp;IFERROR(INDEX('تشخيص الحالات'!$D$2:$D$1001,SUMPRODUCT(('تشخيص الحالات'!$B$2:$B$1001=B196)*('تشخيص الحالات'!$G$2:$G$1001=5)*ROW('تشخيص الحالات'!$B$2:$B$1001))-1),""),"")&amp;IF(SUMPRODUCT(('تشخيص الحالات'!$B$2:$B$1001=B196)*('تشخيص الحالات'!$G$2:$G$1001=6))&gt;0,"، "&amp;IFERROR(INDEX('تشخيص الحالات'!$D$2:$D$1001,SUMPRODUCT(('تشخيص الحالات'!$B$2:$B$1001=B196)*('تشخيص الحالات'!$G$2:$G$1001=6)*ROW('تشخيص الحالات'!$B$2:$B$1001))-1),""),"")&amp;IF(SUMPRODUCT(('تشخيص الحالات'!$B$2:$B$1001=B196)*('تشخيص الحالات'!$G$2:$G$1001=7))&gt;0,"، "&amp;IFERROR(INDEX('تشخيص الحالات'!$D$2:$D$1001,SUMPRODUCT(('تشخيص الحالات'!$B$2:$B$1001=B196)*('تشخيص الحالات'!$G$2:$G$1001=7)*ROW('تشخيص الحالات'!$B$2:$B$1001))-1),""),"")&amp;IF(SUMPRODUCT(('تشخيص الحالات'!$B$2:$B$1001=B196)*('تشخيص الحالات'!$G$2:$G$1001=8))&gt;0,"، "&amp;IFERROR(INDEX('تشخيص الحالات'!$D$2:$D$1001,SUMPRODUCT(('تشخيص الحالات'!$B$2:$B$1001=B196)*('تشخيص الحالات'!$G$2:$G$1001=8)*ROW('تشخيص الحالات'!$B$2:$B$1001))-1),""),"")</f>
        <v>اضطراب تواصل اجتماعي، مشكلات أسرية / اجتماعية</v>
      </c>
      <c r="J196" s="1">
        <v>54</v>
      </c>
      <c r="K196" s="1" t="s">
        <v>39</v>
      </c>
      <c r="L196" s="1">
        <v>4000</v>
      </c>
      <c r="M196" s="1" t="s">
        <v>43</v>
      </c>
      <c r="N196" s="1">
        <v>0</v>
      </c>
      <c r="O196" s="1">
        <v>1</v>
      </c>
      <c r="P196" s="1">
        <v>0</v>
      </c>
      <c r="Q196" s="1">
        <v>2</v>
      </c>
      <c r="R196" s="1">
        <v>8</v>
      </c>
      <c r="S196" s="1">
        <v>4</v>
      </c>
      <c r="T196">
        <f>SUM(tbl_Beneficiaries[[#This Row],[ التربية الخاصة ]:[ التأهيل النفسي الحركي ]])</f>
        <v>15</v>
      </c>
    </row>
    <row r="197" spans="1:20" x14ac:dyDescent="0.2">
      <c r="A197" s="1">
        <v>196</v>
      </c>
      <c r="B197" s="1">
        <v>1866489709</v>
      </c>
      <c r="C197" s="1" t="s">
        <v>133</v>
      </c>
      <c r="D197" s="1" t="s">
        <v>7</v>
      </c>
      <c r="E197" s="3">
        <v>40373</v>
      </c>
      <c r="F197" s="1" t="s">
        <v>357</v>
      </c>
      <c r="G197" s="1" t="s">
        <v>1</v>
      </c>
      <c r="H197" s="3">
        <v>44827</v>
      </c>
      <c r="I197" t="str">
        <f>IFERROR(INDEX('تشخيص الحالات'!$D$2:$D$1001,SUMPRODUCT(('تشخيص الحالات'!$B$2:$B$1001=B197)*('تشخيص الحالات'!$G$2:$G$1001=1)*ROW('تشخيص الحالات'!$B$2:$B$1001))-1),"")&amp;IF(SUMPRODUCT(('تشخيص الحالات'!$B$2:$B$1001=B197)*('تشخيص الحالات'!$G$2:$G$1001=2))&gt;0,"، "&amp;IFERROR(INDEX('تشخيص الحالات'!$D$2:$D$1001,SUMPRODUCT(('تشخيص الحالات'!$B$2:$B$1001=B197)*('تشخيص الحالات'!$G$2:$G$1001=2)*ROW('تشخيص الحالات'!$B$2:$B$1001))-1),""),"")&amp;IF(SUMPRODUCT(('تشخيص الحالات'!$B$2:$B$1001=B197)*('تشخيص الحالات'!$G$2:$G$1001=3))&gt;0,"، "&amp;IFERROR(INDEX('تشخيص الحالات'!$D$2:$D$1001,SUMPRODUCT(('تشخيص الحالات'!$B$2:$B$1001=B197)*('تشخيص الحالات'!$G$2:$G$1001=3)*ROW('تشخيص الحالات'!$B$2:$B$1001))-1),""),"")&amp;IF(SUMPRODUCT(('تشخيص الحالات'!$B$2:$B$1001=B197)*('تشخيص الحالات'!$G$2:$G$1001=4))&gt;0,"، "&amp;IFERROR(INDEX('تشخيص الحالات'!$D$2:$D$1001,SUMPRODUCT(('تشخيص الحالات'!$B$2:$B$1001=B197)*('تشخيص الحالات'!$G$2:$G$1001=4)*ROW('تشخيص الحالات'!$B$2:$B$1001))-1),""),"")&amp;IF(SUMPRODUCT(('تشخيص الحالات'!$B$2:$B$1001=B197)*('تشخيص الحالات'!$G$2:$G$1001=5))&gt;0,"، "&amp;IFERROR(INDEX('تشخيص الحالات'!$D$2:$D$1001,SUMPRODUCT(('تشخيص الحالات'!$B$2:$B$1001=B197)*('تشخيص الحالات'!$G$2:$G$1001=5)*ROW('تشخيص الحالات'!$B$2:$B$1001))-1),""),"")&amp;IF(SUMPRODUCT(('تشخيص الحالات'!$B$2:$B$1001=B197)*('تشخيص الحالات'!$G$2:$G$1001=6))&gt;0,"، "&amp;IFERROR(INDEX('تشخيص الحالات'!$D$2:$D$1001,SUMPRODUCT(('تشخيص الحالات'!$B$2:$B$1001=B197)*('تشخيص الحالات'!$G$2:$G$1001=6)*ROW('تشخيص الحالات'!$B$2:$B$1001))-1),""),"")&amp;IF(SUMPRODUCT(('تشخيص الحالات'!$B$2:$B$1001=B197)*('تشخيص الحالات'!$G$2:$G$1001=7))&gt;0,"، "&amp;IFERROR(INDEX('تشخيص الحالات'!$D$2:$D$1001,SUMPRODUCT(('تشخيص الحالات'!$B$2:$B$1001=B197)*('تشخيص الحالات'!$G$2:$G$1001=7)*ROW('تشخيص الحالات'!$B$2:$B$1001))-1),""),"")&amp;IF(SUMPRODUCT(('تشخيص الحالات'!$B$2:$B$1001=B197)*('تشخيص الحالات'!$G$2:$G$1001=8))&gt;0,"، "&amp;IFERROR(INDEX('تشخيص الحالات'!$D$2:$D$1001,SUMPRODUCT(('تشخيص الحالات'!$B$2:$B$1001=B197)*('تشخيص الحالات'!$G$2:$G$1001=8)*ROW('تشخيص الحالات'!$B$2:$B$1001))-1),""),"")</f>
        <v>تأخر نمائي، متلازمة داون</v>
      </c>
      <c r="J197" s="1">
        <v>92</v>
      </c>
      <c r="K197" s="1" t="s">
        <v>39</v>
      </c>
      <c r="L197" s="1">
        <v>3500</v>
      </c>
      <c r="M197" s="1" t="s">
        <v>42</v>
      </c>
      <c r="N197" s="1">
        <v>8</v>
      </c>
      <c r="O197" s="1">
        <v>8</v>
      </c>
      <c r="P197" s="1">
        <v>0</v>
      </c>
      <c r="Q197" s="1">
        <v>0</v>
      </c>
      <c r="R197" s="1">
        <v>0</v>
      </c>
      <c r="S197" s="1">
        <v>0</v>
      </c>
      <c r="T197">
        <f>SUM(tbl_Beneficiaries[[#This Row],[ التربية الخاصة ]:[ التأهيل النفسي الحركي ]])</f>
        <v>16</v>
      </c>
    </row>
    <row r="198" spans="1:20" x14ac:dyDescent="0.2">
      <c r="A198" s="1">
        <v>197</v>
      </c>
      <c r="B198" s="1">
        <v>1526290370</v>
      </c>
      <c r="C198" s="1" t="s">
        <v>516</v>
      </c>
      <c r="D198" s="1" t="s">
        <v>7</v>
      </c>
      <c r="E198" s="3">
        <v>43851</v>
      </c>
      <c r="F198" s="1" t="s">
        <v>361</v>
      </c>
      <c r="G198" s="1" t="s">
        <v>1</v>
      </c>
      <c r="H198" s="3">
        <v>44609</v>
      </c>
      <c r="I198" t="str">
        <f>IFERROR(INDEX('تشخيص الحالات'!$D$2:$D$1001,SUMPRODUCT(('تشخيص الحالات'!$B$2:$B$1001=B198)*('تشخيص الحالات'!$G$2:$G$1001=1)*ROW('تشخيص الحالات'!$B$2:$B$1001))-1),"")&amp;IF(SUMPRODUCT(('تشخيص الحالات'!$B$2:$B$1001=B198)*('تشخيص الحالات'!$G$2:$G$1001=2))&gt;0,"، "&amp;IFERROR(INDEX('تشخيص الحالات'!$D$2:$D$1001,SUMPRODUCT(('تشخيص الحالات'!$B$2:$B$1001=B198)*('تشخيص الحالات'!$G$2:$G$1001=2)*ROW('تشخيص الحالات'!$B$2:$B$1001))-1),""),"")&amp;IF(SUMPRODUCT(('تشخيص الحالات'!$B$2:$B$1001=B198)*('تشخيص الحالات'!$G$2:$G$1001=3))&gt;0,"، "&amp;IFERROR(INDEX('تشخيص الحالات'!$D$2:$D$1001,SUMPRODUCT(('تشخيص الحالات'!$B$2:$B$1001=B198)*('تشخيص الحالات'!$G$2:$G$1001=3)*ROW('تشخيص الحالات'!$B$2:$B$1001))-1),""),"")&amp;IF(SUMPRODUCT(('تشخيص الحالات'!$B$2:$B$1001=B198)*('تشخيص الحالات'!$G$2:$G$1001=4))&gt;0,"، "&amp;IFERROR(INDEX('تشخيص الحالات'!$D$2:$D$1001,SUMPRODUCT(('تشخيص الحالات'!$B$2:$B$1001=B198)*('تشخيص الحالات'!$G$2:$G$1001=4)*ROW('تشخيص الحالات'!$B$2:$B$1001))-1),""),"")&amp;IF(SUMPRODUCT(('تشخيص الحالات'!$B$2:$B$1001=B198)*('تشخيص الحالات'!$G$2:$G$1001=5))&gt;0,"، "&amp;IFERROR(INDEX('تشخيص الحالات'!$D$2:$D$1001,SUMPRODUCT(('تشخيص الحالات'!$B$2:$B$1001=B198)*('تشخيص الحالات'!$G$2:$G$1001=5)*ROW('تشخيص الحالات'!$B$2:$B$1001))-1),""),"")&amp;IF(SUMPRODUCT(('تشخيص الحالات'!$B$2:$B$1001=B198)*('تشخيص الحالات'!$G$2:$G$1001=6))&gt;0,"، "&amp;IFERROR(INDEX('تشخيص الحالات'!$D$2:$D$1001,SUMPRODUCT(('تشخيص الحالات'!$B$2:$B$1001=B198)*('تشخيص الحالات'!$G$2:$G$1001=6)*ROW('تشخيص الحالات'!$B$2:$B$1001))-1),""),"")&amp;IF(SUMPRODUCT(('تشخيص الحالات'!$B$2:$B$1001=B198)*('تشخيص الحالات'!$G$2:$G$1001=7))&gt;0,"، "&amp;IFERROR(INDEX('تشخيص الحالات'!$D$2:$D$1001,SUMPRODUCT(('تشخيص الحالات'!$B$2:$B$1001=B198)*('تشخيص الحالات'!$G$2:$G$1001=7)*ROW('تشخيص الحالات'!$B$2:$B$1001))-1),""),"")&amp;IF(SUMPRODUCT(('تشخيص الحالات'!$B$2:$B$1001=B198)*('تشخيص الحالات'!$G$2:$G$1001=8))&gt;0,"، "&amp;IFERROR(INDEX('تشخيص الحالات'!$D$2:$D$1001,SUMPRODUCT(('تشخيص الحالات'!$B$2:$B$1001=B198)*('تشخيص الحالات'!$G$2:$G$1001=8)*ROW('تشخيص الحالات'!$B$2:$B$1001))-1),""),"")</f>
        <v>اضطراب طيف التوحد، اضطراب نفسي</v>
      </c>
      <c r="J198" s="1">
        <v>85</v>
      </c>
      <c r="K198" s="1" t="s">
        <v>38</v>
      </c>
      <c r="L198" s="1">
        <v>3500</v>
      </c>
      <c r="M198" s="1" t="s">
        <v>44</v>
      </c>
      <c r="N198" s="1">
        <v>5</v>
      </c>
      <c r="O198" s="1">
        <v>0</v>
      </c>
      <c r="P198" s="1">
        <v>0</v>
      </c>
      <c r="Q198" s="1">
        <v>7</v>
      </c>
      <c r="R198" s="1">
        <v>0</v>
      </c>
      <c r="S198" s="1">
        <v>5</v>
      </c>
      <c r="T198">
        <f>SUM(tbl_Beneficiaries[[#This Row],[ التربية الخاصة ]:[ التأهيل النفسي الحركي ]])</f>
        <v>17</v>
      </c>
    </row>
    <row r="199" spans="1:20" x14ac:dyDescent="0.2">
      <c r="A199" s="1">
        <v>198</v>
      </c>
      <c r="B199" s="1">
        <v>1229115953</v>
      </c>
      <c r="C199" s="1" t="s">
        <v>517</v>
      </c>
      <c r="D199" s="1" t="s">
        <v>7</v>
      </c>
      <c r="E199" s="3">
        <v>42785</v>
      </c>
      <c r="F199" s="1" t="s">
        <v>357</v>
      </c>
      <c r="G199" s="1" t="s">
        <v>4</v>
      </c>
      <c r="H199" s="3">
        <v>45517</v>
      </c>
      <c r="I199" t="str">
        <f>IFERROR(INDEX('تشخيص الحالات'!$D$2:$D$1001,SUMPRODUCT(('تشخيص الحالات'!$B$2:$B$1001=B199)*('تشخيص الحالات'!$G$2:$G$1001=1)*ROW('تشخيص الحالات'!$B$2:$B$1001))-1),"")&amp;IF(SUMPRODUCT(('تشخيص الحالات'!$B$2:$B$1001=B199)*('تشخيص الحالات'!$G$2:$G$1001=2))&gt;0,"، "&amp;IFERROR(INDEX('تشخيص الحالات'!$D$2:$D$1001,SUMPRODUCT(('تشخيص الحالات'!$B$2:$B$1001=B199)*('تشخيص الحالات'!$G$2:$G$1001=2)*ROW('تشخيص الحالات'!$B$2:$B$1001))-1),""),"")&amp;IF(SUMPRODUCT(('تشخيص الحالات'!$B$2:$B$1001=B199)*('تشخيص الحالات'!$G$2:$G$1001=3))&gt;0,"، "&amp;IFERROR(INDEX('تشخيص الحالات'!$D$2:$D$1001,SUMPRODUCT(('تشخيص الحالات'!$B$2:$B$1001=B199)*('تشخيص الحالات'!$G$2:$G$1001=3)*ROW('تشخيص الحالات'!$B$2:$B$1001))-1),""),"")&amp;IF(SUMPRODUCT(('تشخيص الحالات'!$B$2:$B$1001=B199)*('تشخيص الحالات'!$G$2:$G$1001=4))&gt;0,"، "&amp;IFERROR(INDEX('تشخيص الحالات'!$D$2:$D$1001,SUMPRODUCT(('تشخيص الحالات'!$B$2:$B$1001=B199)*('تشخيص الحالات'!$G$2:$G$1001=4)*ROW('تشخيص الحالات'!$B$2:$B$1001))-1),""),"")&amp;IF(SUMPRODUCT(('تشخيص الحالات'!$B$2:$B$1001=B199)*('تشخيص الحالات'!$G$2:$G$1001=5))&gt;0,"، "&amp;IFERROR(INDEX('تشخيص الحالات'!$D$2:$D$1001,SUMPRODUCT(('تشخيص الحالات'!$B$2:$B$1001=B199)*('تشخيص الحالات'!$G$2:$G$1001=5)*ROW('تشخيص الحالات'!$B$2:$B$1001))-1),""),"")&amp;IF(SUMPRODUCT(('تشخيص الحالات'!$B$2:$B$1001=B199)*('تشخيص الحالات'!$G$2:$G$1001=6))&gt;0,"، "&amp;IFERROR(INDEX('تشخيص الحالات'!$D$2:$D$1001,SUMPRODUCT(('تشخيص الحالات'!$B$2:$B$1001=B199)*('تشخيص الحالات'!$G$2:$G$1001=6)*ROW('تشخيص الحالات'!$B$2:$B$1001))-1),""),"")&amp;IF(SUMPRODUCT(('تشخيص الحالات'!$B$2:$B$1001=B199)*('تشخيص الحالات'!$G$2:$G$1001=7))&gt;0,"، "&amp;IFERROR(INDEX('تشخيص الحالات'!$D$2:$D$1001,SUMPRODUCT(('تشخيص الحالات'!$B$2:$B$1001=B199)*('تشخيص الحالات'!$G$2:$G$1001=7)*ROW('تشخيص الحالات'!$B$2:$B$1001))-1),""),"")&amp;IF(SUMPRODUCT(('تشخيص الحالات'!$B$2:$B$1001=B199)*('تشخيص الحالات'!$G$2:$G$1001=8))&gt;0,"، "&amp;IFERROR(INDEX('تشخيص الحالات'!$D$2:$D$1001,SUMPRODUCT(('تشخيص الحالات'!$B$2:$B$1001=B199)*('تشخيص الحالات'!$G$2:$G$1001=8)*ROW('تشخيص الحالات'!$B$2:$B$1001))-1),""),"")</f>
        <v>اضطراب طيف التوحد، فرط الحركة وتشتت الانتباه، مشكلات لغوية</v>
      </c>
      <c r="J199" s="1">
        <v>57</v>
      </c>
      <c r="K199" s="1" t="s">
        <v>38</v>
      </c>
      <c r="L199" s="1">
        <v>3000</v>
      </c>
      <c r="M199" s="1" t="s">
        <v>43</v>
      </c>
      <c r="N199" s="1">
        <v>0</v>
      </c>
      <c r="O199" s="1">
        <v>3</v>
      </c>
      <c r="P199" s="1">
        <v>1</v>
      </c>
      <c r="Q199" s="1">
        <v>0</v>
      </c>
      <c r="R199" s="1">
        <v>0</v>
      </c>
      <c r="S199" s="1">
        <v>1</v>
      </c>
      <c r="T199">
        <f>SUM(tbl_Beneficiaries[[#This Row],[ التربية الخاصة ]:[ التأهيل النفسي الحركي ]])</f>
        <v>5</v>
      </c>
    </row>
    <row r="200" spans="1:20" x14ac:dyDescent="0.2">
      <c r="A200" s="1">
        <v>199</v>
      </c>
      <c r="B200" s="1">
        <v>1639332291</v>
      </c>
      <c r="C200" s="1" t="s">
        <v>518</v>
      </c>
      <c r="D200" s="1" t="s">
        <v>3</v>
      </c>
      <c r="E200" s="3">
        <v>41948</v>
      </c>
      <c r="F200" s="1" t="s">
        <v>361</v>
      </c>
      <c r="G200" s="1" t="s">
        <v>1</v>
      </c>
      <c r="H200" s="3">
        <v>44618</v>
      </c>
      <c r="I200" t="str">
        <f>IFERROR(INDEX('تشخيص الحالات'!$D$2:$D$1001,SUMPRODUCT(('تشخيص الحالات'!$B$2:$B$1001=B200)*('تشخيص الحالات'!$G$2:$G$1001=1)*ROW('تشخيص الحالات'!$B$2:$B$1001))-1),"")&amp;IF(SUMPRODUCT(('تشخيص الحالات'!$B$2:$B$1001=B200)*('تشخيص الحالات'!$G$2:$G$1001=2))&gt;0,"، "&amp;IFERROR(INDEX('تشخيص الحالات'!$D$2:$D$1001,SUMPRODUCT(('تشخيص الحالات'!$B$2:$B$1001=B200)*('تشخيص الحالات'!$G$2:$G$1001=2)*ROW('تشخيص الحالات'!$B$2:$B$1001))-1),""),"")&amp;IF(SUMPRODUCT(('تشخيص الحالات'!$B$2:$B$1001=B200)*('تشخيص الحالات'!$G$2:$G$1001=3))&gt;0,"، "&amp;IFERROR(INDEX('تشخيص الحالات'!$D$2:$D$1001,SUMPRODUCT(('تشخيص الحالات'!$B$2:$B$1001=B200)*('تشخيص الحالات'!$G$2:$G$1001=3)*ROW('تشخيص الحالات'!$B$2:$B$1001))-1),""),"")&amp;IF(SUMPRODUCT(('تشخيص الحالات'!$B$2:$B$1001=B200)*('تشخيص الحالات'!$G$2:$G$1001=4))&gt;0,"، "&amp;IFERROR(INDEX('تشخيص الحالات'!$D$2:$D$1001,SUMPRODUCT(('تشخيص الحالات'!$B$2:$B$1001=B200)*('تشخيص الحالات'!$G$2:$G$1001=4)*ROW('تشخيص الحالات'!$B$2:$B$1001))-1),""),"")&amp;IF(SUMPRODUCT(('تشخيص الحالات'!$B$2:$B$1001=B200)*('تشخيص الحالات'!$G$2:$G$1001=5))&gt;0,"، "&amp;IFERROR(INDEX('تشخيص الحالات'!$D$2:$D$1001,SUMPRODUCT(('تشخيص الحالات'!$B$2:$B$1001=B200)*('تشخيص الحالات'!$G$2:$G$1001=5)*ROW('تشخيص الحالات'!$B$2:$B$1001))-1),""),"")&amp;IF(SUMPRODUCT(('تشخيص الحالات'!$B$2:$B$1001=B200)*('تشخيص الحالات'!$G$2:$G$1001=6))&gt;0,"، "&amp;IFERROR(INDEX('تشخيص الحالات'!$D$2:$D$1001,SUMPRODUCT(('تشخيص الحالات'!$B$2:$B$1001=B200)*('تشخيص الحالات'!$G$2:$G$1001=6)*ROW('تشخيص الحالات'!$B$2:$B$1001))-1),""),"")&amp;IF(SUMPRODUCT(('تشخيص الحالات'!$B$2:$B$1001=B200)*('تشخيص الحالات'!$G$2:$G$1001=7))&gt;0,"، "&amp;IFERROR(INDEX('تشخيص الحالات'!$D$2:$D$1001,SUMPRODUCT(('تشخيص الحالات'!$B$2:$B$1001=B200)*('تشخيص الحالات'!$G$2:$G$1001=7)*ROW('تشخيص الحالات'!$B$2:$B$1001))-1),""),"")&amp;IF(SUMPRODUCT(('تشخيص الحالات'!$B$2:$B$1001=B200)*('تشخيص الحالات'!$G$2:$G$1001=8))&gt;0,"، "&amp;IFERROR(INDEX('تشخيص الحالات'!$D$2:$D$1001,SUMPRODUCT(('تشخيص الحالات'!$B$2:$B$1001=B200)*('تشخيص الحالات'!$G$2:$G$1001=8)*ROW('تشخيص الحالات'!$B$2:$B$1001))-1),""),"")</f>
        <v>إعاقة ذهنية، فرط الحركة وتشتت الانتباه</v>
      </c>
      <c r="J200" s="1">
        <v>80</v>
      </c>
      <c r="K200" s="1" t="s">
        <v>38</v>
      </c>
      <c r="L200" s="1">
        <v>2500</v>
      </c>
      <c r="M200" s="1" t="s">
        <v>42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>
        <f>SUM(tbl_Beneficiaries[[#This Row],[ التربية الخاصة ]:[ التأهيل النفسي الحركي ]])</f>
        <v>0</v>
      </c>
    </row>
    <row r="201" spans="1:20" x14ac:dyDescent="0.2">
      <c r="A201" s="1">
        <v>200</v>
      </c>
      <c r="B201" s="1">
        <v>1358470403</v>
      </c>
      <c r="C201" s="1" t="s">
        <v>519</v>
      </c>
      <c r="D201" s="1" t="s">
        <v>3</v>
      </c>
      <c r="E201" s="3">
        <v>40556</v>
      </c>
      <c r="F201" s="1" t="s">
        <v>357</v>
      </c>
      <c r="G201" s="1" t="s">
        <v>1</v>
      </c>
      <c r="H201" s="3">
        <v>44806</v>
      </c>
      <c r="I201" t="str">
        <f>IFERROR(INDEX('تشخيص الحالات'!$D$2:$D$1001,SUMPRODUCT(('تشخيص الحالات'!$B$2:$B$1001=B201)*('تشخيص الحالات'!$G$2:$G$1001=1)*ROW('تشخيص الحالات'!$B$2:$B$1001))-1),"")&amp;IF(SUMPRODUCT(('تشخيص الحالات'!$B$2:$B$1001=B201)*('تشخيص الحالات'!$G$2:$G$1001=2))&gt;0,"، "&amp;IFERROR(INDEX('تشخيص الحالات'!$D$2:$D$1001,SUMPRODUCT(('تشخيص الحالات'!$B$2:$B$1001=B201)*('تشخيص الحالات'!$G$2:$G$1001=2)*ROW('تشخيص الحالات'!$B$2:$B$1001))-1),""),"")&amp;IF(SUMPRODUCT(('تشخيص الحالات'!$B$2:$B$1001=B201)*('تشخيص الحالات'!$G$2:$G$1001=3))&gt;0,"، "&amp;IFERROR(INDEX('تشخيص الحالات'!$D$2:$D$1001,SUMPRODUCT(('تشخيص الحالات'!$B$2:$B$1001=B201)*('تشخيص الحالات'!$G$2:$G$1001=3)*ROW('تشخيص الحالات'!$B$2:$B$1001))-1),""),"")&amp;IF(SUMPRODUCT(('تشخيص الحالات'!$B$2:$B$1001=B201)*('تشخيص الحالات'!$G$2:$G$1001=4))&gt;0,"، "&amp;IFERROR(INDEX('تشخيص الحالات'!$D$2:$D$1001,SUMPRODUCT(('تشخيص الحالات'!$B$2:$B$1001=B201)*('تشخيص الحالات'!$G$2:$G$1001=4)*ROW('تشخيص الحالات'!$B$2:$B$1001))-1),""),"")&amp;IF(SUMPRODUCT(('تشخيص الحالات'!$B$2:$B$1001=B201)*('تشخيص الحالات'!$G$2:$G$1001=5))&gt;0,"، "&amp;IFERROR(INDEX('تشخيص الحالات'!$D$2:$D$1001,SUMPRODUCT(('تشخيص الحالات'!$B$2:$B$1001=B201)*('تشخيص الحالات'!$G$2:$G$1001=5)*ROW('تشخيص الحالات'!$B$2:$B$1001))-1),""),"")&amp;IF(SUMPRODUCT(('تشخيص الحالات'!$B$2:$B$1001=B201)*('تشخيص الحالات'!$G$2:$G$1001=6))&gt;0,"، "&amp;IFERROR(INDEX('تشخيص الحالات'!$D$2:$D$1001,SUMPRODUCT(('تشخيص الحالات'!$B$2:$B$1001=B201)*('تشخيص الحالات'!$G$2:$G$1001=6)*ROW('تشخيص الحالات'!$B$2:$B$1001))-1),""),"")&amp;IF(SUMPRODUCT(('تشخيص الحالات'!$B$2:$B$1001=B201)*('تشخيص الحالات'!$G$2:$G$1001=7))&gt;0,"، "&amp;IFERROR(INDEX('تشخيص الحالات'!$D$2:$D$1001,SUMPRODUCT(('تشخيص الحالات'!$B$2:$B$1001=B201)*('تشخيص الحالات'!$G$2:$G$1001=7)*ROW('تشخيص الحالات'!$B$2:$B$1001))-1),""),"")&amp;IF(SUMPRODUCT(('تشخيص الحالات'!$B$2:$B$1001=B201)*('تشخيص الحالات'!$G$2:$G$1001=8))&gt;0,"، "&amp;IFERROR(INDEX('تشخيص الحالات'!$D$2:$D$1001,SUMPRODUCT(('تشخيص الحالات'!$B$2:$B$1001=B201)*('تشخيص الحالات'!$G$2:$G$1001=8)*ROW('تشخيص الحالات'!$B$2:$B$1001))-1),""),"")</f>
        <v>تأخر نمائي، إعاقة ذهنية، اضطراب نفسي حركي، إعاقة سمعية</v>
      </c>
      <c r="J201" s="1">
        <v>96</v>
      </c>
      <c r="K201" s="1" t="s">
        <v>38</v>
      </c>
      <c r="L201" s="1">
        <v>1500</v>
      </c>
      <c r="M201" s="1" t="s">
        <v>43</v>
      </c>
      <c r="N201" s="1">
        <v>3</v>
      </c>
      <c r="O201" s="1">
        <v>0</v>
      </c>
      <c r="P201" s="1">
        <v>3</v>
      </c>
      <c r="Q201" s="1">
        <v>9</v>
      </c>
      <c r="R201" s="1">
        <v>7</v>
      </c>
      <c r="S201" s="1">
        <v>5</v>
      </c>
      <c r="T201">
        <f>SUM(tbl_Beneficiaries[[#This Row],[ التربية الخاصة ]:[ التأهيل النفسي الحركي ]])</f>
        <v>27</v>
      </c>
    </row>
    <row r="202" spans="1:20" x14ac:dyDescent="0.2">
      <c r="A202" s="1"/>
      <c r="B202" s="1"/>
      <c r="C202" s="1"/>
      <c r="D202" s="1"/>
      <c r="E202" s="1"/>
      <c r="F202" s="1"/>
      <c r="G202" s="1"/>
      <c r="H202" s="1"/>
      <c r="I202" t="str">
        <f>IFERROR(INDEX('تشخيص الحالات'!$D$2:$D$1001,SUMPRODUCT(('تشخيص الحالات'!$B$2:$B$1001=B202)*('تشخيص الحالات'!$G$2:$G$1001=1)*ROW('تشخيص الحالات'!$B$2:$B$1001))-1),"")&amp;IF(SUMPRODUCT(('تشخيص الحالات'!$B$2:$B$1001=B202)*('تشخيص الحالات'!$G$2:$G$1001=2))&gt;0,"، "&amp;IFERROR(INDEX('تشخيص الحالات'!$D$2:$D$1001,SUMPRODUCT(('تشخيص الحالات'!$B$2:$B$1001=B202)*('تشخيص الحالات'!$G$2:$G$1001=2)*ROW('تشخيص الحالات'!$B$2:$B$1001))-1),""),"")&amp;IF(SUMPRODUCT(('تشخيص الحالات'!$B$2:$B$1001=B202)*('تشخيص الحالات'!$G$2:$G$1001=3))&gt;0,"، "&amp;IFERROR(INDEX('تشخيص الحالات'!$D$2:$D$1001,SUMPRODUCT(('تشخيص الحالات'!$B$2:$B$1001=B202)*('تشخيص الحالات'!$G$2:$G$1001=3)*ROW('تشخيص الحالات'!$B$2:$B$1001))-1),""),"")&amp;IF(SUMPRODUCT(('تشخيص الحالات'!$B$2:$B$1001=B202)*('تشخيص الحالات'!$G$2:$G$1001=4))&gt;0,"، "&amp;IFERROR(INDEX('تشخيص الحالات'!$D$2:$D$1001,SUMPRODUCT(('تشخيص الحالات'!$B$2:$B$1001=B202)*('تشخيص الحالات'!$G$2:$G$1001=4)*ROW('تشخيص الحالات'!$B$2:$B$1001))-1),""),"")&amp;IF(SUMPRODUCT(('تشخيص الحالات'!$B$2:$B$1001=B202)*('تشخيص الحالات'!$G$2:$G$1001=5))&gt;0,"، "&amp;IFERROR(INDEX('تشخيص الحالات'!$D$2:$D$1001,SUMPRODUCT(('تشخيص الحالات'!$B$2:$B$1001=B202)*('تشخيص الحالات'!$G$2:$G$1001=5)*ROW('تشخيص الحالات'!$B$2:$B$1001))-1),""),"")&amp;IF(SUMPRODUCT(('تشخيص الحالات'!$B$2:$B$1001=B202)*('تشخيص الحالات'!$G$2:$G$1001=6))&gt;0,"، "&amp;IFERROR(INDEX('تشخيص الحالات'!$D$2:$D$1001,SUMPRODUCT(('تشخيص الحالات'!$B$2:$B$1001=B202)*('تشخيص الحالات'!$G$2:$G$1001=6)*ROW('تشخيص الحالات'!$B$2:$B$1001))-1),""),"")&amp;IF(SUMPRODUCT(('تشخيص الحالات'!$B$2:$B$1001=B202)*('تشخيص الحالات'!$G$2:$G$1001=7))&gt;0,"، "&amp;IFERROR(INDEX('تشخيص الحالات'!$D$2:$D$1001,SUMPRODUCT(('تشخيص الحالات'!$B$2:$B$1001=B202)*('تشخيص الحالات'!$G$2:$G$1001=7)*ROW('تشخيص الحالات'!$B$2:$B$1001))-1),""),"")&amp;IF(SUMPRODUCT(('تشخيص الحالات'!$B$2:$B$1001=B202)*('تشخيص الحالات'!$G$2:$G$1001=8))&gt;0,"، "&amp;IFERROR(INDEX('تشخيص الحالات'!$D$2:$D$1001,SUMPRODUCT(('تشخيص الحالات'!$B$2:$B$1001=B202)*('تشخيص الحالات'!$G$2:$G$1001=8)*ROW('تشخيص الحالات'!$B$2:$B$1001))-1),""),"")</f>
        <v/>
      </c>
      <c r="J202" s="1"/>
      <c r="K202" s="1"/>
      <c r="L202" s="1"/>
      <c r="M202" s="1"/>
    </row>
    <row r="203" spans="1:20" x14ac:dyDescent="0.2">
      <c r="A203" s="1"/>
      <c r="B203" s="1"/>
      <c r="C203" s="1"/>
      <c r="D203" s="1"/>
      <c r="E203" s="1"/>
      <c r="F203" s="1"/>
      <c r="G203" s="1"/>
      <c r="H203" s="1"/>
      <c r="I203" t="str">
        <f>IFERROR(INDEX('تشخيص الحالات'!$D$2:$D$1001,SUMPRODUCT(('تشخيص الحالات'!$B$2:$B$1001=B203)*('تشخيص الحالات'!$G$2:$G$1001=1)*ROW('تشخيص الحالات'!$B$2:$B$1001))-1),"")&amp;IF(SUMPRODUCT(('تشخيص الحالات'!$B$2:$B$1001=B203)*('تشخيص الحالات'!$G$2:$G$1001=2))&gt;0,"، "&amp;IFERROR(INDEX('تشخيص الحالات'!$D$2:$D$1001,SUMPRODUCT(('تشخيص الحالات'!$B$2:$B$1001=B203)*('تشخيص الحالات'!$G$2:$G$1001=2)*ROW('تشخيص الحالات'!$B$2:$B$1001))-1),""),"")&amp;IF(SUMPRODUCT(('تشخيص الحالات'!$B$2:$B$1001=B203)*('تشخيص الحالات'!$G$2:$G$1001=3))&gt;0,"، "&amp;IFERROR(INDEX('تشخيص الحالات'!$D$2:$D$1001,SUMPRODUCT(('تشخيص الحالات'!$B$2:$B$1001=B203)*('تشخيص الحالات'!$G$2:$G$1001=3)*ROW('تشخيص الحالات'!$B$2:$B$1001))-1),""),"")&amp;IF(SUMPRODUCT(('تشخيص الحالات'!$B$2:$B$1001=B203)*('تشخيص الحالات'!$G$2:$G$1001=4))&gt;0,"، "&amp;IFERROR(INDEX('تشخيص الحالات'!$D$2:$D$1001,SUMPRODUCT(('تشخيص الحالات'!$B$2:$B$1001=B203)*('تشخيص الحالات'!$G$2:$G$1001=4)*ROW('تشخيص الحالات'!$B$2:$B$1001))-1),""),"")&amp;IF(SUMPRODUCT(('تشخيص الحالات'!$B$2:$B$1001=B203)*('تشخيص الحالات'!$G$2:$G$1001=5))&gt;0,"، "&amp;IFERROR(INDEX('تشخيص الحالات'!$D$2:$D$1001,SUMPRODUCT(('تشخيص الحالات'!$B$2:$B$1001=B203)*('تشخيص الحالات'!$G$2:$G$1001=5)*ROW('تشخيص الحالات'!$B$2:$B$1001))-1),""),"")&amp;IF(SUMPRODUCT(('تشخيص الحالات'!$B$2:$B$1001=B203)*('تشخيص الحالات'!$G$2:$G$1001=6))&gt;0,"، "&amp;IFERROR(INDEX('تشخيص الحالات'!$D$2:$D$1001,SUMPRODUCT(('تشخيص الحالات'!$B$2:$B$1001=B203)*('تشخيص الحالات'!$G$2:$G$1001=6)*ROW('تشخيص الحالات'!$B$2:$B$1001))-1),""),"")&amp;IF(SUMPRODUCT(('تشخيص الحالات'!$B$2:$B$1001=B203)*('تشخيص الحالات'!$G$2:$G$1001=7))&gt;0,"، "&amp;IFERROR(INDEX('تشخيص الحالات'!$D$2:$D$1001,SUMPRODUCT(('تشخيص الحالات'!$B$2:$B$1001=B203)*('تشخيص الحالات'!$G$2:$G$1001=7)*ROW('تشخيص الحالات'!$B$2:$B$1001))-1),""),"")&amp;IF(SUMPRODUCT(('تشخيص الحالات'!$B$2:$B$1001=B203)*('تشخيص الحالات'!$G$2:$G$1001=8))&gt;0,"، "&amp;IFERROR(INDEX('تشخيص الحالات'!$D$2:$D$1001,SUMPRODUCT(('تشخيص الحالات'!$B$2:$B$1001=B203)*('تشخيص الحالات'!$G$2:$G$1001=8)*ROW('تشخيص الحالات'!$B$2:$B$1001))-1),""),"")</f>
        <v/>
      </c>
      <c r="J203" s="1"/>
      <c r="K203" s="1"/>
      <c r="L203" s="1"/>
      <c r="M203" s="1"/>
    </row>
    <row r="204" spans="1:20" x14ac:dyDescent="0.2">
      <c r="A204" s="1"/>
      <c r="B204" s="1"/>
      <c r="C204" s="1"/>
      <c r="D204" s="1"/>
      <c r="E204" s="1"/>
      <c r="F204" s="1"/>
      <c r="G204" s="1"/>
      <c r="H204" s="1"/>
      <c r="I204" t="str">
        <f>IFERROR(INDEX('تشخيص الحالات'!$D$2:$D$1001,SUMPRODUCT(('تشخيص الحالات'!$B$2:$B$1001=B204)*('تشخيص الحالات'!$G$2:$G$1001=1)*ROW('تشخيص الحالات'!$B$2:$B$1001))-1),"")&amp;IF(SUMPRODUCT(('تشخيص الحالات'!$B$2:$B$1001=B204)*('تشخيص الحالات'!$G$2:$G$1001=2))&gt;0,"، "&amp;IFERROR(INDEX('تشخيص الحالات'!$D$2:$D$1001,SUMPRODUCT(('تشخيص الحالات'!$B$2:$B$1001=B204)*('تشخيص الحالات'!$G$2:$G$1001=2)*ROW('تشخيص الحالات'!$B$2:$B$1001))-1),""),"")&amp;IF(SUMPRODUCT(('تشخيص الحالات'!$B$2:$B$1001=B204)*('تشخيص الحالات'!$G$2:$G$1001=3))&gt;0,"، "&amp;IFERROR(INDEX('تشخيص الحالات'!$D$2:$D$1001,SUMPRODUCT(('تشخيص الحالات'!$B$2:$B$1001=B204)*('تشخيص الحالات'!$G$2:$G$1001=3)*ROW('تشخيص الحالات'!$B$2:$B$1001))-1),""),"")&amp;IF(SUMPRODUCT(('تشخيص الحالات'!$B$2:$B$1001=B204)*('تشخيص الحالات'!$G$2:$G$1001=4))&gt;0,"، "&amp;IFERROR(INDEX('تشخيص الحالات'!$D$2:$D$1001,SUMPRODUCT(('تشخيص الحالات'!$B$2:$B$1001=B204)*('تشخيص الحالات'!$G$2:$G$1001=4)*ROW('تشخيص الحالات'!$B$2:$B$1001))-1),""),"")&amp;IF(SUMPRODUCT(('تشخيص الحالات'!$B$2:$B$1001=B204)*('تشخيص الحالات'!$G$2:$G$1001=5))&gt;0,"، "&amp;IFERROR(INDEX('تشخيص الحالات'!$D$2:$D$1001,SUMPRODUCT(('تشخيص الحالات'!$B$2:$B$1001=B204)*('تشخيص الحالات'!$G$2:$G$1001=5)*ROW('تشخيص الحالات'!$B$2:$B$1001))-1),""),"")&amp;IF(SUMPRODUCT(('تشخيص الحالات'!$B$2:$B$1001=B204)*('تشخيص الحالات'!$G$2:$G$1001=6))&gt;0,"، "&amp;IFERROR(INDEX('تشخيص الحالات'!$D$2:$D$1001,SUMPRODUCT(('تشخيص الحالات'!$B$2:$B$1001=B204)*('تشخيص الحالات'!$G$2:$G$1001=6)*ROW('تشخيص الحالات'!$B$2:$B$1001))-1),""),"")&amp;IF(SUMPRODUCT(('تشخيص الحالات'!$B$2:$B$1001=B204)*('تشخيص الحالات'!$G$2:$G$1001=7))&gt;0,"، "&amp;IFERROR(INDEX('تشخيص الحالات'!$D$2:$D$1001,SUMPRODUCT(('تشخيص الحالات'!$B$2:$B$1001=B204)*('تشخيص الحالات'!$G$2:$G$1001=7)*ROW('تشخيص الحالات'!$B$2:$B$1001))-1),""),"")&amp;IF(SUMPRODUCT(('تشخيص الحالات'!$B$2:$B$1001=B204)*('تشخيص الحالات'!$G$2:$G$1001=8))&gt;0,"، "&amp;IFERROR(INDEX('تشخيص الحالات'!$D$2:$D$1001,SUMPRODUCT(('تشخيص الحالات'!$B$2:$B$1001=B204)*('تشخيص الحالات'!$G$2:$G$1001=8)*ROW('تشخيص الحالات'!$B$2:$B$1001))-1),""),"")</f>
        <v/>
      </c>
      <c r="J204" s="1"/>
      <c r="K204" s="1"/>
      <c r="L204" s="1"/>
      <c r="M204" s="1"/>
    </row>
    <row r="205" spans="1:20" x14ac:dyDescent="0.2">
      <c r="A205" s="1"/>
      <c r="B205" s="1"/>
      <c r="C205" s="1"/>
      <c r="D205" s="1"/>
      <c r="E205" s="1"/>
      <c r="F205" s="1"/>
      <c r="G205" s="1"/>
      <c r="H205" s="1"/>
      <c r="I205" t="str">
        <f>IFERROR(INDEX('تشخيص الحالات'!$D$2:$D$1001,SUMPRODUCT(('تشخيص الحالات'!$B$2:$B$1001=B205)*('تشخيص الحالات'!$G$2:$G$1001=1)*ROW('تشخيص الحالات'!$B$2:$B$1001))-1),"")&amp;IF(SUMPRODUCT(('تشخيص الحالات'!$B$2:$B$1001=B205)*('تشخيص الحالات'!$G$2:$G$1001=2))&gt;0,"، "&amp;IFERROR(INDEX('تشخيص الحالات'!$D$2:$D$1001,SUMPRODUCT(('تشخيص الحالات'!$B$2:$B$1001=B205)*('تشخيص الحالات'!$G$2:$G$1001=2)*ROW('تشخيص الحالات'!$B$2:$B$1001))-1),""),"")&amp;IF(SUMPRODUCT(('تشخيص الحالات'!$B$2:$B$1001=B205)*('تشخيص الحالات'!$G$2:$G$1001=3))&gt;0,"، "&amp;IFERROR(INDEX('تشخيص الحالات'!$D$2:$D$1001,SUMPRODUCT(('تشخيص الحالات'!$B$2:$B$1001=B205)*('تشخيص الحالات'!$G$2:$G$1001=3)*ROW('تشخيص الحالات'!$B$2:$B$1001))-1),""),"")&amp;IF(SUMPRODUCT(('تشخيص الحالات'!$B$2:$B$1001=B205)*('تشخيص الحالات'!$G$2:$G$1001=4))&gt;0,"، "&amp;IFERROR(INDEX('تشخيص الحالات'!$D$2:$D$1001,SUMPRODUCT(('تشخيص الحالات'!$B$2:$B$1001=B205)*('تشخيص الحالات'!$G$2:$G$1001=4)*ROW('تشخيص الحالات'!$B$2:$B$1001))-1),""),"")&amp;IF(SUMPRODUCT(('تشخيص الحالات'!$B$2:$B$1001=B205)*('تشخيص الحالات'!$G$2:$G$1001=5))&gt;0,"، "&amp;IFERROR(INDEX('تشخيص الحالات'!$D$2:$D$1001,SUMPRODUCT(('تشخيص الحالات'!$B$2:$B$1001=B205)*('تشخيص الحالات'!$G$2:$G$1001=5)*ROW('تشخيص الحالات'!$B$2:$B$1001))-1),""),"")&amp;IF(SUMPRODUCT(('تشخيص الحالات'!$B$2:$B$1001=B205)*('تشخيص الحالات'!$G$2:$G$1001=6))&gt;0,"، "&amp;IFERROR(INDEX('تشخيص الحالات'!$D$2:$D$1001,SUMPRODUCT(('تشخيص الحالات'!$B$2:$B$1001=B205)*('تشخيص الحالات'!$G$2:$G$1001=6)*ROW('تشخيص الحالات'!$B$2:$B$1001))-1),""),"")&amp;IF(SUMPRODUCT(('تشخيص الحالات'!$B$2:$B$1001=B205)*('تشخيص الحالات'!$G$2:$G$1001=7))&gt;0,"، "&amp;IFERROR(INDEX('تشخيص الحالات'!$D$2:$D$1001,SUMPRODUCT(('تشخيص الحالات'!$B$2:$B$1001=B205)*('تشخيص الحالات'!$G$2:$G$1001=7)*ROW('تشخيص الحالات'!$B$2:$B$1001))-1),""),"")&amp;IF(SUMPRODUCT(('تشخيص الحالات'!$B$2:$B$1001=B205)*('تشخيص الحالات'!$G$2:$G$1001=8))&gt;0,"، "&amp;IFERROR(INDEX('تشخيص الحالات'!$D$2:$D$1001,SUMPRODUCT(('تشخيص الحالات'!$B$2:$B$1001=B205)*('تشخيص الحالات'!$G$2:$G$1001=8)*ROW('تشخيص الحالات'!$B$2:$B$1001))-1),""),"")</f>
        <v/>
      </c>
      <c r="J205" s="1"/>
      <c r="K205" s="1"/>
      <c r="L205" s="1"/>
      <c r="M205" s="1"/>
    </row>
    <row r="206" spans="1:20" x14ac:dyDescent="0.2">
      <c r="A206" s="1"/>
      <c r="B206" s="1"/>
      <c r="C206" s="1"/>
      <c r="D206" s="1"/>
      <c r="E206" s="1"/>
      <c r="F206" s="1"/>
      <c r="G206" s="1"/>
      <c r="H206" s="1"/>
      <c r="I206" t="str">
        <f>IFERROR(INDEX('تشخيص الحالات'!$D$2:$D$1001,SUMPRODUCT(('تشخيص الحالات'!$B$2:$B$1001=B206)*('تشخيص الحالات'!$G$2:$G$1001=1)*ROW('تشخيص الحالات'!$B$2:$B$1001))-1),"")&amp;IF(SUMPRODUCT(('تشخيص الحالات'!$B$2:$B$1001=B206)*('تشخيص الحالات'!$G$2:$G$1001=2))&gt;0,"، "&amp;IFERROR(INDEX('تشخيص الحالات'!$D$2:$D$1001,SUMPRODUCT(('تشخيص الحالات'!$B$2:$B$1001=B206)*('تشخيص الحالات'!$G$2:$G$1001=2)*ROW('تشخيص الحالات'!$B$2:$B$1001))-1),""),"")&amp;IF(SUMPRODUCT(('تشخيص الحالات'!$B$2:$B$1001=B206)*('تشخيص الحالات'!$G$2:$G$1001=3))&gt;0,"، "&amp;IFERROR(INDEX('تشخيص الحالات'!$D$2:$D$1001,SUMPRODUCT(('تشخيص الحالات'!$B$2:$B$1001=B206)*('تشخيص الحالات'!$G$2:$G$1001=3)*ROW('تشخيص الحالات'!$B$2:$B$1001))-1),""),"")&amp;IF(SUMPRODUCT(('تشخيص الحالات'!$B$2:$B$1001=B206)*('تشخيص الحالات'!$G$2:$G$1001=4))&gt;0,"، "&amp;IFERROR(INDEX('تشخيص الحالات'!$D$2:$D$1001,SUMPRODUCT(('تشخيص الحالات'!$B$2:$B$1001=B206)*('تشخيص الحالات'!$G$2:$G$1001=4)*ROW('تشخيص الحالات'!$B$2:$B$1001))-1),""),"")&amp;IF(SUMPRODUCT(('تشخيص الحالات'!$B$2:$B$1001=B206)*('تشخيص الحالات'!$G$2:$G$1001=5))&gt;0,"، "&amp;IFERROR(INDEX('تشخيص الحالات'!$D$2:$D$1001,SUMPRODUCT(('تشخيص الحالات'!$B$2:$B$1001=B206)*('تشخيص الحالات'!$G$2:$G$1001=5)*ROW('تشخيص الحالات'!$B$2:$B$1001))-1),""),"")&amp;IF(SUMPRODUCT(('تشخيص الحالات'!$B$2:$B$1001=B206)*('تشخيص الحالات'!$G$2:$G$1001=6))&gt;0,"، "&amp;IFERROR(INDEX('تشخيص الحالات'!$D$2:$D$1001,SUMPRODUCT(('تشخيص الحالات'!$B$2:$B$1001=B206)*('تشخيص الحالات'!$G$2:$G$1001=6)*ROW('تشخيص الحالات'!$B$2:$B$1001))-1),""),"")&amp;IF(SUMPRODUCT(('تشخيص الحالات'!$B$2:$B$1001=B206)*('تشخيص الحالات'!$G$2:$G$1001=7))&gt;0,"، "&amp;IFERROR(INDEX('تشخيص الحالات'!$D$2:$D$1001,SUMPRODUCT(('تشخيص الحالات'!$B$2:$B$1001=B206)*('تشخيص الحالات'!$G$2:$G$1001=7)*ROW('تشخيص الحالات'!$B$2:$B$1001))-1),""),"")&amp;IF(SUMPRODUCT(('تشخيص الحالات'!$B$2:$B$1001=B206)*('تشخيص الحالات'!$G$2:$G$1001=8))&gt;0,"، "&amp;IFERROR(INDEX('تشخيص الحالات'!$D$2:$D$1001,SUMPRODUCT(('تشخيص الحالات'!$B$2:$B$1001=B206)*('تشخيص الحالات'!$G$2:$G$1001=8)*ROW('تشخيص الحالات'!$B$2:$B$1001))-1),""),"")</f>
        <v/>
      </c>
      <c r="J206" s="1"/>
      <c r="K206" s="1"/>
      <c r="L206" s="1"/>
      <c r="M206" s="1"/>
    </row>
    <row r="207" spans="1:20" x14ac:dyDescent="0.2">
      <c r="A207" s="1"/>
      <c r="B207" s="1"/>
      <c r="C207" s="1"/>
      <c r="D207" s="1"/>
      <c r="E207" s="1"/>
      <c r="F207" s="1"/>
      <c r="G207" s="1"/>
      <c r="H207" s="1"/>
      <c r="I207" t="str">
        <f>IFERROR(INDEX('تشخيص الحالات'!$D$2:$D$1001,SUMPRODUCT(('تشخيص الحالات'!$B$2:$B$1001=B207)*('تشخيص الحالات'!$G$2:$G$1001=1)*ROW('تشخيص الحالات'!$B$2:$B$1001))-1),"")&amp;IF(SUMPRODUCT(('تشخيص الحالات'!$B$2:$B$1001=B207)*('تشخيص الحالات'!$G$2:$G$1001=2))&gt;0,"، "&amp;IFERROR(INDEX('تشخيص الحالات'!$D$2:$D$1001,SUMPRODUCT(('تشخيص الحالات'!$B$2:$B$1001=B207)*('تشخيص الحالات'!$G$2:$G$1001=2)*ROW('تشخيص الحالات'!$B$2:$B$1001))-1),""),"")&amp;IF(SUMPRODUCT(('تشخيص الحالات'!$B$2:$B$1001=B207)*('تشخيص الحالات'!$G$2:$G$1001=3))&gt;0,"، "&amp;IFERROR(INDEX('تشخيص الحالات'!$D$2:$D$1001,SUMPRODUCT(('تشخيص الحالات'!$B$2:$B$1001=B207)*('تشخيص الحالات'!$G$2:$G$1001=3)*ROW('تشخيص الحالات'!$B$2:$B$1001))-1),""),"")&amp;IF(SUMPRODUCT(('تشخيص الحالات'!$B$2:$B$1001=B207)*('تشخيص الحالات'!$G$2:$G$1001=4))&gt;0,"، "&amp;IFERROR(INDEX('تشخيص الحالات'!$D$2:$D$1001,SUMPRODUCT(('تشخيص الحالات'!$B$2:$B$1001=B207)*('تشخيص الحالات'!$G$2:$G$1001=4)*ROW('تشخيص الحالات'!$B$2:$B$1001))-1),""),"")&amp;IF(SUMPRODUCT(('تشخيص الحالات'!$B$2:$B$1001=B207)*('تشخيص الحالات'!$G$2:$G$1001=5))&gt;0,"، "&amp;IFERROR(INDEX('تشخيص الحالات'!$D$2:$D$1001,SUMPRODUCT(('تشخيص الحالات'!$B$2:$B$1001=B207)*('تشخيص الحالات'!$G$2:$G$1001=5)*ROW('تشخيص الحالات'!$B$2:$B$1001))-1),""),"")&amp;IF(SUMPRODUCT(('تشخيص الحالات'!$B$2:$B$1001=B207)*('تشخيص الحالات'!$G$2:$G$1001=6))&gt;0,"، "&amp;IFERROR(INDEX('تشخيص الحالات'!$D$2:$D$1001,SUMPRODUCT(('تشخيص الحالات'!$B$2:$B$1001=B207)*('تشخيص الحالات'!$G$2:$G$1001=6)*ROW('تشخيص الحالات'!$B$2:$B$1001))-1),""),"")&amp;IF(SUMPRODUCT(('تشخيص الحالات'!$B$2:$B$1001=B207)*('تشخيص الحالات'!$G$2:$G$1001=7))&gt;0,"، "&amp;IFERROR(INDEX('تشخيص الحالات'!$D$2:$D$1001,SUMPRODUCT(('تشخيص الحالات'!$B$2:$B$1001=B207)*('تشخيص الحالات'!$G$2:$G$1001=7)*ROW('تشخيص الحالات'!$B$2:$B$1001))-1),""),"")&amp;IF(SUMPRODUCT(('تشخيص الحالات'!$B$2:$B$1001=B207)*('تشخيص الحالات'!$G$2:$G$1001=8))&gt;0,"، "&amp;IFERROR(INDEX('تشخيص الحالات'!$D$2:$D$1001,SUMPRODUCT(('تشخيص الحالات'!$B$2:$B$1001=B207)*('تشخيص الحالات'!$G$2:$G$1001=8)*ROW('تشخيص الحالات'!$B$2:$B$1001))-1),""),"")</f>
        <v/>
      </c>
      <c r="J207" s="1"/>
      <c r="K207" s="1"/>
      <c r="L207" s="1"/>
      <c r="M207" s="1"/>
    </row>
    <row r="208" spans="1:20" x14ac:dyDescent="0.2">
      <c r="A208" s="1"/>
      <c r="B208" s="1"/>
      <c r="C208" s="1"/>
      <c r="D208" s="1"/>
      <c r="E208" s="1"/>
      <c r="F208" s="1"/>
      <c r="G208" s="1"/>
      <c r="H208" s="1"/>
      <c r="I208" t="str">
        <f>IFERROR(INDEX('تشخيص الحالات'!$D$2:$D$1001,SUMPRODUCT(('تشخيص الحالات'!$B$2:$B$1001=B208)*('تشخيص الحالات'!$G$2:$G$1001=1)*ROW('تشخيص الحالات'!$B$2:$B$1001))-1),"")&amp;IF(SUMPRODUCT(('تشخيص الحالات'!$B$2:$B$1001=B208)*('تشخيص الحالات'!$G$2:$G$1001=2))&gt;0,"، "&amp;IFERROR(INDEX('تشخيص الحالات'!$D$2:$D$1001,SUMPRODUCT(('تشخيص الحالات'!$B$2:$B$1001=B208)*('تشخيص الحالات'!$G$2:$G$1001=2)*ROW('تشخيص الحالات'!$B$2:$B$1001))-1),""),"")&amp;IF(SUMPRODUCT(('تشخيص الحالات'!$B$2:$B$1001=B208)*('تشخيص الحالات'!$G$2:$G$1001=3))&gt;0,"، "&amp;IFERROR(INDEX('تشخيص الحالات'!$D$2:$D$1001,SUMPRODUCT(('تشخيص الحالات'!$B$2:$B$1001=B208)*('تشخيص الحالات'!$G$2:$G$1001=3)*ROW('تشخيص الحالات'!$B$2:$B$1001))-1),""),"")&amp;IF(SUMPRODUCT(('تشخيص الحالات'!$B$2:$B$1001=B208)*('تشخيص الحالات'!$G$2:$G$1001=4))&gt;0,"، "&amp;IFERROR(INDEX('تشخيص الحالات'!$D$2:$D$1001,SUMPRODUCT(('تشخيص الحالات'!$B$2:$B$1001=B208)*('تشخيص الحالات'!$G$2:$G$1001=4)*ROW('تشخيص الحالات'!$B$2:$B$1001))-1),""),"")&amp;IF(SUMPRODUCT(('تشخيص الحالات'!$B$2:$B$1001=B208)*('تشخيص الحالات'!$G$2:$G$1001=5))&gt;0,"، "&amp;IFERROR(INDEX('تشخيص الحالات'!$D$2:$D$1001,SUMPRODUCT(('تشخيص الحالات'!$B$2:$B$1001=B208)*('تشخيص الحالات'!$G$2:$G$1001=5)*ROW('تشخيص الحالات'!$B$2:$B$1001))-1),""),"")&amp;IF(SUMPRODUCT(('تشخيص الحالات'!$B$2:$B$1001=B208)*('تشخيص الحالات'!$G$2:$G$1001=6))&gt;0,"، "&amp;IFERROR(INDEX('تشخيص الحالات'!$D$2:$D$1001,SUMPRODUCT(('تشخيص الحالات'!$B$2:$B$1001=B208)*('تشخيص الحالات'!$G$2:$G$1001=6)*ROW('تشخيص الحالات'!$B$2:$B$1001))-1),""),"")&amp;IF(SUMPRODUCT(('تشخيص الحالات'!$B$2:$B$1001=B208)*('تشخيص الحالات'!$G$2:$G$1001=7))&gt;0,"، "&amp;IFERROR(INDEX('تشخيص الحالات'!$D$2:$D$1001,SUMPRODUCT(('تشخيص الحالات'!$B$2:$B$1001=B208)*('تشخيص الحالات'!$G$2:$G$1001=7)*ROW('تشخيص الحالات'!$B$2:$B$1001))-1),""),"")&amp;IF(SUMPRODUCT(('تشخيص الحالات'!$B$2:$B$1001=B208)*('تشخيص الحالات'!$G$2:$G$1001=8))&gt;0,"، "&amp;IFERROR(INDEX('تشخيص الحالات'!$D$2:$D$1001,SUMPRODUCT(('تشخيص الحالات'!$B$2:$B$1001=B208)*('تشخيص الحالات'!$G$2:$G$1001=8)*ROW('تشخيص الحالات'!$B$2:$B$1001))-1),""),"")</f>
        <v/>
      </c>
      <c r="J208" s="1"/>
      <c r="K208" s="1"/>
      <c r="L208" s="1"/>
      <c r="M208" s="1"/>
    </row>
    <row r="209" spans="1:13" x14ac:dyDescent="0.2">
      <c r="A209" s="1"/>
      <c r="B209" s="1"/>
      <c r="C209" s="1"/>
      <c r="D209" s="1"/>
      <c r="E209" s="1"/>
      <c r="F209" s="1"/>
      <c r="G209" s="1"/>
      <c r="H209" s="1"/>
      <c r="I209" t="str">
        <f>IFERROR(INDEX('تشخيص الحالات'!$D$2:$D$1001,SUMPRODUCT(('تشخيص الحالات'!$B$2:$B$1001=B209)*('تشخيص الحالات'!$G$2:$G$1001=1)*ROW('تشخيص الحالات'!$B$2:$B$1001))-1),"")&amp;IF(SUMPRODUCT(('تشخيص الحالات'!$B$2:$B$1001=B209)*('تشخيص الحالات'!$G$2:$G$1001=2))&gt;0,"، "&amp;IFERROR(INDEX('تشخيص الحالات'!$D$2:$D$1001,SUMPRODUCT(('تشخيص الحالات'!$B$2:$B$1001=B209)*('تشخيص الحالات'!$G$2:$G$1001=2)*ROW('تشخيص الحالات'!$B$2:$B$1001))-1),""),"")&amp;IF(SUMPRODUCT(('تشخيص الحالات'!$B$2:$B$1001=B209)*('تشخيص الحالات'!$G$2:$G$1001=3))&gt;0,"، "&amp;IFERROR(INDEX('تشخيص الحالات'!$D$2:$D$1001,SUMPRODUCT(('تشخيص الحالات'!$B$2:$B$1001=B209)*('تشخيص الحالات'!$G$2:$G$1001=3)*ROW('تشخيص الحالات'!$B$2:$B$1001))-1),""),"")&amp;IF(SUMPRODUCT(('تشخيص الحالات'!$B$2:$B$1001=B209)*('تشخيص الحالات'!$G$2:$G$1001=4))&gt;0,"، "&amp;IFERROR(INDEX('تشخيص الحالات'!$D$2:$D$1001,SUMPRODUCT(('تشخيص الحالات'!$B$2:$B$1001=B209)*('تشخيص الحالات'!$G$2:$G$1001=4)*ROW('تشخيص الحالات'!$B$2:$B$1001))-1),""),"")&amp;IF(SUMPRODUCT(('تشخيص الحالات'!$B$2:$B$1001=B209)*('تشخيص الحالات'!$G$2:$G$1001=5))&gt;0,"، "&amp;IFERROR(INDEX('تشخيص الحالات'!$D$2:$D$1001,SUMPRODUCT(('تشخيص الحالات'!$B$2:$B$1001=B209)*('تشخيص الحالات'!$G$2:$G$1001=5)*ROW('تشخيص الحالات'!$B$2:$B$1001))-1),""),"")&amp;IF(SUMPRODUCT(('تشخيص الحالات'!$B$2:$B$1001=B209)*('تشخيص الحالات'!$G$2:$G$1001=6))&gt;0,"، "&amp;IFERROR(INDEX('تشخيص الحالات'!$D$2:$D$1001,SUMPRODUCT(('تشخيص الحالات'!$B$2:$B$1001=B209)*('تشخيص الحالات'!$G$2:$G$1001=6)*ROW('تشخيص الحالات'!$B$2:$B$1001))-1),""),"")&amp;IF(SUMPRODUCT(('تشخيص الحالات'!$B$2:$B$1001=B209)*('تشخيص الحالات'!$G$2:$G$1001=7))&gt;0,"، "&amp;IFERROR(INDEX('تشخيص الحالات'!$D$2:$D$1001,SUMPRODUCT(('تشخيص الحالات'!$B$2:$B$1001=B209)*('تشخيص الحالات'!$G$2:$G$1001=7)*ROW('تشخيص الحالات'!$B$2:$B$1001))-1),""),"")&amp;IF(SUMPRODUCT(('تشخيص الحالات'!$B$2:$B$1001=B209)*('تشخيص الحالات'!$G$2:$G$1001=8))&gt;0,"، "&amp;IFERROR(INDEX('تشخيص الحالات'!$D$2:$D$1001,SUMPRODUCT(('تشخيص الحالات'!$B$2:$B$1001=B209)*('تشخيص الحالات'!$G$2:$G$1001=8)*ROW('تشخيص الحالات'!$B$2:$B$1001))-1),""),"")</f>
        <v/>
      </c>
      <c r="J209" s="1"/>
      <c r="K209" s="1"/>
      <c r="L209" s="1"/>
      <c r="M209" s="1"/>
    </row>
    <row r="210" spans="1:13" x14ac:dyDescent="0.2">
      <c r="A210" s="1"/>
      <c r="B210" s="1"/>
      <c r="C210" s="1"/>
      <c r="D210" s="1"/>
      <c r="E210" s="1"/>
      <c r="F210" s="1"/>
      <c r="G210" s="1"/>
      <c r="H210" s="1"/>
      <c r="I210" t="str">
        <f>IFERROR(INDEX('تشخيص الحالات'!$D$2:$D$1001,SUMPRODUCT(('تشخيص الحالات'!$B$2:$B$1001=B210)*('تشخيص الحالات'!$G$2:$G$1001=1)*ROW('تشخيص الحالات'!$B$2:$B$1001))-1),"")&amp;IF(SUMPRODUCT(('تشخيص الحالات'!$B$2:$B$1001=B210)*('تشخيص الحالات'!$G$2:$G$1001=2))&gt;0,"، "&amp;IFERROR(INDEX('تشخيص الحالات'!$D$2:$D$1001,SUMPRODUCT(('تشخيص الحالات'!$B$2:$B$1001=B210)*('تشخيص الحالات'!$G$2:$G$1001=2)*ROW('تشخيص الحالات'!$B$2:$B$1001))-1),""),"")&amp;IF(SUMPRODUCT(('تشخيص الحالات'!$B$2:$B$1001=B210)*('تشخيص الحالات'!$G$2:$G$1001=3))&gt;0,"، "&amp;IFERROR(INDEX('تشخيص الحالات'!$D$2:$D$1001,SUMPRODUCT(('تشخيص الحالات'!$B$2:$B$1001=B210)*('تشخيص الحالات'!$G$2:$G$1001=3)*ROW('تشخيص الحالات'!$B$2:$B$1001))-1),""),"")&amp;IF(SUMPRODUCT(('تشخيص الحالات'!$B$2:$B$1001=B210)*('تشخيص الحالات'!$G$2:$G$1001=4))&gt;0,"، "&amp;IFERROR(INDEX('تشخيص الحالات'!$D$2:$D$1001,SUMPRODUCT(('تشخيص الحالات'!$B$2:$B$1001=B210)*('تشخيص الحالات'!$G$2:$G$1001=4)*ROW('تشخيص الحالات'!$B$2:$B$1001))-1),""),"")&amp;IF(SUMPRODUCT(('تشخيص الحالات'!$B$2:$B$1001=B210)*('تشخيص الحالات'!$G$2:$G$1001=5))&gt;0,"، "&amp;IFERROR(INDEX('تشخيص الحالات'!$D$2:$D$1001,SUMPRODUCT(('تشخيص الحالات'!$B$2:$B$1001=B210)*('تشخيص الحالات'!$G$2:$G$1001=5)*ROW('تشخيص الحالات'!$B$2:$B$1001))-1),""),"")&amp;IF(SUMPRODUCT(('تشخيص الحالات'!$B$2:$B$1001=B210)*('تشخيص الحالات'!$G$2:$G$1001=6))&gt;0,"، "&amp;IFERROR(INDEX('تشخيص الحالات'!$D$2:$D$1001,SUMPRODUCT(('تشخيص الحالات'!$B$2:$B$1001=B210)*('تشخيص الحالات'!$G$2:$G$1001=6)*ROW('تشخيص الحالات'!$B$2:$B$1001))-1),""),"")&amp;IF(SUMPRODUCT(('تشخيص الحالات'!$B$2:$B$1001=B210)*('تشخيص الحالات'!$G$2:$G$1001=7))&gt;0,"، "&amp;IFERROR(INDEX('تشخيص الحالات'!$D$2:$D$1001,SUMPRODUCT(('تشخيص الحالات'!$B$2:$B$1001=B210)*('تشخيص الحالات'!$G$2:$G$1001=7)*ROW('تشخيص الحالات'!$B$2:$B$1001))-1),""),"")&amp;IF(SUMPRODUCT(('تشخيص الحالات'!$B$2:$B$1001=B210)*('تشخيص الحالات'!$G$2:$G$1001=8))&gt;0,"، "&amp;IFERROR(INDEX('تشخيص الحالات'!$D$2:$D$1001,SUMPRODUCT(('تشخيص الحالات'!$B$2:$B$1001=B210)*('تشخيص الحالات'!$G$2:$G$1001=8)*ROW('تشخيص الحالات'!$B$2:$B$1001))-1),""),"")</f>
        <v/>
      </c>
      <c r="J210" s="1"/>
      <c r="K210" s="1"/>
      <c r="L210" s="1"/>
      <c r="M210" s="1"/>
    </row>
    <row r="211" spans="1:13" x14ac:dyDescent="0.2">
      <c r="A211" s="1"/>
      <c r="B211" s="1"/>
      <c r="C211" s="1"/>
      <c r="D211" s="1"/>
      <c r="E211" s="1"/>
      <c r="F211" s="1"/>
      <c r="G211" s="1"/>
      <c r="H211" s="1"/>
      <c r="I211" t="str">
        <f>IFERROR(INDEX('تشخيص الحالات'!$D$2:$D$1001,SUMPRODUCT(('تشخيص الحالات'!$B$2:$B$1001=B211)*('تشخيص الحالات'!$G$2:$G$1001=1)*ROW('تشخيص الحالات'!$B$2:$B$1001))-1),"")&amp;IF(SUMPRODUCT(('تشخيص الحالات'!$B$2:$B$1001=B211)*('تشخيص الحالات'!$G$2:$G$1001=2))&gt;0,"، "&amp;IFERROR(INDEX('تشخيص الحالات'!$D$2:$D$1001,SUMPRODUCT(('تشخيص الحالات'!$B$2:$B$1001=B211)*('تشخيص الحالات'!$G$2:$G$1001=2)*ROW('تشخيص الحالات'!$B$2:$B$1001))-1),""),"")&amp;IF(SUMPRODUCT(('تشخيص الحالات'!$B$2:$B$1001=B211)*('تشخيص الحالات'!$G$2:$G$1001=3))&gt;0,"، "&amp;IFERROR(INDEX('تشخيص الحالات'!$D$2:$D$1001,SUMPRODUCT(('تشخيص الحالات'!$B$2:$B$1001=B211)*('تشخيص الحالات'!$G$2:$G$1001=3)*ROW('تشخيص الحالات'!$B$2:$B$1001))-1),""),"")&amp;IF(SUMPRODUCT(('تشخيص الحالات'!$B$2:$B$1001=B211)*('تشخيص الحالات'!$G$2:$G$1001=4))&gt;0,"، "&amp;IFERROR(INDEX('تشخيص الحالات'!$D$2:$D$1001,SUMPRODUCT(('تشخيص الحالات'!$B$2:$B$1001=B211)*('تشخيص الحالات'!$G$2:$G$1001=4)*ROW('تشخيص الحالات'!$B$2:$B$1001))-1),""),"")&amp;IF(SUMPRODUCT(('تشخيص الحالات'!$B$2:$B$1001=B211)*('تشخيص الحالات'!$G$2:$G$1001=5))&gt;0,"، "&amp;IFERROR(INDEX('تشخيص الحالات'!$D$2:$D$1001,SUMPRODUCT(('تشخيص الحالات'!$B$2:$B$1001=B211)*('تشخيص الحالات'!$G$2:$G$1001=5)*ROW('تشخيص الحالات'!$B$2:$B$1001))-1),""),"")&amp;IF(SUMPRODUCT(('تشخيص الحالات'!$B$2:$B$1001=B211)*('تشخيص الحالات'!$G$2:$G$1001=6))&gt;0,"، "&amp;IFERROR(INDEX('تشخيص الحالات'!$D$2:$D$1001,SUMPRODUCT(('تشخيص الحالات'!$B$2:$B$1001=B211)*('تشخيص الحالات'!$G$2:$G$1001=6)*ROW('تشخيص الحالات'!$B$2:$B$1001))-1),""),"")&amp;IF(SUMPRODUCT(('تشخيص الحالات'!$B$2:$B$1001=B211)*('تشخيص الحالات'!$G$2:$G$1001=7))&gt;0,"، "&amp;IFERROR(INDEX('تشخيص الحالات'!$D$2:$D$1001,SUMPRODUCT(('تشخيص الحالات'!$B$2:$B$1001=B211)*('تشخيص الحالات'!$G$2:$G$1001=7)*ROW('تشخيص الحالات'!$B$2:$B$1001))-1),""),"")&amp;IF(SUMPRODUCT(('تشخيص الحالات'!$B$2:$B$1001=B211)*('تشخيص الحالات'!$G$2:$G$1001=8))&gt;0,"، "&amp;IFERROR(INDEX('تشخيص الحالات'!$D$2:$D$1001,SUMPRODUCT(('تشخيص الحالات'!$B$2:$B$1001=B211)*('تشخيص الحالات'!$G$2:$G$1001=8)*ROW('تشخيص الحالات'!$B$2:$B$1001))-1),""),"")</f>
        <v/>
      </c>
      <c r="J211" s="1"/>
      <c r="K211" s="1"/>
      <c r="L211" s="1"/>
      <c r="M211" s="1"/>
    </row>
    <row r="212" spans="1:13" x14ac:dyDescent="0.2">
      <c r="A212" s="1"/>
      <c r="B212" s="1"/>
      <c r="C212" s="1"/>
      <c r="D212" s="1"/>
      <c r="E212" s="1"/>
      <c r="F212" s="1"/>
      <c r="G212" s="1"/>
      <c r="H212" s="1"/>
      <c r="I212" t="str">
        <f>IFERROR(INDEX('تشخيص الحالات'!$D$2:$D$1001,SUMPRODUCT(('تشخيص الحالات'!$B$2:$B$1001=B212)*('تشخيص الحالات'!$G$2:$G$1001=1)*ROW('تشخيص الحالات'!$B$2:$B$1001))-1),"")&amp;IF(SUMPRODUCT(('تشخيص الحالات'!$B$2:$B$1001=B212)*('تشخيص الحالات'!$G$2:$G$1001=2))&gt;0,"، "&amp;IFERROR(INDEX('تشخيص الحالات'!$D$2:$D$1001,SUMPRODUCT(('تشخيص الحالات'!$B$2:$B$1001=B212)*('تشخيص الحالات'!$G$2:$G$1001=2)*ROW('تشخيص الحالات'!$B$2:$B$1001))-1),""),"")&amp;IF(SUMPRODUCT(('تشخيص الحالات'!$B$2:$B$1001=B212)*('تشخيص الحالات'!$G$2:$G$1001=3))&gt;0,"، "&amp;IFERROR(INDEX('تشخيص الحالات'!$D$2:$D$1001,SUMPRODUCT(('تشخيص الحالات'!$B$2:$B$1001=B212)*('تشخيص الحالات'!$G$2:$G$1001=3)*ROW('تشخيص الحالات'!$B$2:$B$1001))-1),""),"")&amp;IF(SUMPRODUCT(('تشخيص الحالات'!$B$2:$B$1001=B212)*('تشخيص الحالات'!$G$2:$G$1001=4))&gt;0,"، "&amp;IFERROR(INDEX('تشخيص الحالات'!$D$2:$D$1001,SUMPRODUCT(('تشخيص الحالات'!$B$2:$B$1001=B212)*('تشخيص الحالات'!$G$2:$G$1001=4)*ROW('تشخيص الحالات'!$B$2:$B$1001))-1),""),"")&amp;IF(SUMPRODUCT(('تشخيص الحالات'!$B$2:$B$1001=B212)*('تشخيص الحالات'!$G$2:$G$1001=5))&gt;0,"، "&amp;IFERROR(INDEX('تشخيص الحالات'!$D$2:$D$1001,SUMPRODUCT(('تشخيص الحالات'!$B$2:$B$1001=B212)*('تشخيص الحالات'!$G$2:$G$1001=5)*ROW('تشخيص الحالات'!$B$2:$B$1001))-1),""),"")&amp;IF(SUMPRODUCT(('تشخيص الحالات'!$B$2:$B$1001=B212)*('تشخيص الحالات'!$G$2:$G$1001=6))&gt;0,"، "&amp;IFERROR(INDEX('تشخيص الحالات'!$D$2:$D$1001,SUMPRODUCT(('تشخيص الحالات'!$B$2:$B$1001=B212)*('تشخيص الحالات'!$G$2:$G$1001=6)*ROW('تشخيص الحالات'!$B$2:$B$1001))-1),""),"")&amp;IF(SUMPRODUCT(('تشخيص الحالات'!$B$2:$B$1001=B212)*('تشخيص الحالات'!$G$2:$G$1001=7))&gt;0,"، "&amp;IFERROR(INDEX('تشخيص الحالات'!$D$2:$D$1001,SUMPRODUCT(('تشخيص الحالات'!$B$2:$B$1001=B212)*('تشخيص الحالات'!$G$2:$G$1001=7)*ROW('تشخيص الحالات'!$B$2:$B$1001))-1),""),"")&amp;IF(SUMPRODUCT(('تشخيص الحالات'!$B$2:$B$1001=B212)*('تشخيص الحالات'!$G$2:$G$1001=8))&gt;0,"، "&amp;IFERROR(INDEX('تشخيص الحالات'!$D$2:$D$1001,SUMPRODUCT(('تشخيص الحالات'!$B$2:$B$1001=B212)*('تشخيص الحالات'!$G$2:$G$1001=8)*ROW('تشخيص الحالات'!$B$2:$B$1001))-1),""),"")</f>
        <v/>
      </c>
      <c r="J212" s="1"/>
      <c r="K212" s="1"/>
      <c r="L212" s="1"/>
      <c r="M212" s="1"/>
    </row>
    <row r="213" spans="1:13" x14ac:dyDescent="0.2">
      <c r="A213" s="1"/>
      <c r="B213" s="1"/>
      <c r="C213" s="1"/>
      <c r="D213" s="1"/>
      <c r="E213" s="1"/>
      <c r="F213" s="1"/>
      <c r="G213" s="1"/>
      <c r="H213" s="1"/>
      <c r="I213" t="str">
        <f>IFERROR(INDEX('تشخيص الحالات'!$D$2:$D$1001,SUMPRODUCT(('تشخيص الحالات'!$B$2:$B$1001=B213)*('تشخيص الحالات'!$G$2:$G$1001=1)*ROW('تشخيص الحالات'!$B$2:$B$1001))-1),"")&amp;IF(SUMPRODUCT(('تشخيص الحالات'!$B$2:$B$1001=B213)*('تشخيص الحالات'!$G$2:$G$1001=2))&gt;0,"، "&amp;IFERROR(INDEX('تشخيص الحالات'!$D$2:$D$1001,SUMPRODUCT(('تشخيص الحالات'!$B$2:$B$1001=B213)*('تشخيص الحالات'!$G$2:$G$1001=2)*ROW('تشخيص الحالات'!$B$2:$B$1001))-1),""),"")&amp;IF(SUMPRODUCT(('تشخيص الحالات'!$B$2:$B$1001=B213)*('تشخيص الحالات'!$G$2:$G$1001=3))&gt;0,"، "&amp;IFERROR(INDEX('تشخيص الحالات'!$D$2:$D$1001,SUMPRODUCT(('تشخيص الحالات'!$B$2:$B$1001=B213)*('تشخيص الحالات'!$G$2:$G$1001=3)*ROW('تشخيص الحالات'!$B$2:$B$1001))-1),""),"")&amp;IF(SUMPRODUCT(('تشخيص الحالات'!$B$2:$B$1001=B213)*('تشخيص الحالات'!$G$2:$G$1001=4))&gt;0,"، "&amp;IFERROR(INDEX('تشخيص الحالات'!$D$2:$D$1001,SUMPRODUCT(('تشخيص الحالات'!$B$2:$B$1001=B213)*('تشخيص الحالات'!$G$2:$G$1001=4)*ROW('تشخيص الحالات'!$B$2:$B$1001))-1),""),"")&amp;IF(SUMPRODUCT(('تشخيص الحالات'!$B$2:$B$1001=B213)*('تشخيص الحالات'!$G$2:$G$1001=5))&gt;0,"، "&amp;IFERROR(INDEX('تشخيص الحالات'!$D$2:$D$1001,SUMPRODUCT(('تشخيص الحالات'!$B$2:$B$1001=B213)*('تشخيص الحالات'!$G$2:$G$1001=5)*ROW('تشخيص الحالات'!$B$2:$B$1001))-1),""),"")&amp;IF(SUMPRODUCT(('تشخيص الحالات'!$B$2:$B$1001=B213)*('تشخيص الحالات'!$G$2:$G$1001=6))&gt;0,"، "&amp;IFERROR(INDEX('تشخيص الحالات'!$D$2:$D$1001,SUMPRODUCT(('تشخيص الحالات'!$B$2:$B$1001=B213)*('تشخيص الحالات'!$G$2:$G$1001=6)*ROW('تشخيص الحالات'!$B$2:$B$1001))-1),""),"")&amp;IF(SUMPRODUCT(('تشخيص الحالات'!$B$2:$B$1001=B213)*('تشخيص الحالات'!$G$2:$G$1001=7))&gt;0,"، "&amp;IFERROR(INDEX('تشخيص الحالات'!$D$2:$D$1001,SUMPRODUCT(('تشخيص الحالات'!$B$2:$B$1001=B213)*('تشخيص الحالات'!$G$2:$G$1001=7)*ROW('تشخيص الحالات'!$B$2:$B$1001))-1),""),"")&amp;IF(SUMPRODUCT(('تشخيص الحالات'!$B$2:$B$1001=B213)*('تشخيص الحالات'!$G$2:$G$1001=8))&gt;0,"، "&amp;IFERROR(INDEX('تشخيص الحالات'!$D$2:$D$1001,SUMPRODUCT(('تشخيص الحالات'!$B$2:$B$1001=B213)*('تشخيص الحالات'!$G$2:$G$1001=8)*ROW('تشخيص الحالات'!$B$2:$B$1001))-1),""),"")</f>
        <v/>
      </c>
      <c r="J213" s="1"/>
      <c r="K213" s="1"/>
      <c r="L213" s="1"/>
      <c r="M213" s="1"/>
    </row>
    <row r="214" spans="1:13" x14ac:dyDescent="0.2">
      <c r="A214" s="1"/>
      <c r="B214" s="1"/>
      <c r="C214" s="1"/>
      <c r="D214" s="1"/>
      <c r="E214" s="1"/>
      <c r="F214" s="1"/>
      <c r="G214" s="1"/>
      <c r="H214" s="1"/>
      <c r="I214" t="str">
        <f>IFERROR(INDEX('تشخيص الحالات'!$D$2:$D$1001,SUMPRODUCT(('تشخيص الحالات'!$B$2:$B$1001=B214)*('تشخيص الحالات'!$G$2:$G$1001=1)*ROW('تشخيص الحالات'!$B$2:$B$1001))-1),"")&amp;IF(SUMPRODUCT(('تشخيص الحالات'!$B$2:$B$1001=B214)*('تشخيص الحالات'!$G$2:$G$1001=2))&gt;0,"، "&amp;IFERROR(INDEX('تشخيص الحالات'!$D$2:$D$1001,SUMPRODUCT(('تشخيص الحالات'!$B$2:$B$1001=B214)*('تشخيص الحالات'!$G$2:$G$1001=2)*ROW('تشخيص الحالات'!$B$2:$B$1001))-1),""),"")&amp;IF(SUMPRODUCT(('تشخيص الحالات'!$B$2:$B$1001=B214)*('تشخيص الحالات'!$G$2:$G$1001=3))&gt;0,"، "&amp;IFERROR(INDEX('تشخيص الحالات'!$D$2:$D$1001,SUMPRODUCT(('تشخيص الحالات'!$B$2:$B$1001=B214)*('تشخيص الحالات'!$G$2:$G$1001=3)*ROW('تشخيص الحالات'!$B$2:$B$1001))-1),""),"")&amp;IF(SUMPRODUCT(('تشخيص الحالات'!$B$2:$B$1001=B214)*('تشخيص الحالات'!$G$2:$G$1001=4))&gt;0,"، "&amp;IFERROR(INDEX('تشخيص الحالات'!$D$2:$D$1001,SUMPRODUCT(('تشخيص الحالات'!$B$2:$B$1001=B214)*('تشخيص الحالات'!$G$2:$G$1001=4)*ROW('تشخيص الحالات'!$B$2:$B$1001))-1),""),"")&amp;IF(SUMPRODUCT(('تشخيص الحالات'!$B$2:$B$1001=B214)*('تشخيص الحالات'!$G$2:$G$1001=5))&gt;0,"، "&amp;IFERROR(INDEX('تشخيص الحالات'!$D$2:$D$1001,SUMPRODUCT(('تشخيص الحالات'!$B$2:$B$1001=B214)*('تشخيص الحالات'!$G$2:$G$1001=5)*ROW('تشخيص الحالات'!$B$2:$B$1001))-1),""),"")&amp;IF(SUMPRODUCT(('تشخيص الحالات'!$B$2:$B$1001=B214)*('تشخيص الحالات'!$G$2:$G$1001=6))&gt;0,"، "&amp;IFERROR(INDEX('تشخيص الحالات'!$D$2:$D$1001,SUMPRODUCT(('تشخيص الحالات'!$B$2:$B$1001=B214)*('تشخيص الحالات'!$G$2:$G$1001=6)*ROW('تشخيص الحالات'!$B$2:$B$1001))-1),""),"")&amp;IF(SUMPRODUCT(('تشخيص الحالات'!$B$2:$B$1001=B214)*('تشخيص الحالات'!$G$2:$G$1001=7))&gt;0,"، "&amp;IFERROR(INDEX('تشخيص الحالات'!$D$2:$D$1001,SUMPRODUCT(('تشخيص الحالات'!$B$2:$B$1001=B214)*('تشخيص الحالات'!$G$2:$G$1001=7)*ROW('تشخيص الحالات'!$B$2:$B$1001))-1),""),"")&amp;IF(SUMPRODUCT(('تشخيص الحالات'!$B$2:$B$1001=B214)*('تشخيص الحالات'!$G$2:$G$1001=8))&gt;0,"، "&amp;IFERROR(INDEX('تشخيص الحالات'!$D$2:$D$1001,SUMPRODUCT(('تشخيص الحالات'!$B$2:$B$1001=B214)*('تشخيص الحالات'!$G$2:$G$1001=8)*ROW('تشخيص الحالات'!$B$2:$B$1001))-1),""),"")</f>
        <v/>
      </c>
      <c r="J214" s="1"/>
      <c r="K214" s="1"/>
      <c r="L214" s="1"/>
      <c r="M214" s="1"/>
    </row>
    <row r="215" spans="1:13" x14ac:dyDescent="0.2">
      <c r="A215" s="1"/>
      <c r="B215" s="1"/>
      <c r="C215" s="1"/>
      <c r="D215" s="1"/>
      <c r="E215" s="1"/>
      <c r="F215" s="1"/>
      <c r="G215" s="1"/>
      <c r="H215" s="1"/>
      <c r="I215" t="str">
        <f>IFERROR(INDEX('تشخيص الحالات'!$D$2:$D$1001,SUMPRODUCT(('تشخيص الحالات'!$B$2:$B$1001=B215)*('تشخيص الحالات'!$G$2:$G$1001=1)*ROW('تشخيص الحالات'!$B$2:$B$1001))-1),"")&amp;IF(SUMPRODUCT(('تشخيص الحالات'!$B$2:$B$1001=B215)*('تشخيص الحالات'!$G$2:$G$1001=2))&gt;0,"، "&amp;IFERROR(INDEX('تشخيص الحالات'!$D$2:$D$1001,SUMPRODUCT(('تشخيص الحالات'!$B$2:$B$1001=B215)*('تشخيص الحالات'!$G$2:$G$1001=2)*ROW('تشخيص الحالات'!$B$2:$B$1001))-1),""),"")&amp;IF(SUMPRODUCT(('تشخيص الحالات'!$B$2:$B$1001=B215)*('تشخيص الحالات'!$G$2:$G$1001=3))&gt;0,"، "&amp;IFERROR(INDEX('تشخيص الحالات'!$D$2:$D$1001,SUMPRODUCT(('تشخيص الحالات'!$B$2:$B$1001=B215)*('تشخيص الحالات'!$G$2:$G$1001=3)*ROW('تشخيص الحالات'!$B$2:$B$1001))-1),""),"")&amp;IF(SUMPRODUCT(('تشخيص الحالات'!$B$2:$B$1001=B215)*('تشخيص الحالات'!$G$2:$G$1001=4))&gt;0,"، "&amp;IFERROR(INDEX('تشخيص الحالات'!$D$2:$D$1001,SUMPRODUCT(('تشخيص الحالات'!$B$2:$B$1001=B215)*('تشخيص الحالات'!$G$2:$G$1001=4)*ROW('تشخيص الحالات'!$B$2:$B$1001))-1),""),"")&amp;IF(SUMPRODUCT(('تشخيص الحالات'!$B$2:$B$1001=B215)*('تشخيص الحالات'!$G$2:$G$1001=5))&gt;0,"، "&amp;IFERROR(INDEX('تشخيص الحالات'!$D$2:$D$1001,SUMPRODUCT(('تشخيص الحالات'!$B$2:$B$1001=B215)*('تشخيص الحالات'!$G$2:$G$1001=5)*ROW('تشخيص الحالات'!$B$2:$B$1001))-1),""),"")&amp;IF(SUMPRODUCT(('تشخيص الحالات'!$B$2:$B$1001=B215)*('تشخيص الحالات'!$G$2:$G$1001=6))&gt;0,"، "&amp;IFERROR(INDEX('تشخيص الحالات'!$D$2:$D$1001,SUMPRODUCT(('تشخيص الحالات'!$B$2:$B$1001=B215)*('تشخيص الحالات'!$G$2:$G$1001=6)*ROW('تشخيص الحالات'!$B$2:$B$1001))-1),""),"")&amp;IF(SUMPRODUCT(('تشخيص الحالات'!$B$2:$B$1001=B215)*('تشخيص الحالات'!$G$2:$G$1001=7))&gt;0,"، "&amp;IFERROR(INDEX('تشخيص الحالات'!$D$2:$D$1001,SUMPRODUCT(('تشخيص الحالات'!$B$2:$B$1001=B215)*('تشخيص الحالات'!$G$2:$G$1001=7)*ROW('تشخيص الحالات'!$B$2:$B$1001))-1),""),"")&amp;IF(SUMPRODUCT(('تشخيص الحالات'!$B$2:$B$1001=B215)*('تشخيص الحالات'!$G$2:$G$1001=8))&gt;0,"، "&amp;IFERROR(INDEX('تشخيص الحالات'!$D$2:$D$1001,SUMPRODUCT(('تشخيص الحالات'!$B$2:$B$1001=B215)*('تشخيص الحالات'!$G$2:$G$1001=8)*ROW('تشخيص الحالات'!$B$2:$B$1001))-1),""),"")</f>
        <v/>
      </c>
      <c r="J215" s="1"/>
      <c r="K215" s="1"/>
      <c r="L215" s="1"/>
      <c r="M215" s="1"/>
    </row>
    <row r="216" spans="1:13" x14ac:dyDescent="0.2">
      <c r="A216" s="1"/>
      <c r="B216" s="1"/>
      <c r="C216" s="1"/>
      <c r="D216" s="1"/>
      <c r="E216" s="1"/>
      <c r="F216" s="1"/>
      <c r="G216" s="1"/>
      <c r="H216" s="1"/>
      <c r="I216" t="str">
        <f>IFERROR(INDEX('تشخيص الحالات'!$D$2:$D$1001,SUMPRODUCT(('تشخيص الحالات'!$B$2:$B$1001=B216)*('تشخيص الحالات'!$G$2:$G$1001=1)*ROW('تشخيص الحالات'!$B$2:$B$1001))-1),"")&amp;IF(SUMPRODUCT(('تشخيص الحالات'!$B$2:$B$1001=B216)*('تشخيص الحالات'!$G$2:$G$1001=2))&gt;0,"، "&amp;IFERROR(INDEX('تشخيص الحالات'!$D$2:$D$1001,SUMPRODUCT(('تشخيص الحالات'!$B$2:$B$1001=B216)*('تشخيص الحالات'!$G$2:$G$1001=2)*ROW('تشخيص الحالات'!$B$2:$B$1001))-1),""),"")&amp;IF(SUMPRODUCT(('تشخيص الحالات'!$B$2:$B$1001=B216)*('تشخيص الحالات'!$G$2:$G$1001=3))&gt;0,"، "&amp;IFERROR(INDEX('تشخيص الحالات'!$D$2:$D$1001,SUMPRODUCT(('تشخيص الحالات'!$B$2:$B$1001=B216)*('تشخيص الحالات'!$G$2:$G$1001=3)*ROW('تشخيص الحالات'!$B$2:$B$1001))-1),""),"")&amp;IF(SUMPRODUCT(('تشخيص الحالات'!$B$2:$B$1001=B216)*('تشخيص الحالات'!$G$2:$G$1001=4))&gt;0,"، "&amp;IFERROR(INDEX('تشخيص الحالات'!$D$2:$D$1001,SUMPRODUCT(('تشخيص الحالات'!$B$2:$B$1001=B216)*('تشخيص الحالات'!$G$2:$G$1001=4)*ROW('تشخيص الحالات'!$B$2:$B$1001))-1),""),"")&amp;IF(SUMPRODUCT(('تشخيص الحالات'!$B$2:$B$1001=B216)*('تشخيص الحالات'!$G$2:$G$1001=5))&gt;0,"، "&amp;IFERROR(INDEX('تشخيص الحالات'!$D$2:$D$1001,SUMPRODUCT(('تشخيص الحالات'!$B$2:$B$1001=B216)*('تشخيص الحالات'!$G$2:$G$1001=5)*ROW('تشخيص الحالات'!$B$2:$B$1001))-1),""),"")&amp;IF(SUMPRODUCT(('تشخيص الحالات'!$B$2:$B$1001=B216)*('تشخيص الحالات'!$G$2:$G$1001=6))&gt;0,"، "&amp;IFERROR(INDEX('تشخيص الحالات'!$D$2:$D$1001,SUMPRODUCT(('تشخيص الحالات'!$B$2:$B$1001=B216)*('تشخيص الحالات'!$G$2:$G$1001=6)*ROW('تشخيص الحالات'!$B$2:$B$1001))-1),""),"")&amp;IF(SUMPRODUCT(('تشخيص الحالات'!$B$2:$B$1001=B216)*('تشخيص الحالات'!$G$2:$G$1001=7))&gt;0,"، "&amp;IFERROR(INDEX('تشخيص الحالات'!$D$2:$D$1001,SUMPRODUCT(('تشخيص الحالات'!$B$2:$B$1001=B216)*('تشخيص الحالات'!$G$2:$G$1001=7)*ROW('تشخيص الحالات'!$B$2:$B$1001))-1),""),"")&amp;IF(SUMPRODUCT(('تشخيص الحالات'!$B$2:$B$1001=B216)*('تشخيص الحالات'!$G$2:$G$1001=8))&gt;0,"، "&amp;IFERROR(INDEX('تشخيص الحالات'!$D$2:$D$1001,SUMPRODUCT(('تشخيص الحالات'!$B$2:$B$1001=B216)*('تشخيص الحالات'!$G$2:$G$1001=8)*ROW('تشخيص الحالات'!$B$2:$B$1001))-1),""),"")</f>
        <v/>
      </c>
      <c r="J216" s="1"/>
      <c r="K216" s="1"/>
      <c r="L216" s="1"/>
      <c r="M216" s="1"/>
    </row>
    <row r="217" spans="1:13" x14ac:dyDescent="0.2">
      <c r="A217" s="1"/>
      <c r="B217" s="1"/>
      <c r="C217" s="1"/>
      <c r="D217" s="1"/>
      <c r="E217" s="1"/>
      <c r="F217" s="1"/>
      <c r="G217" s="1"/>
      <c r="H217" s="1"/>
      <c r="I217" t="str">
        <f>IFERROR(INDEX('تشخيص الحالات'!$D$2:$D$1001,SUMPRODUCT(('تشخيص الحالات'!$B$2:$B$1001=B217)*('تشخيص الحالات'!$G$2:$G$1001=1)*ROW('تشخيص الحالات'!$B$2:$B$1001))-1),"")&amp;IF(SUMPRODUCT(('تشخيص الحالات'!$B$2:$B$1001=B217)*('تشخيص الحالات'!$G$2:$G$1001=2))&gt;0,"، "&amp;IFERROR(INDEX('تشخيص الحالات'!$D$2:$D$1001,SUMPRODUCT(('تشخيص الحالات'!$B$2:$B$1001=B217)*('تشخيص الحالات'!$G$2:$G$1001=2)*ROW('تشخيص الحالات'!$B$2:$B$1001))-1),""),"")&amp;IF(SUMPRODUCT(('تشخيص الحالات'!$B$2:$B$1001=B217)*('تشخيص الحالات'!$G$2:$G$1001=3))&gt;0,"، "&amp;IFERROR(INDEX('تشخيص الحالات'!$D$2:$D$1001,SUMPRODUCT(('تشخيص الحالات'!$B$2:$B$1001=B217)*('تشخيص الحالات'!$G$2:$G$1001=3)*ROW('تشخيص الحالات'!$B$2:$B$1001))-1),""),"")&amp;IF(SUMPRODUCT(('تشخيص الحالات'!$B$2:$B$1001=B217)*('تشخيص الحالات'!$G$2:$G$1001=4))&gt;0,"، "&amp;IFERROR(INDEX('تشخيص الحالات'!$D$2:$D$1001,SUMPRODUCT(('تشخيص الحالات'!$B$2:$B$1001=B217)*('تشخيص الحالات'!$G$2:$G$1001=4)*ROW('تشخيص الحالات'!$B$2:$B$1001))-1),""),"")&amp;IF(SUMPRODUCT(('تشخيص الحالات'!$B$2:$B$1001=B217)*('تشخيص الحالات'!$G$2:$G$1001=5))&gt;0,"، "&amp;IFERROR(INDEX('تشخيص الحالات'!$D$2:$D$1001,SUMPRODUCT(('تشخيص الحالات'!$B$2:$B$1001=B217)*('تشخيص الحالات'!$G$2:$G$1001=5)*ROW('تشخيص الحالات'!$B$2:$B$1001))-1),""),"")&amp;IF(SUMPRODUCT(('تشخيص الحالات'!$B$2:$B$1001=B217)*('تشخيص الحالات'!$G$2:$G$1001=6))&gt;0,"، "&amp;IFERROR(INDEX('تشخيص الحالات'!$D$2:$D$1001,SUMPRODUCT(('تشخيص الحالات'!$B$2:$B$1001=B217)*('تشخيص الحالات'!$G$2:$G$1001=6)*ROW('تشخيص الحالات'!$B$2:$B$1001))-1),""),"")&amp;IF(SUMPRODUCT(('تشخيص الحالات'!$B$2:$B$1001=B217)*('تشخيص الحالات'!$G$2:$G$1001=7))&gt;0,"، "&amp;IFERROR(INDEX('تشخيص الحالات'!$D$2:$D$1001,SUMPRODUCT(('تشخيص الحالات'!$B$2:$B$1001=B217)*('تشخيص الحالات'!$G$2:$G$1001=7)*ROW('تشخيص الحالات'!$B$2:$B$1001))-1),""),"")&amp;IF(SUMPRODUCT(('تشخيص الحالات'!$B$2:$B$1001=B217)*('تشخيص الحالات'!$G$2:$G$1001=8))&gt;0,"، "&amp;IFERROR(INDEX('تشخيص الحالات'!$D$2:$D$1001,SUMPRODUCT(('تشخيص الحالات'!$B$2:$B$1001=B217)*('تشخيص الحالات'!$G$2:$G$1001=8)*ROW('تشخيص الحالات'!$B$2:$B$1001))-1),""),"")</f>
        <v/>
      </c>
      <c r="J217" s="1"/>
      <c r="K217" s="1"/>
      <c r="L217" s="1"/>
      <c r="M217" s="1"/>
    </row>
    <row r="218" spans="1:13" x14ac:dyDescent="0.2">
      <c r="A218" s="1"/>
      <c r="B218" s="1"/>
      <c r="C218" s="1"/>
      <c r="D218" s="1"/>
      <c r="E218" s="1"/>
      <c r="F218" s="1"/>
      <c r="G218" s="1"/>
      <c r="H218" s="1"/>
      <c r="I218" t="str">
        <f>IFERROR(INDEX('تشخيص الحالات'!$D$2:$D$1001,SUMPRODUCT(('تشخيص الحالات'!$B$2:$B$1001=B218)*('تشخيص الحالات'!$G$2:$G$1001=1)*ROW('تشخيص الحالات'!$B$2:$B$1001))-1),"")&amp;IF(SUMPRODUCT(('تشخيص الحالات'!$B$2:$B$1001=B218)*('تشخيص الحالات'!$G$2:$G$1001=2))&gt;0,"، "&amp;IFERROR(INDEX('تشخيص الحالات'!$D$2:$D$1001,SUMPRODUCT(('تشخيص الحالات'!$B$2:$B$1001=B218)*('تشخيص الحالات'!$G$2:$G$1001=2)*ROW('تشخيص الحالات'!$B$2:$B$1001))-1),""),"")&amp;IF(SUMPRODUCT(('تشخيص الحالات'!$B$2:$B$1001=B218)*('تشخيص الحالات'!$G$2:$G$1001=3))&gt;0,"، "&amp;IFERROR(INDEX('تشخيص الحالات'!$D$2:$D$1001,SUMPRODUCT(('تشخيص الحالات'!$B$2:$B$1001=B218)*('تشخيص الحالات'!$G$2:$G$1001=3)*ROW('تشخيص الحالات'!$B$2:$B$1001))-1),""),"")&amp;IF(SUMPRODUCT(('تشخيص الحالات'!$B$2:$B$1001=B218)*('تشخيص الحالات'!$G$2:$G$1001=4))&gt;0,"، "&amp;IFERROR(INDEX('تشخيص الحالات'!$D$2:$D$1001,SUMPRODUCT(('تشخيص الحالات'!$B$2:$B$1001=B218)*('تشخيص الحالات'!$G$2:$G$1001=4)*ROW('تشخيص الحالات'!$B$2:$B$1001))-1),""),"")&amp;IF(SUMPRODUCT(('تشخيص الحالات'!$B$2:$B$1001=B218)*('تشخيص الحالات'!$G$2:$G$1001=5))&gt;0,"، "&amp;IFERROR(INDEX('تشخيص الحالات'!$D$2:$D$1001,SUMPRODUCT(('تشخيص الحالات'!$B$2:$B$1001=B218)*('تشخيص الحالات'!$G$2:$G$1001=5)*ROW('تشخيص الحالات'!$B$2:$B$1001))-1),""),"")&amp;IF(SUMPRODUCT(('تشخيص الحالات'!$B$2:$B$1001=B218)*('تشخيص الحالات'!$G$2:$G$1001=6))&gt;0,"، "&amp;IFERROR(INDEX('تشخيص الحالات'!$D$2:$D$1001,SUMPRODUCT(('تشخيص الحالات'!$B$2:$B$1001=B218)*('تشخيص الحالات'!$G$2:$G$1001=6)*ROW('تشخيص الحالات'!$B$2:$B$1001))-1),""),"")&amp;IF(SUMPRODUCT(('تشخيص الحالات'!$B$2:$B$1001=B218)*('تشخيص الحالات'!$G$2:$G$1001=7))&gt;0,"، "&amp;IFERROR(INDEX('تشخيص الحالات'!$D$2:$D$1001,SUMPRODUCT(('تشخيص الحالات'!$B$2:$B$1001=B218)*('تشخيص الحالات'!$G$2:$G$1001=7)*ROW('تشخيص الحالات'!$B$2:$B$1001))-1),""),"")&amp;IF(SUMPRODUCT(('تشخيص الحالات'!$B$2:$B$1001=B218)*('تشخيص الحالات'!$G$2:$G$1001=8))&gt;0,"، "&amp;IFERROR(INDEX('تشخيص الحالات'!$D$2:$D$1001,SUMPRODUCT(('تشخيص الحالات'!$B$2:$B$1001=B218)*('تشخيص الحالات'!$G$2:$G$1001=8)*ROW('تشخيص الحالات'!$B$2:$B$1001))-1),""),"")</f>
        <v/>
      </c>
      <c r="J218" s="1"/>
      <c r="K218" s="1"/>
      <c r="L218" s="1"/>
      <c r="M218" s="1"/>
    </row>
    <row r="219" spans="1:13" x14ac:dyDescent="0.2">
      <c r="A219" s="1"/>
      <c r="B219" s="1"/>
      <c r="C219" s="1"/>
      <c r="D219" s="1"/>
      <c r="E219" s="1"/>
      <c r="F219" s="1"/>
      <c r="G219" s="1"/>
      <c r="H219" s="1"/>
      <c r="I219" t="str">
        <f>IFERROR(INDEX('تشخيص الحالات'!$D$2:$D$1001,SUMPRODUCT(('تشخيص الحالات'!$B$2:$B$1001=B219)*('تشخيص الحالات'!$G$2:$G$1001=1)*ROW('تشخيص الحالات'!$B$2:$B$1001))-1),"")&amp;IF(SUMPRODUCT(('تشخيص الحالات'!$B$2:$B$1001=B219)*('تشخيص الحالات'!$G$2:$G$1001=2))&gt;0,"، "&amp;IFERROR(INDEX('تشخيص الحالات'!$D$2:$D$1001,SUMPRODUCT(('تشخيص الحالات'!$B$2:$B$1001=B219)*('تشخيص الحالات'!$G$2:$G$1001=2)*ROW('تشخيص الحالات'!$B$2:$B$1001))-1),""),"")&amp;IF(SUMPRODUCT(('تشخيص الحالات'!$B$2:$B$1001=B219)*('تشخيص الحالات'!$G$2:$G$1001=3))&gt;0,"، "&amp;IFERROR(INDEX('تشخيص الحالات'!$D$2:$D$1001,SUMPRODUCT(('تشخيص الحالات'!$B$2:$B$1001=B219)*('تشخيص الحالات'!$G$2:$G$1001=3)*ROW('تشخيص الحالات'!$B$2:$B$1001))-1),""),"")&amp;IF(SUMPRODUCT(('تشخيص الحالات'!$B$2:$B$1001=B219)*('تشخيص الحالات'!$G$2:$G$1001=4))&gt;0,"، "&amp;IFERROR(INDEX('تشخيص الحالات'!$D$2:$D$1001,SUMPRODUCT(('تشخيص الحالات'!$B$2:$B$1001=B219)*('تشخيص الحالات'!$G$2:$G$1001=4)*ROW('تشخيص الحالات'!$B$2:$B$1001))-1),""),"")&amp;IF(SUMPRODUCT(('تشخيص الحالات'!$B$2:$B$1001=B219)*('تشخيص الحالات'!$G$2:$G$1001=5))&gt;0,"، "&amp;IFERROR(INDEX('تشخيص الحالات'!$D$2:$D$1001,SUMPRODUCT(('تشخيص الحالات'!$B$2:$B$1001=B219)*('تشخيص الحالات'!$G$2:$G$1001=5)*ROW('تشخيص الحالات'!$B$2:$B$1001))-1),""),"")&amp;IF(SUMPRODUCT(('تشخيص الحالات'!$B$2:$B$1001=B219)*('تشخيص الحالات'!$G$2:$G$1001=6))&gt;0,"، "&amp;IFERROR(INDEX('تشخيص الحالات'!$D$2:$D$1001,SUMPRODUCT(('تشخيص الحالات'!$B$2:$B$1001=B219)*('تشخيص الحالات'!$G$2:$G$1001=6)*ROW('تشخيص الحالات'!$B$2:$B$1001))-1),""),"")&amp;IF(SUMPRODUCT(('تشخيص الحالات'!$B$2:$B$1001=B219)*('تشخيص الحالات'!$G$2:$G$1001=7))&gt;0,"، "&amp;IFERROR(INDEX('تشخيص الحالات'!$D$2:$D$1001,SUMPRODUCT(('تشخيص الحالات'!$B$2:$B$1001=B219)*('تشخيص الحالات'!$G$2:$G$1001=7)*ROW('تشخيص الحالات'!$B$2:$B$1001))-1),""),"")&amp;IF(SUMPRODUCT(('تشخيص الحالات'!$B$2:$B$1001=B219)*('تشخيص الحالات'!$G$2:$G$1001=8))&gt;0,"، "&amp;IFERROR(INDEX('تشخيص الحالات'!$D$2:$D$1001,SUMPRODUCT(('تشخيص الحالات'!$B$2:$B$1001=B219)*('تشخيص الحالات'!$G$2:$G$1001=8)*ROW('تشخيص الحالات'!$B$2:$B$1001))-1),""),"")</f>
        <v/>
      </c>
      <c r="J219" s="1"/>
      <c r="K219" s="1"/>
      <c r="L219" s="1"/>
      <c r="M219" s="1"/>
    </row>
    <row r="220" spans="1:13" x14ac:dyDescent="0.2">
      <c r="A220" s="1"/>
      <c r="B220" s="1"/>
      <c r="C220" s="1"/>
      <c r="D220" s="1"/>
      <c r="E220" s="1"/>
      <c r="F220" s="1"/>
      <c r="G220" s="1"/>
      <c r="H220" s="1"/>
      <c r="I220" t="str">
        <f>IFERROR(INDEX('تشخيص الحالات'!$D$2:$D$1001,SUMPRODUCT(('تشخيص الحالات'!$B$2:$B$1001=B220)*('تشخيص الحالات'!$G$2:$G$1001=1)*ROW('تشخيص الحالات'!$B$2:$B$1001))-1),"")&amp;IF(SUMPRODUCT(('تشخيص الحالات'!$B$2:$B$1001=B220)*('تشخيص الحالات'!$G$2:$G$1001=2))&gt;0,"، "&amp;IFERROR(INDEX('تشخيص الحالات'!$D$2:$D$1001,SUMPRODUCT(('تشخيص الحالات'!$B$2:$B$1001=B220)*('تشخيص الحالات'!$G$2:$G$1001=2)*ROW('تشخيص الحالات'!$B$2:$B$1001))-1),""),"")&amp;IF(SUMPRODUCT(('تشخيص الحالات'!$B$2:$B$1001=B220)*('تشخيص الحالات'!$G$2:$G$1001=3))&gt;0,"، "&amp;IFERROR(INDEX('تشخيص الحالات'!$D$2:$D$1001,SUMPRODUCT(('تشخيص الحالات'!$B$2:$B$1001=B220)*('تشخيص الحالات'!$G$2:$G$1001=3)*ROW('تشخيص الحالات'!$B$2:$B$1001))-1),""),"")&amp;IF(SUMPRODUCT(('تشخيص الحالات'!$B$2:$B$1001=B220)*('تشخيص الحالات'!$G$2:$G$1001=4))&gt;0,"، "&amp;IFERROR(INDEX('تشخيص الحالات'!$D$2:$D$1001,SUMPRODUCT(('تشخيص الحالات'!$B$2:$B$1001=B220)*('تشخيص الحالات'!$G$2:$G$1001=4)*ROW('تشخيص الحالات'!$B$2:$B$1001))-1),""),"")&amp;IF(SUMPRODUCT(('تشخيص الحالات'!$B$2:$B$1001=B220)*('تشخيص الحالات'!$G$2:$G$1001=5))&gt;0,"، "&amp;IFERROR(INDEX('تشخيص الحالات'!$D$2:$D$1001,SUMPRODUCT(('تشخيص الحالات'!$B$2:$B$1001=B220)*('تشخيص الحالات'!$G$2:$G$1001=5)*ROW('تشخيص الحالات'!$B$2:$B$1001))-1),""),"")&amp;IF(SUMPRODUCT(('تشخيص الحالات'!$B$2:$B$1001=B220)*('تشخيص الحالات'!$G$2:$G$1001=6))&gt;0,"، "&amp;IFERROR(INDEX('تشخيص الحالات'!$D$2:$D$1001,SUMPRODUCT(('تشخيص الحالات'!$B$2:$B$1001=B220)*('تشخيص الحالات'!$G$2:$G$1001=6)*ROW('تشخيص الحالات'!$B$2:$B$1001))-1),""),"")&amp;IF(SUMPRODUCT(('تشخيص الحالات'!$B$2:$B$1001=B220)*('تشخيص الحالات'!$G$2:$G$1001=7))&gt;0,"، "&amp;IFERROR(INDEX('تشخيص الحالات'!$D$2:$D$1001,SUMPRODUCT(('تشخيص الحالات'!$B$2:$B$1001=B220)*('تشخيص الحالات'!$G$2:$G$1001=7)*ROW('تشخيص الحالات'!$B$2:$B$1001))-1),""),"")&amp;IF(SUMPRODUCT(('تشخيص الحالات'!$B$2:$B$1001=B220)*('تشخيص الحالات'!$G$2:$G$1001=8))&gt;0,"، "&amp;IFERROR(INDEX('تشخيص الحالات'!$D$2:$D$1001,SUMPRODUCT(('تشخيص الحالات'!$B$2:$B$1001=B220)*('تشخيص الحالات'!$G$2:$G$1001=8)*ROW('تشخيص الحالات'!$B$2:$B$1001))-1),""),"")</f>
        <v/>
      </c>
      <c r="J220" s="1"/>
      <c r="K220" s="1"/>
      <c r="L220" s="1"/>
      <c r="M220" s="1"/>
    </row>
    <row r="221" spans="1:13" x14ac:dyDescent="0.2">
      <c r="A221" s="1"/>
      <c r="B221" s="1"/>
      <c r="C221" s="1"/>
      <c r="D221" s="1"/>
      <c r="E221" s="1"/>
      <c r="F221" s="1"/>
      <c r="G221" s="1"/>
      <c r="H221" s="1"/>
      <c r="I221" t="str">
        <f>IFERROR(INDEX('تشخيص الحالات'!$D$2:$D$1001,SUMPRODUCT(('تشخيص الحالات'!$B$2:$B$1001=B221)*('تشخيص الحالات'!$G$2:$G$1001=1)*ROW('تشخيص الحالات'!$B$2:$B$1001))-1),"")&amp;IF(SUMPRODUCT(('تشخيص الحالات'!$B$2:$B$1001=B221)*('تشخيص الحالات'!$G$2:$G$1001=2))&gt;0,"، "&amp;IFERROR(INDEX('تشخيص الحالات'!$D$2:$D$1001,SUMPRODUCT(('تشخيص الحالات'!$B$2:$B$1001=B221)*('تشخيص الحالات'!$G$2:$G$1001=2)*ROW('تشخيص الحالات'!$B$2:$B$1001))-1),""),"")&amp;IF(SUMPRODUCT(('تشخيص الحالات'!$B$2:$B$1001=B221)*('تشخيص الحالات'!$G$2:$G$1001=3))&gt;0,"، "&amp;IFERROR(INDEX('تشخيص الحالات'!$D$2:$D$1001,SUMPRODUCT(('تشخيص الحالات'!$B$2:$B$1001=B221)*('تشخيص الحالات'!$G$2:$G$1001=3)*ROW('تشخيص الحالات'!$B$2:$B$1001))-1),""),"")&amp;IF(SUMPRODUCT(('تشخيص الحالات'!$B$2:$B$1001=B221)*('تشخيص الحالات'!$G$2:$G$1001=4))&gt;0,"، "&amp;IFERROR(INDEX('تشخيص الحالات'!$D$2:$D$1001,SUMPRODUCT(('تشخيص الحالات'!$B$2:$B$1001=B221)*('تشخيص الحالات'!$G$2:$G$1001=4)*ROW('تشخيص الحالات'!$B$2:$B$1001))-1),""),"")&amp;IF(SUMPRODUCT(('تشخيص الحالات'!$B$2:$B$1001=B221)*('تشخيص الحالات'!$G$2:$G$1001=5))&gt;0,"، "&amp;IFERROR(INDEX('تشخيص الحالات'!$D$2:$D$1001,SUMPRODUCT(('تشخيص الحالات'!$B$2:$B$1001=B221)*('تشخيص الحالات'!$G$2:$G$1001=5)*ROW('تشخيص الحالات'!$B$2:$B$1001))-1),""),"")&amp;IF(SUMPRODUCT(('تشخيص الحالات'!$B$2:$B$1001=B221)*('تشخيص الحالات'!$G$2:$G$1001=6))&gt;0,"، "&amp;IFERROR(INDEX('تشخيص الحالات'!$D$2:$D$1001,SUMPRODUCT(('تشخيص الحالات'!$B$2:$B$1001=B221)*('تشخيص الحالات'!$G$2:$G$1001=6)*ROW('تشخيص الحالات'!$B$2:$B$1001))-1),""),"")&amp;IF(SUMPRODUCT(('تشخيص الحالات'!$B$2:$B$1001=B221)*('تشخيص الحالات'!$G$2:$G$1001=7))&gt;0,"، "&amp;IFERROR(INDEX('تشخيص الحالات'!$D$2:$D$1001,SUMPRODUCT(('تشخيص الحالات'!$B$2:$B$1001=B221)*('تشخيص الحالات'!$G$2:$G$1001=7)*ROW('تشخيص الحالات'!$B$2:$B$1001))-1),""),"")&amp;IF(SUMPRODUCT(('تشخيص الحالات'!$B$2:$B$1001=B221)*('تشخيص الحالات'!$G$2:$G$1001=8))&gt;0,"، "&amp;IFERROR(INDEX('تشخيص الحالات'!$D$2:$D$1001,SUMPRODUCT(('تشخيص الحالات'!$B$2:$B$1001=B221)*('تشخيص الحالات'!$G$2:$G$1001=8)*ROW('تشخيص الحالات'!$B$2:$B$1001))-1),""),"")</f>
        <v/>
      </c>
      <c r="J221" s="1"/>
      <c r="K221" s="1"/>
      <c r="L221" s="1"/>
      <c r="M221" s="1"/>
    </row>
    <row r="222" spans="1:13" x14ac:dyDescent="0.2">
      <c r="A222" s="1"/>
      <c r="B222" s="1"/>
      <c r="C222" s="1"/>
      <c r="D222" s="1"/>
      <c r="E222" s="1"/>
      <c r="F222" s="1"/>
      <c r="G222" s="1"/>
      <c r="H222" s="1"/>
      <c r="I222" t="str">
        <f>IFERROR(INDEX('تشخيص الحالات'!$D$2:$D$1001,SUMPRODUCT(('تشخيص الحالات'!$B$2:$B$1001=B222)*('تشخيص الحالات'!$G$2:$G$1001=1)*ROW('تشخيص الحالات'!$B$2:$B$1001))-1),"")&amp;IF(SUMPRODUCT(('تشخيص الحالات'!$B$2:$B$1001=B222)*('تشخيص الحالات'!$G$2:$G$1001=2))&gt;0,"، "&amp;IFERROR(INDEX('تشخيص الحالات'!$D$2:$D$1001,SUMPRODUCT(('تشخيص الحالات'!$B$2:$B$1001=B222)*('تشخيص الحالات'!$G$2:$G$1001=2)*ROW('تشخيص الحالات'!$B$2:$B$1001))-1),""),"")&amp;IF(SUMPRODUCT(('تشخيص الحالات'!$B$2:$B$1001=B222)*('تشخيص الحالات'!$G$2:$G$1001=3))&gt;0,"، "&amp;IFERROR(INDEX('تشخيص الحالات'!$D$2:$D$1001,SUMPRODUCT(('تشخيص الحالات'!$B$2:$B$1001=B222)*('تشخيص الحالات'!$G$2:$G$1001=3)*ROW('تشخيص الحالات'!$B$2:$B$1001))-1),""),"")&amp;IF(SUMPRODUCT(('تشخيص الحالات'!$B$2:$B$1001=B222)*('تشخيص الحالات'!$G$2:$G$1001=4))&gt;0,"، "&amp;IFERROR(INDEX('تشخيص الحالات'!$D$2:$D$1001,SUMPRODUCT(('تشخيص الحالات'!$B$2:$B$1001=B222)*('تشخيص الحالات'!$G$2:$G$1001=4)*ROW('تشخيص الحالات'!$B$2:$B$1001))-1),""),"")&amp;IF(SUMPRODUCT(('تشخيص الحالات'!$B$2:$B$1001=B222)*('تشخيص الحالات'!$G$2:$G$1001=5))&gt;0,"، "&amp;IFERROR(INDEX('تشخيص الحالات'!$D$2:$D$1001,SUMPRODUCT(('تشخيص الحالات'!$B$2:$B$1001=B222)*('تشخيص الحالات'!$G$2:$G$1001=5)*ROW('تشخيص الحالات'!$B$2:$B$1001))-1),""),"")&amp;IF(SUMPRODUCT(('تشخيص الحالات'!$B$2:$B$1001=B222)*('تشخيص الحالات'!$G$2:$G$1001=6))&gt;0,"، "&amp;IFERROR(INDEX('تشخيص الحالات'!$D$2:$D$1001,SUMPRODUCT(('تشخيص الحالات'!$B$2:$B$1001=B222)*('تشخيص الحالات'!$G$2:$G$1001=6)*ROW('تشخيص الحالات'!$B$2:$B$1001))-1),""),"")&amp;IF(SUMPRODUCT(('تشخيص الحالات'!$B$2:$B$1001=B222)*('تشخيص الحالات'!$G$2:$G$1001=7))&gt;0,"، "&amp;IFERROR(INDEX('تشخيص الحالات'!$D$2:$D$1001,SUMPRODUCT(('تشخيص الحالات'!$B$2:$B$1001=B222)*('تشخيص الحالات'!$G$2:$G$1001=7)*ROW('تشخيص الحالات'!$B$2:$B$1001))-1),""),"")&amp;IF(SUMPRODUCT(('تشخيص الحالات'!$B$2:$B$1001=B222)*('تشخيص الحالات'!$G$2:$G$1001=8))&gt;0,"، "&amp;IFERROR(INDEX('تشخيص الحالات'!$D$2:$D$1001,SUMPRODUCT(('تشخيص الحالات'!$B$2:$B$1001=B222)*('تشخيص الحالات'!$G$2:$G$1001=8)*ROW('تشخيص الحالات'!$B$2:$B$1001))-1),""),"")</f>
        <v/>
      </c>
      <c r="J222" s="1"/>
      <c r="K222" s="1"/>
      <c r="L222" s="1"/>
      <c r="M222" s="1"/>
    </row>
    <row r="223" spans="1:13" x14ac:dyDescent="0.2">
      <c r="A223" s="1"/>
      <c r="B223" s="1"/>
      <c r="C223" s="1"/>
      <c r="D223" s="1"/>
      <c r="E223" s="1"/>
      <c r="F223" s="1"/>
      <c r="G223" s="1"/>
      <c r="H223" s="1"/>
      <c r="I223" t="str">
        <f>IFERROR(INDEX('تشخيص الحالات'!$D$2:$D$1001,SUMPRODUCT(('تشخيص الحالات'!$B$2:$B$1001=B223)*('تشخيص الحالات'!$G$2:$G$1001=1)*ROW('تشخيص الحالات'!$B$2:$B$1001))-1),"")&amp;IF(SUMPRODUCT(('تشخيص الحالات'!$B$2:$B$1001=B223)*('تشخيص الحالات'!$G$2:$G$1001=2))&gt;0,"، "&amp;IFERROR(INDEX('تشخيص الحالات'!$D$2:$D$1001,SUMPRODUCT(('تشخيص الحالات'!$B$2:$B$1001=B223)*('تشخيص الحالات'!$G$2:$G$1001=2)*ROW('تشخيص الحالات'!$B$2:$B$1001))-1),""),"")&amp;IF(SUMPRODUCT(('تشخيص الحالات'!$B$2:$B$1001=B223)*('تشخيص الحالات'!$G$2:$G$1001=3))&gt;0,"، "&amp;IFERROR(INDEX('تشخيص الحالات'!$D$2:$D$1001,SUMPRODUCT(('تشخيص الحالات'!$B$2:$B$1001=B223)*('تشخيص الحالات'!$G$2:$G$1001=3)*ROW('تشخيص الحالات'!$B$2:$B$1001))-1),""),"")&amp;IF(SUMPRODUCT(('تشخيص الحالات'!$B$2:$B$1001=B223)*('تشخيص الحالات'!$G$2:$G$1001=4))&gt;0,"، "&amp;IFERROR(INDEX('تشخيص الحالات'!$D$2:$D$1001,SUMPRODUCT(('تشخيص الحالات'!$B$2:$B$1001=B223)*('تشخيص الحالات'!$G$2:$G$1001=4)*ROW('تشخيص الحالات'!$B$2:$B$1001))-1),""),"")&amp;IF(SUMPRODUCT(('تشخيص الحالات'!$B$2:$B$1001=B223)*('تشخيص الحالات'!$G$2:$G$1001=5))&gt;0,"، "&amp;IFERROR(INDEX('تشخيص الحالات'!$D$2:$D$1001,SUMPRODUCT(('تشخيص الحالات'!$B$2:$B$1001=B223)*('تشخيص الحالات'!$G$2:$G$1001=5)*ROW('تشخيص الحالات'!$B$2:$B$1001))-1),""),"")&amp;IF(SUMPRODUCT(('تشخيص الحالات'!$B$2:$B$1001=B223)*('تشخيص الحالات'!$G$2:$G$1001=6))&gt;0,"، "&amp;IFERROR(INDEX('تشخيص الحالات'!$D$2:$D$1001,SUMPRODUCT(('تشخيص الحالات'!$B$2:$B$1001=B223)*('تشخيص الحالات'!$G$2:$G$1001=6)*ROW('تشخيص الحالات'!$B$2:$B$1001))-1),""),"")&amp;IF(SUMPRODUCT(('تشخيص الحالات'!$B$2:$B$1001=B223)*('تشخيص الحالات'!$G$2:$G$1001=7))&gt;0,"، "&amp;IFERROR(INDEX('تشخيص الحالات'!$D$2:$D$1001,SUMPRODUCT(('تشخيص الحالات'!$B$2:$B$1001=B223)*('تشخيص الحالات'!$G$2:$G$1001=7)*ROW('تشخيص الحالات'!$B$2:$B$1001))-1),""),"")&amp;IF(SUMPRODUCT(('تشخيص الحالات'!$B$2:$B$1001=B223)*('تشخيص الحالات'!$G$2:$G$1001=8))&gt;0,"، "&amp;IFERROR(INDEX('تشخيص الحالات'!$D$2:$D$1001,SUMPRODUCT(('تشخيص الحالات'!$B$2:$B$1001=B223)*('تشخيص الحالات'!$G$2:$G$1001=8)*ROW('تشخيص الحالات'!$B$2:$B$1001))-1),""),"")</f>
        <v/>
      </c>
      <c r="J223" s="1"/>
      <c r="K223" s="1"/>
      <c r="L223" s="1"/>
      <c r="M223" s="1"/>
    </row>
    <row r="224" spans="1:13" x14ac:dyDescent="0.2">
      <c r="A224" s="1"/>
      <c r="B224" s="1"/>
      <c r="C224" s="1"/>
      <c r="D224" s="1"/>
      <c r="E224" s="1"/>
      <c r="F224" s="1"/>
      <c r="G224" s="1"/>
      <c r="H224" s="1"/>
      <c r="I224" t="str">
        <f>IFERROR(INDEX('تشخيص الحالات'!$D$2:$D$1001,SUMPRODUCT(('تشخيص الحالات'!$B$2:$B$1001=B224)*('تشخيص الحالات'!$G$2:$G$1001=1)*ROW('تشخيص الحالات'!$B$2:$B$1001))-1),"")&amp;IF(SUMPRODUCT(('تشخيص الحالات'!$B$2:$B$1001=B224)*('تشخيص الحالات'!$G$2:$G$1001=2))&gt;0,"، "&amp;IFERROR(INDEX('تشخيص الحالات'!$D$2:$D$1001,SUMPRODUCT(('تشخيص الحالات'!$B$2:$B$1001=B224)*('تشخيص الحالات'!$G$2:$G$1001=2)*ROW('تشخيص الحالات'!$B$2:$B$1001))-1),""),"")&amp;IF(SUMPRODUCT(('تشخيص الحالات'!$B$2:$B$1001=B224)*('تشخيص الحالات'!$G$2:$G$1001=3))&gt;0,"، "&amp;IFERROR(INDEX('تشخيص الحالات'!$D$2:$D$1001,SUMPRODUCT(('تشخيص الحالات'!$B$2:$B$1001=B224)*('تشخيص الحالات'!$G$2:$G$1001=3)*ROW('تشخيص الحالات'!$B$2:$B$1001))-1),""),"")&amp;IF(SUMPRODUCT(('تشخيص الحالات'!$B$2:$B$1001=B224)*('تشخيص الحالات'!$G$2:$G$1001=4))&gt;0,"، "&amp;IFERROR(INDEX('تشخيص الحالات'!$D$2:$D$1001,SUMPRODUCT(('تشخيص الحالات'!$B$2:$B$1001=B224)*('تشخيص الحالات'!$G$2:$G$1001=4)*ROW('تشخيص الحالات'!$B$2:$B$1001))-1),""),"")&amp;IF(SUMPRODUCT(('تشخيص الحالات'!$B$2:$B$1001=B224)*('تشخيص الحالات'!$G$2:$G$1001=5))&gt;0,"، "&amp;IFERROR(INDEX('تشخيص الحالات'!$D$2:$D$1001,SUMPRODUCT(('تشخيص الحالات'!$B$2:$B$1001=B224)*('تشخيص الحالات'!$G$2:$G$1001=5)*ROW('تشخيص الحالات'!$B$2:$B$1001))-1),""),"")&amp;IF(SUMPRODUCT(('تشخيص الحالات'!$B$2:$B$1001=B224)*('تشخيص الحالات'!$G$2:$G$1001=6))&gt;0,"، "&amp;IFERROR(INDEX('تشخيص الحالات'!$D$2:$D$1001,SUMPRODUCT(('تشخيص الحالات'!$B$2:$B$1001=B224)*('تشخيص الحالات'!$G$2:$G$1001=6)*ROW('تشخيص الحالات'!$B$2:$B$1001))-1),""),"")&amp;IF(SUMPRODUCT(('تشخيص الحالات'!$B$2:$B$1001=B224)*('تشخيص الحالات'!$G$2:$G$1001=7))&gt;0,"، "&amp;IFERROR(INDEX('تشخيص الحالات'!$D$2:$D$1001,SUMPRODUCT(('تشخيص الحالات'!$B$2:$B$1001=B224)*('تشخيص الحالات'!$G$2:$G$1001=7)*ROW('تشخيص الحالات'!$B$2:$B$1001))-1),""),"")&amp;IF(SUMPRODUCT(('تشخيص الحالات'!$B$2:$B$1001=B224)*('تشخيص الحالات'!$G$2:$G$1001=8))&gt;0,"، "&amp;IFERROR(INDEX('تشخيص الحالات'!$D$2:$D$1001,SUMPRODUCT(('تشخيص الحالات'!$B$2:$B$1001=B224)*('تشخيص الحالات'!$G$2:$G$1001=8)*ROW('تشخيص الحالات'!$B$2:$B$1001))-1),""),"")</f>
        <v/>
      </c>
      <c r="J224" s="1"/>
      <c r="K224" s="1"/>
      <c r="L224" s="1"/>
      <c r="M224" s="1"/>
    </row>
    <row r="225" spans="1:13" x14ac:dyDescent="0.2">
      <c r="A225" s="1"/>
      <c r="B225" s="1"/>
      <c r="C225" s="1"/>
      <c r="D225" s="1"/>
      <c r="E225" s="1"/>
      <c r="F225" s="1"/>
      <c r="G225" s="1"/>
      <c r="H225" s="1"/>
      <c r="I225" t="str">
        <f>IFERROR(INDEX('تشخيص الحالات'!$D$2:$D$1001,SUMPRODUCT(('تشخيص الحالات'!$B$2:$B$1001=B225)*('تشخيص الحالات'!$G$2:$G$1001=1)*ROW('تشخيص الحالات'!$B$2:$B$1001))-1),"")&amp;IF(SUMPRODUCT(('تشخيص الحالات'!$B$2:$B$1001=B225)*('تشخيص الحالات'!$G$2:$G$1001=2))&gt;0,"، "&amp;IFERROR(INDEX('تشخيص الحالات'!$D$2:$D$1001,SUMPRODUCT(('تشخيص الحالات'!$B$2:$B$1001=B225)*('تشخيص الحالات'!$G$2:$G$1001=2)*ROW('تشخيص الحالات'!$B$2:$B$1001))-1),""),"")&amp;IF(SUMPRODUCT(('تشخيص الحالات'!$B$2:$B$1001=B225)*('تشخيص الحالات'!$G$2:$G$1001=3))&gt;0,"، "&amp;IFERROR(INDEX('تشخيص الحالات'!$D$2:$D$1001,SUMPRODUCT(('تشخيص الحالات'!$B$2:$B$1001=B225)*('تشخيص الحالات'!$G$2:$G$1001=3)*ROW('تشخيص الحالات'!$B$2:$B$1001))-1),""),"")&amp;IF(SUMPRODUCT(('تشخيص الحالات'!$B$2:$B$1001=B225)*('تشخيص الحالات'!$G$2:$G$1001=4))&gt;0,"، "&amp;IFERROR(INDEX('تشخيص الحالات'!$D$2:$D$1001,SUMPRODUCT(('تشخيص الحالات'!$B$2:$B$1001=B225)*('تشخيص الحالات'!$G$2:$G$1001=4)*ROW('تشخيص الحالات'!$B$2:$B$1001))-1),""),"")&amp;IF(SUMPRODUCT(('تشخيص الحالات'!$B$2:$B$1001=B225)*('تشخيص الحالات'!$G$2:$G$1001=5))&gt;0,"، "&amp;IFERROR(INDEX('تشخيص الحالات'!$D$2:$D$1001,SUMPRODUCT(('تشخيص الحالات'!$B$2:$B$1001=B225)*('تشخيص الحالات'!$G$2:$G$1001=5)*ROW('تشخيص الحالات'!$B$2:$B$1001))-1),""),"")&amp;IF(SUMPRODUCT(('تشخيص الحالات'!$B$2:$B$1001=B225)*('تشخيص الحالات'!$G$2:$G$1001=6))&gt;0,"، "&amp;IFERROR(INDEX('تشخيص الحالات'!$D$2:$D$1001,SUMPRODUCT(('تشخيص الحالات'!$B$2:$B$1001=B225)*('تشخيص الحالات'!$G$2:$G$1001=6)*ROW('تشخيص الحالات'!$B$2:$B$1001))-1),""),"")&amp;IF(SUMPRODUCT(('تشخيص الحالات'!$B$2:$B$1001=B225)*('تشخيص الحالات'!$G$2:$G$1001=7))&gt;0,"، "&amp;IFERROR(INDEX('تشخيص الحالات'!$D$2:$D$1001,SUMPRODUCT(('تشخيص الحالات'!$B$2:$B$1001=B225)*('تشخيص الحالات'!$G$2:$G$1001=7)*ROW('تشخيص الحالات'!$B$2:$B$1001))-1),""),"")&amp;IF(SUMPRODUCT(('تشخيص الحالات'!$B$2:$B$1001=B225)*('تشخيص الحالات'!$G$2:$G$1001=8))&gt;0,"، "&amp;IFERROR(INDEX('تشخيص الحالات'!$D$2:$D$1001,SUMPRODUCT(('تشخيص الحالات'!$B$2:$B$1001=B225)*('تشخيص الحالات'!$G$2:$G$1001=8)*ROW('تشخيص الحالات'!$B$2:$B$1001))-1),""),"")</f>
        <v/>
      </c>
      <c r="J225" s="1"/>
      <c r="K225" s="1"/>
      <c r="L225" s="1"/>
      <c r="M225" s="1"/>
    </row>
    <row r="226" spans="1:13" x14ac:dyDescent="0.2">
      <c r="A226" s="1"/>
      <c r="B226" s="1"/>
      <c r="C226" s="1"/>
      <c r="D226" s="1"/>
      <c r="E226" s="1"/>
      <c r="F226" s="1"/>
      <c r="G226" s="1"/>
      <c r="H226" s="1"/>
      <c r="I226" t="str">
        <f>IFERROR(INDEX('تشخيص الحالات'!$D$2:$D$1001,SUMPRODUCT(('تشخيص الحالات'!$B$2:$B$1001=B226)*('تشخيص الحالات'!$G$2:$G$1001=1)*ROW('تشخيص الحالات'!$B$2:$B$1001))-1),"")&amp;IF(SUMPRODUCT(('تشخيص الحالات'!$B$2:$B$1001=B226)*('تشخيص الحالات'!$G$2:$G$1001=2))&gt;0,"، "&amp;IFERROR(INDEX('تشخيص الحالات'!$D$2:$D$1001,SUMPRODUCT(('تشخيص الحالات'!$B$2:$B$1001=B226)*('تشخيص الحالات'!$G$2:$G$1001=2)*ROW('تشخيص الحالات'!$B$2:$B$1001))-1),""),"")&amp;IF(SUMPRODUCT(('تشخيص الحالات'!$B$2:$B$1001=B226)*('تشخيص الحالات'!$G$2:$G$1001=3))&gt;0,"، "&amp;IFERROR(INDEX('تشخيص الحالات'!$D$2:$D$1001,SUMPRODUCT(('تشخيص الحالات'!$B$2:$B$1001=B226)*('تشخيص الحالات'!$G$2:$G$1001=3)*ROW('تشخيص الحالات'!$B$2:$B$1001))-1),""),"")&amp;IF(SUMPRODUCT(('تشخيص الحالات'!$B$2:$B$1001=B226)*('تشخيص الحالات'!$G$2:$G$1001=4))&gt;0,"، "&amp;IFERROR(INDEX('تشخيص الحالات'!$D$2:$D$1001,SUMPRODUCT(('تشخيص الحالات'!$B$2:$B$1001=B226)*('تشخيص الحالات'!$G$2:$G$1001=4)*ROW('تشخيص الحالات'!$B$2:$B$1001))-1),""),"")&amp;IF(SUMPRODUCT(('تشخيص الحالات'!$B$2:$B$1001=B226)*('تشخيص الحالات'!$G$2:$G$1001=5))&gt;0,"، "&amp;IFERROR(INDEX('تشخيص الحالات'!$D$2:$D$1001,SUMPRODUCT(('تشخيص الحالات'!$B$2:$B$1001=B226)*('تشخيص الحالات'!$G$2:$G$1001=5)*ROW('تشخيص الحالات'!$B$2:$B$1001))-1),""),"")&amp;IF(SUMPRODUCT(('تشخيص الحالات'!$B$2:$B$1001=B226)*('تشخيص الحالات'!$G$2:$G$1001=6))&gt;0,"، "&amp;IFERROR(INDEX('تشخيص الحالات'!$D$2:$D$1001,SUMPRODUCT(('تشخيص الحالات'!$B$2:$B$1001=B226)*('تشخيص الحالات'!$G$2:$G$1001=6)*ROW('تشخيص الحالات'!$B$2:$B$1001))-1),""),"")&amp;IF(SUMPRODUCT(('تشخيص الحالات'!$B$2:$B$1001=B226)*('تشخيص الحالات'!$G$2:$G$1001=7))&gt;0,"، "&amp;IFERROR(INDEX('تشخيص الحالات'!$D$2:$D$1001,SUMPRODUCT(('تشخيص الحالات'!$B$2:$B$1001=B226)*('تشخيص الحالات'!$G$2:$G$1001=7)*ROW('تشخيص الحالات'!$B$2:$B$1001))-1),""),"")&amp;IF(SUMPRODUCT(('تشخيص الحالات'!$B$2:$B$1001=B226)*('تشخيص الحالات'!$G$2:$G$1001=8))&gt;0,"، "&amp;IFERROR(INDEX('تشخيص الحالات'!$D$2:$D$1001,SUMPRODUCT(('تشخيص الحالات'!$B$2:$B$1001=B226)*('تشخيص الحالات'!$G$2:$G$1001=8)*ROW('تشخيص الحالات'!$B$2:$B$1001))-1),""),"")</f>
        <v/>
      </c>
      <c r="J226" s="1"/>
      <c r="K226" s="1"/>
      <c r="L226" s="1"/>
      <c r="M226" s="1"/>
    </row>
    <row r="227" spans="1:13" x14ac:dyDescent="0.2">
      <c r="A227" s="1"/>
      <c r="B227" s="1"/>
      <c r="C227" s="1"/>
      <c r="D227" s="1"/>
      <c r="E227" s="1"/>
      <c r="F227" s="1"/>
      <c r="G227" s="1"/>
      <c r="H227" s="1"/>
      <c r="I227" t="str">
        <f>IFERROR(INDEX('تشخيص الحالات'!$D$2:$D$1001,SUMPRODUCT(('تشخيص الحالات'!$B$2:$B$1001=B227)*('تشخيص الحالات'!$G$2:$G$1001=1)*ROW('تشخيص الحالات'!$B$2:$B$1001))-1),"")&amp;IF(SUMPRODUCT(('تشخيص الحالات'!$B$2:$B$1001=B227)*('تشخيص الحالات'!$G$2:$G$1001=2))&gt;0,"، "&amp;IFERROR(INDEX('تشخيص الحالات'!$D$2:$D$1001,SUMPRODUCT(('تشخيص الحالات'!$B$2:$B$1001=B227)*('تشخيص الحالات'!$G$2:$G$1001=2)*ROW('تشخيص الحالات'!$B$2:$B$1001))-1),""),"")&amp;IF(SUMPRODUCT(('تشخيص الحالات'!$B$2:$B$1001=B227)*('تشخيص الحالات'!$G$2:$G$1001=3))&gt;0,"، "&amp;IFERROR(INDEX('تشخيص الحالات'!$D$2:$D$1001,SUMPRODUCT(('تشخيص الحالات'!$B$2:$B$1001=B227)*('تشخيص الحالات'!$G$2:$G$1001=3)*ROW('تشخيص الحالات'!$B$2:$B$1001))-1),""),"")&amp;IF(SUMPRODUCT(('تشخيص الحالات'!$B$2:$B$1001=B227)*('تشخيص الحالات'!$G$2:$G$1001=4))&gt;0,"، "&amp;IFERROR(INDEX('تشخيص الحالات'!$D$2:$D$1001,SUMPRODUCT(('تشخيص الحالات'!$B$2:$B$1001=B227)*('تشخيص الحالات'!$G$2:$G$1001=4)*ROW('تشخيص الحالات'!$B$2:$B$1001))-1),""),"")&amp;IF(SUMPRODUCT(('تشخيص الحالات'!$B$2:$B$1001=B227)*('تشخيص الحالات'!$G$2:$G$1001=5))&gt;0,"، "&amp;IFERROR(INDEX('تشخيص الحالات'!$D$2:$D$1001,SUMPRODUCT(('تشخيص الحالات'!$B$2:$B$1001=B227)*('تشخيص الحالات'!$G$2:$G$1001=5)*ROW('تشخيص الحالات'!$B$2:$B$1001))-1),""),"")&amp;IF(SUMPRODUCT(('تشخيص الحالات'!$B$2:$B$1001=B227)*('تشخيص الحالات'!$G$2:$G$1001=6))&gt;0,"، "&amp;IFERROR(INDEX('تشخيص الحالات'!$D$2:$D$1001,SUMPRODUCT(('تشخيص الحالات'!$B$2:$B$1001=B227)*('تشخيص الحالات'!$G$2:$G$1001=6)*ROW('تشخيص الحالات'!$B$2:$B$1001))-1),""),"")&amp;IF(SUMPRODUCT(('تشخيص الحالات'!$B$2:$B$1001=B227)*('تشخيص الحالات'!$G$2:$G$1001=7))&gt;0,"، "&amp;IFERROR(INDEX('تشخيص الحالات'!$D$2:$D$1001,SUMPRODUCT(('تشخيص الحالات'!$B$2:$B$1001=B227)*('تشخيص الحالات'!$G$2:$G$1001=7)*ROW('تشخيص الحالات'!$B$2:$B$1001))-1),""),"")&amp;IF(SUMPRODUCT(('تشخيص الحالات'!$B$2:$B$1001=B227)*('تشخيص الحالات'!$G$2:$G$1001=8))&gt;0,"، "&amp;IFERROR(INDEX('تشخيص الحالات'!$D$2:$D$1001,SUMPRODUCT(('تشخيص الحالات'!$B$2:$B$1001=B227)*('تشخيص الحالات'!$G$2:$G$1001=8)*ROW('تشخيص الحالات'!$B$2:$B$1001))-1),""),"")</f>
        <v/>
      </c>
      <c r="J227" s="1"/>
      <c r="K227" s="1"/>
      <c r="L227" s="1"/>
      <c r="M227" s="1"/>
    </row>
    <row r="228" spans="1:13" x14ac:dyDescent="0.2">
      <c r="A228" s="1"/>
      <c r="B228" s="1"/>
      <c r="C228" s="1"/>
      <c r="D228" s="1"/>
      <c r="E228" s="1"/>
      <c r="F228" s="1"/>
      <c r="G228" s="1"/>
      <c r="H228" s="1"/>
      <c r="I228" t="str">
        <f>IFERROR(INDEX('تشخيص الحالات'!$D$2:$D$1001,SUMPRODUCT(('تشخيص الحالات'!$B$2:$B$1001=B228)*('تشخيص الحالات'!$G$2:$G$1001=1)*ROW('تشخيص الحالات'!$B$2:$B$1001))-1),"")&amp;IF(SUMPRODUCT(('تشخيص الحالات'!$B$2:$B$1001=B228)*('تشخيص الحالات'!$G$2:$G$1001=2))&gt;0,"، "&amp;IFERROR(INDEX('تشخيص الحالات'!$D$2:$D$1001,SUMPRODUCT(('تشخيص الحالات'!$B$2:$B$1001=B228)*('تشخيص الحالات'!$G$2:$G$1001=2)*ROW('تشخيص الحالات'!$B$2:$B$1001))-1),""),"")&amp;IF(SUMPRODUCT(('تشخيص الحالات'!$B$2:$B$1001=B228)*('تشخيص الحالات'!$G$2:$G$1001=3))&gt;0,"، "&amp;IFERROR(INDEX('تشخيص الحالات'!$D$2:$D$1001,SUMPRODUCT(('تشخيص الحالات'!$B$2:$B$1001=B228)*('تشخيص الحالات'!$G$2:$G$1001=3)*ROW('تشخيص الحالات'!$B$2:$B$1001))-1),""),"")&amp;IF(SUMPRODUCT(('تشخيص الحالات'!$B$2:$B$1001=B228)*('تشخيص الحالات'!$G$2:$G$1001=4))&gt;0,"، "&amp;IFERROR(INDEX('تشخيص الحالات'!$D$2:$D$1001,SUMPRODUCT(('تشخيص الحالات'!$B$2:$B$1001=B228)*('تشخيص الحالات'!$G$2:$G$1001=4)*ROW('تشخيص الحالات'!$B$2:$B$1001))-1),""),"")&amp;IF(SUMPRODUCT(('تشخيص الحالات'!$B$2:$B$1001=B228)*('تشخيص الحالات'!$G$2:$G$1001=5))&gt;0,"، "&amp;IFERROR(INDEX('تشخيص الحالات'!$D$2:$D$1001,SUMPRODUCT(('تشخيص الحالات'!$B$2:$B$1001=B228)*('تشخيص الحالات'!$G$2:$G$1001=5)*ROW('تشخيص الحالات'!$B$2:$B$1001))-1),""),"")&amp;IF(SUMPRODUCT(('تشخيص الحالات'!$B$2:$B$1001=B228)*('تشخيص الحالات'!$G$2:$G$1001=6))&gt;0,"، "&amp;IFERROR(INDEX('تشخيص الحالات'!$D$2:$D$1001,SUMPRODUCT(('تشخيص الحالات'!$B$2:$B$1001=B228)*('تشخيص الحالات'!$G$2:$G$1001=6)*ROW('تشخيص الحالات'!$B$2:$B$1001))-1),""),"")&amp;IF(SUMPRODUCT(('تشخيص الحالات'!$B$2:$B$1001=B228)*('تشخيص الحالات'!$G$2:$G$1001=7))&gt;0,"، "&amp;IFERROR(INDEX('تشخيص الحالات'!$D$2:$D$1001,SUMPRODUCT(('تشخيص الحالات'!$B$2:$B$1001=B228)*('تشخيص الحالات'!$G$2:$G$1001=7)*ROW('تشخيص الحالات'!$B$2:$B$1001))-1),""),"")&amp;IF(SUMPRODUCT(('تشخيص الحالات'!$B$2:$B$1001=B228)*('تشخيص الحالات'!$G$2:$G$1001=8))&gt;0,"، "&amp;IFERROR(INDEX('تشخيص الحالات'!$D$2:$D$1001,SUMPRODUCT(('تشخيص الحالات'!$B$2:$B$1001=B228)*('تشخيص الحالات'!$G$2:$G$1001=8)*ROW('تشخيص الحالات'!$B$2:$B$1001))-1),""),"")</f>
        <v/>
      </c>
      <c r="J228" s="1"/>
      <c r="K228" s="1"/>
      <c r="L228" s="1"/>
      <c r="M228" s="1"/>
    </row>
    <row r="229" spans="1:13" x14ac:dyDescent="0.2">
      <c r="A229" s="1"/>
      <c r="B229" s="1"/>
      <c r="C229" s="1"/>
      <c r="D229" s="1"/>
      <c r="E229" s="1"/>
      <c r="F229" s="1"/>
      <c r="G229" s="1"/>
      <c r="H229" s="1"/>
      <c r="I229" t="str">
        <f>IFERROR(INDEX('تشخيص الحالات'!$D$2:$D$1001,SUMPRODUCT(('تشخيص الحالات'!$B$2:$B$1001=B229)*('تشخيص الحالات'!$G$2:$G$1001=1)*ROW('تشخيص الحالات'!$B$2:$B$1001))-1),"")&amp;IF(SUMPRODUCT(('تشخيص الحالات'!$B$2:$B$1001=B229)*('تشخيص الحالات'!$G$2:$G$1001=2))&gt;0,"، "&amp;IFERROR(INDEX('تشخيص الحالات'!$D$2:$D$1001,SUMPRODUCT(('تشخيص الحالات'!$B$2:$B$1001=B229)*('تشخيص الحالات'!$G$2:$G$1001=2)*ROW('تشخيص الحالات'!$B$2:$B$1001))-1),""),"")&amp;IF(SUMPRODUCT(('تشخيص الحالات'!$B$2:$B$1001=B229)*('تشخيص الحالات'!$G$2:$G$1001=3))&gt;0,"، "&amp;IFERROR(INDEX('تشخيص الحالات'!$D$2:$D$1001,SUMPRODUCT(('تشخيص الحالات'!$B$2:$B$1001=B229)*('تشخيص الحالات'!$G$2:$G$1001=3)*ROW('تشخيص الحالات'!$B$2:$B$1001))-1),""),"")&amp;IF(SUMPRODUCT(('تشخيص الحالات'!$B$2:$B$1001=B229)*('تشخيص الحالات'!$G$2:$G$1001=4))&gt;0,"، "&amp;IFERROR(INDEX('تشخيص الحالات'!$D$2:$D$1001,SUMPRODUCT(('تشخيص الحالات'!$B$2:$B$1001=B229)*('تشخيص الحالات'!$G$2:$G$1001=4)*ROW('تشخيص الحالات'!$B$2:$B$1001))-1),""),"")&amp;IF(SUMPRODUCT(('تشخيص الحالات'!$B$2:$B$1001=B229)*('تشخيص الحالات'!$G$2:$G$1001=5))&gt;0,"، "&amp;IFERROR(INDEX('تشخيص الحالات'!$D$2:$D$1001,SUMPRODUCT(('تشخيص الحالات'!$B$2:$B$1001=B229)*('تشخيص الحالات'!$G$2:$G$1001=5)*ROW('تشخيص الحالات'!$B$2:$B$1001))-1),""),"")&amp;IF(SUMPRODUCT(('تشخيص الحالات'!$B$2:$B$1001=B229)*('تشخيص الحالات'!$G$2:$G$1001=6))&gt;0,"، "&amp;IFERROR(INDEX('تشخيص الحالات'!$D$2:$D$1001,SUMPRODUCT(('تشخيص الحالات'!$B$2:$B$1001=B229)*('تشخيص الحالات'!$G$2:$G$1001=6)*ROW('تشخيص الحالات'!$B$2:$B$1001))-1),""),"")&amp;IF(SUMPRODUCT(('تشخيص الحالات'!$B$2:$B$1001=B229)*('تشخيص الحالات'!$G$2:$G$1001=7))&gt;0,"، "&amp;IFERROR(INDEX('تشخيص الحالات'!$D$2:$D$1001,SUMPRODUCT(('تشخيص الحالات'!$B$2:$B$1001=B229)*('تشخيص الحالات'!$G$2:$G$1001=7)*ROW('تشخيص الحالات'!$B$2:$B$1001))-1),""),"")&amp;IF(SUMPRODUCT(('تشخيص الحالات'!$B$2:$B$1001=B229)*('تشخيص الحالات'!$G$2:$G$1001=8))&gt;0,"، "&amp;IFERROR(INDEX('تشخيص الحالات'!$D$2:$D$1001,SUMPRODUCT(('تشخيص الحالات'!$B$2:$B$1001=B229)*('تشخيص الحالات'!$G$2:$G$1001=8)*ROW('تشخيص الحالات'!$B$2:$B$1001))-1),""),"")</f>
        <v/>
      </c>
      <c r="J229" s="1"/>
      <c r="K229" s="1"/>
      <c r="L229" s="1"/>
      <c r="M229" s="1"/>
    </row>
    <row r="230" spans="1:13" x14ac:dyDescent="0.2">
      <c r="A230" s="1"/>
      <c r="B230" s="1"/>
      <c r="C230" s="1"/>
      <c r="D230" s="1"/>
      <c r="E230" s="1"/>
      <c r="F230" s="1"/>
      <c r="G230" s="1"/>
      <c r="H230" s="1"/>
      <c r="I230" t="str">
        <f>IFERROR(INDEX('تشخيص الحالات'!$D$2:$D$1001,SUMPRODUCT(('تشخيص الحالات'!$B$2:$B$1001=B230)*('تشخيص الحالات'!$G$2:$G$1001=1)*ROW('تشخيص الحالات'!$B$2:$B$1001))-1),"")&amp;IF(SUMPRODUCT(('تشخيص الحالات'!$B$2:$B$1001=B230)*('تشخيص الحالات'!$G$2:$G$1001=2))&gt;0,"، "&amp;IFERROR(INDEX('تشخيص الحالات'!$D$2:$D$1001,SUMPRODUCT(('تشخيص الحالات'!$B$2:$B$1001=B230)*('تشخيص الحالات'!$G$2:$G$1001=2)*ROW('تشخيص الحالات'!$B$2:$B$1001))-1),""),"")&amp;IF(SUMPRODUCT(('تشخيص الحالات'!$B$2:$B$1001=B230)*('تشخيص الحالات'!$G$2:$G$1001=3))&gt;0,"، "&amp;IFERROR(INDEX('تشخيص الحالات'!$D$2:$D$1001,SUMPRODUCT(('تشخيص الحالات'!$B$2:$B$1001=B230)*('تشخيص الحالات'!$G$2:$G$1001=3)*ROW('تشخيص الحالات'!$B$2:$B$1001))-1),""),"")&amp;IF(SUMPRODUCT(('تشخيص الحالات'!$B$2:$B$1001=B230)*('تشخيص الحالات'!$G$2:$G$1001=4))&gt;0,"، "&amp;IFERROR(INDEX('تشخيص الحالات'!$D$2:$D$1001,SUMPRODUCT(('تشخيص الحالات'!$B$2:$B$1001=B230)*('تشخيص الحالات'!$G$2:$G$1001=4)*ROW('تشخيص الحالات'!$B$2:$B$1001))-1),""),"")&amp;IF(SUMPRODUCT(('تشخيص الحالات'!$B$2:$B$1001=B230)*('تشخيص الحالات'!$G$2:$G$1001=5))&gt;0,"، "&amp;IFERROR(INDEX('تشخيص الحالات'!$D$2:$D$1001,SUMPRODUCT(('تشخيص الحالات'!$B$2:$B$1001=B230)*('تشخيص الحالات'!$G$2:$G$1001=5)*ROW('تشخيص الحالات'!$B$2:$B$1001))-1),""),"")&amp;IF(SUMPRODUCT(('تشخيص الحالات'!$B$2:$B$1001=B230)*('تشخيص الحالات'!$G$2:$G$1001=6))&gt;0,"، "&amp;IFERROR(INDEX('تشخيص الحالات'!$D$2:$D$1001,SUMPRODUCT(('تشخيص الحالات'!$B$2:$B$1001=B230)*('تشخيص الحالات'!$G$2:$G$1001=6)*ROW('تشخيص الحالات'!$B$2:$B$1001))-1),""),"")&amp;IF(SUMPRODUCT(('تشخيص الحالات'!$B$2:$B$1001=B230)*('تشخيص الحالات'!$G$2:$G$1001=7))&gt;0,"، "&amp;IFERROR(INDEX('تشخيص الحالات'!$D$2:$D$1001,SUMPRODUCT(('تشخيص الحالات'!$B$2:$B$1001=B230)*('تشخيص الحالات'!$G$2:$G$1001=7)*ROW('تشخيص الحالات'!$B$2:$B$1001))-1),""),"")&amp;IF(SUMPRODUCT(('تشخيص الحالات'!$B$2:$B$1001=B230)*('تشخيص الحالات'!$G$2:$G$1001=8))&gt;0,"، "&amp;IFERROR(INDEX('تشخيص الحالات'!$D$2:$D$1001,SUMPRODUCT(('تشخيص الحالات'!$B$2:$B$1001=B230)*('تشخيص الحالات'!$G$2:$G$1001=8)*ROW('تشخيص الحالات'!$B$2:$B$1001))-1),""),"")</f>
        <v/>
      </c>
      <c r="J230" s="1"/>
      <c r="K230" s="1"/>
      <c r="L230" s="1"/>
      <c r="M230" s="1"/>
    </row>
    <row r="231" spans="1:13" x14ac:dyDescent="0.2">
      <c r="A231" s="1"/>
      <c r="B231" s="1"/>
      <c r="C231" s="1"/>
      <c r="D231" s="1"/>
      <c r="E231" s="1"/>
      <c r="F231" s="1"/>
      <c r="G231" s="1"/>
      <c r="H231" s="1"/>
      <c r="I231" t="str">
        <f>IFERROR(INDEX('تشخيص الحالات'!$D$2:$D$1001,SUMPRODUCT(('تشخيص الحالات'!$B$2:$B$1001=B231)*('تشخيص الحالات'!$G$2:$G$1001=1)*ROW('تشخيص الحالات'!$B$2:$B$1001))-1),"")&amp;IF(SUMPRODUCT(('تشخيص الحالات'!$B$2:$B$1001=B231)*('تشخيص الحالات'!$G$2:$G$1001=2))&gt;0,"، "&amp;IFERROR(INDEX('تشخيص الحالات'!$D$2:$D$1001,SUMPRODUCT(('تشخيص الحالات'!$B$2:$B$1001=B231)*('تشخيص الحالات'!$G$2:$G$1001=2)*ROW('تشخيص الحالات'!$B$2:$B$1001))-1),""),"")&amp;IF(SUMPRODUCT(('تشخيص الحالات'!$B$2:$B$1001=B231)*('تشخيص الحالات'!$G$2:$G$1001=3))&gt;0,"، "&amp;IFERROR(INDEX('تشخيص الحالات'!$D$2:$D$1001,SUMPRODUCT(('تشخيص الحالات'!$B$2:$B$1001=B231)*('تشخيص الحالات'!$G$2:$G$1001=3)*ROW('تشخيص الحالات'!$B$2:$B$1001))-1),""),"")&amp;IF(SUMPRODUCT(('تشخيص الحالات'!$B$2:$B$1001=B231)*('تشخيص الحالات'!$G$2:$G$1001=4))&gt;0,"، "&amp;IFERROR(INDEX('تشخيص الحالات'!$D$2:$D$1001,SUMPRODUCT(('تشخيص الحالات'!$B$2:$B$1001=B231)*('تشخيص الحالات'!$G$2:$G$1001=4)*ROW('تشخيص الحالات'!$B$2:$B$1001))-1),""),"")&amp;IF(SUMPRODUCT(('تشخيص الحالات'!$B$2:$B$1001=B231)*('تشخيص الحالات'!$G$2:$G$1001=5))&gt;0,"، "&amp;IFERROR(INDEX('تشخيص الحالات'!$D$2:$D$1001,SUMPRODUCT(('تشخيص الحالات'!$B$2:$B$1001=B231)*('تشخيص الحالات'!$G$2:$G$1001=5)*ROW('تشخيص الحالات'!$B$2:$B$1001))-1),""),"")&amp;IF(SUMPRODUCT(('تشخيص الحالات'!$B$2:$B$1001=B231)*('تشخيص الحالات'!$G$2:$G$1001=6))&gt;0,"، "&amp;IFERROR(INDEX('تشخيص الحالات'!$D$2:$D$1001,SUMPRODUCT(('تشخيص الحالات'!$B$2:$B$1001=B231)*('تشخيص الحالات'!$G$2:$G$1001=6)*ROW('تشخيص الحالات'!$B$2:$B$1001))-1),""),"")&amp;IF(SUMPRODUCT(('تشخيص الحالات'!$B$2:$B$1001=B231)*('تشخيص الحالات'!$G$2:$G$1001=7))&gt;0,"، "&amp;IFERROR(INDEX('تشخيص الحالات'!$D$2:$D$1001,SUMPRODUCT(('تشخيص الحالات'!$B$2:$B$1001=B231)*('تشخيص الحالات'!$G$2:$G$1001=7)*ROW('تشخيص الحالات'!$B$2:$B$1001))-1),""),"")&amp;IF(SUMPRODUCT(('تشخيص الحالات'!$B$2:$B$1001=B231)*('تشخيص الحالات'!$G$2:$G$1001=8))&gt;0,"، "&amp;IFERROR(INDEX('تشخيص الحالات'!$D$2:$D$1001,SUMPRODUCT(('تشخيص الحالات'!$B$2:$B$1001=B231)*('تشخيص الحالات'!$G$2:$G$1001=8)*ROW('تشخيص الحالات'!$B$2:$B$1001))-1),""),"")</f>
        <v/>
      </c>
      <c r="J231" s="1"/>
      <c r="K231" s="1"/>
      <c r="L231" s="1"/>
      <c r="M231" s="1"/>
    </row>
    <row r="232" spans="1:13" x14ac:dyDescent="0.2">
      <c r="A232" s="1"/>
      <c r="B232" s="1"/>
      <c r="C232" s="1"/>
      <c r="D232" s="1"/>
      <c r="E232" s="1"/>
      <c r="F232" s="1"/>
      <c r="G232" s="1"/>
      <c r="H232" s="1"/>
      <c r="I232" t="str">
        <f>IFERROR(INDEX('تشخيص الحالات'!$D$2:$D$1001,SUMPRODUCT(('تشخيص الحالات'!$B$2:$B$1001=B232)*('تشخيص الحالات'!$G$2:$G$1001=1)*ROW('تشخيص الحالات'!$B$2:$B$1001))-1),"")&amp;IF(SUMPRODUCT(('تشخيص الحالات'!$B$2:$B$1001=B232)*('تشخيص الحالات'!$G$2:$G$1001=2))&gt;0,"، "&amp;IFERROR(INDEX('تشخيص الحالات'!$D$2:$D$1001,SUMPRODUCT(('تشخيص الحالات'!$B$2:$B$1001=B232)*('تشخيص الحالات'!$G$2:$G$1001=2)*ROW('تشخيص الحالات'!$B$2:$B$1001))-1),""),"")&amp;IF(SUMPRODUCT(('تشخيص الحالات'!$B$2:$B$1001=B232)*('تشخيص الحالات'!$G$2:$G$1001=3))&gt;0,"، "&amp;IFERROR(INDEX('تشخيص الحالات'!$D$2:$D$1001,SUMPRODUCT(('تشخيص الحالات'!$B$2:$B$1001=B232)*('تشخيص الحالات'!$G$2:$G$1001=3)*ROW('تشخيص الحالات'!$B$2:$B$1001))-1),""),"")&amp;IF(SUMPRODUCT(('تشخيص الحالات'!$B$2:$B$1001=B232)*('تشخيص الحالات'!$G$2:$G$1001=4))&gt;0,"، "&amp;IFERROR(INDEX('تشخيص الحالات'!$D$2:$D$1001,SUMPRODUCT(('تشخيص الحالات'!$B$2:$B$1001=B232)*('تشخيص الحالات'!$G$2:$G$1001=4)*ROW('تشخيص الحالات'!$B$2:$B$1001))-1),""),"")&amp;IF(SUMPRODUCT(('تشخيص الحالات'!$B$2:$B$1001=B232)*('تشخيص الحالات'!$G$2:$G$1001=5))&gt;0,"، "&amp;IFERROR(INDEX('تشخيص الحالات'!$D$2:$D$1001,SUMPRODUCT(('تشخيص الحالات'!$B$2:$B$1001=B232)*('تشخيص الحالات'!$G$2:$G$1001=5)*ROW('تشخيص الحالات'!$B$2:$B$1001))-1),""),"")&amp;IF(SUMPRODUCT(('تشخيص الحالات'!$B$2:$B$1001=B232)*('تشخيص الحالات'!$G$2:$G$1001=6))&gt;0,"، "&amp;IFERROR(INDEX('تشخيص الحالات'!$D$2:$D$1001,SUMPRODUCT(('تشخيص الحالات'!$B$2:$B$1001=B232)*('تشخيص الحالات'!$G$2:$G$1001=6)*ROW('تشخيص الحالات'!$B$2:$B$1001))-1),""),"")&amp;IF(SUMPRODUCT(('تشخيص الحالات'!$B$2:$B$1001=B232)*('تشخيص الحالات'!$G$2:$G$1001=7))&gt;0,"، "&amp;IFERROR(INDEX('تشخيص الحالات'!$D$2:$D$1001,SUMPRODUCT(('تشخيص الحالات'!$B$2:$B$1001=B232)*('تشخيص الحالات'!$G$2:$G$1001=7)*ROW('تشخيص الحالات'!$B$2:$B$1001))-1),""),"")&amp;IF(SUMPRODUCT(('تشخيص الحالات'!$B$2:$B$1001=B232)*('تشخيص الحالات'!$G$2:$G$1001=8))&gt;0,"، "&amp;IFERROR(INDEX('تشخيص الحالات'!$D$2:$D$1001,SUMPRODUCT(('تشخيص الحالات'!$B$2:$B$1001=B232)*('تشخيص الحالات'!$G$2:$G$1001=8)*ROW('تشخيص الحالات'!$B$2:$B$1001))-1),""),"")</f>
        <v/>
      </c>
      <c r="J232" s="1"/>
      <c r="K232" s="1"/>
      <c r="L232" s="1"/>
      <c r="M232" s="1"/>
    </row>
    <row r="233" spans="1:13" x14ac:dyDescent="0.2">
      <c r="A233" s="1"/>
      <c r="B233" s="1"/>
      <c r="C233" s="1"/>
      <c r="D233" s="1"/>
      <c r="E233" s="1"/>
      <c r="F233" s="1"/>
      <c r="G233" s="1"/>
      <c r="H233" s="1"/>
      <c r="I233" t="str">
        <f>IFERROR(INDEX('تشخيص الحالات'!$D$2:$D$1001,SUMPRODUCT(('تشخيص الحالات'!$B$2:$B$1001=B233)*('تشخيص الحالات'!$G$2:$G$1001=1)*ROW('تشخيص الحالات'!$B$2:$B$1001))-1),"")&amp;IF(SUMPRODUCT(('تشخيص الحالات'!$B$2:$B$1001=B233)*('تشخيص الحالات'!$G$2:$G$1001=2))&gt;0,"، "&amp;IFERROR(INDEX('تشخيص الحالات'!$D$2:$D$1001,SUMPRODUCT(('تشخيص الحالات'!$B$2:$B$1001=B233)*('تشخيص الحالات'!$G$2:$G$1001=2)*ROW('تشخيص الحالات'!$B$2:$B$1001))-1),""),"")&amp;IF(SUMPRODUCT(('تشخيص الحالات'!$B$2:$B$1001=B233)*('تشخيص الحالات'!$G$2:$G$1001=3))&gt;0,"، "&amp;IFERROR(INDEX('تشخيص الحالات'!$D$2:$D$1001,SUMPRODUCT(('تشخيص الحالات'!$B$2:$B$1001=B233)*('تشخيص الحالات'!$G$2:$G$1001=3)*ROW('تشخيص الحالات'!$B$2:$B$1001))-1),""),"")&amp;IF(SUMPRODUCT(('تشخيص الحالات'!$B$2:$B$1001=B233)*('تشخيص الحالات'!$G$2:$G$1001=4))&gt;0,"، "&amp;IFERROR(INDEX('تشخيص الحالات'!$D$2:$D$1001,SUMPRODUCT(('تشخيص الحالات'!$B$2:$B$1001=B233)*('تشخيص الحالات'!$G$2:$G$1001=4)*ROW('تشخيص الحالات'!$B$2:$B$1001))-1),""),"")&amp;IF(SUMPRODUCT(('تشخيص الحالات'!$B$2:$B$1001=B233)*('تشخيص الحالات'!$G$2:$G$1001=5))&gt;0,"، "&amp;IFERROR(INDEX('تشخيص الحالات'!$D$2:$D$1001,SUMPRODUCT(('تشخيص الحالات'!$B$2:$B$1001=B233)*('تشخيص الحالات'!$G$2:$G$1001=5)*ROW('تشخيص الحالات'!$B$2:$B$1001))-1),""),"")&amp;IF(SUMPRODUCT(('تشخيص الحالات'!$B$2:$B$1001=B233)*('تشخيص الحالات'!$G$2:$G$1001=6))&gt;0,"، "&amp;IFERROR(INDEX('تشخيص الحالات'!$D$2:$D$1001,SUMPRODUCT(('تشخيص الحالات'!$B$2:$B$1001=B233)*('تشخيص الحالات'!$G$2:$G$1001=6)*ROW('تشخيص الحالات'!$B$2:$B$1001))-1),""),"")&amp;IF(SUMPRODUCT(('تشخيص الحالات'!$B$2:$B$1001=B233)*('تشخيص الحالات'!$G$2:$G$1001=7))&gt;0,"، "&amp;IFERROR(INDEX('تشخيص الحالات'!$D$2:$D$1001,SUMPRODUCT(('تشخيص الحالات'!$B$2:$B$1001=B233)*('تشخيص الحالات'!$G$2:$G$1001=7)*ROW('تشخيص الحالات'!$B$2:$B$1001))-1),""),"")&amp;IF(SUMPRODUCT(('تشخيص الحالات'!$B$2:$B$1001=B233)*('تشخيص الحالات'!$G$2:$G$1001=8))&gt;0,"، "&amp;IFERROR(INDEX('تشخيص الحالات'!$D$2:$D$1001,SUMPRODUCT(('تشخيص الحالات'!$B$2:$B$1001=B233)*('تشخيص الحالات'!$G$2:$G$1001=8)*ROW('تشخيص الحالات'!$B$2:$B$1001))-1),""),"")</f>
        <v/>
      </c>
      <c r="J233" s="1"/>
      <c r="K233" s="1"/>
      <c r="L233" s="1"/>
      <c r="M233" s="1"/>
    </row>
    <row r="234" spans="1:13" x14ac:dyDescent="0.2">
      <c r="A234" s="1"/>
      <c r="B234" s="1"/>
      <c r="C234" s="1"/>
      <c r="D234" s="1"/>
      <c r="E234" s="1"/>
      <c r="F234" s="1"/>
      <c r="G234" s="1"/>
      <c r="H234" s="1"/>
      <c r="I234" t="str">
        <f>IFERROR(INDEX('تشخيص الحالات'!$D$2:$D$1001,SUMPRODUCT(('تشخيص الحالات'!$B$2:$B$1001=B234)*('تشخيص الحالات'!$G$2:$G$1001=1)*ROW('تشخيص الحالات'!$B$2:$B$1001))-1),"")&amp;IF(SUMPRODUCT(('تشخيص الحالات'!$B$2:$B$1001=B234)*('تشخيص الحالات'!$G$2:$G$1001=2))&gt;0,"، "&amp;IFERROR(INDEX('تشخيص الحالات'!$D$2:$D$1001,SUMPRODUCT(('تشخيص الحالات'!$B$2:$B$1001=B234)*('تشخيص الحالات'!$G$2:$G$1001=2)*ROW('تشخيص الحالات'!$B$2:$B$1001))-1),""),"")&amp;IF(SUMPRODUCT(('تشخيص الحالات'!$B$2:$B$1001=B234)*('تشخيص الحالات'!$G$2:$G$1001=3))&gt;0,"، "&amp;IFERROR(INDEX('تشخيص الحالات'!$D$2:$D$1001,SUMPRODUCT(('تشخيص الحالات'!$B$2:$B$1001=B234)*('تشخيص الحالات'!$G$2:$G$1001=3)*ROW('تشخيص الحالات'!$B$2:$B$1001))-1),""),"")&amp;IF(SUMPRODUCT(('تشخيص الحالات'!$B$2:$B$1001=B234)*('تشخيص الحالات'!$G$2:$G$1001=4))&gt;0,"، "&amp;IFERROR(INDEX('تشخيص الحالات'!$D$2:$D$1001,SUMPRODUCT(('تشخيص الحالات'!$B$2:$B$1001=B234)*('تشخيص الحالات'!$G$2:$G$1001=4)*ROW('تشخيص الحالات'!$B$2:$B$1001))-1),""),"")&amp;IF(SUMPRODUCT(('تشخيص الحالات'!$B$2:$B$1001=B234)*('تشخيص الحالات'!$G$2:$G$1001=5))&gt;0,"، "&amp;IFERROR(INDEX('تشخيص الحالات'!$D$2:$D$1001,SUMPRODUCT(('تشخيص الحالات'!$B$2:$B$1001=B234)*('تشخيص الحالات'!$G$2:$G$1001=5)*ROW('تشخيص الحالات'!$B$2:$B$1001))-1),""),"")&amp;IF(SUMPRODUCT(('تشخيص الحالات'!$B$2:$B$1001=B234)*('تشخيص الحالات'!$G$2:$G$1001=6))&gt;0,"، "&amp;IFERROR(INDEX('تشخيص الحالات'!$D$2:$D$1001,SUMPRODUCT(('تشخيص الحالات'!$B$2:$B$1001=B234)*('تشخيص الحالات'!$G$2:$G$1001=6)*ROW('تشخيص الحالات'!$B$2:$B$1001))-1),""),"")&amp;IF(SUMPRODUCT(('تشخيص الحالات'!$B$2:$B$1001=B234)*('تشخيص الحالات'!$G$2:$G$1001=7))&gt;0,"، "&amp;IFERROR(INDEX('تشخيص الحالات'!$D$2:$D$1001,SUMPRODUCT(('تشخيص الحالات'!$B$2:$B$1001=B234)*('تشخيص الحالات'!$G$2:$G$1001=7)*ROW('تشخيص الحالات'!$B$2:$B$1001))-1),""),"")&amp;IF(SUMPRODUCT(('تشخيص الحالات'!$B$2:$B$1001=B234)*('تشخيص الحالات'!$G$2:$G$1001=8))&gt;0,"، "&amp;IFERROR(INDEX('تشخيص الحالات'!$D$2:$D$1001,SUMPRODUCT(('تشخيص الحالات'!$B$2:$B$1001=B234)*('تشخيص الحالات'!$G$2:$G$1001=8)*ROW('تشخيص الحالات'!$B$2:$B$1001))-1),""),"")</f>
        <v/>
      </c>
      <c r="J234" s="1"/>
      <c r="K234" s="1"/>
      <c r="L234" s="1"/>
      <c r="M234" s="1"/>
    </row>
    <row r="235" spans="1:13" x14ac:dyDescent="0.2">
      <c r="A235" s="1"/>
      <c r="B235" s="1"/>
      <c r="C235" s="1"/>
      <c r="D235" s="1"/>
      <c r="E235" s="1"/>
      <c r="F235" s="1"/>
      <c r="G235" s="1"/>
      <c r="H235" s="1"/>
      <c r="I235" t="str">
        <f>IFERROR(INDEX('تشخيص الحالات'!$D$2:$D$1001,SUMPRODUCT(('تشخيص الحالات'!$B$2:$B$1001=B235)*('تشخيص الحالات'!$G$2:$G$1001=1)*ROW('تشخيص الحالات'!$B$2:$B$1001))-1),"")&amp;IF(SUMPRODUCT(('تشخيص الحالات'!$B$2:$B$1001=B235)*('تشخيص الحالات'!$G$2:$G$1001=2))&gt;0,"، "&amp;IFERROR(INDEX('تشخيص الحالات'!$D$2:$D$1001,SUMPRODUCT(('تشخيص الحالات'!$B$2:$B$1001=B235)*('تشخيص الحالات'!$G$2:$G$1001=2)*ROW('تشخيص الحالات'!$B$2:$B$1001))-1),""),"")&amp;IF(SUMPRODUCT(('تشخيص الحالات'!$B$2:$B$1001=B235)*('تشخيص الحالات'!$G$2:$G$1001=3))&gt;0,"، "&amp;IFERROR(INDEX('تشخيص الحالات'!$D$2:$D$1001,SUMPRODUCT(('تشخيص الحالات'!$B$2:$B$1001=B235)*('تشخيص الحالات'!$G$2:$G$1001=3)*ROW('تشخيص الحالات'!$B$2:$B$1001))-1),""),"")&amp;IF(SUMPRODUCT(('تشخيص الحالات'!$B$2:$B$1001=B235)*('تشخيص الحالات'!$G$2:$G$1001=4))&gt;0,"، "&amp;IFERROR(INDEX('تشخيص الحالات'!$D$2:$D$1001,SUMPRODUCT(('تشخيص الحالات'!$B$2:$B$1001=B235)*('تشخيص الحالات'!$G$2:$G$1001=4)*ROW('تشخيص الحالات'!$B$2:$B$1001))-1),""),"")&amp;IF(SUMPRODUCT(('تشخيص الحالات'!$B$2:$B$1001=B235)*('تشخيص الحالات'!$G$2:$G$1001=5))&gt;0,"، "&amp;IFERROR(INDEX('تشخيص الحالات'!$D$2:$D$1001,SUMPRODUCT(('تشخيص الحالات'!$B$2:$B$1001=B235)*('تشخيص الحالات'!$G$2:$G$1001=5)*ROW('تشخيص الحالات'!$B$2:$B$1001))-1),""),"")&amp;IF(SUMPRODUCT(('تشخيص الحالات'!$B$2:$B$1001=B235)*('تشخيص الحالات'!$G$2:$G$1001=6))&gt;0,"، "&amp;IFERROR(INDEX('تشخيص الحالات'!$D$2:$D$1001,SUMPRODUCT(('تشخيص الحالات'!$B$2:$B$1001=B235)*('تشخيص الحالات'!$G$2:$G$1001=6)*ROW('تشخيص الحالات'!$B$2:$B$1001))-1),""),"")&amp;IF(SUMPRODUCT(('تشخيص الحالات'!$B$2:$B$1001=B235)*('تشخيص الحالات'!$G$2:$G$1001=7))&gt;0,"، "&amp;IFERROR(INDEX('تشخيص الحالات'!$D$2:$D$1001,SUMPRODUCT(('تشخيص الحالات'!$B$2:$B$1001=B235)*('تشخيص الحالات'!$G$2:$G$1001=7)*ROW('تشخيص الحالات'!$B$2:$B$1001))-1),""),"")&amp;IF(SUMPRODUCT(('تشخيص الحالات'!$B$2:$B$1001=B235)*('تشخيص الحالات'!$G$2:$G$1001=8))&gt;0,"، "&amp;IFERROR(INDEX('تشخيص الحالات'!$D$2:$D$1001,SUMPRODUCT(('تشخيص الحالات'!$B$2:$B$1001=B235)*('تشخيص الحالات'!$G$2:$G$1001=8)*ROW('تشخيص الحالات'!$B$2:$B$1001))-1),""),"")</f>
        <v/>
      </c>
      <c r="J235" s="1"/>
      <c r="K235" s="1"/>
      <c r="L235" s="1"/>
      <c r="M235" s="1"/>
    </row>
    <row r="236" spans="1:13" x14ac:dyDescent="0.2">
      <c r="A236" s="1"/>
      <c r="B236" s="1"/>
      <c r="C236" s="1"/>
      <c r="D236" s="1"/>
      <c r="E236" s="1"/>
      <c r="F236" s="1"/>
      <c r="G236" s="1"/>
      <c r="H236" s="1"/>
      <c r="I236" t="str">
        <f>IFERROR(INDEX('تشخيص الحالات'!$D$2:$D$1001,SUMPRODUCT(('تشخيص الحالات'!$B$2:$B$1001=B236)*('تشخيص الحالات'!$G$2:$G$1001=1)*ROW('تشخيص الحالات'!$B$2:$B$1001))-1),"")&amp;IF(SUMPRODUCT(('تشخيص الحالات'!$B$2:$B$1001=B236)*('تشخيص الحالات'!$G$2:$G$1001=2))&gt;0,"، "&amp;IFERROR(INDEX('تشخيص الحالات'!$D$2:$D$1001,SUMPRODUCT(('تشخيص الحالات'!$B$2:$B$1001=B236)*('تشخيص الحالات'!$G$2:$G$1001=2)*ROW('تشخيص الحالات'!$B$2:$B$1001))-1),""),"")&amp;IF(SUMPRODUCT(('تشخيص الحالات'!$B$2:$B$1001=B236)*('تشخيص الحالات'!$G$2:$G$1001=3))&gt;0,"، "&amp;IFERROR(INDEX('تشخيص الحالات'!$D$2:$D$1001,SUMPRODUCT(('تشخيص الحالات'!$B$2:$B$1001=B236)*('تشخيص الحالات'!$G$2:$G$1001=3)*ROW('تشخيص الحالات'!$B$2:$B$1001))-1),""),"")&amp;IF(SUMPRODUCT(('تشخيص الحالات'!$B$2:$B$1001=B236)*('تشخيص الحالات'!$G$2:$G$1001=4))&gt;0,"، "&amp;IFERROR(INDEX('تشخيص الحالات'!$D$2:$D$1001,SUMPRODUCT(('تشخيص الحالات'!$B$2:$B$1001=B236)*('تشخيص الحالات'!$G$2:$G$1001=4)*ROW('تشخيص الحالات'!$B$2:$B$1001))-1),""),"")&amp;IF(SUMPRODUCT(('تشخيص الحالات'!$B$2:$B$1001=B236)*('تشخيص الحالات'!$G$2:$G$1001=5))&gt;0,"، "&amp;IFERROR(INDEX('تشخيص الحالات'!$D$2:$D$1001,SUMPRODUCT(('تشخيص الحالات'!$B$2:$B$1001=B236)*('تشخيص الحالات'!$G$2:$G$1001=5)*ROW('تشخيص الحالات'!$B$2:$B$1001))-1),""),"")&amp;IF(SUMPRODUCT(('تشخيص الحالات'!$B$2:$B$1001=B236)*('تشخيص الحالات'!$G$2:$G$1001=6))&gt;0,"، "&amp;IFERROR(INDEX('تشخيص الحالات'!$D$2:$D$1001,SUMPRODUCT(('تشخيص الحالات'!$B$2:$B$1001=B236)*('تشخيص الحالات'!$G$2:$G$1001=6)*ROW('تشخيص الحالات'!$B$2:$B$1001))-1),""),"")&amp;IF(SUMPRODUCT(('تشخيص الحالات'!$B$2:$B$1001=B236)*('تشخيص الحالات'!$G$2:$G$1001=7))&gt;0,"، "&amp;IFERROR(INDEX('تشخيص الحالات'!$D$2:$D$1001,SUMPRODUCT(('تشخيص الحالات'!$B$2:$B$1001=B236)*('تشخيص الحالات'!$G$2:$G$1001=7)*ROW('تشخيص الحالات'!$B$2:$B$1001))-1),""),"")&amp;IF(SUMPRODUCT(('تشخيص الحالات'!$B$2:$B$1001=B236)*('تشخيص الحالات'!$G$2:$G$1001=8))&gt;0,"، "&amp;IFERROR(INDEX('تشخيص الحالات'!$D$2:$D$1001,SUMPRODUCT(('تشخيص الحالات'!$B$2:$B$1001=B236)*('تشخيص الحالات'!$G$2:$G$1001=8)*ROW('تشخيص الحالات'!$B$2:$B$1001))-1),""),"")</f>
        <v/>
      </c>
      <c r="J236" s="1"/>
      <c r="K236" s="1"/>
      <c r="L236" s="1"/>
      <c r="M236" s="1"/>
    </row>
    <row r="237" spans="1:13" x14ac:dyDescent="0.2">
      <c r="A237" s="1"/>
      <c r="B237" s="1"/>
      <c r="C237" s="1"/>
      <c r="D237" s="1"/>
      <c r="E237" s="1"/>
      <c r="F237" s="1"/>
      <c r="G237" s="1"/>
      <c r="H237" s="1"/>
      <c r="I237" t="str">
        <f>IFERROR(INDEX('تشخيص الحالات'!$D$2:$D$1001,SUMPRODUCT(('تشخيص الحالات'!$B$2:$B$1001=B237)*('تشخيص الحالات'!$G$2:$G$1001=1)*ROW('تشخيص الحالات'!$B$2:$B$1001))-1),"")&amp;IF(SUMPRODUCT(('تشخيص الحالات'!$B$2:$B$1001=B237)*('تشخيص الحالات'!$G$2:$G$1001=2))&gt;0,"، "&amp;IFERROR(INDEX('تشخيص الحالات'!$D$2:$D$1001,SUMPRODUCT(('تشخيص الحالات'!$B$2:$B$1001=B237)*('تشخيص الحالات'!$G$2:$G$1001=2)*ROW('تشخيص الحالات'!$B$2:$B$1001))-1),""),"")&amp;IF(SUMPRODUCT(('تشخيص الحالات'!$B$2:$B$1001=B237)*('تشخيص الحالات'!$G$2:$G$1001=3))&gt;0,"، "&amp;IFERROR(INDEX('تشخيص الحالات'!$D$2:$D$1001,SUMPRODUCT(('تشخيص الحالات'!$B$2:$B$1001=B237)*('تشخيص الحالات'!$G$2:$G$1001=3)*ROW('تشخيص الحالات'!$B$2:$B$1001))-1),""),"")&amp;IF(SUMPRODUCT(('تشخيص الحالات'!$B$2:$B$1001=B237)*('تشخيص الحالات'!$G$2:$G$1001=4))&gt;0,"، "&amp;IFERROR(INDEX('تشخيص الحالات'!$D$2:$D$1001,SUMPRODUCT(('تشخيص الحالات'!$B$2:$B$1001=B237)*('تشخيص الحالات'!$G$2:$G$1001=4)*ROW('تشخيص الحالات'!$B$2:$B$1001))-1),""),"")&amp;IF(SUMPRODUCT(('تشخيص الحالات'!$B$2:$B$1001=B237)*('تشخيص الحالات'!$G$2:$G$1001=5))&gt;0,"، "&amp;IFERROR(INDEX('تشخيص الحالات'!$D$2:$D$1001,SUMPRODUCT(('تشخيص الحالات'!$B$2:$B$1001=B237)*('تشخيص الحالات'!$G$2:$G$1001=5)*ROW('تشخيص الحالات'!$B$2:$B$1001))-1),""),"")&amp;IF(SUMPRODUCT(('تشخيص الحالات'!$B$2:$B$1001=B237)*('تشخيص الحالات'!$G$2:$G$1001=6))&gt;0,"، "&amp;IFERROR(INDEX('تشخيص الحالات'!$D$2:$D$1001,SUMPRODUCT(('تشخيص الحالات'!$B$2:$B$1001=B237)*('تشخيص الحالات'!$G$2:$G$1001=6)*ROW('تشخيص الحالات'!$B$2:$B$1001))-1),""),"")&amp;IF(SUMPRODUCT(('تشخيص الحالات'!$B$2:$B$1001=B237)*('تشخيص الحالات'!$G$2:$G$1001=7))&gt;0,"، "&amp;IFERROR(INDEX('تشخيص الحالات'!$D$2:$D$1001,SUMPRODUCT(('تشخيص الحالات'!$B$2:$B$1001=B237)*('تشخيص الحالات'!$G$2:$G$1001=7)*ROW('تشخيص الحالات'!$B$2:$B$1001))-1),""),"")&amp;IF(SUMPRODUCT(('تشخيص الحالات'!$B$2:$B$1001=B237)*('تشخيص الحالات'!$G$2:$G$1001=8))&gt;0,"، "&amp;IFERROR(INDEX('تشخيص الحالات'!$D$2:$D$1001,SUMPRODUCT(('تشخيص الحالات'!$B$2:$B$1001=B237)*('تشخيص الحالات'!$G$2:$G$1001=8)*ROW('تشخيص الحالات'!$B$2:$B$1001))-1),""),"")</f>
        <v/>
      </c>
      <c r="J237" s="1"/>
      <c r="K237" s="1"/>
      <c r="L237" s="1"/>
      <c r="M237" s="1"/>
    </row>
    <row r="238" spans="1:13" x14ac:dyDescent="0.2">
      <c r="A238" s="1"/>
      <c r="B238" s="1"/>
      <c r="C238" s="1"/>
      <c r="D238" s="1"/>
      <c r="E238" s="1"/>
      <c r="F238" s="1"/>
      <c r="G238" s="1"/>
      <c r="H238" s="1"/>
      <c r="I238" t="str">
        <f>IFERROR(INDEX('تشخيص الحالات'!$D$2:$D$1001,SUMPRODUCT(('تشخيص الحالات'!$B$2:$B$1001=B238)*('تشخيص الحالات'!$G$2:$G$1001=1)*ROW('تشخيص الحالات'!$B$2:$B$1001))-1),"")&amp;IF(SUMPRODUCT(('تشخيص الحالات'!$B$2:$B$1001=B238)*('تشخيص الحالات'!$G$2:$G$1001=2))&gt;0,"، "&amp;IFERROR(INDEX('تشخيص الحالات'!$D$2:$D$1001,SUMPRODUCT(('تشخيص الحالات'!$B$2:$B$1001=B238)*('تشخيص الحالات'!$G$2:$G$1001=2)*ROW('تشخيص الحالات'!$B$2:$B$1001))-1),""),"")&amp;IF(SUMPRODUCT(('تشخيص الحالات'!$B$2:$B$1001=B238)*('تشخيص الحالات'!$G$2:$G$1001=3))&gt;0,"، "&amp;IFERROR(INDEX('تشخيص الحالات'!$D$2:$D$1001,SUMPRODUCT(('تشخيص الحالات'!$B$2:$B$1001=B238)*('تشخيص الحالات'!$G$2:$G$1001=3)*ROW('تشخيص الحالات'!$B$2:$B$1001))-1),""),"")&amp;IF(SUMPRODUCT(('تشخيص الحالات'!$B$2:$B$1001=B238)*('تشخيص الحالات'!$G$2:$G$1001=4))&gt;0,"، "&amp;IFERROR(INDEX('تشخيص الحالات'!$D$2:$D$1001,SUMPRODUCT(('تشخيص الحالات'!$B$2:$B$1001=B238)*('تشخيص الحالات'!$G$2:$G$1001=4)*ROW('تشخيص الحالات'!$B$2:$B$1001))-1),""),"")&amp;IF(SUMPRODUCT(('تشخيص الحالات'!$B$2:$B$1001=B238)*('تشخيص الحالات'!$G$2:$G$1001=5))&gt;0,"، "&amp;IFERROR(INDEX('تشخيص الحالات'!$D$2:$D$1001,SUMPRODUCT(('تشخيص الحالات'!$B$2:$B$1001=B238)*('تشخيص الحالات'!$G$2:$G$1001=5)*ROW('تشخيص الحالات'!$B$2:$B$1001))-1),""),"")&amp;IF(SUMPRODUCT(('تشخيص الحالات'!$B$2:$B$1001=B238)*('تشخيص الحالات'!$G$2:$G$1001=6))&gt;0,"، "&amp;IFERROR(INDEX('تشخيص الحالات'!$D$2:$D$1001,SUMPRODUCT(('تشخيص الحالات'!$B$2:$B$1001=B238)*('تشخيص الحالات'!$G$2:$G$1001=6)*ROW('تشخيص الحالات'!$B$2:$B$1001))-1),""),"")&amp;IF(SUMPRODUCT(('تشخيص الحالات'!$B$2:$B$1001=B238)*('تشخيص الحالات'!$G$2:$G$1001=7))&gt;0,"، "&amp;IFERROR(INDEX('تشخيص الحالات'!$D$2:$D$1001,SUMPRODUCT(('تشخيص الحالات'!$B$2:$B$1001=B238)*('تشخيص الحالات'!$G$2:$G$1001=7)*ROW('تشخيص الحالات'!$B$2:$B$1001))-1),""),"")&amp;IF(SUMPRODUCT(('تشخيص الحالات'!$B$2:$B$1001=B238)*('تشخيص الحالات'!$G$2:$G$1001=8))&gt;0,"، "&amp;IFERROR(INDEX('تشخيص الحالات'!$D$2:$D$1001,SUMPRODUCT(('تشخيص الحالات'!$B$2:$B$1001=B238)*('تشخيص الحالات'!$G$2:$G$1001=8)*ROW('تشخيص الحالات'!$B$2:$B$1001))-1),""),"")</f>
        <v/>
      </c>
      <c r="J238" s="1"/>
      <c r="K238" s="1"/>
      <c r="L238" s="1"/>
      <c r="M238" s="1"/>
    </row>
    <row r="239" spans="1:13" x14ac:dyDescent="0.2">
      <c r="A239" s="1"/>
      <c r="B239" s="1"/>
      <c r="C239" s="1"/>
      <c r="D239" s="1"/>
      <c r="E239" s="1"/>
      <c r="F239" s="1"/>
      <c r="G239" s="1"/>
      <c r="H239" s="1"/>
      <c r="I239" t="str">
        <f>IFERROR(INDEX('تشخيص الحالات'!$D$2:$D$1001,SUMPRODUCT(('تشخيص الحالات'!$B$2:$B$1001=B239)*('تشخيص الحالات'!$G$2:$G$1001=1)*ROW('تشخيص الحالات'!$B$2:$B$1001))-1),"")&amp;IF(SUMPRODUCT(('تشخيص الحالات'!$B$2:$B$1001=B239)*('تشخيص الحالات'!$G$2:$G$1001=2))&gt;0,"، "&amp;IFERROR(INDEX('تشخيص الحالات'!$D$2:$D$1001,SUMPRODUCT(('تشخيص الحالات'!$B$2:$B$1001=B239)*('تشخيص الحالات'!$G$2:$G$1001=2)*ROW('تشخيص الحالات'!$B$2:$B$1001))-1),""),"")&amp;IF(SUMPRODUCT(('تشخيص الحالات'!$B$2:$B$1001=B239)*('تشخيص الحالات'!$G$2:$G$1001=3))&gt;0,"، "&amp;IFERROR(INDEX('تشخيص الحالات'!$D$2:$D$1001,SUMPRODUCT(('تشخيص الحالات'!$B$2:$B$1001=B239)*('تشخيص الحالات'!$G$2:$G$1001=3)*ROW('تشخيص الحالات'!$B$2:$B$1001))-1),""),"")&amp;IF(SUMPRODUCT(('تشخيص الحالات'!$B$2:$B$1001=B239)*('تشخيص الحالات'!$G$2:$G$1001=4))&gt;0,"، "&amp;IFERROR(INDEX('تشخيص الحالات'!$D$2:$D$1001,SUMPRODUCT(('تشخيص الحالات'!$B$2:$B$1001=B239)*('تشخيص الحالات'!$G$2:$G$1001=4)*ROW('تشخيص الحالات'!$B$2:$B$1001))-1),""),"")&amp;IF(SUMPRODUCT(('تشخيص الحالات'!$B$2:$B$1001=B239)*('تشخيص الحالات'!$G$2:$G$1001=5))&gt;0,"، "&amp;IFERROR(INDEX('تشخيص الحالات'!$D$2:$D$1001,SUMPRODUCT(('تشخيص الحالات'!$B$2:$B$1001=B239)*('تشخيص الحالات'!$G$2:$G$1001=5)*ROW('تشخيص الحالات'!$B$2:$B$1001))-1),""),"")&amp;IF(SUMPRODUCT(('تشخيص الحالات'!$B$2:$B$1001=B239)*('تشخيص الحالات'!$G$2:$G$1001=6))&gt;0,"، "&amp;IFERROR(INDEX('تشخيص الحالات'!$D$2:$D$1001,SUMPRODUCT(('تشخيص الحالات'!$B$2:$B$1001=B239)*('تشخيص الحالات'!$G$2:$G$1001=6)*ROW('تشخيص الحالات'!$B$2:$B$1001))-1),""),"")&amp;IF(SUMPRODUCT(('تشخيص الحالات'!$B$2:$B$1001=B239)*('تشخيص الحالات'!$G$2:$G$1001=7))&gt;0,"، "&amp;IFERROR(INDEX('تشخيص الحالات'!$D$2:$D$1001,SUMPRODUCT(('تشخيص الحالات'!$B$2:$B$1001=B239)*('تشخيص الحالات'!$G$2:$G$1001=7)*ROW('تشخيص الحالات'!$B$2:$B$1001))-1),""),"")&amp;IF(SUMPRODUCT(('تشخيص الحالات'!$B$2:$B$1001=B239)*('تشخيص الحالات'!$G$2:$G$1001=8))&gt;0,"، "&amp;IFERROR(INDEX('تشخيص الحالات'!$D$2:$D$1001,SUMPRODUCT(('تشخيص الحالات'!$B$2:$B$1001=B239)*('تشخيص الحالات'!$G$2:$G$1001=8)*ROW('تشخيص الحالات'!$B$2:$B$1001))-1),""),"")</f>
        <v/>
      </c>
      <c r="J239" s="1"/>
      <c r="K239" s="1"/>
      <c r="L239" s="1"/>
      <c r="M239" s="1"/>
    </row>
    <row r="240" spans="1:13" x14ac:dyDescent="0.2">
      <c r="A240" s="1"/>
      <c r="B240" s="1"/>
      <c r="C240" s="1"/>
      <c r="D240" s="1"/>
      <c r="E240" s="1"/>
      <c r="F240" s="1"/>
      <c r="G240" s="1"/>
      <c r="H240" s="1"/>
      <c r="I240" t="str">
        <f>IFERROR(INDEX('تشخيص الحالات'!$D$2:$D$1001,SUMPRODUCT(('تشخيص الحالات'!$B$2:$B$1001=B240)*('تشخيص الحالات'!$G$2:$G$1001=1)*ROW('تشخيص الحالات'!$B$2:$B$1001))-1),"")&amp;IF(SUMPRODUCT(('تشخيص الحالات'!$B$2:$B$1001=B240)*('تشخيص الحالات'!$G$2:$G$1001=2))&gt;0,"، "&amp;IFERROR(INDEX('تشخيص الحالات'!$D$2:$D$1001,SUMPRODUCT(('تشخيص الحالات'!$B$2:$B$1001=B240)*('تشخيص الحالات'!$G$2:$G$1001=2)*ROW('تشخيص الحالات'!$B$2:$B$1001))-1),""),"")&amp;IF(SUMPRODUCT(('تشخيص الحالات'!$B$2:$B$1001=B240)*('تشخيص الحالات'!$G$2:$G$1001=3))&gt;0,"، "&amp;IFERROR(INDEX('تشخيص الحالات'!$D$2:$D$1001,SUMPRODUCT(('تشخيص الحالات'!$B$2:$B$1001=B240)*('تشخيص الحالات'!$G$2:$G$1001=3)*ROW('تشخيص الحالات'!$B$2:$B$1001))-1),""),"")&amp;IF(SUMPRODUCT(('تشخيص الحالات'!$B$2:$B$1001=B240)*('تشخيص الحالات'!$G$2:$G$1001=4))&gt;0,"، "&amp;IFERROR(INDEX('تشخيص الحالات'!$D$2:$D$1001,SUMPRODUCT(('تشخيص الحالات'!$B$2:$B$1001=B240)*('تشخيص الحالات'!$G$2:$G$1001=4)*ROW('تشخيص الحالات'!$B$2:$B$1001))-1),""),"")&amp;IF(SUMPRODUCT(('تشخيص الحالات'!$B$2:$B$1001=B240)*('تشخيص الحالات'!$G$2:$G$1001=5))&gt;0,"، "&amp;IFERROR(INDEX('تشخيص الحالات'!$D$2:$D$1001,SUMPRODUCT(('تشخيص الحالات'!$B$2:$B$1001=B240)*('تشخيص الحالات'!$G$2:$G$1001=5)*ROW('تشخيص الحالات'!$B$2:$B$1001))-1),""),"")&amp;IF(SUMPRODUCT(('تشخيص الحالات'!$B$2:$B$1001=B240)*('تشخيص الحالات'!$G$2:$G$1001=6))&gt;0,"، "&amp;IFERROR(INDEX('تشخيص الحالات'!$D$2:$D$1001,SUMPRODUCT(('تشخيص الحالات'!$B$2:$B$1001=B240)*('تشخيص الحالات'!$G$2:$G$1001=6)*ROW('تشخيص الحالات'!$B$2:$B$1001))-1),""),"")&amp;IF(SUMPRODUCT(('تشخيص الحالات'!$B$2:$B$1001=B240)*('تشخيص الحالات'!$G$2:$G$1001=7))&gt;0,"، "&amp;IFERROR(INDEX('تشخيص الحالات'!$D$2:$D$1001,SUMPRODUCT(('تشخيص الحالات'!$B$2:$B$1001=B240)*('تشخيص الحالات'!$G$2:$G$1001=7)*ROW('تشخيص الحالات'!$B$2:$B$1001))-1),""),"")&amp;IF(SUMPRODUCT(('تشخيص الحالات'!$B$2:$B$1001=B240)*('تشخيص الحالات'!$G$2:$G$1001=8))&gt;0,"، "&amp;IFERROR(INDEX('تشخيص الحالات'!$D$2:$D$1001,SUMPRODUCT(('تشخيص الحالات'!$B$2:$B$1001=B240)*('تشخيص الحالات'!$G$2:$G$1001=8)*ROW('تشخيص الحالات'!$B$2:$B$1001))-1),""),"")</f>
        <v/>
      </c>
      <c r="J240" s="1"/>
      <c r="K240" s="1"/>
      <c r="L240" s="1"/>
      <c r="M240" s="1"/>
    </row>
    <row r="241" spans="1:13" x14ac:dyDescent="0.2">
      <c r="A241" s="1"/>
      <c r="B241" s="1"/>
      <c r="C241" s="1"/>
      <c r="D241" s="1"/>
      <c r="E241" s="1"/>
      <c r="F241" s="1"/>
      <c r="G241" s="1"/>
      <c r="H241" s="1"/>
      <c r="I241" t="str">
        <f>IFERROR(INDEX('تشخيص الحالات'!$D$2:$D$1001,SUMPRODUCT(('تشخيص الحالات'!$B$2:$B$1001=B241)*('تشخيص الحالات'!$G$2:$G$1001=1)*ROW('تشخيص الحالات'!$B$2:$B$1001))-1),"")&amp;IF(SUMPRODUCT(('تشخيص الحالات'!$B$2:$B$1001=B241)*('تشخيص الحالات'!$G$2:$G$1001=2))&gt;0,"، "&amp;IFERROR(INDEX('تشخيص الحالات'!$D$2:$D$1001,SUMPRODUCT(('تشخيص الحالات'!$B$2:$B$1001=B241)*('تشخيص الحالات'!$G$2:$G$1001=2)*ROW('تشخيص الحالات'!$B$2:$B$1001))-1),""),"")&amp;IF(SUMPRODUCT(('تشخيص الحالات'!$B$2:$B$1001=B241)*('تشخيص الحالات'!$G$2:$G$1001=3))&gt;0,"، "&amp;IFERROR(INDEX('تشخيص الحالات'!$D$2:$D$1001,SUMPRODUCT(('تشخيص الحالات'!$B$2:$B$1001=B241)*('تشخيص الحالات'!$G$2:$G$1001=3)*ROW('تشخيص الحالات'!$B$2:$B$1001))-1),""),"")&amp;IF(SUMPRODUCT(('تشخيص الحالات'!$B$2:$B$1001=B241)*('تشخيص الحالات'!$G$2:$G$1001=4))&gt;0,"، "&amp;IFERROR(INDEX('تشخيص الحالات'!$D$2:$D$1001,SUMPRODUCT(('تشخيص الحالات'!$B$2:$B$1001=B241)*('تشخيص الحالات'!$G$2:$G$1001=4)*ROW('تشخيص الحالات'!$B$2:$B$1001))-1),""),"")&amp;IF(SUMPRODUCT(('تشخيص الحالات'!$B$2:$B$1001=B241)*('تشخيص الحالات'!$G$2:$G$1001=5))&gt;0,"، "&amp;IFERROR(INDEX('تشخيص الحالات'!$D$2:$D$1001,SUMPRODUCT(('تشخيص الحالات'!$B$2:$B$1001=B241)*('تشخيص الحالات'!$G$2:$G$1001=5)*ROW('تشخيص الحالات'!$B$2:$B$1001))-1),""),"")&amp;IF(SUMPRODUCT(('تشخيص الحالات'!$B$2:$B$1001=B241)*('تشخيص الحالات'!$G$2:$G$1001=6))&gt;0,"، "&amp;IFERROR(INDEX('تشخيص الحالات'!$D$2:$D$1001,SUMPRODUCT(('تشخيص الحالات'!$B$2:$B$1001=B241)*('تشخيص الحالات'!$G$2:$G$1001=6)*ROW('تشخيص الحالات'!$B$2:$B$1001))-1),""),"")&amp;IF(SUMPRODUCT(('تشخيص الحالات'!$B$2:$B$1001=B241)*('تشخيص الحالات'!$G$2:$G$1001=7))&gt;0,"، "&amp;IFERROR(INDEX('تشخيص الحالات'!$D$2:$D$1001,SUMPRODUCT(('تشخيص الحالات'!$B$2:$B$1001=B241)*('تشخيص الحالات'!$G$2:$G$1001=7)*ROW('تشخيص الحالات'!$B$2:$B$1001))-1),""),"")&amp;IF(SUMPRODUCT(('تشخيص الحالات'!$B$2:$B$1001=B241)*('تشخيص الحالات'!$G$2:$G$1001=8))&gt;0,"، "&amp;IFERROR(INDEX('تشخيص الحالات'!$D$2:$D$1001,SUMPRODUCT(('تشخيص الحالات'!$B$2:$B$1001=B241)*('تشخيص الحالات'!$G$2:$G$1001=8)*ROW('تشخيص الحالات'!$B$2:$B$1001))-1),""),"")</f>
        <v/>
      </c>
      <c r="J241" s="1"/>
      <c r="K241" s="1"/>
      <c r="L241" s="1"/>
      <c r="M241" s="1"/>
    </row>
    <row r="242" spans="1:13" x14ac:dyDescent="0.2">
      <c r="A242" s="1"/>
      <c r="B242" s="1"/>
      <c r="C242" s="1"/>
      <c r="D242" s="1"/>
      <c r="E242" s="1"/>
      <c r="F242" s="1"/>
      <c r="G242" s="1"/>
      <c r="H242" s="1"/>
      <c r="I242" t="str">
        <f>IFERROR(INDEX('تشخيص الحالات'!$D$2:$D$1001,SUMPRODUCT(('تشخيص الحالات'!$B$2:$B$1001=B242)*('تشخيص الحالات'!$G$2:$G$1001=1)*ROW('تشخيص الحالات'!$B$2:$B$1001))-1),"")&amp;IF(SUMPRODUCT(('تشخيص الحالات'!$B$2:$B$1001=B242)*('تشخيص الحالات'!$G$2:$G$1001=2))&gt;0,"، "&amp;IFERROR(INDEX('تشخيص الحالات'!$D$2:$D$1001,SUMPRODUCT(('تشخيص الحالات'!$B$2:$B$1001=B242)*('تشخيص الحالات'!$G$2:$G$1001=2)*ROW('تشخيص الحالات'!$B$2:$B$1001))-1),""),"")&amp;IF(SUMPRODUCT(('تشخيص الحالات'!$B$2:$B$1001=B242)*('تشخيص الحالات'!$G$2:$G$1001=3))&gt;0,"، "&amp;IFERROR(INDEX('تشخيص الحالات'!$D$2:$D$1001,SUMPRODUCT(('تشخيص الحالات'!$B$2:$B$1001=B242)*('تشخيص الحالات'!$G$2:$G$1001=3)*ROW('تشخيص الحالات'!$B$2:$B$1001))-1),""),"")&amp;IF(SUMPRODUCT(('تشخيص الحالات'!$B$2:$B$1001=B242)*('تشخيص الحالات'!$G$2:$G$1001=4))&gt;0,"، "&amp;IFERROR(INDEX('تشخيص الحالات'!$D$2:$D$1001,SUMPRODUCT(('تشخيص الحالات'!$B$2:$B$1001=B242)*('تشخيص الحالات'!$G$2:$G$1001=4)*ROW('تشخيص الحالات'!$B$2:$B$1001))-1),""),"")&amp;IF(SUMPRODUCT(('تشخيص الحالات'!$B$2:$B$1001=B242)*('تشخيص الحالات'!$G$2:$G$1001=5))&gt;0,"، "&amp;IFERROR(INDEX('تشخيص الحالات'!$D$2:$D$1001,SUMPRODUCT(('تشخيص الحالات'!$B$2:$B$1001=B242)*('تشخيص الحالات'!$G$2:$G$1001=5)*ROW('تشخيص الحالات'!$B$2:$B$1001))-1),""),"")&amp;IF(SUMPRODUCT(('تشخيص الحالات'!$B$2:$B$1001=B242)*('تشخيص الحالات'!$G$2:$G$1001=6))&gt;0,"، "&amp;IFERROR(INDEX('تشخيص الحالات'!$D$2:$D$1001,SUMPRODUCT(('تشخيص الحالات'!$B$2:$B$1001=B242)*('تشخيص الحالات'!$G$2:$G$1001=6)*ROW('تشخيص الحالات'!$B$2:$B$1001))-1),""),"")&amp;IF(SUMPRODUCT(('تشخيص الحالات'!$B$2:$B$1001=B242)*('تشخيص الحالات'!$G$2:$G$1001=7))&gt;0,"، "&amp;IFERROR(INDEX('تشخيص الحالات'!$D$2:$D$1001,SUMPRODUCT(('تشخيص الحالات'!$B$2:$B$1001=B242)*('تشخيص الحالات'!$G$2:$G$1001=7)*ROW('تشخيص الحالات'!$B$2:$B$1001))-1),""),"")&amp;IF(SUMPRODUCT(('تشخيص الحالات'!$B$2:$B$1001=B242)*('تشخيص الحالات'!$G$2:$G$1001=8))&gt;0,"، "&amp;IFERROR(INDEX('تشخيص الحالات'!$D$2:$D$1001,SUMPRODUCT(('تشخيص الحالات'!$B$2:$B$1001=B242)*('تشخيص الحالات'!$G$2:$G$1001=8)*ROW('تشخيص الحالات'!$B$2:$B$1001))-1),""),"")</f>
        <v/>
      </c>
      <c r="J242" s="1"/>
      <c r="K242" s="1"/>
      <c r="L242" s="1"/>
      <c r="M242" s="1"/>
    </row>
    <row r="243" spans="1:13" x14ac:dyDescent="0.2">
      <c r="A243" s="1"/>
      <c r="B243" s="1"/>
      <c r="C243" s="1"/>
      <c r="D243" s="1"/>
      <c r="E243" s="1"/>
      <c r="F243" s="1"/>
      <c r="G243" s="1"/>
      <c r="H243" s="1"/>
      <c r="I243" t="str">
        <f>IFERROR(INDEX('تشخيص الحالات'!$D$2:$D$1001,SUMPRODUCT(('تشخيص الحالات'!$B$2:$B$1001=B243)*('تشخيص الحالات'!$G$2:$G$1001=1)*ROW('تشخيص الحالات'!$B$2:$B$1001))-1),"")&amp;IF(SUMPRODUCT(('تشخيص الحالات'!$B$2:$B$1001=B243)*('تشخيص الحالات'!$G$2:$G$1001=2))&gt;0,"، "&amp;IFERROR(INDEX('تشخيص الحالات'!$D$2:$D$1001,SUMPRODUCT(('تشخيص الحالات'!$B$2:$B$1001=B243)*('تشخيص الحالات'!$G$2:$G$1001=2)*ROW('تشخيص الحالات'!$B$2:$B$1001))-1),""),"")&amp;IF(SUMPRODUCT(('تشخيص الحالات'!$B$2:$B$1001=B243)*('تشخيص الحالات'!$G$2:$G$1001=3))&gt;0,"، "&amp;IFERROR(INDEX('تشخيص الحالات'!$D$2:$D$1001,SUMPRODUCT(('تشخيص الحالات'!$B$2:$B$1001=B243)*('تشخيص الحالات'!$G$2:$G$1001=3)*ROW('تشخيص الحالات'!$B$2:$B$1001))-1),""),"")&amp;IF(SUMPRODUCT(('تشخيص الحالات'!$B$2:$B$1001=B243)*('تشخيص الحالات'!$G$2:$G$1001=4))&gt;0,"، "&amp;IFERROR(INDEX('تشخيص الحالات'!$D$2:$D$1001,SUMPRODUCT(('تشخيص الحالات'!$B$2:$B$1001=B243)*('تشخيص الحالات'!$G$2:$G$1001=4)*ROW('تشخيص الحالات'!$B$2:$B$1001))-1),""),"")&amp;IF(SUMPRODUCT(('تشخيص الحالات'!$B$2:$B$1001=B243)*('تشخيص الحالات'!$G$2:$G$1001=5))&gt;0,"، "&amp;IFERROR(INDEX('تشخيص الحالات'!$D$2:$D$1001,SUMPRODUCT(('تشخيص الحالات'!$B$2:$B$1001=B243)*('تشخيص الحالات'!$G$2:$G$1001=5)*ROW('تشخيص الحالات'!$B$2:$B$1001))-1),""),"")&amp;IF(SUMPRODUCT(('تشخيص الحالات'!$B$2:$B$1001=B243)*('تشخيص الحالات'!$G$2:$G$1001=6))&gt;0,"، "&amp;IFERROR(INDEX('تشخيص الحالات'!$D$2:$D$1001,SUMPRODUCT(('تشخيص الحالات'!$B$2:$B$1001=B243)*('تشخيص الحالات'!$G$2:$G$1001=6)*ROW('تشخيص الحالات'!$B$2:$B$1001))-1),""),"")&amp;IF(SUMPRODUCT(('تشخيص الحالات'!$B$2:$B$1001=B243)*('تشخيص الحالات'!$G$2:$G$1001=7))&gt;0,"، "&amp;IFERROR(INDEX('تشخيص الحالات'!$D$2:$D$1001,SUMPRODUCT(('تشخيص الحالات'!$B$2:$B$1001=B243)*('تشخيص الحالات'!$G$2:$G$1001=7)*ROW('تشخيص الحالات'!$B$2:$B$1001))-1),""),"")&amp;IF(SUMPRODUCT(('تشخيص الحالات'!$B$2:$B$1001=B243)*('تشخيص الحالات'!$G$2:$G$1001=8))&gt;0,"، "&amp;IFERROR(INDEX('تشخيص الحالات'!$D$2:$D$1001,SUMPRODUCT(('تشخيص الحالات'!$B$2:$B$1001=B243)*('تشخيص الحالات'!$G$2:$G$1001=8)*ROW('تشخيص الحالات'!$B$2:$B$1001))-1),""),"")</f>
        <v/>
      </c>
      <c r="J243" s="1"/>
      <c r="K243" s="1"/>
      <c r="L243" s="1"/>
      <c r="M243" s="1"/>
    </row>
    <row r="244" spans="1:13" x14ac:dyDescent="0.2">
      <c r="A244" s="1"/>
      <c r="B244" s="1"/>
      <c r="C244" s="1"/>
      <c r="D244" s="1"/>
      <c r="E244" s="1"/>
      <c r="F244" s="1"/>
      <c r="G244" s="1"/>
      <c r="H244" s="1"/>
      <c r="I244" t="str">
        <f>IFERROR(INDEX('تشخيص الحالات'!$D$2:$D$1001,SUMPRODUCT(('تشخيص الحالات'!$B$2:$B$1001=B244)*('تشخيص الحالات'!$G$2:$G$1001=1)*ROW('تشخيص الحالات'!$B$2:$B$1001))-1),"")&amp;IF(SUMPRODUCT(('تشخيص الحالات'!$B$2:$B$1001=B244)*('تشخيص الحالات'!$G$2:$G$1001=2))&gt;0,"، "&amp;IFERROR(INDEX('تشخيص الحالات'!$D$2:$D$1001,SUMPRODUCT(('تشخيص الحالات'!$B$2:$B$1001=B244)*('تشخيص الحالات'!$G$2:$G$1001=2)*ROW('تشخيص الحالات'!$B$2:$B$1001))-1),""),"")&amp;IF(SUMPRODUCT(('تشخيص الحالات'!$B$2:$B$1001=B244)*('تشخيص الحالات'!$G$2:$G$1001=3))&gt;0,"، "&amp;IFERROR(INDEX('تشخيص الحالات'!$D$2:$D$1001,SUMPRODUCT(('تشخيص الحالات'!$B$2:$B$1001=B244)*('تشخيص الحالات'!$G$2:$G$1001=3)*ROW('تشخيص الحالات'!$B$2:$B$1001))-1),""),"")&amp;IF(SUMPRODUCT(('تشخيص الحالات'!$B$2:$B$1001=B244)*('تشخيص الحالات'!$G$2:$G$1001=4))&gt;0,"، "&amp;IFERROR(INDEX('تشخيص الحالات'!$D$2:$D$1001,SUMPRODUCT(('تشخيص الحالات'!$B$2:$B$1001=B244)*('تشخيص الحالات'!$G$2:$G$1001=4)*ROW('تشخيص الحالات'!$B$2:$B$1001))-1),""),"")&amp;IF(SUMPRODUCT(('تشخيص الحالات'!$B$2:$B$1001=B244)*('تشخيص الحالات'!$G$2:$G$1001=5))&gt;0,"، "&amp;IFERROR(INDEX('تشخيص الحالات'!$D$2:$D$1001,SUMPRODUCT(('تشخيص الحالات'!$B$2:$B$1001=B244)*('تشخيص الحالات'!$G$2:$G$1001=5)*ROW('تشخيص الحالات'!$B$2:$B$1001))-1),""),"")&amp;IF(SUMPRODUCT(('تشخيص الحالات'!$B$2:$B$1001=B244)*('تشخيص الحالات'!$G$2:$G$1001=6))&gt;0,"، "&amp;IFERROR(INDEX('تشخيص الحالات'!$D$2:$D$1001,SUMPRODUCT(('تشخيص الحالات'!$B$2:$B$1001=B244)*('تشخيص الحالات'!$G$2:$G$1001=6)*ROW('تشخيص الحالات'!$B$2:$B$1001))-1),""),"")&amp;IF(SUMPRODUCT(('تشخيص الحالات'!$B$2:$B$1001=B244)*('تشخيص الحالات'!$G$2:$G$1001=7))&gt;0,"، "&amp;IFERROR(INDEX('تشخيص الحالات'!$D$2:$D$1001,SUMPRODUCT(('تشخيص الحالات'!$B$2:$B$1001=B244)*('تشخيص الحالات'!$G$2:$G$1001=7)*ROW('تشخيص الحالات'!$B$2:$B$1001))-1),""),"")&amp;IF(SUMPRODUCT(('تشخيص الحالات'!$B$2:$B$1001=B244)*('تشخيص الحالات'!$G$2:$G$1001=8))&gt;0,"، "&amp;IFERROR(INDEX('تشخيص الحالات'!$D$2:$D$1001,SUMPRODUCT(('تشخيص الحالات'!$B$2:$B$1001=B244)*('تشخيص الحالات'!$G$2:$G$1001=8)*ROW('تشخيص الحالات'!$B$2:$B$1001))-1),""),"")</f>
        <v/>
      </c>
      <c r="J244" s="1"/>
      <c r="K244" s="1"/>
      <c r="L244" s="1"/>
      <c r="M244" s="1"/>
    </row>
    <row r="245" spans="1:13" x14ac:dyDescent="0.2">
      <c r="A245" s="1"/>
      <c r="B245" s="1"/>
      <c r="C245" s="1"/>
      <c r="D245" s="1"/>
      <c r="E245" s="1"/>
      <c r="F245" s="1"/>
      <c r="G245" s="1"/>
      <c r="H245" s="1"/>
      <c r="I245" t="str">
        <f>IFERROR(INDEX('تشخيص الحالات'!$D$2:$D$1001,SUMPRODUCT(('تشخيص الحالات'!$B$2:$B$1001=B245)*('تشخيص الحالات'!$G$2:$G$1001=1)*ROW('تشخيص الحالات'!$B$2:$B$1001))-1),"")&amp;IF(SUMPRODUCT(('تشخيص الحالات'!$B$2:$B$1001=B245)*('تشخيص الحالات'!$G$2:$G$1001=2))&gt;0,"، "&amp;IFERROR(INDEX('تشخيص الحالات'!$D$2:$D$1001,SUMPRODUCT(('تشخيص الحالات'!$B$2:$B$1001=B245)*('تشخيص الحالات'!$G$2:$G$1001=2)*ROW('تشخيص الحالات'!$B$2:$B$1001))-1),""),"")&amp;IF(SUMPRODUCT(('تشخيص الحالات'!$B$2:$B$1001=B245)*('تشخيص الحالات'!$G$2:$G$1001=3))&gt;0,"، "&amp;IFERROR(INDEX('تشخيص الحالات'!$D$2:$D$1001,SUMPRODUCT(('تشخيص الحالات'!$B$2:$B$1001=B245)*('تشخيص الحالات'!$G$2:$G$1001=3)*ROW('تشخيص الحالات'!$B$2:$B$1001))-1),""),"")&amp;IF(SUMPRODUCT(('تشخيص الحالات'!$B$2:$B$1001=B245)*('تشخيص الحالات'!$G$2:$G$1001=4))&gt;0,"، "&amp;IFERROR(INDEX('تشخيص الحالات'!$D$2:$D$1001,SUMPRODUCT(('تشخيص الحالات'!$B$2:$B$1001=B245)*('تشخيص الحالات'!$G$2:$G$1001=4)*ROW('تشخيص الحالات'!$B$2:$B$1001))-1),""),"")&amp;IF(SUMPRODUCT(('تشخيص الحالات'!$B$2:$B$1001=B245)*('تشخيص الحالات'!$G$2:$G$1001=5))&gt;0,"، "&amp;IFERROR(INDEX('تشخيص الحالات'!$D$2:$D$1001,SUMPRODUCT(('تشخيص الحالات'!$B$2:$B$1001=B245)*('تشخيص الحالات'!$G$2:$G$1001=5)*ROW('تشخيص الحالات'!$B$2:$B$1001))-1),""),"")&amp;IF(SUMPRODUCT(('تشخيص الحالات'!$B$2:$B$1001=B245)*('تشخيص الحالات'!$G$2:$G$1001=6))&gt;0,"، "&amp;IFERROR(INDEX('تشخيص الحالات'!$D$2:$D$1001,SUMPRODUCT(('تشخيص الحالات'!$B$2:$B$1001=B245)*('تشخيص الحالات'!$G$2:$G$1001=6)*ROW('تشخيص الحالات'!$B$2:$B$1001))-1),""),"")&amp;IF(SUMPRODUCT(('تشخيص الحالات'!$B$2:$B$1001=B245)*('تشخيص الحالات'!$G$2:$G$1001=7))&gt;0,"، "&amp;IFERROR(INDEX('تشخيص الحالات'!$D$2:$D$1001,SUMPRODUCT(('تشخيص الحالات'!$B$2:$B$1001=B245)*('تشخيص الحالات'!$G$2:$G$1001=7)*ROW('تشخيص الحالات'!$B$2:$B$1001))-1),""),"")&amp;IF(SUMPRODUCT(('تشخيص الحالات'!$B$2:$B$1001=B245)*('تشخيص الحالات'!$G$2:$G$1001=8))&gt;0,"، "&amp;IFERROR(INDEX('تشخيص الحالات'!$D$2:$D$1001,SUMPRODUCT(('تشخيص الحالات'!$B$2:$B$1001=B245)*('تشخيص الحالات'!$G$2:$G$1001=8)*ROW('تشخيص الحالات'!$B$2:$B$1001))-1),""),"")</f>
        <v/>
      </c>
      <c r="J245" s="1"/>
      <c r="K245" s="1"/>
      <c r="L245" s="1"/>
      <c r="M245" s="1"/>
    </row>
    <row r="246" spans="1:13" x14ac:dyDescent="0.2">
      <c r="A246" s="1"/>
      <c r="B246" s="1"/>
      <c r="C246" s="1"/>
      <c r="D246" s="1"/>
      <c r="E246" s="1"/>
      <c r="F246" s="1"/>
      <c r="G246" s="1"/>
      <c r="H246" s="1"/>
      <c r="I246" t="str">
        <f>IFERROR(INDEX('تشخيص الحالات'!$D$2:$D$1001,SUMPRODUCT(('تشخيص الحالات'!$B$2:$B$1001=B246)*('تشخيص الحالات'!$G$2:$G$1001=1)*ROW('تشخيص الحالات'!$B$2:$B$1001))-1),"")&amp;IF(SUMPRODUCT(('تشخيص الحالات'!$B$2:$B$1001=B246)*('تشخيص الحالات'!$G$2:$G$1001=2))&gt;0,"، "&amp;IFERROR(INDEX('تشخيص الحالات'!$D$2:$D$1001,SUMPRODUCT(('تشخيص الحالات'!$B$2:$B$1001=B246)*('تشخيص الحالات'!$G$2:$G$1001=2)*ROW('تشخيص الحالات'!$B$2:$B$1001))-1),""),"")&amp;IF(SUMPRODUCT(('تشخيص الحالات'!$B$2:$B$1001=B246)*('تشخيص الحالات'!$G$2:$G$1001=3))&gt;0,"، "&amp;IFERROR(INDEX('تشخيص الحالات'!$D$2:$D$1001,SUMPRODUCT(('تشخيص الحالات'!$B$2:$B$1001=B246)*('تشخيص الحالات'!$G$2:$G$1001=3)*ROW('تشخيص الحالات'!$B$2:$B$1001))-1),""),"")&amp;IF(SUMPRODUCT(('تشخيص الحالات'!$B$2:$B$1001=B246)*('تشخيص الحالات'!$G$2:$G$1001=4))&gt;0,"، "&amp;IFERROR(INDEX('تشخيص الحالات'!$D$2:$D$1001,SUMPRODUCT(('تشخيص الحالات'!$B$2:$B$1001=B246)*('تشخيص الحالات'!$G$2:$G$1001=4)*ROW('تشخيص الحالات'!$B$2:$B$1001))-1),""),"")&amp;IF(SUMPRODUCT(('تشخيص الحالات'!$B$2:$B$1001=B246)*('تشخيص الحالات'!$G$2:$G$1001=5))&gt;0,"، "&amp;IFERROR(INDEX('تشخيص الحالات'!$D$2:$D$1001,SUMPRODUCT(('تشخيص الحالات'!$B$2:$B$1001=B246)*('تشخيص الحالات'!$G$2:$G$1001=5)*ROW('تشخيص الحالات'!$B$2:$B$1001))-1),""),"")&amp;IF(SUMPRODUCT(('تشخيص الحالات'!$B$2:$B$1001=B246)*('تشخيص الحالات'!$G$2:$G$1001=6))&gt;0,"، "&amp;IFERROR(INDEX('تشخيص الحالات'!$D$2:$D$1001,SUMPRODUCT(('تشخيص الحالات'!$B$2:$B$1001=B246)*('تشخيص الحالات'!$G$2:$G$1001=6)*ROW('تشخيص الحالات'!$B$2:$B$1001))-1),""),"")&amp;IF(SUMPRODUCT(('تشخيص الحالات'!$B$2:$B$1001=B246)*('تشخيص الحالات'!$G$2:$G$1001=7))&gt;0,"، "&amp;IFERROR(INDEX('تشخيص الحالات'!$D$2:$D$1001,SUMPRODUCT(('تشخيص الحالات'!$B$2:$B$1001=B246)*('تشخيص الحالات'!$G$2:$G$1001=7)*ROW('تشخيص الحالات'!$B$2:$B$1001))-1),""),"")&amp;IF(SUMPRODUCT(('تشخيص الحالات'!$B$2:$B$1001=B246)*('تشخيص الحالات'!$G$2:$G$1001=8))&gt;0,"، "&amp;IFERROR(INDEX('تشخيص الحالات'!$D$2:$D$1001,SUMPRODUCT(('تشخيص الحالات'!$B$2:$B$1001=B246)*('تشخيص الحالات'!$G$2:$G$1001=8)*ROW('تشخيص الحالات'!$B$2:$B$1001))-1),""),"")</f>
        <v/>
      </c>
      <c r="J246" s="1"/>
      <c r="K246" s="1"/>
      <c r="L246" s="1"/>
      <c r="M246" s="1"/>
    </row>
    <row r="247" spans="1:13" x14ac:dyDescent="0.2">
      <c r="A247" s="1"/>
      <c r="B247" s="1"/>
      <c r="C247" s="1"/>
      <c r="D247" s="1"/>
      <c r="E247" s="1"/>
      <c r="F247" s="1"/>
      <c r="G247" s="1"/>
      <c r="H247" s="1"/>
      <c r="I247" t="str">
        <f>IFERROR(INDEX('تشخيص الحالات'!$D$2:$D$1001,SUMPRODUCT(('تشخيص الحالات'!$B$2:$B$1001=B247)*('تشخيص الحالات'!$G$2:$G$1001=1)*ROW('تشخيص الحالات'!$B$2:$B$1001))-1),"")&amp;IF(SUMPRODUCT(('تشخيص الحالات'!$B$2:$B$1001=B247)*('تشخيص الحالات'!$G$2:$G$1001=2))&gt;0,"، "&amp;IFERROR(INDEX('تشخيص الحالات'!$D$2:$D$1001,SUMPRODUCT(('تشخيص الحالات'!$B$2:$B$1001=B247)*('تشخيص الحالات'!$G$2:$G$1001=2)*ROW('تشخيص الحالات'!$B$2:$B$1001))-1),""),"")&amp;IF(SUMPRODUCT(('تشخيص الحالات'!$B$2:$B$1001=B247)*('تشخيص الحالات'!$G$2:$G$1001=3))&gt;0,"، "&amp;IFERROR(INDEX('تشخيص الحالات'!$D$2:$D$1001,SUMPRODUCT(('تشخيص الحالات'!$B$2:$B$1001=B247)*('تشخيص الحالات'!$G$2:$G$1001=3)*ROW('تشخيص الحالات'!$B$2:$B$1001))-1),""),"")&amp;IF(SUMPRODUCT(('تشخيص الحالات'!$B$2:$B$1001=B247)*('تشخيص الحالات'!$G$2:$G$1001=4))&gt;0,"، "&amp;IFERROR(INDEX('تشخيص الحالات'!$D$2:$D$1001,SUMPRODUCT(('تشخيص الحالات'!$B$2:$B$1001=B247)*('تشخيص الحالات'!$G$2:$G$1001=4)*ROW('تشخيص الحالات'!$B$2:$B$1001))-1),""),"")&amp;IF(SUMPRODUCT(('تشخيص الحالات'!$B$2:$B$1001=B247)*('تشخيص الحالات'!$G$2:$G$1001=5))&gt;0,"، "&amp;IFERROR(INDEX('تشخيص الحالات'!$D$2:$D$1001,SUMPRODUCT(('تشخيص الحالات'!$B$2:$B$1001=B247)*('تشخيص الحالات'!$G$2:$G$1001=5)*ROW('تشخيص الحالات'!$B$2:$B$1001))-1),""),"")&amp;IF(SUMPRODUCT(('تشخيص الحالات'!$B$2:$B$1001=B247)*('تشخيص الحالات'!$G$2:$G$1001=6))&gt;0,"، "&amp;IFERROR(INDEX('تشخيص الحالات'!$D$2:$D$1001,SUMPRODUCT(('تشخيص الحالات'!$B$2:$B$1001=B247)*('تشخيص الحالات'!$G$2:$G$1001=6)*ROW('تشخيص الحالات'!$B$2:$B$1001))-1),""),"")&amp;IF(SUMPRODUCT(('تشخيص الحالات'!$B$2:$B$1001=B247)*('تشخيص الحالات'!$G$2:$G$1001=7))&gt;0,"، "&amp;IFERROR(INDEX('تشخيص الحالات'!$D$2:$D$1001,SUMPRODUCT(('تشخيص الحالات'!$B$2:$B$1001=B247)*('تشخيص الحالات'!$G$2:$G$1001=7)*ROW('تشخيص الحالات'!$B$2:$B$1001))-1),""),"")&amp;IF(SUMPRODUCT(('تشخيص الحالات'!$B$2:$B$1001=B247)*('تشخيص الحالات'!$G$2:$G$1001=8))&gt;0,"، "&amp;IFERROR(INDEX('تشخيص الحالات'!$D$2:$D$1001,SUMPRODUCT(('تشخيص الحالات'!$B$2:$B$1001=B247)*('تشخيص الحالات'!$G$2:$G$1001=8)*ROW('تشخيص الحالات'!$B$2:$B$1001))-1),""),"")</f>
        <v/>
      </c>
      <c r="J247" s="1"/>
      <c r="K247" s="1"/>
      <c r="L247" s="1"/>
      <c r="M247" s="1"/>
    </row>
    <row r="248" spans="1:13" x14ac:dyDescent="0.2">
      <c r="A248" s="1"/>
      <c r="B248" s="1"/>
      <c r="C248" s="1"/>
      <c r="D248" s="1"/>
      <c r="E248" s="1"/>
      <c r="F248" s="1"/>
      <c r="G248" s="1"/>
      <c r="H248" s="1"/>
      <c r="I248" t="str">
        <f>IFERROR(INDEX('تشخيص الحالات'!$D$2:$D$1001,SUMPRODUCT(('تشخيص الحالات'!$B$2:$B$1001=B248)*('تشخيص الحالات'!$G$2:$G$1001=1)*ROW('تشخيص الحالات'!$B$2:$B$1001))-1),"")&amp;IF(SUMPRODUCT(('تشخيص الحالات'!$B$2:$B$1001=B248)*('تشخيص الحالات'!$G$2:$G$1001=2))&gt;0,"، "&amp;IFERROR(INDEX('تشخيص الحالات'!$D$2:$D$1001,SUMPRODUCT(('تشخيص الحالات'!$B$2:$B$1001=B248)*('تشخيص الحالات'!$G$2:$G$1001=2)*ROW('تشخيص الحالات'!$B$2:$B$1001))-1),""),"")&amp;IF(SUMPRODUCT(('تشخيص الحالات'!$B$2:$B$1001=B248)*('تشخيص الحالات'!$G$2:$G$1001=3))&gt;0,"، "&amp;IFERROR(INDEX('تشخيص الحالات'!$D$2:$D$1001,SUMPRODUCT(('تشخيص الحالات'!$B$2:$B$1001=B248)*('تشخيص الحالات'!$G$2:$G$1001=3)*ROW('تشخيص الحالات'!$B$2:$B$1001))-1),""),"")&amp;IF(SUMPRODUCT(('تشخيص الحالات'!$B$2:$B$1001=B248)*('تشخيص الحالات'!$G$2:$G$1001=4))&gt;0,"، "&amp;IFERROR(INDEX('تشخيص الحالات'!$D$2:$D$1001,SUMPRODUCT(('تشخيص الحالات'!$B$2:$B$1001=B248)*('تشخيص الحالات'!$G$2:$G$1001=4)*ROW('تشخيص الحالات'!$B$2:$B$1001))-1),""),"")&amp;IF(SUMPRODUCT(('تشخيص الحالات'!$B$2:$B$1001=B248)*('تشخيص الحالات'!$G$2:$G$1001=5))&gt;0,"، "&amp;IFERROR(INDEX('تشخيص الحالات'!$D$2:$D$1001,SUMPRODUCT(('تشخيص الحالات'!$B$2:$B$1001=B248)*('تشخيص الحالات'!$G$2:$G$1001=5)*ROW('تشخيص الحالات'!$B$2:$B$1001))-1),""),"")&amp;IF(SUMPRODUCT(('تشخيص الحالات'!$B$2:$B$1001=B248)*('تشخيص الحالات'!$G$2:$G$1001=6))&gt;0,"، "&amp;IFERROR(INDEX('تشخيص الحالات'!$D$2:$D$1001,SUMPRODUCT(('تشخيص الحالات'!$B$2:$B$1001=B248)*('تشخيص الحالات'!$G$2:$G$1001=6)*ROW('تشخيص الحالات'!$B$2:$B$1001))-1),""),"")&amp;IF(SUMPRODUCT(('تشخيص الحالات'!$B$2:$B$1001=B248)*('تشخيص الحالات'!$G$2:$G$1001=7))&gt;0,"، "&amp;IFERROR(INDEX('تشخيص الحالات'!$D$2:$D$1001,SUMPRODUCT(('تشخيص الحالات'!$B$2:$B$1001=B248)*('تشخيص الحالات'!$G$2:$G$1001=7)*ROW('تشخيص الحالات'!$B$2:$B$1001))-1),""),"")&amp;IF(SUMPRODUCT(('تشخيص الحالات'!$B$2:$B$1001=B248)*('تشخيص الحالات'!$G$2:$G$1001=8))&gt;0,"، "&amp;IFERROR(INDEX('تشخيص الحالات'!$D$2:$D$1001,SUMPRODUCT(('تشخيص الحالات'!$B$2:$B$1001=B248)*('تشخيص الحالات'!$G$2:$G$1001=8)*ROW('تشخيص الحالات'!$B$2:$B$1001))-1),""),"")</f>
        <v/>
      </c>
      <c r="J248" s="1"/>
      <c r="K248" s="1"/>
      <c r="L248" s="1"/>
      <c r="M248" s="1"/>
    </row>
    <row r="249" spans="1:13" x14ac:dyDescent="0.2">
      <c r="A249" s="1"/>
      <c r="B249" s="1"/>
      <c r="C249" s="1"/>
      <c r="D249" s="1"/>
      <c r="E249" s="1"/>
      <c r="F249" s="1"/>
      <c r="G249" s="1"/>
      <c r="H249" s="1"/>
      <c r="I249" t="str">
        <f>IFERROR(INDEX('تشخيص الحالات'!$D$2:$D$1001,SUMPRODUCT(('تشخيص الحالات'!$B$2:$B$1001=B249)*('تشخيص الحالات'!$G$2:$G$1001=1)*ROW('تشخيص الحالات'!$B$2:$B$1001))-1),"")&amp;IF(SUMPRODUCT(('تشخيص الحالات'!$B$2:$B$1001=B249)*('تشخيص الحالات'!$G$2:$G$1001=2))&gt;0,"، "&amp;IFERROR(INDEX('تشخيص الحالات'!$D$2:$D$1001,SUMPRODUCT(('تشخيص الحالات'!$B$2:$B$1001=B249)*('تشخيص الحالات'!$G$2:$G$1001=2)*ROW('تشخيص الحالات'!$B$2:$B$1001))-1),""),"")&amp;IF(SUMPRODUCT(('تشخيص الحالات'!$B$2:$B$1001=B249)*('تشخيص الحالات'!$G$2:$G$1001=3))&gt;0,"، "&amp;IFERROR(INDEX('تشخيص الحالات'!$D$2:$D$1001,SUMPRODUCT(('تشخيص الحالات'!$B$2:$B$1001=B249)*('تشخيص الحالات'!$G$2:$G$1001=3)*ROW('تشخيص الحالات'!$B$2:$B$1001))-1),""),"")&amp;IF(SUMPRODUCT(('تشخيص الحالات'!$B$2:$B$1001=B249)*('تشخيص الحالات'!$G$2:$G$1001=4))&gt;0,"، "&amp;IFERROR(INDEX('تشخيص الحالات'!$D$2:$D$1001,SUMPRODUCT(('تشخيص الحالات'!$B$2:$B$1001=B249)*('تشخيص الحالات'!$G$2:$G$1001=4)*ROW('تشخيص الحالات'!$B$2:$B$1001))-1),""),"")&amp;IF(SUMPRODUCT(('تشخيص الحالات'!$B$2:$B$1001=B249)*('تشخيص الحالات'!$G$2:$G$1001=5))&gt;0,"، "&amp;IFERROR(INDEX('تشخيص الحالات'!$D$2:$D$1001,SUMPRODUCT(('تشخيص الحالات'!$B$2:$B$1001=B249)*('تشخيص الحالات'!$G$2:$G$1001=5)*ROW('تشخيص الحالات'!$B$2:$B$1001))-1),""),"")&amp;IF(SUMPRODUCT(('تشخيص الحالات'!$B$2:$B$1001=B249)*('تشخيص الحالات'!$G$2:$G$1001=6))&gt;0,"، "&amp;IFERROR(INDEX('تشخيص الحالات'!$D$2:$D$1001,SUMPRODUCT(('تشخيص الحالات'!$B$2:$B$1001=B249)*('تشخيص الحالات'!$G$2:$G$1001=6)*ROW('تشخيص الحالات'!$B$2:$B$1001))-1),""),"")&amp;IF(SUMPRODUCT(('تشخيص الحالات'!$B$2:$B$1001=B249)*('تشخيص الحالات'!$G$2:$G$1001=7))&gt;0,"، "&amp;IFERROR(INDEX('تشخيص الحالات'!$D$2:$D$1001,SUMPRODUCT(('تشخيص الحالات'!$B$2:$B$1001=B249)*('تشخيص الحالات'!$G$2:$G$1001=7)*ROW('تشخيص الحالات'!$B$2:$B$1001))-1),""),"")&amp;IF(SUMPRODUCT(('تشخيص الحالات'!$B$2:$B$1001=B249)*('تشخيص الحالات'!$G$2:$G$1001=8))&gt;0,"، "&amp;IFERROR(INDEX('تشخيص الحالات'!$D$2:$D$1001,SUMPRODUCT(('تشخيص الحالات'!$B$2:$B$1001=B249)*('تشخيص الحالات'!$G$2:$G$1001=8)*ROW('تشخيص الحالات'!$B$2:$B$1001))-1),""),"")</f>
        <v/>
      </c>
      <c r="J249" s="1"/>
      <c r="K249" s="1"/>
      <c r="L249" s="1"/>
      <c r="M249" s="1"/>
    </row>
    <row r="250" spans="1:13" x14ac:dyDescent="0.2">
      <c r="A250" s="1"/>
      <c r="B250" s="1"/>
      <c r="C250" s="1"/>
      <c r="D250" s="1"/>
      <c r="E250" s="1"/>
      <c r="F250" s="1"/>
      <c r="G250" s="1"/>
      <c r="H250" s="1"/>
      <c r="I250" t="str">
        <f>IFERROR(INDEX('تشخيص الحالات'!$D$2:$D$1001,SUMPRODUCT(('تشخيص الحالات'!$B$2:$B$1001=B250)*('تشخيص الحالات'!$G$2:$G$1001=1)*ROW('تشخيص الحالات'!$B$2:$B$1001))-1),"")&amp;IF(SUMPRODUCT(('تشخيص الحالات'!$B$2:$B$1001=B250)*('تشخيص الحالات'!$G$2:$G$1001=2))&gt;0,"، "&amp;IFERROR(INDEX('تشخيص الحالات'!$D$2:$D$1001,SUMPRODUCT(('تشخيص الحالات'!$B$2:$B$1001=B250)*('تشخيص الحالات'!$G$2:$G$1001=2)*ROW('تشخيص الحالات'!$B$2:$B$1001))-1),""),"")&amp;IF(SUMPRODUCT(('تشخيص الحالات'!$B$2:$B$1001=B250)*('تشخيص الحالات'!$G$2:$G$1001=3))&gt;0,"، "&amp;IFERROR(INDEX('تشخيص الحالات'!$D$2:$D$1001,SUMPRODUCT(('تشخيص الحالات'!$B$2:$B$1001=B250)*('تشخيص الحالات'!$G$2:$G$1001=3)*ROW('تشخيص الحالات'!$B$2:$B$1001))-1),""),"")&amp;IF(SUMPRODUCT(('تشخيص الحالات'!$B$2:$B$1001=B250)*('تشخيص الحالات'!$G$2:$G$1001=4))&gt;0,"، "&amp;IFERROR(INDEX('تشخيص الحالات'!$D$2:$D$1001,SUMPRODUCT(('تشخيص الحالات'!$B$2:$B$1001=B250)*('تشخيص الحالات'!$G$2:$G$1001=4)*ROW('تشخيص الحالات'!$B$2:$B$1001))-1),""),"")&amp;IF(SUMPRODUCT(('تشخيص الحالات'!$B$2:$B$1001=B250)*('تشخيص الحالات'!$G$2:$G$1001=5))&gt;0,"، "&amp;IFERROR(INDEX('تشخيص الحالات'!$D$2:$D$1001,SUMPRODUCT(('تشخيص الحالات'!$B$2:$B$1001=B250)*('تشخيص الحالات'!$G$2:$G$1001=5)*ROW('تشخيص الحالات'!$B$2:$B$1001))-1),""),"")&amp;IF(SUMPRODUCT(('تشخيص الحالات'!$B$2:$B$1001=B250)*('تشخيص الحالات'!$G$2:$G$1001=6))&gt;0,"، "&amp;IFERROR(INDEX('تشخيص الحالات'!$D$2:$D$1001,SUMPRODUCT(('تشخيص الحالات'!$B$2:$B$1001=B250)*('تشخيص الحالات'!$G$2:$G$1001=6)*ROW('تشخيص الحالات'!$B$2:$B$1001))-1),""),"")&amp;IF(SUMPRODUCT(('تشخيص الحالات'!$B$2:$B$1001=B250)*('تشخيص الحالات'!$G$2:$G$1001=7))&gt;0,"، "&amp;IFERROR(INDEX('تشخيص الحالات'!$D$2:$D$1001,SUMPRODUCT(('تشخيص الحالات'!$B$2:$B$1001=B250)*('تشخيص الحالات'!$G$2:$G$1001=7)*ROW('تشخيص الحالات'!$B$2:$B$1001))-1),""),"")&amp;IF(SUMPRODUCT(('تشخيص الحالات'!$B$2:$B$1001=B250)*('تشخيص الحالات'!$G$2:$G$1001=8))&gt;0,"، "&amp;IFERROR(INDEX('تشخيص الحالات'!$D$2:$D$1001,SUMPRODUCT(('تشخيص الحالات'!$B$2:$B$1001=B250)*('تشخيص الحالات'!$G$2:$G$1001=8)*ROW('تشخيص الحالات'!$B$2:$B$1001))-1),""),"")</f>
        <v/>
      </c>
      <c r="J250" s="1"/>
      <c r="K250" s="1"/>
      <c r="L250" s="1"/>
      <c r="M250" s="1"/>
    </row>
    <row r="251" spans="1:13" x14ac:dyDescent="0.2">
      <c r="A251" s="1"/>
      <c r="B251" s="1"/>
      <c r="C251" s="1"/>
      <c r="D251" s="1"/>
      <c r="E251" s="1"/>
      <c r="F251" s="1"/>
      <c r="G251" s="1"/>
      <c r="H251" s="1"/>
      <c r="I251" t="str">
        <f>IFERROR(INDEX('تشخيص الحالات'!$D$2:$D$1001,SUMPRODUCT(('تشخيص الحالات'!$B$2:$B$1001=B251)*('تشخيص الحالات'!$G$2:$G$1001=1)*ROW('تشخيص الحالات'!$B$2:$B$1001))-1),"")&amp;IF(SUMPRODUCT(('تشخيص الحالات'!$B$2:$B$1001=B251)*('تشخيص الحالات'!$G$2:$G$1001=2))&gt;0,"، "&amp;IFERROR(INDEX('تشخيص الحالات'!$D$2:$D$1001,SUMPRODUCT(('تشخيص الحالات'!$B$2:$B$1001=B251)*('تشخيص الحالات'!$G$2:$G$1001=2)*ROW('تشخيص الحالات'!$B$2:$B$1001))-1),""),"")&amp;IF(SUMPRODUCT(('تشخيص الحالات'!$B$2:$B$1001=B251)*('تشخيص الحالات'!$G$2:$G$1001=3))&gt;0,"، "&amp;IFERROR(INDEX('تشخيص الحالات'!$D$2:$D$1001,SUMPRODUCT(('تشخيص الحالات'!$B$2:$B$1001=B251)*('تشخيص الحالات'!$G$2:$G$1001=3)*ROW('تشخيص الحالات'!$B$2:$B$1001))-1),""),"")&amp;IF(SUMPRODUCT(('تشخيص الحالات'!$B$2:$B$1001=B251)*('تشخيص الحالات'!$G$2:$G$1001=4))&gt;0,"، "&amp;IFERROR(INDEX('تشخيص الحالات'!$D$2:$D$1001,SUMPRODUCT(('تشخيص الحالات'!$B$2:$B$1001=B251)*('تشخيص الحالات'!$G$2:$G$1001=4)*ROW('تشخيص الحالات'!$B$2:$B$1001))-1),""),"")&amp;IF(SUMPRODUCT(('تشخيص الحالات'!$B$2:$B$1001=B251)*('تشخيص الحالات'!$G$2:$G$1001=5))&gt;0,"، "&amp;IFERROR(INDEX('تشخيص الحالات'!$D$2:$D$1001,SUMPRODUCT(('تشخيص الحالات'!$B$2:$B$1001=B251)*('تشخيص الحالات'!$G$2:$G$1001=5)*ROW('تشخيص الحالات'!$B$2:$B$1001))-1),""),"")&amp;IF(SUMPRODUCT(('تشخيص الحالات'!$B$2:$B$1001=B251)*('تشخيص الحالات'!$G$2:$G$1001=6))&gt;0,"، "&amp;IFERROR(INDEX('تشخيص الحالات'!$D$2:$D$1001,SUMPRODUCT(('تشخيص الحالات'!$B$2:$B$1001=B251)*('تشخيص الحالات'!$G$2:$G$1001=6)*ROW('تشخيص الحالات'!$B$2:$B$1001))-1),""),"")&amp;IF(SUMPRODUCT(('تشخيص الحالات'!$B$2:$B$1001=B251)*('تشخيص الحالات'!$G$2:$G$1001=7))&gt;0,"، "&amp;IFERROR(INDEX('تشخيص الحالات'!$D$2:$D$1001,SUMPRODUCT(('تشخيص الحالات'!$B$2:$B$1001=B251)*('تشخيص الحالات'!$G$2:$G$1001=7)*ROW('تشخيص الحالات'!$B$2:$B$1001))-1),""),"")&amp;IF(SUMPRODUCT(('تشخيص الحالات'!$B$2:$B$1001=B251)*('تشخيص الحالات'!$G$2:$G$1001=8))&gt;0,"، "&amp;IFERROR(INDEX('تشخيص الحالات'!$D$2:$D$1001,SUMPRODUCT(('تشخيص الحالات'!$B$2:$B$1001=B251)*('تشخيص الحالات'!$G$2:$G$1001=8)*ROW('تشخيص الحالات'!$B$2:$B$1001))-1),""),"")</f>
        <v/>
      </c>
      <c r="J251" s="1"/>
      <c r="K251" s="1"/>
      <c r="L251" s="1"/>
      <c r="M251" s="1"/>
    </row>
    <row r="252" spans="1:13" x14ac:dyDescent="0.2">
      <c r="A252" s="1"/>
      <c r="B252" s="1"/>
      <c r="C252" s="1"/>
      <c r="D252" s="1"/>
      <c r="E252" s="1"/>
      <c r="F252" s="1"/>
      <c r="G252" s="1"/>
      <c r="H252" s="1"/>
      <c r="I252" t="str">
        <f>IFERROR(INDEX('تشخيص الحالات'!$D$2:$D$1001,SUMPRODUCT(('تشخيص الحالات'!$B$2:$B$1001=B252)*('تشخيص الحالات'!$G$2:$G$1001=1)*ROW('تشخيص الحالات'!$B$2:$B$1001))-1),"")&amp;IF(SUMPRODUCT(('تشخيص الحالات'!$B$2:$B$1001=B252)*('تشخيص الحالات'!$G$2:$G$1001=2))&gt;0,"، "&amp;IFERROR(INDEX('تشخيص الحالات'!$D$2:$D$1001,SUMPRODUCT(('تشخيص الحالات'!$B$2:$B$1001=B252)*('تشخيص الحالات'!$G$2:$G$1001=2)*ROW('تشخيص الحالات'!$B$2:$B$1001))-1),""),"")&amp;IF(SUMPRODUCT(('تشخيص الحالات'!$B$2:$B$1001=B252)*('تشخيص الحالات'!$G$2:$G$1001=3))&gt;0,"، "&amp;IFERROR(INDEX('تشخيص الحالات'!$D$2:$D$1001,SUMPRODUCT(('تشخيص الحالات'!$B$2:$B$1001=B252)*('تشخيص الحالات'!$G$2:$G$1001=3)*ROW('تشخيص الحالات'!$B$2:$B$1001))-1),""),"")&amp;IF(SUMPRODUCT(('تشخيص الحالات'!$B$2:$B$1001=B252)*('تشخيص الحالات'!$G$2:$G$1001=4))&gt;0,"، "&amp;IFERROR(INDEX('تشخيص الحالات'!$D$2:$D$1001,SUMPRODUCT(('تشخيص الحالات'!$B$2:$B$1001=B252)*('تشخيص الحالات'!$G$2:$G$1001=4)*ROW('تشخيص الحالات'!$B$2:$B$1001))-1),""),"")&amp;IF(SUMPRODUCT(('تشخيص الحالات'!$B$2:$B$1001=B252)*('تشخيص الحالات'!$G$2:$G$1001=5))&gt;0,"، "&amp;IFERROR(INDEX('تشخيص الحالات'!$D$2:$D$1001,SUMPRODUCT(('تشخيص الحالات'!$B$2:$B$1001=B252)*('تشخيص الحالات'!$G$2:$G$1001=5)*ROW('تشخيص الحالات'!$B$2:$B$1001))-1),""),"")&amp;IF(SUMPRODUCT(('تشخيص الحالات'!$B$2:$B$1001=B252)*('تشخيص الحالات'!$G$2:$G$1001=6))&gt;0,"، "&amp;IFERROR(INDEX('تشخيص الحالات'!$D$2:$D$1001,SUMPRODUCT(('تشخيص الحالات'!$B$2:$B$1001=B252)*('تشخيص الحالات'!$G$2:$G$1001=6)*ROW('تشخيص الحالات'!$B$2:$B$1001))-1),""),"")&amp;IF(SUMPRODUCT(('تشخيص الحالات'!$B$2:$B$1001=B252)*('تشخيص الحالات'!$G$2:$G$1001=7))&gt;0,"، "&amp;IFERROR(INDEX('تشخيص الحالات'!$D$2:$D$1001,SUMPRODUCT(('تشخيص الحالات'!$B$2:$B$1001=B252)*('تشخيص الحالات'!$G$2:$G$1001=7)*ROW('تشخيص الحالات'!$B$2:$B$1001))-1),""),"")&amp;IF(SUMPRODUCT(('تشخيص الحالات'!$B$2:$B$1001=B252)*('تشخيص الحالات'!$G$2:$G$1001=8))&gt;0,"، "&amp;IFERROR(INDEX('تشخيص الحالات'!$D$2:$D$1001,SUMPRODUCT(('تشخيص الحالات'!$B$2:$B$1001=B252)*('تشخيص الحالات'!$G$2:$G$1001=8)*ROW('تشخيص الحالات'!$B$2:$B$1001))-1),""),"")</f>
        <v/>
      </c>
      <c r="J252" s="1"/>
      <c r="K252" s="1"/>
      <c r="L252" s="1"/>
      <c r="M252" s="1"/>
    </row>
    <row r="253" spans="1:13" x14ac:dyDescent="0.2">
      <c r="A253" s="1"/>
      <c r="B253" s="1"/>
      <c r="C253" s="1"/>
      <c r="D253" s="1"/>
      <c r="E253" s="1"/>
      <c r="F253" s="1"/>
      <c r="G253" s="1"/>
      <c r="H253" s="1"/>
      <c r="I253" t="str">
        <f>IFERROR(INDEX('تشخيص الحالات'!$D$2:$D$1001,SUMPRODUCT(('تشخيص الحالات'!$B$2:$B$1001=B253)*('تشخيص الحالات'!$G$2:$G$1001=1)*ROW('تشخيص الحالات'!$B$2:$B$1001))-1),"")&amp;IF(SUMPRODUCT(('تشخيص الحالات'!$B$2:$B$1001=B253)*('تشخيص الحالات'!$G$2:$G$1001=2))&gt;0,"، "&amp;IFERROR(INDEX('تشخيص الحالات'!$D$2:$D$1001,SUMPRODUCT(('تشخيص الحالات'!$B$2:$B$1001=B253)*('تشخيص الحالات'!$G$2:$G$1001=2)*ROW('تشخيص الحالات'!$B$2:$B$1001))-1),""),"")&amp;IF(SUMPRODUCT(('تشخيص الحالات'!$B$2:$B$1001=B253)*('تشخيص الحالات'!$G$2:$G$1001=3))&gt;0,"، "&amp;IFERROR(INDEX('تشخيص الحالات'!$D$2:$D$1001,SUMPRODUCT(('تشخيص الحالات'!$B$2:$B$1001=B253)*('تشخيص الحالات'!$G$2:$G$1001=3)*ROW('تشخيص الحالات'!$B$2:$B$1001))-1),""),"")&amp;IF(SUMPRODUCT(('تشخيص الحالات'!$B$2:$B$1001=B253)*('تشخيص الحالات'!$G$2:$G$1001=4))&gt;0,"، "&amp;IFERROR(INDEX('تشخيص الحالات'!$D$2:$D$1001,SUMPRODUCT(('تشخيص الحالات'!$B$2:$B$1001=B253)*('تشخيص الحالات'!$G$2:$G$1001=4)*ROW('تشخيص الحالات'!$B$2:$B$1001))-1),""),"")&amp;IF(SUMPRODUCT(('تشخيص الحالات'!$B$2:$B$1001=B253)*('تشخيص الحالات'!$G$2:$G$1001=5))&gt;0,"، "&amp;IFERROR(INDEX('تشخيص الحالات'!$D$2:$D$1001,SUMPRODUCT(('تشخيص الحالات'!$B$2:$B$1001=B253)*('تشخيص الحالات'!$G$2:$G$1001=5)*ROW('تشخيص الحالات'!$B$2:$B$1001))-1),""),"")&amp;IF(SUMPRODUCT(('تشخيص الحالات'!$B$2:$B$1001=B253)*('تشخيص الحالات'!$G$2:$G$1001=6))&gt;0,"، "&amp;IFERROR(INDEX('تشخيص الحالات'!$D$2:$D$1001,SUMPRODUCT(('تشخيص الحالات'!$B$2:$B$1001=B253)*('تشخيص الحالات'!$G$2:$G$1001=6)*ROW('تشخيص الحالات'!$B$2:$B$1001))-1),""),"")&amp;IF(SUMPRODUCT(('تشخيص الحالات'!$B$2:$B$1001=B253)*('تشخيص الحالات'!$G$2:$G$1001=7))&gt;0,"، "&amp;IFERROR(INDEX('تشخيص الحالات'!$D$2:$D$1001,SUMPRODUCT(('تشخيص الحالات'!$B$2:$B$1001=B253)*('تشخيص الحالات'!$G$2:$G$1001=7)*ROW('تشخيص الحالات'!$B$2:$B$1001))-1),""),"")&amp;IF(SUMPRODUCT(('تشخيص الحالات'!$B$2:$B$1001=B253)*('تشخيص الحالات'!$G$2:$G$1001=8))&gt;0,"، "&amp;IFERROR(INDEX('تشخيص الحالات'!$D$2:$D$1001,SUMPRODUCT(('تشخيص الحالات'!$B$2:$B$1001=B253)*('تشخيص الحالات'!$G$2:$G$1001=8)*ROW('تشخيص الحالات'!$B$2:$B$1001))-1),""),"")</f>
        <v/>
      </c>
      <c r="J253" s="1"/>
      <c r="K253" s="1"/>
      <c r="L253" s="1"/>
      <c r="M253" s="1"/>
    </row>
    <row r="254" spans="1:13" x14ac:dyDescent="0.2">
      <c r="A254" s="1"/>
      <c r="B254" s="1"/>
      <c r="C254" s="1"/>
      <c r="D254" s="1"/>
      <c r="E254" s="1"/>
      <c r="F254" s="1"/>
      <c r="G254" s="1"/>
      <c r="H254" s="1"/>
      <c r="I254" t="str">
        <f>IFERROR(INDEX('تشخيص الحالات'!$D$2:$D$1001,SUMPRODUCT(('تشخيص الحالات'!$B$2:$B$1001=B254)*('تشخيص الحالات'!$G$2:$G$1001=1)*ROW('تشخيص الحالات'!$B$2:$B$1001))-1),"")&amp;IF(SUMPRODUCT(('تشخيص الحالات'!$B$2:$B$1001=B254)*('تشخيص الحالات'!$G$2:$G$1001=2))&gt;0,"، "&amp;IFERROR(INDEX('تشخيص الحالات'!$D$2:$D$1001,SUMPRODUCT(('تشخيص الحالات'!$B$2:$B$1001=B254)*('تشخيص الحالات'!$G$2:$G$1001=2)*ROW('تشخيص الحالات'!$B$2:$B$1001))-1),""),"")&amp;IF(SUMPRODUCT(('تشخيص الحالات'!$B$2:$B$1001=B254)*('تشخيص الحالات'!$G$2:$G$1001=3))&gt;0,"، "&amp;IFERROR(INDEX('تشخيص الحالات'!$D$2:$D$1001,SUMPRODUCT(('تشخيص الحالات'!$B$2:$B$1001=B254)*('تشخيص الحالات'!$G$2:$G$1001=3)*ROW('تشخيص الحالات'!$B$2:$B$1001))-1),""),"")&amp;IF(SUMPRODUCT(('تشخيص الحالات'!$B$2:$B$1001=B254)*('تشخيص الحالات'!$G$2:$G$1001=4))&gt;0,"، "&amp;IFERROR(INDEX('تشخيص الحالات'!$D$2:$D$1001,SUMPRODUCT(('تشخيص الحالات'!$B$2:$B$1001=B254)*('تشخيص الحالات'!$G$2:$G$1001=4)*ROW('تشخيص الحالات'!$B$2:$B$1001))-1),""),"")&amp;IF(SUMPRODUCT(('تشخيص الحالات'!$B$2:$B$1001=B254)*('تشخيص الحالات'!$G$2:$G$1001=5))&gt;0,"، "&amp;IFERROR(INDEX('تشخيص الحالات'!$D$2:$D$1001,SUMPRODUCT(('تشخيص الحالات'!$B$2:$B$1001=B254)*('تشخيص الحالات'!$G$2:$G$1001=5)*ROW('تشخيص الحالات'!$B$2:$B$1001))-1),""),"")&amp;IF(SUMPRODUCT(('تشخيص الحالات'!$B$2:$B$1001=B254)*('تشخيص الحالات'!$G$2:$G$1001=6))&gt;0,"، "&amp;IFERROR(INDEX('تشخيص الحالات'!$D$2:$D$1001,SUMPRODUCT(('تشخيص الحالات'!$B$2:$B$1001=B254)*('تشخيص الحالات'!$G$2:$G$1001=6)*ROW('تشخيص الحالات'!$B$2:$B$1001))-1),""),"")&amp;IF(SUMPRODUCT(('تشخيص الحالات'!$B$2:$B$1001=B254)*('تشخيص الحالات'!$G$2:$G$1001=7))&gt;0,"، "&amp;IFERROR(INDEX('تشخيص الحالات'!$D$2:$D$1001,SUMPRODUCT(('تشخيص الحالات'!$B$2:$B$1001=B254)*('تشخيص الحالات'!$G$2:$G$1001=7)*ROW('تشخيص الحالات'!$B$2:$B$1001))-1),""),"")&amp;IF(SUMPRODUCT(('تشخيص الحالات'!$B$2:$B$1001=B254)*('تشخيص الحالات'!$G$2:$G$1001=8))&gt;0,"، "&amp;IFERROR(INDEX('تشخيص الحالات'!$D$2:$D$1001,SUMPRODUCT(('تشخيص الحالات'!$B$2:$B$1001=B254)*('تشخيص الحالات'!$G$2:$G$1001=8)*ROW('تشخيص الحالات'!$B$2:$B$1001))-1),""),"")</f>
        <v/>
      </c>
      <c r="J254" s="1"/>
      <c r="K254" s="1"/>
      <c r="L254" s="1"/>
      <c r="M254" s="1"/>
    </row>
    <row r="255" spans="1:13" x14ac:dyDescent="0.2">
      <c r="A255" s="1"/>
      <c r="B255" s="1"/>
      <c r="C255" s="1"/>
      <c r="D255" s="1"/>
      <c r="E255" s="1"/>
      <c r="F255" s="1"/>
      <c r="G255" s="1"/>
      <c r="H255" s="1"/>
      <c r="I255" t="str">
        <f>IFERROR(INDEX('تشخيص الحالات'!$D$2:$D$1001,SUMPRODUCT(('تشخيص الحالات'!$B$2:$B$1001=B255)*('تشخيص الحالات'!$G$2:$G$1001=1)*ROW('تشخيص الحالات'!$B$2:$B$1001))-1),"")&amp;IF(SUMPRODUCT(('تشخيص الحالات'!$B$2:$B$1001=B255)*('تشخيص الحالات'!$G$2:$G$1001=2))&gt;0,"، "&amp;IFERROR(INDEX('تشخيص الحالات'!$D$2:$D$1001,SUMPRODUCT(('تشخيص الحالات'!$B$2:$B$1001=B255)*('تشخيص الحالات'!$G$2:$G$1001=2)*ROW('تشخيص الحالات'!$B$2:$B$1001))-1),""),"")&amp;IF(SUMPRODUCT(('تشخيص الحالات'!$B$2:$B$1001=B255)*('تشخيص الحالات'!$G$2:$G$1001=3))&gt;0,"، "&amp;IFERROR(INDEX('تشخيص الحالات'!$D$2:$D$1001,SUMPRODUCT(('تشخيص الحالات'!$B$2:$B$1001=B255)*('تشخيص الحالات'!$G$2:$G$1001=3)*ROW('تشخيص الحالات'!$B$2:$B$1001))-1),""),"")&amp;IF(SUMPRODUCT(('تشخيص الحالات'!$B$2:$B$1001=B255)*('تشخيص الحالات'!$G$2:$G$1001=4))&gt;0,"، "&amp;IFERROR(INDEX('تشخيص الحالات'!$D$2:$D$1001,SUMPRODUCT(('تشخيص الحالات'!$B$2:$B$1001=B255)*('تشخيص الحالات'!$G$2:$G$1001=4)*ROW('تشخيص الحالات'!$B$2:$B$1001))-1),""),"")&amp;IF(SUMPRODUCT(('تشخيص الحالات'!$B$2:$B$1001=B255)*('تشخيص الحالات'!$G$2:$G$1001=5))&gt;0,"، "&amp;IFERROR(INDEX('تشخيص الحالات'!$D$2:$D$1001,SUMPRODUCT(('تشخيص الحالات'!$B$2:$B$1001=B255)*('تشخيص الحالات'!$G$2:$G$1001=5)*ROW('تشخيص الحالات'!$B$2:$B$1001))-1),""),"")&amp;IF(SUMPRODUCT(('تشخيص الحالات'!$B$2:$B$1001=B255)*('تشخيص الحالات'!$G$2:$G$1001=6))&gt;0,"، "&amp;IFERROR(INDEX('تشخيص الحالات'!$D$2:$D$1001,SUMPRODUCT(('تشخيص الحالات'!$B$2:$B$1001=B255)*('تشخيص الحالات'!$G$2:$G$1001=6)*ROW('تشخيص الحالات'!$B$2:$B$1001))-1),""),"")&amp;IF(SUMPRODUCT(('تشخيص الحالات'!$B$2:$B$1001=B255)*('تشخيص الحالات'!$G$2:$G$1001=7))&gt;0,"، "&amp;IFERROR(INDEX('تشخيص الحالات'!$D$2:$D$1001,SUMPRODUCT(('تشخيص الحالات'!$B$2:$B$1001=B255)*('تشخيص الحالات'!$G$2:$G$1001=7)*ROW('تشخيص الحالات'!$B$2:$B$1001))-1),""),"")&amp;IF(SUMPRODUCT(('تشخيص الحالات'!$B$2:$B$1001=B255)*('تشخيص الحالات'!$G$2:$G$1001=8))&gt;0,"، "&amp;IFERROR(INDEX('تشخيص الحالات'!$D$2:$D$1001,SUMPRODUCT(('تشخيص الحالات'!$B$2:$B$1001=B255)*('تشخيص الحالات'!$G$2:$G$1001=8)*ROW('تشخيص الحالات'!$B$2:$B$1001))-1),""),"")</f>
        <v/>
      </c>
      <c r="J255" s="1"/>
      <c r="K255" s="1"/>
      <c r="L255" s="1"/>
      <c r="M255" s="1"/>
    </row>
    <row r="256" spans="1:13" x14ac:dyDescent="0.2">
      <c r="A256" s="1"/>
      <c r="B256" s="1"/>
      <c r="C256" s="1"/>
      <c r="D256" s="1"/>
      <c r="E256" s="1"/>
      <c r="F256" s="1"/>
      <c r="G256" s="1"/>
      <c r="H256" s="1"/>
      <c r="I256" t="str">
        <f>IFERROR(INDEX('تشخيص الحالات'!$D$2:$D$1001,SUMPRODUCT(('تشخيص الحالات'!$B$2:$B$1001=B256)*('تشخيص الحالات'!$G$2:$G$1001=1)*ROW('تشخيص الحالات'!$B$2:$B$1001))-1),"")&amp;IF(SUMPRODUCT(('تشخيص الحالات'!$B$2:$B$1001=B256)*('تشخيص الحالات'!$G$2:$G$1001=2))&gt;0,"، "&amp;IFERROR(INDEX('تشخيص الحالات'!$D$2:$D$1001,SUMPRODUCT(('تشخيص الحالات'!$B$2:$B$1001=B256)*('تشخيص الحالات'!$G$2:$G$1001=2)*ROW('تشخيص الحالات'!$B$2:$B$1001))-1),""),"")&amp;IF(SUMPRODUCT(('تشخيص الحالات'!$B$2:$B$1001=B256)*('تشخيص الحالات'!$G$2:$G$1001=3))&gt;0,"، "&amp;IFERROR(INDEX('تشخيص الحالات'!$D$2:$D$1001,SUMPRODUCT(('تشخيص الحالات'!$B$2:$B$1001=B256)*('تشخيص الحالات'!$G$2:$G$1001=3)*ROW('تشخيص الحالات'!$B$2:$B$1001))-1),""),"")&amp;IF(SUMPRODUCT(('تشخيص الحالات'!$B$2:$B$1001=B256)*('تشخيص الحالات'!$G$2:$G$1001=4))&gt;0,"، "&amp;IFERROR(INDEX('تشخيص الحالات'!$D$2:$D$1001,SUMPRODUCT(('تشخيص الحالات'!$B$2:$B$1001=B256)*('تشخيص الحالات'!$G$2:$G$1001=4)*ROW('تشخيص الحالات'!$B$2:$B$1001))-1),""),"")&amp;IF(SUMPRODUCT(('تشخيص الحالات'!$B$2:$B$1001=B256)*('تشخيص الحالات'!$G$2:$G$1001=5))&gt;0,"، "&amp;IFERROR(INDEX('تشخيص الحالات'!$D$2:$D$1001,SUMPRODUCT(('تشخيص الحالات'!$B$2:$B$1001=B256)*('تشخيص الحالات'!$G$2:$G$1001=5)*ROW('تشخيص الحالات'!$B$2:$B$1001))-1),""),"")&amp;IF(SUMPRODUCT(('تشخيص الحالات'!$B$2:$B$1001=B256)*('تشخيص الحالات'!$G$2:$G$1001=6))&gt;0,"، "&amp;IFERROR(INDEX('تشخيص الحالات'!$D$2:$D$1001,SUMPRODUCT(('تشخيص الحالات'!$B$2:$B$1001=B256)*('تشخيص الحالات'!$G$2:$G$1001=6)*ROW('تشخيص الحالات'!$B$2:$B$1001))-1),""),"")&amp;IF(SUMPRODUCT(('تشخيص الحالات'!$B$2:$B$1001=B256)*('تشخيص الحالات'!$G$2:$G$1001=7))&gt;0,"، "&amp;IFERROR(INDEX('تشخيص الحالات'!$D$2:$D$1001,SUMPRODUCT(('تشخيص الحالات'!$B$2:$B$1001=B256)*('تشخيص الحالات'!$G$2:$G$1001=7)*ROW('تشخيص الحالات'!$B$2:$B$1001))-1),""),"")&amp;IF(SUMPRODUCT(('تشخيص الحالات'!$B$2:$B$1001=B256)*('تشخيص الحالات'!$G$2:$G$1001=8))&gt;0,"، "&amp;IFERROR(INDEX('تشخيص الحالات'!$D$2:$D$1001,SUMPRODUCT(('تشخيص الحالات'!$B$2:$B$1001=B256)*('تشخيص الحالات'!$G$2:$G$1001=8)*ROW('تشخيص الحالات'!$B$2:$B$1001))-1),""),"")</f>
        <v/>
      </c>
      <c r="J256" s="1"/>
      <c r="K256" s="1"/>
      <c r="L256" s="1"/>
      <c r="M256" s="1"/>
    </row>
    <row r="257" spans="1:13" x14ac:dyDescent="0.2">
      <c r="A257" s="1"/>
      <c r="B257" s="1"/>
      <c r="C257" s="1"/>
      <c r="D257" s="1"/>
      <c r="E257" s="1"/>
      <c r="F257" s="1"/>
      <c r="G257" s="1"/>
      <c r="H257" s="1"/>
      <c r="I257" t="str">
        <f>IFERROR(INDEX('تشخيص الحالات'!$D$2:$D$1001,SUMPRODUCT(('تشخيص الحالات'!$B$2:$B$1001=B257)*('تشخيص الحالات'!$G$2:$G$1001=1)*ROW('تشخيص الحالات'!$B$2:$B$1001))-1),"")&amp;IF(SUMPRODUCT(('تشخيص الحالات'!$B$2:$B$1001=B257)*('تشخيص الحالات'!$G$2:$G$1001=2))&gt;0,"، "&amp;IFERROR(INDEX('تشخيص الحالات'!$D$2:$D$1001,SUMPRODUCT(('تشخيص الحالات'!$B$2:$B$1001=B257)*('تشخيص الحالات'!$G$2:$G$1001=2)*ROW('تشخيص الحالات'!$B$2:$B$1001))-1),""),"")&amp;IF(SUMPRODUCT(('تشخيص الحالات'!$B$2:$B$1001=B257)*('تشخيص الحالات'!$G$2:$G$1001=3))&gt;0,"، "&amp;IFERROR(INDEX('تشخيص الحالات'!$D$2:$D$1001,SUMPRODUCT(('تشخيص الحالات'!$B$2:$B$1001=B257)*('تشخيص الحالات'!$G$2:$G$1001=3)*ROW('تشخيص الحالات'!$B$2:$B$1001))-1),""),"")&amp;IF(SUMPRODUCT(('تشخيص الحالات'!$B$2:$B$1001=B257)*('تشخيص الحالات'!$G$2:$G$1001=4))&gt;0,"، "&amp;IFERROR(INDEX('تشخيص الحالات'!$D$2:$D$1001,SUMPRODUCT(('تشخيص الحالات'!$B$2:$B$1001=B257)*('تشخيص الحالات'!$G$2:$G$1001=4)*ROW('تشخيص الحالات'!$B$2:$B$1001))-1),""),"")&amp;IF(SUMPRODUCT(('تشخيص الحالات'!$B$2:$B$1001=B257)*('تشخيص الحالات'!$G$2:$G$1001=5))&gt;0,"، "&amp;IFERROR(INDEX('تشخيص الحالات'!$D$2:$D$1001,SUMPRODUCT(('تشخيص الحالات'!$B$2:$B$1001=B257)*('تشخيص الحالات'!$G$2:$G$1001=5)*ROW('تشخيص الحالات'!$B$2:$B$1001))-1),""),"")&amp;IF(SUMPRODUCT(('تشخيص الحالات'!$B$2:$B$1001=B257)*('تشخيص الحالات'!$G$2:$G$1001=6))&gt;0,"، "&amp;IFERROR(INDEX('تشخيص الحالات'!$D$2:$D$1001,SUMPRODUCT(('تشخيص الحالات'!$B$2:$B$1001=B257)*('تشخيص الحالات'!$G$2:$G$1001=6)*ROW('تشخيص الحالات'!$B$2:$B$1001))-1),""),"")&amp;IF(SUMPRODUCT(('تشخيص الحالات'!$B$2:$B$1001=B257)*('تشخيص الحالات'!$G$2:$G$1001=7))&gt;0,"، "&amp;IFERROR(INDEX('تشخيص الحالات'!$D$2:$D$1001,SUMPRODUCT(('تشخيص الحالات'!$B$2:$B$1001=B257)*('تشخيص الحالات'!$G$2:$G$1001=7)*ROW('تشخيص الحالات'!$B$2:$B$1001))-1),""),"")&amp;IF(SUMPRODUCT(('تشخيص الحالات'!$B$2:$B$1001=B257)*('تشخيص الحالات'!$G$2:$G$1001=8))&gt;0,"، "&amp;IFERROR(INDEX('تشخيص الحالات'!$D$2:$D$1001,SUMPRODUCT(('تشخيص الحالات'!$B$2:$B$1001=B257)*('تشخيص الحالات'!$G$2:$G$1001=8)*ROW('تشخيص الحالات'!$B$2:$B$1001))-1),""),"")</f>
        <v/>
      </c>
      <c r="J257" s="1"/>
      <c r="K257" s="1"/>
      <c r="L257" s="1"/>
      <c r="M257" s="1"/>
    </row>
    <row r="258" spans="1:13" x14ac:dyDescent="0.2">
      <c r="A258" s="1"/>
      <c r="B258" s="1"/>
      <c r="C258" s="1"/>
      <c r="D258" s="1"/>
      <c r="E258" s="1"/>
      <c r="F258" s="1"/>
      <c r="G258" s="1"/>
      <c r="H258" s="1"/>
      <c r="I258" t="str">
        <f>IFERROR(INDEX('تشخيص الحالات'!$D$2:$D$1001,SUMPRODUCT(('تشخيص الحالات'!$B$2:$B$1001=B258)*('تشخيص الحالات'!$G$2:$G$1001=1)*ROW('تشخيص الحالات'!$B$2:$B$1001))-1),"")&amp;IF(SUMPRODUCT(('تشخيص الحالات'!$B$2:$B$1001=B258)*('تشخيص الحالات'!$G$2:$G$1001=2))&gt;0,"، "&amp;IFERROR(INDEX('تشخيص الحالات'!$D$2:$D$1001,SUMPRODUCT(('تشخيص الحالات'!$B$2:$B$1001=B258)*('تشخيص الحالات'!$G$2:$G$1001=2)*ROW('تشخيص الحالات'!$B$2:$B$1001))-1),""),"")&amp;IF(SUMPRODUCT(('تشخيص الحالات'!$B$2:$B$1001=B258)*('تشخيص الحالات'!$G$2:$G$1001=3))&gt;0,"، "&amp;IFERROR(INDEX('تشخيص الحالات'!$D$2:$D$1001,SUMPRODUCT(('تشخيص الحالات'!$B$2:$B$1001=B258)*('تشخيص الحالات'!$G$2:$G$1001=3)*ROW('تشخيص الحالات'!$B$2:$B$1001))-1),""),"")&amp;IF(SUMPRODUCT(('تشخيص الحالات'!$B$2:$B$1001=B258)*('تشخيص الحالات'!$G$2:$G$1001=4))&gt;0,"، "&amp;IFERROR(INDEX('تشخيص الحالات'!$D$2:$D$1001,SUMPRODUCT(('تشخيص الحالات'!$B$2:$B$1001=B258)*('تشخيص الحالات'!$G$2:$G$1001=4)*ROW('تشخيص الحالات'!$B$2:$B$1001))-1),""),"")&amp;IF(SUMPRODUCT(('تشخيص الحالات'!$B$2:$B$1001=B258)*('تشخيص الحالات'!$G$2:$G$1001=5))&gt;0,"، "&amp;IFERROR(INDEX('تشخيص الحالات'!$D$2:$D$1001,SUMPRODUCT(('تشخيص الحالات'!$B$2:$B$1001=B258)*('تشخيص الحالات'!$G$2:$G$1001=5)*ROW('تشخيص الحالات'!$B$2:$B$1001))-1),""),"")&amp;IF(SUMPRODUCT(('تشخيص الحالات'!$B$2:$B$1001=B258)*('تشخيص الحالات'!$G$2:$G$1001=6))&gt;0,"، "&amp;IFERROR(INDEX('تشخيص الحالات'!$D$2:$D$1001,SUMPRODUCT(('تشخيص الحالات'!$B$2:$B$1001=B258)*('تشخيص الحالات'!$G$2:$G$1001=6)*ROW('تشخيص الحالات'!$B$2:$B$1001))-1),""),"")&amp;IF(SUMPRODUCT(('تشخيص الحالات'!$B$2:$B$1001=B258)*('تشخيص الحالات'!$G$2:$G$1001=7))&gt;0,"، "&amp;IFERROR(INDEX('تشخيص الحالات'!$D$2:$D$1001,SUMPRODUCT(('تشخيص الحالات'!$B$2:$B$1001=B258)*('تشخيص الحالات'!$G$2:$G$1001=7)*ROW('تشخيص الحالات'!$B$2:$B$1001))-1),""),"")&amp;IF(SUMPRODUCT(('تشخيص الحالات'!$B$2:$B$1001=B258)*('تشخيص الحالات'!$G$2:$G$1001=8))&gt;0,"، "&amp;IFERROR(INDEX('تشخيص الحالات'!$D$2:$D$1001,SUMPRODUCT(('تشخيص الحالات'!$B$2:$B$1001=B258)*('تشخيص الحالات'!$G$2:$G$1001=8)*ROW('تشخيص الحالات'!$B$2:$B$1001))-1),""),"")</f>
        <v/>
      </c>
      <c r="J258" s="1"/>
      <c r="K258" s="1"/>
      <c r="L258" s="1"/>
      <c r="M258" s="1"/>
    </row>
    <row r="259" spans="1:13" x14ac:dyDescent="0.2">
      <c r="A259" s="1"/>
      <c r="B259" s="1"/>
      <c r="C259" s="1"/>
      <c r="D259" s="1"/>
      <c r="E259" s="1"/>
      <c r="F259" s="1"/>
      <c r="G259" s="1"/>
      <c r="H259" s="1"/>
      <c r="I259" t="str">
        <f>IFERROR(INDEX('تشخيص الحالات'!$D$2:$D$1001,SUMPRODUCT(('تشخيص الحالات'!$B$2:$B$1001=B259)*('تشخيص الحالات'!$G$2:$G$1001=1)*ROW('تشخيص الحالات'!$B$2:$B$1001))-1),"")&amp;IF(SUMPRODUCT(('تشخيص الحالات'!$B$2:$B$1001=B259)*('تشخيص الحالات'!$G$2:$G$1001=2))&gt;0,"، "&amp;IFERROR(INDEX('تشخيص الحالات'!$D$2:$D$1001,SUMPRODUCT(('تشخيص الحالات'!$B$2:$B$1001=B259)*('تشخيص الحالات'!$G$2:$G$1001=2)*ROW('تشخيص الحالات'!$B$2:$B$1001))-1),""),"")&amp;IF(SUMPRODUCT(('تشخيص الحالات'!$B$2:$B$1001=B259)*('تشخيص الحالات'!$G$2:$G$1001=3))&gt;0,"، "&amp;IFERROR(INDEX('تشخيص الحالات'!$D$2:$D$1001,SUMPRODUCT(('تشخيص الحالات'!$B$2:$B$1001=B259)*('تشخيص الحالات'!$G$2:$G$1001=3)*ROW('تشخيص الحالات'!$B$2:$B$1001))-1),""),"")&amp;IF(SUMPRODUCT(('تشخيص الحالات'!$B$2:$B$1001=B259)*('تشخيص الحالات'!$G$2:$G$1001=4))&gt;0,"، "&amp;IFERROR(INDEX('تشخيص الحالات'!$D$2:$D$1001,SUMPRODUCT(('تشخيص الحالات'!$B$2:$B$1001=B259)*('تشخيص الحالات'!$G$2:$G$1001=4)*ROW('تشخيص الحالات'!$B$2:$B$1001))-1),""),"")&amp;IF(SUMPRODUCT(('تشخيص الحالات'!$B$2:$B$1001=B259)*('تشخيص الحالات'!$G$2:$G$1001=5))&gt;0,"، "&amp;IFERROR(INDEX('تشخيص الحالات'!$D$2:$D$1001,SUMPRODUCT(('تشخيص الحالات'!$B$2:$B$1001=B259)*('تشخيص الحالات'!$G$2:$G$1001=5)*ROW('تشخيص الحالات'!$B$2:$B$1001))-1),""),"")&amp;IF(SUMPRODUCT(('تشخيص الحالات'!$B$2:$B$1001=B259)*('تشخيص الحالات'!$G$2:$G$1001=6))&gt;0,"، "&amp;IFERROR(INDEX('تشخيص الحالات'!$D$2:$D$1001,SUMPRODUCT(('تشخيص الحالات'!$B$2:$B$1001=B259)*('تشخيص الحالات'!$G$2:$G$1001=6)*ROW('تشخيص الحالات'!$B$2:$B$1001))-1),""),"")&amp;IF(SUMPRODUCT(('تشخيص الحالات'!$B$2:$B$1001=B259)*('تشخيص الحالات'!$G$2:$G$1001=7))&gt;0,"، "&amp;IFERROR(INDEX('تشخيص الحالات'!$D$2:$D$1001,SUMPRODUCT(('تشخيص الحالات'!$B$2:$B$1001=B259)*('تشخيص الحالات'!$G$2:$G$1001=7)*ROW('تشخيص الحالات'!$B$2:$B$1001))-1),""),"")&amp;IF(SUMPRODUCT(('تشخيص الحالات'!$B$2:$B$1001=B259)*('تشخيص الحالات'!$G$2:$G$1001=8))&gt;0,"، "&amp;IFERROR(INDEX('تشخيص الحالات'!$D$2:$D$1001,SUMPRODUCT(('تشخيص الحالات'!$B$2:$B$1001=B259)*('تشخيص الحالات'!$G$2:$G$1001=8)*ROW('تشخيص الحالات'!$B$2:$B$1001))-1),""),"")</f>
        <v/>
      </c>
      <c r="J259" s="1"/>
      <c r="K259" s="1"/>
      <c r="L259" s="1"/>
      <c r="M259" s="1"/>
    </row>
    <row r="260" spans="1:13" x14ac:dyDescent="0.2">
      <c r="A260" s="1"/>
      <c r="B260" s="1"/>
      <c r="C260" s="1"/>
      <c r="D260" s="1"/>
      <c r="E260" s="1"/>
      <c r="F260" s="1"/>
      <c r="G260" s="1"/>
      <c r="H260" s="1"/>
      <c r="I260" t="str">
        <f>IFERROR(INDEX('تشخيص الحالات'!$D$2:$D$1001,SUMPRODUCT(('تشخيص الحالات'!$B$2:$B$1001=B260)*('تشخيص الحالات'!$G$2:$G$1001=1)*ROW('تشخيص الحالات'!$B$2:$B$1001))-1),"")&amp;IF(SUMPRODUCT(('تشخيص الحالات'!$B$2:$B$1001=B260)*('تشخيص الحالات'!$G$2:$G$1001=2))&gt;0,"، "&amp;IFERROR(INDEX('تشخيص الحالات'!$D$2:$D$1001,SUMPRODUCT(('تشخيص الحالات'!$B$2:$B$1001=B260)*('تشخيص الحالات'!$G$2:$G$1001=2)*ROW('تشخيص الحالات'!$B$2:$B$1001))-1),""),"")&amp;IF(SUMPRODUCT(('تشخيص الحالات'!$B$2:$B$1001=B260)*('تشخيص الحالات'!$G$2:$G$1001=3))&gt;0,"، "&amp;IFERROR(INDEX('تشخيص الحالات'!$D$2:$D$1001,SUMPRODUCT(('تشخيص الحالات'!$B$2:$B$1001=B260)*('تشخيص الحالات'!$G$2:$G$1001=3)*ROW('تشخيص الحالات'!$B$2:$B$1001))-1),""),"")&amp;IF(SUMPRODUCT(('تشخيص الحالات'!$B$2:$B$1001=B260)*('تشخيص الحالات'!$G$2:$G$1001=4))&gt;0,"، "&amp;IFERROR(INDEX('تشخيص الحالات'!$D$2:$D$1001,SUMPRODUCT(('تشخيص الحالات'!$B$2:$B$1001=B260)*('تشخيص الحالات'!$G$2:$G$1001=4)*ROW('تشخيص الحالات'!$B$2:$B$1001))-1),""),"")&amp;IF(SUMPRODUCT(('تشخيص الحالات'!$B$2:$B$1001=B260)*('تشخيص الحالات'!$G$2:$G$1001=5))&gt;0,"، "&amp;IFERROR(INDEX('تشخيص الحالات'!$D$2:$D$1001,SUMPRODUCT(('تشخيص الحالات'!$B$2:$B$1001=B260)*('تشخيص الحالات'!$G$2:$G$1001=5)*ROW('تشخيص الحالات'!$B$2:$B$1001))-1),""),"")&amp;IF(SUMPRODUCT(('تشخيص الحالات'!$B$2:$B$1001=B260)*('تشخيص الحالات'!$G$2:$G$1001=6))&gt;0,"، "&amp;IFERROR(INDEX('تشخيص الحالات'!$D$2:$D$1001,SUMPRODUCT(('تشخيص الحالات'!$B$2:$B$1001=B260)*('تشخيص الحالات'!$G$2:$G$1001=6)*ROW('تشخيص الحالات'!$B$2:$B$1001))-1),""),"")&amp;IF(SUMPRODUCT(('تشخيص الحالات'!$B$2:$B$1001=B260)*('تشخيص الحالات'!$G$2:$G$1001=7))&gt;0,"، "&amp;IFERROR(INDEX('تشخيص الحالات'!$D$2:$D$1001,SUMPRODUCT(('تشخيص الحالات'!$B$2:$B$1001=B260)*('تشخيص الحالات'!$G$2:$G$1001=7)*ROW('تشخيص الحالات'!$B$2:$B$1001))-1),""),"")&amp;IF(SUMPRODUCT(('تشخيص الحالات'!$B$2:$B$1001=B260)*('تشخيص الحالات'!$G$2:$G$1001=8))&gt;0,"، "&amp;IFERROR(INDEX('تشخيص الحالات'!$D$2:$D$1001,SUMPRODUCT(('تشخيص الحالات'!$B$2:$B$1001=B260)*('تشخيص الحالات'!$G$2:$G$1001=8)*ROW('تشخيص الحالات'!$B$2:$B$1001))-1),""),"")</f>
        <v/>
      </c>
      <c r="J260" s="1"/>
      <c r="K260" s="1"/>
      <c r="L260" s="1"/>
      <c r="M260" s="1"/>
    </row>
    <row r="261" spans="1:13" x14ac:dyDescent="0.2">
      <c r="A261" s="1"/>
      <c r="B261" s="1"/>
      <c r="C261" s="1"/>
      <c r="D261" s="1"/>
      <c r="E261" s="1"/>
      <c r="F261" s="1"/>
      <c r="G261" s="1"/>
      <c r="H261" s="1"/>
      <c r="I261" t="str">
        <f>IFERROR(INDEX('تشخيص الحالات'!$D$2:$D$1001,SUMPRODUCT(('تشخيص الحالات'!$B$2:$B$1001=B261)*('تشخيص الحالات'!$G$2:$G$1001=1)*ROW('تشخيص الحالات'!$B$2:$B$1001))-1),"")&amp;IF(SUMPRODUCT(('تشخيص الحالات'!$B$2:$B$1001=B261)*('تشخيص الحالات'!$G$2:$G$1001=2))&gt;0,"، "&amp;IFERROR(INDEX('تشخيص الحالات'!$D$2:$D$1001,SUMPRODUCT(('تشخيص الحالات'!$B$2:$B$1001=B261)*('تشخيص الحالات'!$G$2:$G$1001=2)*ROW('تشخيص الحالات'!$B$2:$B$1001))-1),""),"")&amp;IF(SUMPRODUCT(('تشخيص الحالات'!$B$2:$B$1001=B261)*('تشخيص الحالات'!$G$2:$G$1001=3))&gt;0,"، "&amp;IFERROR(INDEX('تشخيص الحالات'!$D$2:$D$1001,SUMPRODUCT(('تشخيص الحالات'!$B$2:$B$1001=B261)*('تشخيص الحالات'!$G$2:$G$1001=3)*ROW('تشخيص الحالات'!$B$2:$B$1001))-1),""),"")&amp;IF(SUMPRODUCT(('تشخيص الحالات'!$B$2:$B$1001=B261)*('تشخيص الحالات'!$G$2:$G$1001=4))&gt;0,"، "&amp;IFERROR(INDEX('تشخيص الحالات'!$D$2:$D$1001,SUMPRODUCT(('تشخيص الحالات'!$B$2:$B$1001=B261)*('تشخيص الحالات'!$G$2:$G$1001=4)*ROW('تشخيص الحالات'!$B$2:$B$1001))-1),""),"")&amp;IF(SUMPRODUCT(('تشخيص الحالات'!$B$2:$B$1001=B261)*('تشخيص الحالات'!$G$2:$G$1001=5))&gt;0,"، "&amp;IFERROR(INDEX('تشخيص الحالات'!$D$2:$D$1001,SUMPRODUCT(('تشخيص الحالات'!$B$2:$B$1001=B261)*('تشخيص الحالات'!$G$2:$G$1001=5)*ROW('تشخيص الحالات'!$B$2:$B$1001))-1),""),"")&amp;IF(SUMPRODUCT(('تشخيص الحالات'!$B$2:$B$1001=B261)*('تشخيص الحالات'!$G$2:$G$1001=6))&gt;0,"، "&amp;IFERROR(INDEX('تشخيص الحالات'!$D$2:$D$1001,SUMPRODUCT(('تشخيص الحالات'!$B$2:$B$1001=B261)*('تشخيص الحالات'!$G$2:$G$1001=6)*ROW('تشخيص الحالات'!$B$2:$B$1001))-1),""),"")&amp;IF(SUMPRODUCT(('تشخيص الحالات'!$B$2:$B$1001=B261)*('تشخيص الحالات'!$G$2:$G$1001=7))&gt;0,"، "&amp;IFERROR(INDEX('تشخيص الحالات'!$D$2:$D$1001,SUMPRODUCT(('تشخيص الحالات'!$B$2:$B$1001=B261)*('تشخيص الحالات'!$G$2:$G$1001=7)*ROW('تشخيص الحالات'!$B$2:$B$1001))-1),""),"")&amp;IF(SUMPRODUCT(('تشخيص الحالات'!$B$2:$B$1001=B261)*('تشخيص الحالات'!$G$2:$G$1001=8))&gt;0,"، "&amp;IFERROR(INDEX('تشخيص الحالات'!$D$2:$D$1001,SUMPRODUCT(('تشخيص الحالات'!$B$2:$B$1001=B261)*('تشخيص الحالات'!$G$2:$G$1001=8)*ROW('تشخيص الحالات'!$B$2:$B$1001))-1),""),"")</f>
        <v/>
      </c>
      <c r="J261" s="1"/>
      <c r="K261" s="1"/>
      <c r="L261" s="1"/>
      <c r="M261" s="1"/>
    </row>
    <row r="262" spans="1:13" x14ac:dyDescent="0.2">
      <c r="A262" s="1"/>
      <c r="B262" s="1"/>
      <c r="C262" s="1"/>
      <c r="D262" s="1"/>
      <c r="E262" s="1"/>
      <c r="F262" s="1"/>
      <c r="G262" s="1"/>
      <c r="H262" s="1"/>
      <c r="I262" t="str">
        <f>IFERROR(INDEX('تشخيص الحالات'!$D$2:$D$1001,SUMPRODUCT(('تشخيص الحالات'!$B$2:$B$1001=B262)*('تشخيص الحالات'!$G$2:$G$1001=1)*ROW('تشخيص الحالات'!$B$2:$B$1001))-1),"")&amp;IF(SUMPRODUCT(('تشخيص الحالات'!$B$2:$B$1001=B262)*('تشخيص الحالات'!$G$2:$G$1001=2))&gt;0,"، "&amp;IFERROR(INDEX('تشخيص الحالات'!$D$2:$D$1001,SUMPRODUCT(('تشخيص الحالات'!$B$2:$B$1001=B262)*('تشخيص الحالات'!$G$2:$G$1001=2)*ROW('تشخيص الحالات'!$B$2:$B$1001))-1),""),"")&amp;IF(SUMPRODUCT(('تشخيص الحالات'!$B$2:$B$1001=B262)*('تشخيص الحالات'!$G$2:$G$1001=3))&gt;0,"، "&amp;IFERROR(INDEX('تشخيص الحالات'!$D$2:$D$1001,SUMPRODUCT(('تشخيص الحالات'!$B$2:$B$1001=B262)*('تشخيص الحالات'!$G$2:$G$1001=3)*ROW('تشخيص الحالات'!$B$2:$B$1001))-1),""),"")&amp;IF(SUMPRODUCT(('تشخيص الحالات'!$B$2:$B$1001=B262)*('تشخيص الحالات'!$G$2:$G$1001=4))&gt;0,"، "&amp;IFERROR(INDEX('تشخيص الحالات'!$D$2:$D$1001,SUMPRODUCT(('تشخيص الحالات'!$B$2:$B$1001=B262)*('تشخيص الحالات'!$G$2:$G$1001=4)*ROW('تشخيص الحالات'!$B$2:$B$1001))-1),""),"")&amp;IF(SUMPRODUCT(('تشخيص الحالات'!$B$2:$B$1001=B262)*('تشخيص الحالات'!$G$2:$G$1001=5))&gt;0,"، "&amp;IFERROR(INDEX('تشخيص الحالات'!$D$2:$D$1001,SUMPRODUCT(('تشخيص الحالات'!$B$2:$B$1001=B262)*('تشخيص الحالات'!$G$2:$G$1001=5)*ROW('تشخيص الحالات'!$B$2:$B$1001))-1),""),"")&amp;IF(SUMPRODUCT(('تشخيص الحالات'!$B$2:$B$1001=B262)*('تشخيص الحالات'!$G$2:$G$1001=6))&gt;0,"، "&amp;IFERROR(INDEX('تشخيص الحالات'!$D$2:$D$1001,SUMPRODUCT(('تشخيص الحالات'!$B$2:$B$1001=B262)*('تشخيص الحالات'!$G$2:$G$1001=6)*ROW('تشخيص الحالات'!$B$2:$B$1001))-1),""),"")&amp;IF(SUMPRODUCT(('تشخيص الحالات'!$B$2:$B$1001=B262)*('تشخيص الحالات'!$G$2:$G$1001=7))&gt;0,"، "&amp;IFERROR(INDEX('تشخيص الحالات'!$D$2:$D$1001,SUMPRODUCT(('تشخيص الحالات'!$B$2:$B$1001=B262)*('تشخيص الحالات'!$G$2:$G$1001=7)*ROW('تشخيص الحالات'!$B$2:$B$1001))-1),""),"")&amp;IF(SUMPRODUCT(('تشخيص الحالات'!$B$2:$B$1001=B262)*('تشخيص الحالات'!$G$2:$G$1001=8))&gt;0,"، "&amp;IFERROR(INDEX('تشخيص الحالات'!$D$2:$D$1001,SUMPRODUCT(('تشخيص الحالات'!$B$2:$B$1001=B262)*('تشخيص الحالات'!$G$2:$G$1001=8)*ROW('تشخيص الحالات'!$B$2:$B$1001))-1),""),"")</f>
        <v/>
      </c>
      <c r="J262" s="1"/>
      <c r="K262" s="1"/>
      <c r="L262" s="1"/>
      <c r="M262" s="1"/>
    </row>
    <row r="263" spans="1:13" x14ac:dyDescent="0.2">
      <c r="A263" s="1"/>
      <c r="B263" s="1"/>
      <c r="C263" s="1"/>
      <c r="D263" s="1"/>
      <c r="E263" s="1"/>
      <c r="F263" s="1"/>
      <c r="G263" s="1"/>
      <c r="H263" s="1"/>
      <c r="I263" t="str">
        <f>IFERROR(INDEX('تشخيص الحالات'!$D$2:$D$1001,SUMPRODUCT(('تشخيص الحالات'!$B$2:$B$1001=B263)*('تشخيص الحالات'!$G$2:$G$1001=1)*ROW('تشخيص الحالات'!$B$2:$B$1001))-1),"")&amp;IF(SUMPRODUCT(('تشخيص الحالات'!$B$2:$B$1001=B263)*('تشخيص الحالات'!$G$2:$G$1001=2))&gt;0,"، "&amp;IFERROR(INDEX('تشخيص الحالات'!$D$2:$D$1001,SUMPRODUCT(('تشخيص الحالات'!$B$2:$B$1001=B263)*('تشخيص الحالات'!$G$2:$G$1001=2)*ROW('تشخيص الحالات'!$B$2:$B$1001))-1),""),"")&amp;IF(SUMPRODUCT(('تشخيص الحالات'!$B$2:$B$1001=B263)*('تشخيص الحالات'!$G$2:$G$1001=3))&gt;0,"، "&amp;IFERROR(INDEX('تشخيص الحالات'!$D$2:$D$1001,SUMPRODUCT(('تشخيص الحالات'!$B$2:$B$1001=B263)*('تشخيص الحالات'!$G$2:$G$1001=3)*ROW('تشخيص الحالات'!$B$2:$B$1001))-1),""),"")&amp;IF(SUMPRODUCT(('تشخيص الحالات'!$B$2:$B$1001=B263)*('تشخيص الحالات'!$G$2:$G$1001=4))&gt;0,"، "&amp;IFERROR(INDEX('تشخيص الحالات'!$D$2:$D$1001,SUMPRODUCT(('تشخيص الحالات'!$B$2:$B$1001=B263)*('تشخيص الحالات'!$G$2:$G$1001=4)*ROW('تشخيص الحالات'!$B$2:$B$1001))-1),""),"")&amp;IF(SUMPRODUCT(('تشخيص الحالات'!$B$2:$B$1001=B263)*('تشخيص الحالات'!$G$2:$G$1001=5))&gt;0,"، "&amp;IFERROR(INDEX('تشخيص الحالات'!$D$2:$D$1001,SUMPRODUCT(('تشخيص الحالات'!$B$2:$B$1001=B263)*('تشخيص الحالات'!$G$2:$G$1001=5)*ROW('تشخيص الحالات'!$B$2:$B$1001))-1),""),"")&amp;IF(SUMPRODUCT(('تشخيص الحالات'!$B$2:$B$1001=B263)*('تشخيص الحالات'!$G$2:$G$1001=6))&gt;0,"، "&amp;IFERROR(INDEX('تشخيص الحالات'!$D$2:$D$1001,SUMPRODUCT(('تشخيص الحالات'!$B$2:$B$1001=B263)*('تشخيص الحالات'!$G$2:$G$1001=6)*ROW('تشخيص الحالات'!$B$2:$B$1001))-1),""),"")&amp;IF(SUMPRODUCT(('تشخيص الحالات'!$B$2:$B$1001=B263)*('تشخيص الحالات'!$G$2:$G$1001=7))&gt;0,"، "&amp;IFERROR(INDEX('تشخيص الحالات'!$D$2:$D$1001,SUMPRODUCT(('تشخيص الحالات'!$B$2:$B$1001=B263)*('تشخيص الحالات'!$G$2:$G$1001=7)*ROW('تشخيص الحالات'!$B$2:$B$1001))-1),""),"")&amp;IF(SUMPRODUCT(('تشخيص الحالات'!$B$2:$B$1001=B263)*('تشخيص الحالات'!$G$2:$G$1001=8))&gt;0,"، "&amp;IFERROR(INDEX('تشخيص الحالات'!$D$2:$D$1001,SUMPRODUCT(('تشخيص الحالات'!$B$2:$B$1001=B263)*('تشخيص الحالات'!$G$2:$G$1001=8)*ROW('تشخيص الحالات'!$B$2:$B$1001))-1),""),"")</f>
        <v/>
      </c>
      <c r="J263" s="1"/>
      <c r="K263" s="1"/>
      <c r="L263" s="1"/>
      <c r="M263" s="1"/>
    </row>
    <row r="264" spans="1:13" x14ac:dyDescent="0.2">
      <c r="A264" s="1"/>
      <c r="B264" s="1"/>
      <c r="C264" s="1"/>
      <c r="D264" s="1"/>
      <c r="E264" s="1"/>
      <c r="F264" s="1"/>
      <c r="G264" s="1"/>
      <c r="H264" s="1"/>
      <c r="I264" t="str">
        <f>IFERROR(INDEX('تشخيص الحالات'!$D$2:$D$1001,SUMPRODUCT(('تشخيص الحالات'!$B$2:$B$1001=B264)*('تشخيص الحالات'!$G$2:$G$1001=1)*ROW('تشخيص الحالات'!$B$2:$B$1001))-1),"")&amp;IF(SUMPRODUCT(('تشخيص الحالات'!$B$2:$B$1001=B264)*('تشخيص الحالات'!$G$2:$G$1001=2))&gt;0,"، "&amp;IFERROR(INDEX('تشخيص الحالات'!$D$2:$D$1001,SUMPRODUCT(('تشخيص الحالات'!$B$2:$B$1001=B264)*('تشخيص الحالات'!$G$2:$G$1001=2)*ROW('تشخيص الحالات'!$B$2:$B$1001))-1),""),"")&amp;IF(SUMPRODUCT(('تشخيص الحالات'!$B$2:$B$1001=B264)*('تشخيص الحالات'!$G$2:$G$1001=3))&gt;0,"، "&amp;IFERROR(INDEX('تشخيص الحالات'!$D$2:$D$1001,SUMPRODUCT(('تشخيص الحالات'!$B$2:$B$1001=B264)*('تشخيص الحالات'!$G$2:$G$1001=3)*ROW('تشخيص الحالات'!$B$2:$B$1001))-1),""),"")&amp;IF(SUMPRODUCT(('تشخيص الحالات'!$B$2:$B$1001=B264)*('تشخيص الحالات'!$G$2:$G$1001=4))&gt;0,"، "&amp;IFERROR(INDEX('تشخيص الحالات'!$D$2:$D$1001,SUMPRODUCT(('تشخيص الحالات'!$B$2:$B$1001=B264)*('تشخيص الحالات'!$G$2:$G$1001=4)*ROW('تشخيص الحالات'!$B$2:$B$1001))-1),""),"")&amp;IF(SUMPRODUCT(('تشخيص الحالات'!$B$2:$B$1001=B264)*('تشخيص الحالات'!$G$2:$G$1001=5))&gt;0,"، "&amp;IFERROR(INDEX('تشخيص الحالات'!$D$2:$D$1001,SUMPRODUCT(('تشخيص الحالات'!$B$2:$B$1001=B264)*('تشخيص الحالات'!$G$2:$G$1001=5)*ROW('تشخيص الحالات'!$B$2:$B$1001))-1),""),"")&amp;IF(SUMPRODUCT(('تشخيص الحالات'!$B$2:$B$1001=B264)*('تشخيص الحالات'!$G$2:$G$1001=6))&gt;0,"، "&amp;IFERROR(INDEX('تشخيص الحالات'!$D$2:$D$1001,SUMPRODUCT(('تشخيص الحالات'!$B$2:$B$1001=B264)*('تشخيص الحالات'!$G$2:$G$1001=6)*ROW('تشخيص الحالات'!$B$2:$B$1001))-1),""),"")&amp;IF(SUMPRODUCT(('تشخيص الحالات'!$B$2:$B$1001=B264)*('تشخيص الحالات'!$G$2:$G$1001=7))&gt;0,"، "&amp;IFERROR(INDEX('تشخيص الحالات'!$D$2:$D$1001,SUMPRODUCT(('تشخيص الحالات'!$B$2:$B$1001=B264)*('تشخيص الحالات'!$G$2:$G$1001=7)*ROW('تشخيص الحالات'!$B$2:$B$1001))-1),""),"")&amp;IF(SUMPRODUCT(('تشخيص الحالات'!$B$2:$B$1001=B264)*('تشخيص الحالات'!$G$2:$G$1001=8))&gt;0,"، "&amp;IFERROR(INDEX('تشخيص الحالات'!$D$2:$D$1001,SUMPRODUCT(('تشخيص الحالات'!$B$2:$B$1001=B264)*('تشخيص الحالات'!$G$2:$G$1001=8)*ROW('تشخيص الحالات'!$B$2:$B$1001))-1),""),"")</f>
        <v/>
      </c>
      <c r="J264" s="1"/>
      <c r="K264" s="1"/>
      <c r="L264" s="1"/>
      <c r="M264" s="1"/>
    </row>
    <row r="265" spans="1:13" x14ac:dyDescent="0.2">
      <c r="A265" s="1"/>
      <c r="B265" s="1"/>
      <c r="C265" s="1"/>
      <c r="D265" s="1"/>
      <c r="E265" s="1"/>
      <c r="F265" s="1"/>
      <c r="G265" s="1"/>
      <c r="H265" s="1"/>
      <c r="I265" t="str">
        <f>IFERROR(INDEX('تشخيص الحالات'!$D$2:$D$1001,SUMPRODUCT(('تشخيص الحالات'!$B$2:$B$1001=B265)*('تشخيص الحالات'!$G$2:$G$1001=1)*ROW('تشخيص الحالات'!$B$2:$B$1001))-1),"")&amp;IF(SUMPRODUCT(('تشخيص الحالات'!$B$2:$B$1001=B265)*('تشخيص الحالات'!$G$2:$G$1001=2))&gt;0,"، "&amp;IFERROR(INDEX('تشخيص الحالات'!$D$2:$D$1001,SUMPRODUCT(('تشخيص الحالات'!$B$2:$B$1001=B265)*('تشخيص الحالات'!$G$2:$G$1001=2)*ROW('تشخيص الحالات'!$B$2:$B$1001))-1),""),"")&amp;IF(SUMPRODUCT(('تشخيص الحالات'!$B$2:$B$1001=B265)*('تشخيص الحالات'!$G$2:$G$1001=3))&gt;0,"، "&amp;IFERROR(INDEX('تشخيص الحالات'!$D$2:$D$1001,SUMPRODUCT(('تشخيص الحالات'!$B$2:$B$1001=B265)*('تشخيص الحالات'!$G$2:$G$1001=3)*ROW('تشخيص الحالات'!$B$2:$B$1001))-1),""),"")&amp;IF(SUMPRODUCT(('تشخيص الحالات'!$B$2:$B$1001=B265)*('تشخيص الحالات'!$G$2:$G$1001=4))&gt;0,"، "&amp;IFERROR(INDEX('تشخيص الحالات'!$D$2:$D$1001,SUMPRODUCT(('تشخيص الحالات'!$B$2:$B$1001=B265)*('تشخيص الحالات'!$G$2:$G$1001=4)*ROW('تشخيص الحالات'!$B$2:$B$1001))-1),""),"")&amp;IF(SUMPRODUCT(('تشخيص الحالات'!$B$2:$B$1001=B265)*('تشخيص الحالات'!$G$2:$G$1001=5))&gt;0,"، "&amp;IFERROR(INDEX('تشخيص الحالات'!$D$2:$D$1001,SUMPRODUCT(('تشخيص الحالات'!$B$2:$B$1001=B265)*('تشخيص الحالات'!$G$2:$G$1001=5)*ROW('تشخيص الحالات'!$B$2:$B$1001))-1),""),"")&amp;IF(SUMPRODUCT(('تشخيص الحالات'!$B$2:$B$1001=B265)*('تشخيص الحالات'!$G$2:$G$1001=6))&gt;0,"، "&amp;IFERROR(INDEX('تشخيص الحالات'!$D$2:$D$1001,SUMPRODUCT(('تشخيص الحالات'!$B$2:$B$1001=B265)*('تشخيص الحالات'!$G$2:$G$1001=6)*ROW('تشخيص الحالات'!$B$2:$B$1001))-1),""),"")&amp;IF(SUMPRODUCT(('تشخيص الحالات'!$B$2:$B$1001=B265)*('تشخيص الحالات'!$G$2:$G$1001=7))&gt;0,"، "&amp;IFERROR(INDEX('تشخيص الحالات'!$D$2:$D$1001,SUMPRODUCT(('تشخيص الحالات'!$B$2:$B$1001=B265)*('تشخيص الحالات'!$G$2:$G$1001=7)*ROW('تشخيص الحالات'!$B$2:$B$1001))-1),""),"")&amp;IF(SUMPRODUCT(('تشخيص الحالات'!$B$2:$B$1001=B265)*('تشخيص الحالات'!$G$2:$G$1001=8))&gt;0,"، "&amp;IFERROR(INDEX('تشخيص الحالات'!$D$2:$D$1001,SUMPRODUCT(('تشخيص الحالات'!$B$2:$B$1001=B265)*('تشخيص الحالات'!$G$2:$G$1001=8)*ROW('تشخيص الحالات'!$B$2:$B$1001))-1),""),"")</f>
        <v/>
      </c>
      <c r="J265" s="1"/>
      <c r="K265" s="1"/>
      <c r="L265" s="1"/>
      <c r="M265" s="1"/>
    </row>
    <row r="266" spans="1:13" x14ac:dyDescent="0.2">
      <c r="A266" s="1"/>
      <c r="B266" s="1"/>
      <c r="C266" s="1"/>
      <c r="D266" s="1"/>
      <c r="E266" s="1"/>
      <c r="F266" s="1"/>
      <c r="G266" s="1"/>
      <c r="H266" s="1"/>
      <c r="I266" t="str">
        <f>IFERROR(INDEX('تشخيص الحالات'!$D$2:$D$1001,SUMPRODUCT(('تشخيص الحالات'!$B$2:$B$1001=B266)*('تشخيص الحالات'!$G$2:$G$1001=1)*ROW('تشخيص الحالات'!$B$2:$B$1001))-1),"")&amp;IF(SUMPRODUCT(('تشخيص الحالات'!$B$2:$B$1001=B266)*('تشخيص الحالات'!$G$2:$G$1001=2))&gt;0,"، "&amp;IFERROR(INDEX('تشخيص الحالات'!$D$2:$D$1001,SUMPRODUCT(('تشخيص الحالات'!$B$2:$B$1001=B266)*('تشخيص الحالات'!$G$2:$G$1001=2)*ROW('تشخيص الحالات'!$B$2:$B$1001))-1),""),"")&amp;IF(SUMPRODUCT(('تشخيص الحالات'!$B$2:$B$1001=B266)*('تشخيص الحالات'!$G$2:$G$1001=3))&gt;0,"، "&amp;IFERROR(INDEX('تشخيص الحالات'!$D$2:$D$1001,SUMPRODUCT(('تشخيص الحالات'!$B$2:$B$1001=B266)*('تشخيص الحالات'!$G$2:$G$1001=3)*ROW('تشخيص الحالات'!$B$2:$B$1001))-1),""),"")&amp;IF(SUMPRODUCT(('تشخيص الحالات'!$B$2:$B$1001=B266)*('تشخيص الحالات'!$G$2:$G$1001=4))&gt;0,"، "&amp;IFERROR(INDEX('تشخيص الحالات'!$D$2:$D$1001,SUMPRODUCT(('تشخيص الحالات'!$B$2:$B$1001=B266)*('تشخيص الحالات'!$G$2:$G$1001=4)*ROW('تشخيص الحالات'!$B$2:$B$1001))-1),""),"")&amp;IF(SUMPRODUCT(('تشخيص الحالات'!$B$2:$B$1001=B266)*('تشخيص الحالات'!$G$2:$G$1001=5))&gt;0,"، "&amp;IFERROR(INDEX('تشخيص الحالات'!$D$2:$D$1001,SUMPRODUCT(('تشخيص الحالات'!$B$2:$B$1001=B266)*('تشخيص الحالات'!$G$2:$G$1001=5)*ROW('تشخيص الحالات'!$B$2:$B$1001))-1),""),"")&amp;IF(SUMPRODUCT(('تشخيص الحالات'!$B$2:$B$1001=B266)*('تشخيص الحالات'!$G$2:$G$1001=6))&gt;0,"، "&amp;IFERROR(INDEX('تشخيص الحالات'!$D$2:$D$1001,SUMPRODUCT(('تشخيص الحالات'!$B$2:$B$1001=B266)*('تشخيص الحالات'!$G$2:$G$1001=6)*ROW('تشخيص الحالات'!$B$2:$B$1001))-1),""),"")&amp;IF(SUMPRODUCT(('تشخيص الحالات'!$B$2:$B$1001=B266)*('تشخيص الحالات'!$G$2:$G$1001=7))&gt;0,"، "&amp;IFERROR(INDEX('تشخيص الحالات'!$D$2:$D$1001,SUMPRODUCT(('تشخيص الحالات'!$B$2:$B$1001=B266)*('تشخيص الحالات'!$G$2:$G$1001=7)*ROW('تشخيص الحالات'!$B$2:$B$1001))-1),""),"")&amp;IF(SUMPRODUCT(('تشخيص الحالات'!$B$2:$B$1001=B266)*('تشخيص الحالات'!$G$2:$G$1001=8))&gt;0,"، "&amp;IFERROR(INDEX('تشخيص الحالات'!$D$2:$D$1001,SUMPRODUCT(('تشخيص الحالات'!$B$2:$B$1001=B266)*('تشخيص الحالات'!$G$2:$G$1001=8)*ROW('تشخيص الحالات'!$B$2:$B$1001))-1),""),"")</f>
        <v/>
      </c>
      <c r="J266" s="1"/>
      <c r="K266" s="1"/>
      <c r="L266" s="1"/>
      <c r="M266" s="1"/>
    </row>
    <row r="267" spans="1:13" x14ac:dyDescent="0.2">
      <c r="A267" s="1"/>
      <c r="B267" s="1"/>
      <c r="C267" s="1"/>
      <c r="D267" s="1"/>
      <c r="E267" s="1"/>
      <c r="F267" s="1"/>
      <c r="G267" s="1"/>
      <c r="H267" s="1"/>
      <c r="I267" t="str">
        <f>IFERROR(INDEX('تشخيص الحالات'!$D$2:$D$1001,SUMPRODUCT(('تشخيص الحالات'!$B$2:$B$1001=B267)*('تشخيص الحالات'!$G$2:$G$1001=1)*ROW('تشخيص الحالات'!$B$2:$B$1001))-1),"")&amp;IF(SUMPRODUCT(('تشخيص الحالات'!$B$2:$B$1001=B267)*('تشخيص الحالات'!$G$2:$G$1001=2))&gt;0,"، "&amp;IFERROR(INDEX('تشخيص الحالات'!$D$2:$D$1001,SUMPRODUCT(('تشخيص الحالات'!$B$2:$B$1001=B267)*('تشخيص الحالات'!$G$2:$G$1001=2)*ROW('تشخيص الحالات'!$B$2:$B$1001))-1),""),"")&amp;IF(SUMPRODUCT(('تشخيص الحالات'!$B$2:$B$1001=B267)*('تشخيص الحالات'!$G$2:$G$1001=3))&gt;0,"، "&amp;IFERROR(INDEX('تشخيص الحالات'!$D$2:$D$1001,SUMPRODUCT(('تشخيص الحالات'!$B$2:$B$1001=B267)*('تشخيص الحالات'!$G$2:$G$1001=3)*ROW('تشخيص الحالات'!$B$2:$B$1001))-1),""),"")&amp;IF(SUMPRODUCT(('تشخيص الحالات'!$B$2:$B$1001=B267)*('تشخيص الحالات'!$G$2:$G$1001=4))&gt;0,"، "&amp;IFERROR(INDEX('تشخيص الحالات'!$D$2:$D$1001,SUMPRODUCT(('تشخيص الحالات'!$B$2:$B$1001=B267)*('تشخيص الحالات'!$G$2:$G$1001=4)*ROW('تشخيص الحالات'!$B$2:$B$1001))-1),""),"")&amp;IF(SUMPRODUCT(('تشخيص الحالات'!$B$2:$B$1001=B267)*('تشخيص الحالات'!$G$2:$G$1001=5))&gt;0,"، "&amp;IFERROR(INDEX('تشخيص الحالات'!$D$2:$D$1001,SUMPRODUCT(('تشخيص الحالات'!$B$2:$B$1001=B267)*('تشخيص الحالات'!$G$2:$G$1001=5)*ROW('تشخيص الحالات'!$B$2:$B$1001))-1),""),"")&amp;IF(SUMPRODUCT(('تشخيص الحالات'!$B$2:$B$1001=B267)*('تشخيص الحالات'!$G$2:$G$1001=6))&gt;0,"، "&amp;IFERROR(INDEX('تشخيص الحالات'!$D$2:$D$1001,SUMPRODUCT(('تشخيص الحالات'!$B$2:$B$1001=B267)*('تشخيص الحالات'!$G$2:$G$1001=6)*ROW('تشخيص الحالات'!$B$2:$B$1001))-1),""),"")&amp;IF(SUMPRODUCT(('تشخيص الحالات'!$B$2:$B$1001=B267)*('تشخيص الحالات'!$G$2:$G$1001=7))&gt;0,"، "&amp;IFERROR(INDEX('تشخيص الحالات'!$D$2:$D$1001,SUMPRODUCT(('تشخيص الحالات'!$B$2:$B$1001=B267)*('تشخيص الحالات'!$G$2:$G$1001=7)*ROW('تشخيص الحالات'!$B$2:$B$1001))-1),""),"")&amp;IF(SUMPRODUCT(('تشخيص الحالات'!$B$2:$B$1001=B267)*('تشخيص الحالات'!$G$2:$G$1001=8))&gt;0,"، "&amp;IFERROR(INDEX('تشخيص الحالات'!$D$2:$D$1001,SUMPRODUCT(('تشخيص الحالات'!$B$2:$B$1001=B267)*('تشخيص الحالات'!$G$2:$G$1001=8)*ROW('تشخيص الحالات'!$B$2:$B$1001))-1),""),"")</f>
        <v/>
      </c>
      <c r="J267" s="1"/>
      <c r="K267" s="1"/>
      <c r="L267" s="1"/>
      <c r="M267" s="1"/>
    </row>
    <row r="268" spans="1:13" x14ac:dyDescent="0.2">
      <c r="A268" s="1"/>
      <c r="B268" s="1"/>
      <c r="C268" s="1"/>
      <c r="D268" s="1"/>
      <c r="E268" s="1"/>
      <c r="F268" s="1"/>
      <c r="G268" s="1"/>
      <c r="H268" s="1"/>
      <c r="I268" t="str">
        <f>IFERROR(INDEX('تشخيص الحالات'!$D$2:$D$1001,SUMPRODUCT(('تشخيص الحالات'!$B$2:$B$1001=B268)*('تشخيص الحالات'!$G$2:$G$1001=1)*ROW('تشخيص الحالات'!$B$2:$B$1001))-1),"")&amp;IF(SUMPRODUCT(('تشخيص الحالات'!$B$2:$B$1001=B268)*('تشخيص الحالات'!$G$2:$G$1001=2))&gt;0,"، "&amp;IFERROR(INDEX('تشخيص الحالات'!$D$2:$D$1001,SUMPRODUCT(('تشخيص الحالات'!$B$2:$B$1001=B268)*('تشخيص الحالات'!$G$2:$G$1001=2)*ROW('تشخيص الحالات'!$B$2:$B$1001))-1),""),"")&amp;IF(SUMPRODUCT(('تشخيص الحالات'!$B$2:$B$1001=B268)*('تشخيص الحالات'!$G$2:$G$1001=3))&gt;0,"، "&amp;IFERROR(INDEX('تشخيص الحالات'!$D$2:$D$1001,SUMPRODUCT(('تشخيص الحالات'!$B$2:$B$1001=B268)*('تشخيص الحالات'!$G$2:$G$1001=3)*ROW('تشخيص الحالات'!$B$2:$B$1001))-1),""),"")&amp;IF(SUMPRODUCT(('تشخيص الحالات'!$B$2:$B$1001=B268)*('تشخيص الحالات'!$G$2:$G$1001=4))&gt;0,"، "&amp;IFERROR(INDEX('تشخيص الحالات'!$D$2:$D$1001,SUMPRODUCT(('تشخيص الحالات'!$B$2:$B$1001=B268)*('تشخيص الحالات'!$G$2:$G$1001=4)*ROW('تشخيص الحالات'!$B$2:$B$1001))-1),""),"")&amp;IF(SUMPRODUCT(('تشخيص الحالات'!$B$2:$B$1001=B268)*('تشخيص الحالات'!$G$2:$G$1001=5))&gt;0,"، "&amp;IFERROR(INDEX('تشخيص الحالات'!$D$2:$D$1001,SUMPRODUCT(('تشخيص الحالات'!$B$2:$B$1001=B268)*('تشخيص الحالات'!$G$2:$G$1001=5)*ROW('تشخيص الحالات'!$B$2:$B$1001))-1),""),"")&amp;IF(SUMPRODUCT(('تشخيص الحالات'!$B$2:$B$1001=B268)*('تشخيص الحالات'!$G$2:$G$1001=6))&gt;0,"، "&amp;IFERROR(INDEX('تشخيص الحالات'!$D$2:$D$1001,SUMPRODUCT(('تشخيص الحالات'!$B$2:$B$1001=B268)*('تشخيص الحالات'!$G$2:$G$1001=6)*ROW('تشخيص الحالات'!$B$2:$B$1001))-1),""),"")&amp;IF(SUMPRODUCT(('تشخيص الحالات'!$B$2:$B$1001=B268)*('تشخيص الحالات'!$G$2:$G$1001=7))&gt;0,"، "&amp;IFERROR(INDEX('تشخيص الحالات'!$D$2:$D$1001,SUMPRODUCT(('تشخيص الحالات'!$B$2:$B$1001=B268)*('تشخيص الحالات'!$G$2:$G$1001=7)*ROW('تشخيص الحالات'!$B$2:$B$1001))-1),""),"")&amp;IF(SUMPRODUCT(('تشخيص الحالات'!$B$2:$B$1001=B268)*('تشخيص الحالات'!$G$2:$G$1001=8))&gt;0,"، "&amp;IFERROR(INDEX('تشخيص الحالات'!$D$2:$D$1001,SUMPRODUCT(('تشخيص الحالات'!$B$2:$B$1001=B268)*('تشخيص الحالات'!$G$2:$G$1001=8)*ROW('تشخيص الحالات'!$B$2:$B$1001))-1),""),"")</f>
        <v/>
      </c>
      <c r="J268" s="1"/>
      <c r="K268" s="1"/>
      <c r="L268" s="1"/>
      <c r="M268" s="1"/>
    </row>
    <row r="269" spans="1:13" x14ac:dyDescent="0.2">
      <c r="A269" s="1"/>
      <c r="B269" s="1"/>
      <c r="C269" s="1"/>
      <c r="D269" s="1"/>
      <c r="E269" s="1"/>
      <c r="F269" s="1"/>
      <c r="G269" s="1"/>
      <c r="H269" s="1"/>
      <c r="I269" t="str">
        <f>IFERROR(INDEX('تشخيص الحالات'!$D$2:$D$1001,SUMPRODUCT(('تشخيص الحالات'!$B$2:$B$1001=B269)*('تشخيص الحالات'!$G$2:$G$1001=1)*ROW('تشخيص الحالات'!$B$2:$B$1001))-1),"")&amp;IF(SUMPRODUCT(('تشخيص الحالات'!$B$2:$B$1001=B269)*('تشخيص الحالات'!$G$2:$G$1001=2))&gt;0,"، "&amp;IFERROR(INDEX('تشخيص الحالات'!$D$2:$D$1001,SUMPRODUCT(('تشخيص الحالات'!$B$2:$B$1001=B269)*('تشخيص الحالات'!$G$2:$G$1001=2)*ROW('تشخيص الحالات'!$B$2:$B$1001))-1),""),"")&amp;IF(SUMPRODUCT(('تشخيص الحالات'!$B$2:$B$1001=B269)*('تشخيص الحالات'!$G$2:$G$1001=3))&gt;0,"، "&amp;IFERROR(INDEX('تشخيص الحالات'!$D$2:$D$1001,SUMPRODUCT(('تشخيص الحالات'!$B$2:$B$1001=B269)*('تشخيص الحالات'!$G$2:$G$1001=3)*ROW('تشخيص الحالات'!$B$2:$B$1001))-1),""),"")&amp;IF(SUMPRODUCT(('تشخيص الحالات'!$B$2:$B$1001=B269)*('تشخيص الحالات'!$G$2:$G$1001=4))&gt;0,"، "&amp;IFERROR(INDEX('تشخيص الحالات'!$D$2:$D$1001,SUMPRODUCT(('تشخيص الحالات'!$B$2:$B$1001=B269)*('تشخيص الحالات'!$G$2:$G$1001=4)*ROW('تشخيص الحالات'!$B$2:$B$1001))-1),""),"")&amp;IF(SUMPRODUCT(('تشخيص الحالات'!$B$2:$B$1001=B269)*('تشخيص الحالات'!$G$2:$G$1001=5))&gt;0,"، "&amp;IFERROR(INDEX('تشخيص الحالات'!$D$2:$D$1001,SUMPRODUCT(('تشخيص الحالات'!$B$2:$B$1001=B269)*('تشخيص الحالات'!$G$2:$G$1001=5)*ROW('تشخيص الحالات'!$B$2:$B$1001))-1),""),"")&amp;IF(SUMPRODUCT(('تشخيص الحالات'!$B$2:$B$1001=B269)*('تشخيص الحالات'!$G$2:$G$1001=6))&gt;0,"، "&amp;IFERROR(INDEX('تشخيص الحالات'!$D$2:$D$1001,SUMPRODUCT(('تشخيص الحالات'!$B$2:$B$1001=B269)*('تشخيص الحالات'!$G$2:$G$1001=6)*ROW('تشخيص الحالات'!$B$2:$B$1001))-1),""),"")&amp;IF(SUMPRODUCT(('تشخيص الحالات'!$B$2:$B$1001=B269)*('تشخيص الحالات'!$G$2:$G$1001=7))&gt;0,"، "&amp;IFERROR(INDEX('تشخيص الحالات'!$D$2:$D$1001,SUMPRODUCT(('تشخيص الحالات'!$B$2:$B$1001=B269)*('تشخيص الحالات'!$G$2:$G$1001=7)*ROW('تشخيص الحالات'!$B$2:$B$1001))-1),""),"")&amp;IF(SUMPRODUCT(('تشخيص الحالات'!$B$2:$B$1001=B269)*('تشخيص الحالات'!$G$2:$G$1001=8))&gt;0,"، "&amp;IFERROR(INDEX('تشخيص الحالات'!$D$2:$D$1001,SUMPRODUCT(('تشخيص الحالات'!$B$2:$B$1001=B269)*('تشخيص الحالات'!$G$2:$G$1001=8)*ROW('تشخيص الحالات'!$B$2:$B$1001))-1),""),"")</f>
        <v/>
      </c>
      <c r="J269" s="1"/>
      <c r="K269" s="1"/>
      <c r="L269" s="1"/>
      <c r="M269" s="1"/>
    </row>
    <row r="270" spans="1:13" x14ac:dyDescent="0.2">
      <c r="A270" s="1"/>
      <c r="B270" s="1"/>
      <c r="C270" s="1"/>
      <c r="D270" s="1"/>
      <c r="E270" s="1"/>
      <c r="F270" s="1"/>
      <c r="G270" s="1"/>
      <c r="H270" s="1"/>
      <c r="I270" t="str">
        <f>IFERROR(INDEX('تشخيص الحالات'!$D$2:$D$1001,SUMPRODUCT(('تشخيص الحالات'!$B$2:$B$1001=B270)*('تشخيص الحالات'!$G$2:$G$1001=1)*ROW('تشخيص الحالات'!$B$2:$B$1001))-1),"")&amp;IF(SUMPRODUCT(('تشخيص الحالات'!$B$2:$B$1001=B270)*('تشخيص الحالات'!$G$2:$G$1001=2))&gt;0,"، "&amp;IFERROR(INDEX('تشخيص الحالات'!$D$2:$D$1001,SUMPRODUCT(('تشخيص الحالات'!$B$2:$B$1001=B270)*('تشخيص الحالات'!$G$2:$G$1001=2)*ROW('تشخيص الحالات'!$B$2:$B$1001))-1),""),"")&amp;IF(SUMPRODUCT(('تشخيص الحالات'!$B$2:$B$1001=B270)*('تشخيص الحالات'!$G$2:$G$1001=3))&gt;0,"، "&amp;IFERROR(INDEX('تشخيص الحالات'!$D$2:$D$1001,SUMPRODUCT(('تشخيص الحالات'!$B$2:$B$1001=B270)*('تشخيص الحالات'!$G$2:$G$1001=3)*ROW('تشخيص الحالات'!$B$2:$B$1001))-1),""),"")&amp;IF(SUMPRODUCT(('تشخيص الحالات'!$B$2:$B$1001=B270)*('تشخيص الحالات'!$G$2:$G$1001=4))&gt;0,"، "&amp;IFERROR(INDEX('تشخيص الحالات'!$D$2:$D$1001,SUMPRODUCT(('تشخيص الحالات'!$B$2:$B$1001=B270)*('تشخيص الحالات'!$G$2:$G$1001=4)*ROW('تشخيص الحالات'!$B$2:$B$1001))-1),""),"")&amp;IF(SUMPRODUCT(('تشخيص الحالات'!$B$2:$B$1001=B270)*('تشخيص الحالات'!$G$2:$G$1001=5))&gt;0,"، "&amp;IFERROR(INDEX('تشخيص الحالات'!$D$2:$D$1001,SUMPRODUCT(('تشخيص الحالات'!$B$2:$B$1001=B270)*('تشخيص الحالات'!$G$2:$G$1001=5)*ROW('تشخيص الحالات'!$B$2:$B$1001))-1),""),"")&amp;IF(SUMPRODUCT(('تشخيص الحالات'!$B$2:$B$1001=B270)*('تشخيص الحالات'!$G$2:$G$1001=6))&gt;0,"، "&amp;IFERROR(INDEX('تشخيص الحالات'!$D$2:$D$1001,SUMPRODUCT(('تشخيص الحالات'!$B$2:$B$1001=B270)*('تشخيص الحالات'!$G$2:$G$1001=6)*ROW('تشخيص الحالات'!$B$2:$B$1001))-1),""),"")&amp;IF(SUMPRODUCT(('تشخيص الحالات'!$B$2:$B$1001=B270)*('تشخيص الحالات'!$G$2:$G$1001=7))&gt;0,"، "&amp;IFERROR(INDEX('تشخيص الحالات'!$D$2:$D$1001,SUMPRODUCT(('تشخيص الحالات'!$B$2:$B$1001=B270)*('تشخيص الحالات'!$G$2:$G$1001=7)*ROW('تشخيص الحالات'!$B$2:$B$1001))-1),""),"")&amp;IF(SUMPRODUCT(('تشخيص الحالات'!$B$2:$B$1001=B270)*('تشخيص الحالات'!$G$2:$G$1001=8))&gt;0,"، "&amp;IFERROR(INDEX('تشخيص الحالات'!$D$2:$D$1001,SUMPRODUCT(('تشخيص الحالات'!$B$2:$B$1001=B270)*('تشخيص الحالات'!$G$2:$G$1001=8)*ROW('تشخيص الحالات'!$B$2:$B$1001))-1),""),"")</f>
        <v/>
      </c>
      <c r="J270" s="1"/>
      <c r="K270" s="1"/>
      <c r="L270" s="1"/>
      <c r="M270" s="1"/>
    </row>
    <row r="271" spans="1:13" x14ac:dyDescent="0.2">
      <c r="A271" s="1"/>
      <c r="B271" s="1"/>
      <c r="C271" s="1"/>
      <c r="D271" s="1"/>
      <c r="E271" s="1"/>
      <c r="F271" s="1"/>
      <c r="G271" s="1"/>
      <c r="H271" s="1"/>
      <c r="I271" t="str">
        <f>IFERROR(INDEX('تشخيص الحالات'!$D$2:$D$1001,SUMPRODUCT(('تشخيص الحالات'!$B$2:$B$1001=B271)*('تشخيص الحالات'!$G$2:$G$1001=1)*ROW('تشخيص الحالات'!$B$2:$B$1001))-1),"")&amp;IF(SUMPRODUCT(('تشخيص الحالات'!$B$2:$B$1001=B271)*('تشخيص الحالات'!$G$2:$G$1001=2))&gt;0,"، "&amp;IFERROR(INDEX('تشخيص الحالات'!$D$2:$D$1001,SUMPRODUCT(('تشخيص الحالات'!$B$2:$B$1001=B271)*('تشخيص الحالات'!$G$2:$G$1001=2)*ROW('تشخيص الحالات'!$B$2:$B$1001))-1),""),"")&amp;IF(SUMPRODUCT(('تشخيص الحالات'!$B$2:$B$1001=B271)*('تشخيص الحالات'!$G$2:$G$1001=3))&gt;0,"، "&amp;IFERROR(INDEX('تشخيص الحالات'!$D$2:$D$1001,SUMPRODUCT(('تشخيص الحالات'!$B$2:$B$1001=B271)*('تشخيص الحالات'!$G$2:$G$1001=3)*ROW('تشخيص الحالات'!$B$2:$B$1001))-1),""),"")&amp;IF(SUMPRODUCT(('تشخيص الحالات'!$B$2:$B$1001=B271)*('تشخيص الحالات'!$G$2:$G$1001=4))&gt;0,"، "&amp;IFERROR(INDEX('تشخيص الحالات'!$D$2:$D$1001,SUMPRODUCT(('تشخيص الحالات'!$B$2:$B$1001=B271)*('تشخيص الحالات'!$G$2:$G$1001=4)*ROW('تشخيص الحالات'!$B$2:$B$1001))-1),""),"")&amp;IF(SUMPRODUCT(('تشخيص الحالات'!$B$2:$B$1001=B271)*('تشخيص الحالات'!$G$2:$G$1001=5))&gt;0,"، "&amp;IFERROR(INDEX('تشخيص الحالات'!$D$2:$D$1001,SUMPRODUCT(('تشخيص الحالات'!$B$2:$B$1001=B271)*('تشخيص الحالات'!$G$2:$G$1001=5)*ROW('تشخيص الحالات'!$B$2:$B$1001))-1),""),"")&amp;IF(SUMPRODUCT(('تشخيص الحالات'!$B$2:$B$1001=B271)*('تشخيص الحالات'!$G$2:$G$1001=6))&gt;0,"، "&amp;IFERROR(INDEX('تشخيص الحالات'!$D$2:$D$1001,SUMPRODUCT(('تشخيص الحالات'!$B$2:$B$1001=B271)*('تشخيص الحالات'!$G$2:$G$1001=6)*ROW('تشخيص الحالات'!$B$2:$B$1001))-1),""),"")&amp;IF(SUMPRODUCT(('تشخيص الحالات'!$B$2:$B$1001=B271)*('تشخيص الحالات'!$G$2:$G$1001=7))&gt;0,"، "&amp;IFERROR(INDEX('تشخيص الحالات'!$D$2:$D$1001,SUMPRODUCT(('تشخيص الحالات'!$B$2:$B$1001=B271)*('تشخيص الحالات'!$G$2:$G$1001=7)*ROW('تشخيص الحالات'!$B$2:$B$1001))-1),""),"")&amp;IF(SUMPRODUCT(('تشخيص الحالات'!$B$2:$B$1001=B271)*('تشخيص الحالات'!$G$2:$G$1001=8))&gt;0,"، "&amp;IFERROR(INDEX('تشخيص الحالات'!$D$2:$D$1001,SUMPRODUCT(('تشخيص الحالات'!$B$2:$B$1001=B271)*('تشخيص الحالات'!$G$2:$G$1001=8)*ROW('تشخيص الحالات'!$B$2:$B$1001))-1),""),"")</f>
        <v/>
      </c>
      <c r="J271" s="1"/>
      <c r="K271" s="1"/>
      <c r="L271" s="1"/>
      <c r="M271" s="1"/>
    </row>
    <row r="272" spans="1:13" x14ac:dyDescent="0.2">
      <c r="A272" s="1"/>
      <c r="B272" s="1"/>
      <c r="C272" s="1"/>
      <c r="D272" s="1"/>
      <c r="E272" s="1"/>
      <c r="F272" s="1"/>
      <c r="G272" s="1"/>
      <c r="H272" s="1"/>
      <c r="I272" t="str">
        <f>IFERROR(INDEX('تشخيص الحالات'!$D$2:$D$1001,SUMPRODUCT(('تشخيص الحالات'!$B$2:$B$1001=B272)*('تشخيص الحالات'!$G$2:$G$1001=1)*ROW('تشخيص الحالات'!$B$2:$B$1001))-1),"")&amp;IF(SUMPRODUCT(('تشخيص الحالات'!$B$2:$B$1001=B272)*('تشخيص الحالات'!$G$2:$G$1001=2))&gt;0,"، "&amp;IFERROR(INDEX('تشخيص الحالات'!$D$2:$D$1001,SUMPRODUCT(('تشخيص الحالات'!$B$2:$B$1001=B272)*('تشخيص الحالات'!$G$2:$G$1001=2)*ROW('تشخيص الحالات'!$B$2:$B$1001))-1),""),"")&amp;IF(SUMPRODUCT(('تشخيص الحالات'!$B$2:$B$1001=B272)*('تشخيص الحالات'!$G$2:$G$1001=3))&gt;0,"، "&amp;IFERROR(INDEX('تشخيص الحالات'!$D$2:$D$1001,SUMPRODUCT(('تشخيص الحالات'!$B$2:$B$1001=B272)*('تشخيص الحالات'!$G$2:$G$1001=3)*ROW('تشخيص الحالات'!$B$2:$B$1001))-1),""),"")&amp;IF(SUMPRODUCT(('تشخيص الحالات'!$B$2:$B$1001=B272)*('تشخيص الحالات'!$G$2:$G$1001=4))&gt;0,"، "&amp;IFERROR(INDEX('تشخيص الحالات'!$D$2:$D$1001,SUMPRODUCT(('تشخيص الحالات'!$B$2:$B$1001=B272)*('تشخيص الحالات'!$G$2:$G$1001=4)*ROW('تشخيص الحالات'!$B$2:$B$1001))-1),""),"")&amp;IF(SUMPRODUCT(('تشخيص الحالات'!$B$2:$B$1001=B272)*('تشخيص الحالات'!$G$2:$G$1001=5))&gt;0,"، "&amp;IFERROR(INDEX('تشخيص الحالات'!$D$2:$D$1001,SUMPRODUCT(('تشخيص الحالات'!$B$2:$B$1001=B272)*('تشخيص الحالات'!$G$2:$G$1001=5)*ROW('تشخيص الحالات'!$B$2:$B$1001))-1),""),"")&amp;IF(SUMPRODUCT(('تشخيص الحالات'!$B$2:$B$1001=B272)*('تشخيص الحالات'!$G$2:$G$1001=6))&gt;0,"، "&amp;IFERROR(INDEX('تشخيص الحالات'!$D$2:$D$1001,SUMPRODUCT(('تشخيص الحالات'!$B$2:$B$1001=B272)*('تشخيص الحالات'!$G$2:$G$1001=6)*ROW('تشخيص الحالات'!$B$2:$B$1001))-1),""),"")&amp;IF(SUMPRODUCT(('تشخيص الحالات'!$B$2:$B$1001=B272)*('تشخيص الحالات'!$G$2:$G$1001=7))&gt;0,"، "&amp;IFERROR(INDEX('تشخيص الحالات'!$D$2:$D$1001,SUMPRODUCT(('تشخيص الحالات'!$B$2:$B$1001=B272)*('تشخيص الحالات'!$G$2:$G$1001=7)*ROW('تشخيص الحالات'!$B$2:$B$1001))-1),""),"")&amp;IF(SUMPRODUCT(('تشخيص الحالات'!$B$2:$B$1001=B272)*('تشخيص الحالات'!$G$2:$G$1001=8))&gt;0,"، "&amp;IFERROR(INDEX('تشخيص الحالات'!$D$2:$D$1001,SUMPRODUCT(('تشخيص الحالات'!$B$2:$B$1001=B272)*('تشخيص الحالات'!$G$2:$G$1001=8)*ROW('تشخيص الحالات'!$B$2:$B$1001))-1),""),"")</f>
        <v/>
      </c>
      <c r="J272" s="1"/>
      <c r="K272" s="1"/>
      <c r="L272" s="1"/>
      <c r="M272" s="1"/>
    </row>
    <row r="273" spans="1:13" x14ac:dyDescent="0.2">
      <c r="A273" s="1"/>
      <c r="B273" s="1"/>
      <c r="C273" s="1"/>
      <c r="D273" s="1"/>
      <c r="E273" s="1"/>
      <c r="F273" s="1"/>
      <c r="G273" s="1"/>
      <c r="H273" s="1"/>
      <c r="I273" t="str">
        <f>IFERROR(INDEX('تشخيص الحالات'!$D$2:$D$1001,SUMPRODUCT(('تشخيص الحالات'!$B$2:$B$1001=B273)*('تشخيص الحالات'!$G$2:$G$1001=1)*ROW('تشخيص الحالات'!$B$2:$B$1001))-1),"")&amp;IF(SUMPRODUCT(('تشخيص الحالات'!$B$2:$B$1001=B273)*('تشخيص الحالات'!$G$2:$G$1001=2))&gt;0,"، "&amp;IFERROR(INDEX('تشخيص الحالات'!$D$2:$D$1001,SUMPRODUCT(('تشخيص الحالات'!$B$2:$B$1001=B273)*('تشخيص الحالات'!$G$2:$G$1001=2)*ROW('تشخيص الحالات'!$B$2:$B$1001))-1),""),"")&amp;IF(SUMPRODUCT(('تشخيص الحالات'!$B$2:$B$1001=B273)*('تشخيص الحالات'!$G$2:$G$1001=3))&gt;0,"، "&amp;IFERROR(INDEX('تشخيص الحالات'!$D$2:$D$1001,SUMPRODUCT(('تشخيص الحالات'!$B$2:$B$1001=B273)*('تشخيص الحالات'!$G$2:$G$1001=3)*ROW('تشخيص الحالات'!$B$2:$B$1001))-1),""),"")&amp;IF(SUMPRODUCT(('تشخيص الحالات'!$B$2:$B$1001=B273)*('تشخيص الحالات'!$G$2:$G$1001=4))&gt;0,"، "&amp;IFERROR(INDEX('تشخيص الحالات'!$D$2:$D$1001,SUMPRODUCT(('تشخيص الحالات'!$B$2:$B$1001=B273)*('تشخيص الحالات'!$G$2:$G$1001=4)*ROW('تشخيص الحالات'!$B$2:$B$1001))-1),""),"")&amp;IF(SUMPRODUCT(('تشخيص الحالات'!$B$2:$B$1001=B273)*('تشخيص الحالات'!$G$2:$G$1001=5))&gt;0,"، "&amp;IFERROR(INDEX('تشخيص الحالات'!$D$2:$D$1001,SUMPRODUCT(('تشخيص الحالات'!$B$2:$B$1001=B273)*('تشخيص الحالات'!$G$2:$G$1001=5)*ROW('تشخيص الحالات'!$B$2:$B$1001))-1),""),"")&amp;IF(SUMPRODUCT(('تشخيص الحالات'!$B$2:$B$1001=B273)*('تشخيص الحالات'!$G$2:$G$1001=6))&gt;0,"، "&amp;IFERROR(INDEX('تشخيص الحالات'!$D$2:$D$1001,SUMPRODUCT(('تشخيص الحالات'!$B$2:$B$1001=B273)*('تشخيص الحالات'!$G$2:$G$1001=6)*ROW('تشخيص الحالات'!$B$2:$B$1001))-1),""),"")&amp;IF(SUMPRODUCT(('تشخيص الحالات'!$B$2:$B$1001=B273)*('تشخيص الحالات'!$G$2:$G$1001=7))&gt;0,"، "&amp;IFERROR(INDEX('تشخيص الحالات'!$D$2:$D$1001,SUMPRODUCT(('تشخيص الحالات'!$B$2:$B$1001=B273)*('تشخيص الحالات'!$G$2:$G$1001=7)*ROW('تشخيص الحالات'!$B$2:$B$1001))-1),""),"")&amp;IF(SUMPRODUCT(('تشخيص الحالات'!$B$2:$B$1001=B273)*('تشخيص الحالات'!$G$2:$G$1001=8))&gt;0,"، "&amp;IFERROR(INDEX('تشخيص الحالات'!$D$2:$D$1001,SUMPRODUCT(('تشخيص الحالات'!$B$2:$B$1001=B273)*('تشخيص الحالات'!$G$2:$G$1001=8)*ROW('تشخيص الحالات'!$B$2:$B$1001))-1),""),"")</f>
        <v/>
      </c>
      <c r="J273" s="1"/>
      <c r="K273" s="1"/>
      <c r="L273" s="1"/>
      <c r="M273" s="1"/>
    </row>
    <row r="274" spans="1:13" x14ac:dyDescent="0.2">
      <c r="A274" s="1"/>
      <c r="B274" s="1"/>
      <c r="C274" s="1"/>
      <c r="D274" s="1"/>
      <c r="E274" s="1"/>
      <c r="F274" s="1"/>
      <c r="G274" s="1"/>
      <c r="H274" s="1"/>
      <c r="I274" t="str">
        <f>IFERROR(INDEX('تشخيص الحالات'!$D$2:$D$1001,SUMPRODUCT(('تشخيص الحالات'!$B$2:$B$1001=B274)*('تشخيص الحالات'!$G$2:$G$1001=1)*ROW('تشخيص الحالات'!$B$2:$B$1001))-1),"")&amp;IF(SUMPRODUCT(('تشخيص الحالات'!$B$2:$B$1001=B274)*('تشخيص الحالات'!$G$2:$G$1001=2))&gt;0,"، "&amp;IFERROR(INDEX('تشخيص الحالات'!$D$2:$D$1001,SUMPRODUCT(('تشخيص الحالات'!$B$2:$B$1001=B274)*('تشخيص الحالات'!$G$2:$G$1001=2)*ROW('تشخيص الحالات'!$B$2:$B$1001))-1),""),"")&amp;IF(SUMPRODUCT(('تشخيص الحالات'!$B$2:$B$1001=B274)*('تشخيص الحالات'!$G$2:$G$1001=3))&gt;0,"، "&amp;IFERROR(INDEX('تشخيص الحالات'!$D$2:$D$1001,SUMPRODUCT(('تشخيص الحالات'!$B$2:$B$1001=B274)*('تشخيص الحالات'!$G$2:$G$1001=3)*ROW('تشخيص الحالات'!$B$2:$B$1001))-1),""),"")&amp;IF(SUMPRODUCT(('تشخيص الحالات'!$B$2:$B$1001=B274)*('تشخيص الحالات'!$G$2:$G$1001=4))&gt;0,"، "&amp;IFERROR(INDEX('تشخيص الحالات'!$D$2:$D$1001,SUMPRODUCT(('تشخيص الحالات'!$B$2:$B$1001=B274)*('تشخيص الحالات'!$G$2:$G$1001=4)*ROW('تشخيص الحالات'!$B$2:$B$1001))-1),""),"")&amp;IF(SUMPRODUCT(('تشخيص الحالات'!$B$2:$B$1001=B274)*('تشخيص الحالات'!$G$2:$G$1001=5))&gt;0,"، "&amp;IFERROR(INDEX('تشخيص الحالات'!$D$2:$D$1001,SUMPRODUCT(('تشخيص الحالات'!$B$2:$B$1001=B274)*('تشخيص الحالات'!$G$2:$G$1001=5)*ROW('تشخيص الحالات'!$B$2:$B$1001))-1),""),"")&amp;IF(SUMPRODUCT(('تشخيص الحالات'!$B$2:$B$1001=B274)*('تشخيص الحالات'!$G$2:$G$1001=6))&gt;0,"، "&amp;IFERROR(INDEX('تشخيص الحالات'!$D$2:$D$1001,SUMPRODUCT(('تشخيص الحالات'!$B$2:$B$1001=B274)*('تشخيص الحالات'!$G$2:$G$1001=6)*ROW('تشخيص الحالات'!$B$2:$B$1001))-1),""),"")&amp;IF(SUMPRODUCT(('تشخيص الحالات'!$B$2:$B$1001=B274)*('تشخيص الحالات'!$G$2:$G$1001=7))&gt;0,"، "&amp;IFERROR(INDEX('تشخيص الحالات'!$D$2:$D$1001,SUMPRODUCT(('تشخيص الحالات'!$B$2:$B$1001=B274)*('تشخيص الحالات'!$G$2:$G$1001=7)*ROW('تشخيص الحالات'!$B$2:$B$1001))-1),""),"")&amp;IF(SUMPRODUCT(('تشخيص الحالات'!$B$2:$B$1001=B274)*('تشخيص الحالات'!$G$2:$G$1001=8))&gt;0,"، "&amp;IFERROR(INDEX('تشخيص الحالات'!$D$2:$D$1001,SUMPRODUCT(('تشخيص الحالات'!$B$2:$B$1001=B274)*('تشخيص الحالات'!$G$2:$G$1001=8)*ROW('تشخيص الحالات'!$B$2:$B$1001))-1),""),"")</f>
        <v/>
      </c>
      <c r="J274" s="1"/>
      <c r="K274" s="1"/>
      <c r="L274" s="1"/>
      <c r="M274" s="1"/>
    </row>
    <row r="275" spans="1:13" x14ac:dyDescent="0.2">
      <c r="A275" s="1"/>
      <c r="B275" s="1"/>
      <c r="C275" s="1"/>
      <c r="D275" s="1"/>
      <c r="E275" s="1"/>
      <c r="F275" s="1"/>
      <c r="G275" s="1"/>
      <c r="H275" s="1"/>
      <c r="I275" t="str">
        <f>IFERROR(INDEX('تشخيص الحالات'!$D$2:$D$1001,SUMPRODUCT(('تشخيص الحالات'!$B$2:$B$1001=B275)*('تشخيص الحالات'!$G$2:$G$1001=1)*ROW('تشخيص الحالات'!$B$2:$B$1001))-1),"")&amp;IF(SUMPRODUCT(('تشخيص الحالات'!$B$2:$B$1001=B275)*('تشخيص الحالات'!$G$2:$G$1001=2))&gt;0,"، "&amp;IFERROR(INDEX('تشخيص الحالات'!$D$2:$D$1001,SUMPRODUCT(('تشخيص الحالات'!$B$2:$B$1001=B275)*('تشخيص الحالات'!$G$2:$G$1001=2)*ROW('تشخيص الحالات'!$B$2:$B$1001))-1),""),"")&amp;IF(SUMPRODUCT(('تشخيص الحالات'!$B$2:$B$1001=B275)*('تشخيص الحالات'!$G$2:$G$1001=3))&gt;0,"، "&amp;IFERROR(INDEX('تشخيص الحالات'!$D$2:$D$1001,SUMPRODUCT(('تشخيص الحالات'!$B$2:$B$1001=B275)*('تشخيص الحالات'!$G$2:$G$1001=3)*ROW('تشخيص الحالات'!$B$2:$B$1001))-1),""),"")&amp;IF(SUMPRODUCT(('تشخيص الحالات'!$B$2:$B$1001=B275)*('تشخيص الحالات'!$G$2:$G$1001=4))&gt;0,"، "&amp;IFERROR(INDEX('تشخيص الحالات'!$D$2:$D$1001,SUMPRODUCT(('تشخيص الحالات'!$B$2:$B$1001=B275)*('تشخيص الحالات'!$G$2:$G$1001=4)*ROW('تشخيص الحالات'!$B$2:$B$1001))-1),""),"")&amp;IF(SUMPRODUCT(('تشخيص الحالات'!$B$2:$B$1001=B275)*('تشخيص الحالات'!$G$2:$G$1001=5))&gt;0,"، "&amp;IFERROR(INDEX('تشخيص الحالات'!$D$2:$D$1001,SUMPRODUCT(('تشخيص الحالات'!$B$2:$B$1001=B275)*('تشخيص الحالات'!$G$2:$G$1001=5)*ROW('تشخيص الحالات'!$B$2:$B$1001))-1),""),"")&amp;IF(SUMPRODUCT(('تشخيص الحالات'!$B$2:$B$1001=B275)*('تشخيص الحالات'!$G$2:$G$1001=6))&gt;0,"، "&amp;IFERROR(INDEX('تشخيص الحالات'!$D$2:$D$1001,SUMPRODUCT(('تشخيص الحالات'!$B$2:$B$1001=B275)*('تشخيص الحالات'!$G$2:$G$1001=6)*ROW('تشخيص الحالات'!$B$2:$B$1001))-1),""),"")&amp;IF(SUMPRODUCT(('تشخيص الحالات'!$B$2:$B$1001=B275)*('تشخيص الحالات'!$G$2:$G$1001=7))&gt;0,"، "&amp;IFERROR(INDEX('تشخيص الحالات'!$D$2:$D$1001,SUMPRODUCT(('تشخيص الحالات'!$B$2:$B$1001=B275)*('تشخيص الحالات'!$G$2:$G$1001=7)*ROW('تشخيص الحالات'!$B$2:$B$1001))-1),""),"")&amp;IF(SUMPRODUCT(('تشخيص الحالات'!$B$2:$B$1001=B275)*('تشخيص الحالات'!$G$2:$G$1001=8))&gt;0,"، "&amp;IFERROR(INDEX('تشخيص الحالات'!$D$2:$D$1001,SUMPRODUCT(('تشخيص الحالات'!$B$2:$B$1001=B275)*('تشخيص الحالات'!$G$2:$G$1001=8)*ROW('تشخيص الحالات'!$B$2:$B$1001))-1),""),"")</f>
        <v/>
      </c>
      <c r="J275" s="1"/>
      <c r="K275" s="1"/>
      <c r="L275" s="1"/>
      <c r="M275" s="1"/>
    </row>
    <row r="276" spans="1:13" x14ac:dyDescent="0.2">
      <c r="A276" s="1"/>
      <c r="B276" s="1"/>
      <c r="C276" s="1"/>
      <c r="D276" s="1"/>
      <c r="E276" s="1"/>
      <c r="F276" s="1"/>
      <c r="G276" s="1"/>
      <c r="H276" s="1"/>
      <c r="I276" t="str">
        <f>IFERROR(INDEX('تشخيص الحالات'!$D$2:$D$1001,SUMPRODUCT(('تشخيص الحالات'!$B$2:$B$1001=B276)*('تشخيص الحالات'!$G$2:$G$1001=1)*ROW('تشخيص الحالات'!$B$2:$B$1001))-1),"")&amp;IF(SUMPRODUCT(('تشخيص الحالات'!$B$2:$B$1001=B276)*('تشخيص الحالات'!$G$2:$G$1001=2))&gt;0,"، "&amp;IFERROR(INDEX('تشخيص الحالات'!$D$2:$D$1001,SUMPRODUCT(('تشخيص الحالات'!$B$2:$B$1001=B276)*('تشخيص الحالات'!$G$2:$G$1001=2)*ROW('تشخيص الحالات'!$B$2:$B$1001))-1),""),"")&amp;IF(SUMPRODUCT(('تشخيص الحالات'!$B$2:$B$1001=B276)*('تشخيص الحالات'!$G$2:$G$1001=3))&gt;0,"، "&amp;IFERROR(INDEX('تشخيص الحالات'!$D$2:$D$1001,SUMPRODUCT(('تشخيص الحالات'!$B$2:$B$1001=B276)*('تشخيص الحالات'!$G$2:$G$1001=3)*ROW('تشخيص الحالات'!$B$2:$B$1001))-1),""),"")&amp;IF(SUMPRODUCT(('تشخيص الحالات'!$B$2:$B$1001=B276)*('تشخيص الحالات'!$G$2:$G$1001=4))&gt;0,"، "&amp;IFERROR(INDEX('تشخيص الحالات'!$D$2:$D$1001,SUMPRODUCT(('تشخيص الحالات'!$B$2:$B$1001=B276)*('تشخيص الحالات'!$G$2:$G$1001=4)*ROW('تشخيص الحالات'!$B$2:$B$1001))-1),""),"")&amp;IF(SUMPRODUCT(('تشخيص الحالات'!$B$2:$B$1001=B276)*('تشخيص الحالات'!$G$2:$G$1001=5))&gt;0,"، "&amp;IFERROR(INDEX('تشخيص الحالات'!$D$2:$D$1001,SUMPRODUCT(('تشخيص الحالات'!$B$2:$B$1001=B276)*('تشخيص الحالات'!$G$2:$G$1001=5)*ROW('تشخيص الحالات'!$B$2:$B$1001))-1),""),"")&amp;IF(SUMPRODUCT(('تشخيص الحالات'!$B$2:$B$1001=B276)*('تشخيص الحالات'!$G$2:$G$1001=6))&gt;0,"، "&amp;IFERROR(INDEX('تشخيص الحالات'!$D$2:$D$1001,SUMPRODUCT(('تشخيص الحالات'!$B$2:$B$1001=B276)*('تشخيص الحالات'!$G$2:$G$1001=6)*ROW('تشخيص الحالات'!$B$2:$B$1001))-1),""),"")&amp;IF(SUMPRODUCT(('تشخيص الحالات'!$B$2:$B$1001=B276)*('تشخيص الحالات'!$G$2:$G$1001=7))&gt;0,"، "&amp;IFERROR(INDEX('تشخيص الحالات'!$D$2:$D$1001,SUMPRODUCT(('تشخيص الحالات'!$B$2:$B$1001=B276)*('تشخيص الحالات'!$G$2:$G$1001=7)*ROW('تشخيص الحالات'!$B$2:$B$1001))-1),""),"")&amp;IF(SUMPRODUCT(('تشخيص الحالات'!$B$2:$B$1001=B276)*('تشخيص الحالات'!$G$2:$G$1001=8))&gt;0,"، "&amp;IFERROR(INDEX('تشخيص الحالات'!$D$2:$D$1001,SUMPRODUCT(('تشخيص الحالات'!$B$2:$B$1001=B276)*('تشخيص الحالات'!$G$2:$G$1001=8)*ROW('تشخيص الحالات'!$B$2:$B$1001))-1),""),"")</f>
        <v/>
      </c>
      <c r="J276" s="1"/>
      <c r="K276" s="1"/>
      <c r="L276" s="1"/>
      <c r="M276" s="1"/>
    </row>
    <row r="277" spans="1:13" x14ac:dyDescent="0.2">
      <c r="A277" s="1"/>
      <c r="B277" s="1"/>
      <c r="C277" s="1"/>
      <c r="D277" s="1"/>
      <c r="E277" s="1"/>
      <c r="F277" s="1"/>
      <c r="G277" s="1"/>
      <c r="H277" s="1"/>
      <c r="I277" t="str">
        <f>IFERROR(INDEX('تشخيص الحالات'!$D$2:$D$1001,SUMPRODUCT(('تشخيص الحالات'!$B$2:$B$1001=B277)*('تشخيص الحالات'!$G$2:$G$1001=1)*ROW('تشخيص الحالات'!$B$2:$B$1001))-1),"")&amp;IF(SUMPRODUCT(('تشخيص الحالات'!$B$2:$B$1001=B277)*('تشخيص الحالات'!$G$2:$G$1001=2))&gt;0,"، "&amp;IFERROR(INDEX('تشخيص الحالات'!$D$2:$D$1001,SUMPRODUCT(('تشخيص الحالات'!$B$2:$B$1001=B277)*('تشخيص الحالات'!$G$2:$G$1001=2)*ROW('تشخيص الحالات'!$B$2:$B$1001))-1),""),"")&amp;IF(SUMPRODUCT(('تشخيص الحالات'!$B$2:$B$1001=B277)*('تشخيص الحالات'!$G$2:$G$1001=3))&gt;0,"، "&amp;IFERROR(INDEX('تشخيص الحالات'!$D$2:$D$1001,SUMPRODUCT(('تشخيص الحالات'!$B$2:$B$1001=B277)*('تشخيص الحالات'!$G$2:$G$1001=3)*ROW('تشخيص الحالات'!$B$2:$B$1001))-1),""),"")&amp;IF(SUMPRODUCT(('تشخيص الحالات'!$B$2:$B$1001=B277)*('تشخيص الحالات'!$G$2:$G$1001=4))&gt;0,"، "&amp;IFERROR(INDEX('تشخيص الحالات'!$D$2:$D$1001,SUMPRODUCT(('تشخيص الحالات'!$B$2:$B$1001=B277)*('تشخيص الحالات'!$G$2:$G$1001=4)*ROW('تشخيص الحالات'!$B$2:$B$1001))-1),""),"")&amp;IF(SUMPRODUCT(('تشخيص الحالات'!$B$2:$B$1001=B277)*('تشخيص الحالات'!$G$2:$G$1001=5))&gt;0,"، "&amp;IFERROR(INDEX('تشخيص الحالات'!$D$2:$D$1001,SUMPRODUCT(('تشخيص الحالات'!$B$2:$B$1001=B277)*('تشخيص الحالات'!$G$2:$G$1001=5)*ROW('تشخيص الحالات'!$B$2:$B$1001))-1),""),"")&amp;IF(SUMPRODUCT(('تشخيص الحالات'!$B$2:$B$1001=B277)*('تشخيص الحالات'!$G$2:$G$1001=6))&gt;0,"، "&amp;IFERROR(INDEX('تشخيص الحالات'!$D$2:$D$1001,SUMPRODUCT(('تشخيص الحالات'!$B$2:$B$1001=B277)*('تشخيص الحالات'!$G$2:$G$1001=6)*ROW('تشخيص الحالات'!$B$2:$B$1001))-1),""),"")&amp;IF(SUMPRODUCT(('تشخيص الحالات'!$B$2:$B$1001=B277)*('تشخيص الحالات'!$G$2:$G$1001=7))&gt;0,"، "&amp;IFERROR(INDEX('تشخيص الحالات'!$D$2:$D$1001,SUMPRODUCT(('تشخيص الحالات'!$B$2:$B$1001=B277)*('تشخيص الحالات'!$G$2:$G$1001=7)*ROW('تشخيص الحالات'!$B$2:$B$1001))-1),""),"")&amp;IF(SUMPRODUCT(('تشخيص الحالات'!$B$2:$B$1001=B277)*('تشخيص الحالات'!$G$2:$G$1001=8))&gt;0,"، "&amp;IFERROR(INDEX('تشخيص الحالات'!$D$2:$D$1001,SUMPRODUCT(('تشخيص الحالات'!$B$2:$B$1001=B277)*('تشخيص الحالات'!$G$2:$G$1001=8)*ROW('تشخيص الحالات'!$B$2:$B$1001))-1),""),"")</f>
        <v/>
      </c>
      <c r="J277" s="1"/>
      <c r="K277" s="1"/>
      <c r="L277" s="1"/>
      <c r="M277" s="1"/>
    </row>
    <row r="278" spans="1:13" x14ac:dyDescent="0.2">
      <c r="A278" s="1"/>
      <c r="B278" s="1"/>
      <c r="C278" s="1"/>
      <c r="D278" s="1"/>
      <c r="E278" s="1"/>
      <c r="F278" s="1"/>
      <c r="G278" s="1"/>
      <c r="H278" s="1"/>
      <c r="I278" t="str">
        <f>IFERROR(INDEX('تشخيص الحالات'!$D$2:$D$1001,SUMPRODUCT(('تشخيص الحالات'!$B$2:$B$1001=B278)*('تشخيص الحالات'!$G$2:$G$1001=1)*ROW('تشخيص الحالات'!$B$2:$B$1001))-1),"")&amp;IF(SUMPRODUCT(('تشخيص الحالات'!$B$2:$B$1001=B278)*('تشخيص الحالات'!$G$2:$G$1001=2))&gt;0,"، "&amp;IFERROR(INDEX('تشخيص الحالات'!$D$2:$D$1001,SUMPRODUCT(('تشخيص الحالات'!$B$2:$B$1001=B278)*('تشخيص الحالات'!$G$2:$G$1001=2)*ROW('تشخيص الحالات'!$B$2:$B$1001))-1),""),"")&amp;IF(SUMPRODUCT(('تشخيص الحالات'!$B$2:$B$1001=B278)*('تشخيص الحالات'!$G$2:$G$1001=3))&gt;0,"، "&amp;IFERROR(INDEX('تشخيص الحالات'!$D$2:$D$1001,SUMPRODUCT(('تشخيص الحالات'!$B$2:$B$1001=B278)*('تشخيص الحالات'!$G$2:$G$1001=3)*ROW('تشخيص الحالات'!$B$2:$B$1001))-1),""),"")&amp;IF(SUMPRODUCT(('تشخيص الحالات'!$B$2:$B$1001=B278)*('تشخيص الحالات'!$G$2:$G$1001=4))&gt;0,"، "&amp;IFERROR(INDEX('تشخيص الحالات'!$D$2:$D$1001,SUMPRODUCT(('تشخيص الحالات'!$B$2:$B$1001=B278)*('تشخيص الحالات'!$G$2:$G$1001=4)*ROW('تشخيص الحالات'!$B$2:$B$1001))-1),""),"")&amp;IF(SUMPRODUCT(('تشخيص الحالات'!$B$2:$B$1001=B278)*('تشخيص الحالات'!$G$2:$G$1001=5))&gt;0,"، "&amp;IFERROR(INDEX('تشخيص الحالات'!$D$2:$D$1001,SUMPRODUCT(('تشخيص الحالات'!$B$2:$B$1001=B278)*('تشخيص الحالات'!$G$2:$G$1001=5)*ROW('تشخيص الحالات'!$B$2:$B$1001))-1),""),"")&amp;IF(SUMPRODUCT(('تشخيص الحالات'!$B$2:$B$1001=B278)*('تشخيص الحالات'!$G$2:$G$1001=6))&gt;0,"، "&amp;IFERROR(INDEX('تشخيص الحالات'!$D$2:$D$1001,SUMPRODUCT(('تشخيص الحالات'!$B$2:$B$1001=B278)*('تشخيص الحالات'!$G$2:$G$1001=6)*ROW('تشخيص الحالات'!$B$2:$B$1001))-1),""),"")&amp;IF(SUMPRODUCT(('تشخيص الحالات'!$B$2:$B$1001=B278)*('تشخيص الحالات'!$G$2:$G$1001=7))&gt;0,"، "&amp;IFERROR(INDEX('تشخيص الحالات'!$D$2:$D$1001,SUMPRODUCT(('تشخيص الحالات'!$B$2:$B$1001=B278)*('تشخيص الحالات'!$G$2:$G$1001=7)*ROW('تشخيص الحالات'!$B$2:$B$1001))-1),""),"")&amp;IF(SUMPRODUCT(('تشخيص الحالات'!$B$2:$B$1001=B278)*('تشخيص الحالات'!$G$2:$G$1001=8))&gt;0,"، "&amp;IFERROR(INDEX('تشخيص الحالات'!$D$2:$D$1001,SUMPRODUCT(('تشخيص الحالات'!$B$2:$B$1001=B278)*('تشخيص الحالات'!$G$2:$G$1001=8)*ROW('تشخيص الحالات'!$B$2:$B$1001))-1),""),"")</f>
        <v/>
      </c>
      <c r="J278" s="1"/>
      <c r="K278" s="1"/>
      <c r="L278" s="1"/>
      <c r="M278" s="1"/>
    </row>
    <row r="279" spans="1:13" x14ac:dyDescent="0.2">
      <c r="A279" s="1"/>
      <c r="B279" s="1"/>
      <c r="C279" s="1"/>
      <c r="D279" s="1"/>
      <c r="E279" s="1"/>
      <c r="F279" s="1"/>
      <c r="G279" s="1"/>
      <c r="H279" s="1"/>
      <c r="I279" t="str">
        <f>IFERROR(INDEX('تشخيص الحالات'!$D$2:$D$1001,SUMPRODUCT(('تشخيص الحالات'!$B$2:$B$1001=B279)*('تشخيص الحالات'!$G$2:$G$1001=1)*ROW('تشخيص الحالات'!$B$2:$B$1001))-1),"")&amp;IF(SUMPRODUCT(('تشخيص الحالات'!$B$2:$B$1001=B279)*('تشخيص الحالات'!$G$2:$G$1001=2))&gt;0,"، "&amp;IFERROR(INDEX('تشخيص الحالات'!$D$2:$D$1001,SUMPRODUCT(('تشخيص الحالات'!$B$2:$B$1001=B279)*('تشخيص الحالات'!$G$2:$G$1001=2)*ROW('تشخيص الحالات'!$B$2:$B$1001))-1),""),"")&amp;IF(SUMPRODUCT(('تشخيص الحالات'!$B$2:$B$1001=B279)*('تشخيص الحالات'!$G$2:$G$1001=3))&gt;0,"، "&amp;IFERROR(INDEX('تشخيص الحالات'!$D$2:$D$1001,SUMPRODUCT(('تشخيص الحالات'!$B$2:$B$1001=B279)*('تشخيص الحالات'!$G$2:$G$1001=3)*ROW('تشخيص الحالات'!$B$2:$B$1001))-1),""),"")&amp;IF(SUMPRODUCT(('تشخيص الحالات'!$B$2:$B$1001=B279)*('تشخيص الحالات'!$G$2:$G$1001=4))&gt;0,"، "&amp;IFERROR(INDEX('تشخيص الحالات'!$D$2:$D$1001,SUMPRODUCT(('تشخيص الحالات'!$B$2:$B$1001=B279)*('تشخيص الحالات'!$G$2:$G$1001=4)*ROW('تشخيص الحالات'!$B$2:$B$1001))-1),""),"")&amp;IF(SUMPRODUCT(('تشخيص الحالات'!$B$2:$B$1001=B279)*('تشخيص الحالات'!$G$2:$G$1001=5))&gt;0,"، "&amp;IFERROR(INDEX('تشخيص الحالات'!$D$2:$D$1001,SUMPRODUCT(('تشخيص الحالات'!$B$2:$B$1001=B279)*('تشخيص الحالات'!$G$2:$G$1001=5)*ROW('تشخيص الحالات'!$B$2:$B$1001))-1),""),"")&amp;IF(SUMPRODUCT(('تشخيص الحالات'!$B$2:$B$1001=B279)*('تشخيص الحالات'!$G$2:$G$1001=6))&gt;0,"، "&amp;IFERROR(INDEX('تشخيص الحالات'!$D$2:$D$1001,SUMPRODUCT(('تشخيص الحالات'!$B$2:$B$1001=B279)*('تشخيص الحالات'!$G$2:$G$1001=6)*ROW('تشخيص الحالات'!$B$2:$B$1001))-1),""),"")&amp;IF(SUMPRODUCT(('تشخيص الحالات'!$B$2:$B$1001=B279)*('تشخيص الحالات'!$G$2:$G$1001=7))&gt;0,"، "&amp;IFERROR(INDEX('تشخيص الحالات'!$D$2:$D$1001,SUMPRODUCT(('تشخيص الحالات'!$B$2:$B$1001=B279)*('تشخيص الحالات'!$G$2:$G$1001=7)*ROW('تشخيص الحالات'!$B$2:$B$1001))-1),""),"")&amp;IF(SUMPRODUCT(('تشخيص الحالات'!$B$2:$B$1001=B279)*('تشخيص الحالات'!$G$2:$G$1001=8))&gt;0,"، "&amp;IFERROR(INDEX('تشخيص الحالات'!$D$2:$D$1001,SUMPRODUCT(('تشخيص الحالات'!$B$2:$B$1001=B279)*('تشخيص الحالات'!$G$2:$G$1001=8)*ROW('تشخيص الحالات'!$B$2:$B$1001))-1),""),"")</f>
        <v/>
      </c>
      <c r="J279" s="1"/>
      <c r="K279" s="1"/>
      <c r="L279" s="1"/>
      <c r="M279" s="1"/>
    </row>
    <row r="280" spans="1:13" x14ac:dyDescent="0.2">
      <c r="A280" s="1"/>
      <c r="B280" s="1"/>
      <c r="C280" s="1"/>
      <c r="D280" s="1"/>
      <c r="E280" s="1"/>
      <c r="F280" s="1"/>
      <c r="G280" s="1"/>
      <c r="H280" s="1"/>
      <c r="I280" t="str">
        <f>IFERROR(INDEX('تشخيص الحالات'!$D$2:$D$1001,SUMPRODUCT(('تشخيص الحالات'!$B$2:$B$1001=B280)*('تشخيص الحالات'!$G$2:$G$1001=1)*ROW('تشخيص الحالات'!$B$2:$B$1001))-1),"")&amp;IF(SUMPRODUCT(('تشخيص الحالات'!$B$2:$B$1001=B280)*('تشخيص الحالات'!$G$2:$G$1001=2))&gt;0,"، "&amp;IFERROR(INDEX('تشخيص الحالات'!$D$2:$D$1001,SUMPRODUCT(('تشخيص الحالات'!$B$2:$B$1001=B280)*('تشخيص الحالات'!$G$2:$G$1001=2)*ROW('تشخيص الحالات'!$B$2:$B$1001))-1),""),"")&amp;IF(SUMPRODUCT(('تشخيص الحالات'!$B$2:$B$1001=B280)*('تشخيص الحالات'!$G$2:$G$1001=3))&gt;0,"، "&amp;IFERROR(INDEX('تشخيص الحالات'!$D$2:$D$1001,SUMPRODUCT(('تشخيص الحالات'!$B$2:$B$1001=B280)*('تشخيص الحالات'!$G$2:$G$1001=3)*ROW('تشخيص الحالات'!$B$2:$B$1001))-1),""),"")&amp;IF(SUMPRODUCT(('تشخيص الحالات'!$B$2:$B$1001=B280)*('تشخيص الحالات'!$G$2:$G$1001=4))&gt;0,"، "&amp;IFERROR(INDEX('تشخيص الحالات'!$D$2:$D$1001,SUMPRODUCT(('تشخيص الحالات'!$B$2:$B$1001=B280)*('تشخيص الحالات'!$G$2:$G$1001=4)*ROW('تشخيص الحالات'!$B$2:$B$1001))-1),""),"")&amp;IF(SUMPRODUCT(('تشخيص الحالات'!$B$2:$B$1001=B280)*('تشخيص الحالات'!$G$2:$G$1001=5))&gt;0,"، "&amp;IFERROR(INDEX('تشخيص الحالات'!$D$2:$D$1001,SUMPRODUCT(('تشخيص الحالات'!$B$2:$B$1001=B280)*('تشخيص الحالات'!$G$2:$G$1001=5)*ROW('تشخيص الحالات'!$B$2:$B$1001))-1),""),"")&amp;IF(SUMPRODUCT(('تشخيص الحالات'!$B$2:$B$1001=B280)*('تشخيص الحالات'!$G$2:$G$1001=6))&gt;0,"، "&amp;IFERROR(INDEX('تشخيص الحالات'!$D$2:$D$1001,SUMPRODUCT(('تشخيص الحالات'!$B$2:$B$1001=B280)*('تشخيص الحالات'!$G$2:$G$1001=6)*ROW('تشخيص الحالات'!$B$2:$B$1001))-1),""),"")&amp;IF(SUMPRODUCT(('تشخيص الحالات'!$B$2:$B$1001=B280)*('تشخيص الحالات'!$G$2:$G$1001=7))&gt;0,"، "&amp;IFERROR(INDEX('تشخيص الحالات'!$D$2:$D$1001,SUMPRODUCT(('تشخيص الحالات'!$B$2:$B$1001=B280)*('تشخيص الحالات'!$G$2:$G$1001=7)*ROW('تشخيص الحالات'!$B$2:$B$1001))-1),""),"")&amp;IF(SUMPRODUCT(('تشخيص الحالات'!$B$2:$B$1001=B280)*('تشخيص الحالات'!$G$2:$G$1001=8))&gt;0,"، "&amp;IFERROR(INDEX('تشخيص الحالات'!$D$2:$D$1001,SUMPRODUCT(('تشخيص الحالات'!$B$2:$B$1001=B280)*('تشخيص الحالات'!$G$2:$G$1001=8)*ROW('تشخيص الحالات'!$B$2:$B$1001))-1),""),"")</f>
        <v/>
      </c>
      <c r="J280" s="1"/>
      <c r="K280" s="1"/>
      <c r="L280" s="1"/>
      <c r="M280" s="1"/>
    </row>
    <row r="281" spans="1:13" x14ac:dyDescent="0.2">
      <c r="A281" s="1"/>
      <c r="B281" s="1"/>
      <c r="C281" s="1"/>
      <c r="D281" s="1"/>
      <c r="E281" s="1"/>
      <c r="F281" s="1"/>
      <c r="G281" s="1"/>
      <c r="H281" s="1"/>
      <c r="I281" t="str">
        <f>IFERROR(INDEX('تشخيص الحالات'!$D$2:$D$1001,SUMPRODUCT(('تشخيص الحالات'!$B$2:$B$1001=B281)*('تشخيص الحالات'!$G$2:$G$1001=1)*ROW('تشخيص الحالات'!$B$2:$B$1001))-1),"")&amp;IF(SUMPRODUCT(('تشخيص الحالات'!$B$2:$B$1001=B281)*('تشخيص الحالات'!$G$2:$G$1001=2))&gt;0,"، "&amp;IFERROR(INDEX('تشخيص الحالات'!$D$2:$D$1001,SUMPRODUCT(('تشخيص الحالات'!$B$2:$B$1001=B281)*('تشخيص الحالات'!$G$2:$G$1001=2)*ROW('تشخيص الحالات'!$B$2:$B$1001))-1),""),"")&amp;IF(SUMPRODUCT(('تشخيص الحالات'!$B$2:$B$1001=B281)*('تشخيص الحالات'!$G$2:$G$1001=3))&gt;0,"، "&amp;IFERROR(INDEX('تشخيص الحالات'!$D$2:$D$1001,SUMPRODUCT(('تشخيص الحالات'!$B$2:$B$1001=B281)*('تشخيص الحالات'!$G$2:$G$1001=3)*ROW('تشخيص الحالات'!$B$2:$B$1001))-1),""),"")&amp;IF(SUMPRODUCT(('تشخيص الحالات'!$B$2:$B$1001=B281)*('تشخيص الحالات'!$G$2:$G$1001=4))&gt;0,"، "&amp;IFERROR(INDEX('تشخيص الحالات'!$D$2:$D$1001,SUMPRODUCT(('تشخيص الحالات'!$B$2:$B$1001=B281)*('تشخيص الحالات'!$G$2:$G$1001=4)*ROW('تشخيص الحالات'!$B$2:$B$1001))-1),""),"")&amp;IF(SUMPRODUCT(('تشخيص الحالات'!$B$2:$B$1001=B281)*('تشخيص الحالات'!$G$2:$G$1001=5))&gt;0,"، "&amp;IFERROR(INDEX('تشخيص الحالات'!$D$2:$D$1001,SUMPRODUCT(('تشخيص الحالات'!$B$2:$B$1001=B281)*('تشخيص الحالات'!$G$2:$G$1001=5)*ROW('تشخيص الحالات'!$B$2:$B$1001))-1),""),"")&amp;IF(SUMPRODUCT(('تشخيص الحالات'!$B$2:$B$1001=B281)*('تشخيص الحالات'!$G$2:$G$1001=6))&gt;0,"، "&amp;IFERROR(INDEX('تشخيص الحالات'!$D$2:$D$1001,SUMPRODUCT(('تشخيص الحالات'!$B$2:$B$1001=B281)*('تشخيص الحالات'!$G$2:$G$1001=6)*ROW('تشخيص الحالات'!$B$2:$B$1001))-1),""),"")&amp;IF(SUMPRODUCT(('تشخيص الحالات'!$B$2:$B$1001=B281)*('تشخيص الحالات'!$G$2:$G$1001=7))&gt;0,"، "&amp;IFERROR(INDEX('تشخيص الحالات'!$D$2:$D$1001,SUMPRODUCT(('تشخيص الحالات'!$B$2:$B$1001=B281)*('تشخيص الحالات'!$G$2:$G$1001=7)*ROW('تشخيص الحالات'!$B$2:$B$1001))-1),""),"")&amp;IF(SUMPRODUCT(('تشخيص الحالات'!$B$2:$B$1001=B281)*('تشخيص الحالات'!$G$2:$G$1001=8))&gt;0,"، "&amp;IFERROR(INDEX('تشخيص الحالات'!$D$2:$D$1001,SUMPRODUCT(('تشخيص الحالات'!$B$2:$B$1001=B281)*('تشخيص الحالات'!$G$2:$G$1001=8)*ROW('تشخيص الحالات'!$B$2:$B$1001))-1),""),"")</f>
        <v/>
      </c>
      <c r="J281" s="1"/>
      <c r="K281" s="1"/>
      <c r="L281" s="1"/>
      <c r="M281" s="1"/>
    </row>
    <row r="282" spans="1:13" x14ac:dyDescent="0.2">
      <c r="A282" s="1"/>
      <c r="B282" s="1"/>
      <c r="C282" s="1"/>
      <c r="D282" s="1"/>
      <c r="E282" s="1"/>
      <c r="F282" s="1"/>
      <c r="G282" s="1"/>
      <c r="H282" s="1"/>
      <c r="I282" t="str">
        <f>IFERROR(INDEX('تشخيص الحالات'!$D$2:$D$1001,SUMPRODUCT(('تشخيص الحالات'!$B$2:$B$1001=B282)*('تشخيص الحالات'!$G$2:$G$1001=1)*ROW('تشخيص الحالات'!$B$2:$B$1001))-1),"")&amp;IF(SUMPRODUCT(('تشخيص الحالات'!$B$2:$B$1001=B282)*('تشخيص الحالات'!$G$2:$G$1001=2))&gt;0,"، "&amp;IFERROR(INDEX('تشخيص الحالات'!$D$2:$D$1001,SUMPRODUCT(('تشخيص الحالات'!$B$2:$B$1001=B282)*('تشخيص الحالات'!$G$2:$G$1001=2)*ROW('تشخيص الحالات'!$B$2:$B$1001))-1),""),"")&amp;IF(SUMPRODUCT(('تشخيص الحالات'!$B$2:$B$1001=B282)*('تشخيص الحالات'!$G$2:$G$1001=3))&gt;0,"، "&amp;IFERROR(INDEX('تشخيص الحالات'!$D$2:$D$1001,SUMPRODUCT(('تشخيص الحالات'!$B$2:$B$1001=B282)*('تشخيص الحالات'!$G$2:$G$1001=3)*ROW('تشخيص الحالات'!$B$2:$B$1001))-1),""),"")&amp;IF(SUMPRODUCT(('تشخيص الحالات'!$B$2:$B$1001=B282)*('تشخيص الحالات'!$G$2:$G$1001=4))&gt;0,"، "&amp;IFERROR(INDEX('تشخيص الحالات'!$D$2:$D$1001,SUMPRODUCT(('تشخيص الحالات'!$B$2:$B$1001=B282)*('تشخيص الحالات'!$G$2:$G$1001=4)*ROW('تشخيص الحالات'!$B$2:$B$1001))-1),""),"")&amp;IF(SUMPRODUCT(('تشخيص الحالات'!$B$2:$B$1001=B282)*('تشخيص الحالات'!$G$2:$G$1001=5))&gt;0,"، "&amp;IFERROR(INDEX('تشخيص الحالات'!$D$2:$D$1001,SUMPRODUCT(('تشخيص الحالات'!$B$2:$B$1001=B282)*('تشخيص الحالات'!$G$2:$G$1001=5)*ROW('تشخيص الحالات'!$B$2:$B$1001))-1),""),"")&amp;IF(SUMPRODUCT(('تشخيص الحالات'!$B$2:$B$1001=B282)*('تشخيص الحالات'!$G$2:$G$1001=6))&gt;0,"، "&amp;IFERROR(INDEX('تشخيص الحالات'!$D$2:$D$1001,SUMPRODUCT(('تشخيص الحالات'!$B$2:$B$1001=B282)*('تشخيص الحالات'!$G$2:$G$1001=6)*ROW('تشخيص الحالات'!$B$2:$B$1001))-1),""),"")&amp;IF(SUMPRODUCT(('تشخيص الحالات'!$B$2:$B$1001=B282)*('تشخيص الحالات'!$G$2:$G$1001=7))&gt;0,"، "&amp;IFERROR(INDEX('تشخيص الحالات'!$D$2:$D$1001,SUMPRODUCT(('تشخيص الحالات'!$B$2:$B$1001=B282)*('تشخيص الحالات'!$G$2:$G$1001=7)*ROW('تشخيص الحالات'!$B$2:$B$1001))-1),""),"")&amp;IF(SUMPRODUCT(('تشخيص الحالات'!$B$2:$B$1001=B282)*('تشخيص الحالات'!$G$2:$G$1001=8))&gt;0,"، "&amp;IFERROR(INDEX('تشخيص الحالات'!$D$2:$D$1001,SUMPRODUCT(('تشخيص الحالات'!$B$2:$B$1001=B282)*('تشخيص الحالات'!$G$2:$G$1001=8)*ROW('تشخيص الحالات'!$B$2:$B$1001))-1),""),"")</f>
        <v/>
      </c>
      <c r="J282" s="1"/>
      <c r="K282" s="1"/>
      <c r="L282" s="1"/>
      <c r="M282" s="1"/>
    </row>
    <row r="283" spans="1:13" x14ac:dyDescent="0.2">
      <c r="A283" s="1"/>
      <c r="B283" s="1"/>
      <c r="C283" s="1"/>
      <c r="D283" s="1"/>
      <c r="E283" s="1"/>
      <c r="F283" s="1"/>
      <c r="G283" s="1"/>
      <c r="H283" s="1"/>
      <c r="I283" t="str">
        <f>IFERROR(INDEX('تشخيص الحالات'!$D$2:$D$1001,SUMPRODUCT(('تشخيص الحالات'!$B$2:$B$1001=B283)*('تشخيص الحالات'!$G$2:$G$1001=1)*ROW('تشخيص الحالات'!$B$2:$B$1001))-1),"")&amp;IF(SUMPRODUCT(('تشخيص الحالات'!$B$2:$B$1001=B283)*('تشخيص الحالات'!$G$2:$G$1001=2))&gt;0,"، "&amp;IFERROR(INDEX('تشخيص الحالات'!$D$2:$D$1001,SUMPRODUCT(('تشخيص الحالات'!$B$2:$B$1001=B283)*('تشخيص الحالات'!$G$2:$G$1001=2)*ROW('تشخيص الحالات'!$B$2:$B$1001))-1),""),"")&amp;IF(SUMPRODUCT(('تشخيص الحالات'!$B$2:$B$1001=B283)*('تشخيص الحالات'!$G$2:$G$1001=3))&gt;0,"، "&amp;IFERROR(INDEX('تشخيص الحالات'!$D$2:$D$1001,SUMPRODUCT(('تشخيص الحالات'!$B$2:$B$1001=B283)*('تشخيص الحالات'!$G$2:$G$1001=3)*ROW('تشخيص الحالات'!$B$2:$B$1001))-1),""),"")&amp;IF(SUMPRODUCT(('تشخيص الحالات'!$B$2:$B$1001=B283)*('تشخيص الحالات'!$G$2:$G$1001=4))&gt;0,"، "&amp;IFERROR(INDEX('تشخيص الحالات'!$D$2:$D$1001,SUMPRODUCT(('تشخيص الحالات'!$B$2:$B$1001=B283)*('تشخيص الحالات'!$G$2:$G$1001=4)*ROW('تشخيص الحالات'!$B$2:$B$1001))-1),""),"")&amp;IF(SUMPRODUCT(('تشخيص الحالات'!$B$2:$B$1001=B283)*('تشخيص الحالات'!$G$2:$G$1001=5))&gt;0,"، "&amp;IFERROR(INDEX('تشخيص الحالات'!$D$2:$D$1001,SUMPRODUCT(('تشخيص الحالات'!$B$2:$B$1001=B283)*('تشخيص الحالات'!$G$2:$G$1001=5)*ROW('تشخيص الحالات'!$B$2:$B$1001))-1),""),"")&amp;IF(SUMPRODUCT(('تشخيص الحالات'!$B$2:$B$1001=B283)*('تشخيص الحالات'!$G$2:$G$1001=6))&gt;0,"، "&amp;IFERROR(INDEX('تشخيص الحالات'!$D$2:$D$1001,SUMPRODUCT(('تشخيص الحالات'!$B$2:$B$1001=B283)*('تشخيص الحالات'!$G$2:$G$1001=6)*ROW('تشخيص الحالات'!$B$2:$B$1001))-1),""),"")&amp;IF(SUMPRODUCT(('تشخيص الحالات'!$B$2:$B$1001=B283)*('تشخيص الحالات'!$G$2:$G$1001=7))&gt;0,"، "&amp;IFERROR(INDEX('تشخيص الحالات'!$D$2:$D$1001,SUMPRODUCT(('تشخيص الحالات'!$B$2:$B$1001=B283)*('تشخيص الحالات'!$G$2:$G$1001=7)*ROW('تشخيص الحالات'!$B$2:$B$1001))-1),""),"")&amp;IF(SUMPRODUCT(('تشخيص الحالات'!$B$2:$B$1001=B283)*('تشخيص الحالات'!$G$2:$G$1001=8))&gt;0,"، "&amp;IFERROR(INDEX('تشخيص الحالات'!$D$2:$D$1001,SUMPRODUCT(('تشخيص الحالات'!$B$2:$B$1001=B283)*('تشخيص الحالات'!$G$2:$G$1001=8)*ROW('تشخيص الحالات'!$B$2:$B$1001))-1),""),"")</f>
        <v/>
      </c>
      <c r="J283" s="1"/>
      <c r="K283" s="1"/>
      <c r="L283" s="1"/>
      <c r="M283" s="1"/>
    </row>
    <row r="284" spans="1:13" x14ac:dyDescent="0.2">
      <c r="A284" s="1"/>
      <c r="B284" s="1"/>
      <c r="C284" s="1"/>
      <c r="D284" s="1"/>
      <c r="E284" s="1"/>
      <c r="F284" s="1"/>
      <c r="G284" s="1"/>
      <c r="H284" s="1"/>
      <c r="I284" t="str">
        <f>IFERROR(INDEX('تشخيص الحالات'!$D$2:$D$1001,SUMPRODUCT(('تشخيص الحالات'!$B$2:$B$1001=B284)*('تشخيص الحالات'!$G$2:$G$1001=1)*ROW('تشخيص الحالات'!$B$2:$B$1001))-1),"")&amp;IF(SUMPRODUCT(('تشخيص الحالات'!$B$2:$B$1001=B284)*('تشخيص الحالات'!$G$2:$G$1001=2))&gt;0,"، "&amp;IFERROR(INDEX('تشخيص الحالات'!$D$2:$D$1001,SUMPRODUCT(('تشخيص الحالات'!$B$2:$B$1001=B284)*('تشخيص الحالات'!$G$2:$G$1001=2)*ROW('تشخيص الحالات'!$B$2:$B$1001))-1),""),"")&amp;IF(SUMPRODUCT(('تشخيص الحالات'!$B$2:$B$1001=B284)*('تشخيص الحالات'!$G$2:$G$1001=3))&gt;0,"، "&amp;IFERROR(INDEX('تشخيص الحالات'!$D$2:$D$1001,SUMPRODUCT(('تشخيص الحالات'!$B$2:$B$1001=B284)*('تشخيص الحالات'!$G$2:$G$1001=3)*ROW('تشخيص الحالات'!$B$2:$B$1001))-1),""),"")&amp;IF(SUMPRODUCT(('تشخيص الحالات'!$B$2:$B$1001=B284)*('تشخيص الحالات'!$G$2:$G$1001=4))&gt;0,"، "&amp;IFERROR(INDEX('تشخيص الحالات'!$D$2:$D$1001,SUMPRODUCT(('تشخيص الحالات'!$B$2:$B$1001=B284)*('تشخيص الحالات'!$G$2:$G$1001=4)*ROW('تشخيص الحالات'!$B$2:$B$1001))-1),""),"")&amp;IF(SUMPRODUCT(('تشخيص الحالات'!$B$2:$B$1001=B284)*('تشخيص الحالات'!$G$2:$G$1001=5))&gt;0,"، "&amp;IFERROR(INDEX('تشخيص الحالات'!$D$2:$D$1001,SUMPRODUCT(('تشخيص الحالات'!$B$2:$B$1001=B284)*('تشخيص الحالات'!$G$2:$G$1001=5)*ROW('تشخيص الحالات'!$B$2:$B$1001))-1),""),"")&amp;IF(SUMPRODUCT(('تشخيص الحالات'!$B$2:$B$1001=B284)*('تشخيص الحالات'!$G$2:$G$1001=6))&gt;0,"، "&amp;IFERROR(INDEX('تشخيص الحالات'!$D$2:$D$1001,SUMPRODUCT(('تشخيص الحالات'!$B$2:$B$1001=B284)*('تشخيص الحالات'!$G$2:$G$1001=6)*ROW('تشخيص الحالات'!$B$2:$B$1001))-1),""),"")&amp;IF(SUMPRODUCT(('تشخيص الحالات'!$B$2:$B$1001=B284)*('تشخيص الحالات'!$G$2:$G$1001=7))&gt;0,"، "&amp;IFERROR(INDEX('تشخيص الحالات'!$D$2:$D$1001,SUMPRODUCT(('تشخيص الحالات'!$B$2:$B$1001=B284)*('تشخيص الحالات'!$G$2:$G$1001=7)*ROW('تشخيص الحالات'!$B$2:$B$1001))-1),""),"")&amp;IF(SUMPRODUCT(('تشخيص الحالات'!$B$2:$B$1001=B284)*('تشخيص الحالات'!$G$2:$G$1001=8))&gt;0,"، "&amp;IFERROR(INDEX('تشخيص الحالات'!$D$2:$D$1001,SUMPRODUCT(('تشخيص الحالات'!$B$2:$B$1001=B284)*('تشخيص الحالات'!$G$2:$G$1001=8)*ROW('تشخيص الحالات'!$B$2:$B$1001))-1),""),"")</f>
        <v/>
      </c>
      <c r="J284" s="1"/>
      <c r="K284" s="1"/>
      <c r="L284" s="1"/>
      <c r="M284" s="1"/>
    </row>
    <row r="285" spans="1:13" x14ac:dyDescent="0.2">
      <c r="A285" s="1"/>
      <c r="B285" s="1"/>
      <c r="C285" s="1"/>
      <c r="D285" s="1"/>
      <c r="E285" s="1"/>
      <c r="F285" s="1"/>
      <c r="G285" s="1"/>
      <c r="H285" s="1"/>
      <c r="I285" t="str">
        <f>IFERROR(INDEX('تشخيص الحالات'!$D$2:$D$1001,SUMPRODUCT(('تشخيص الحالات'!$B$2:$B$1001=B285)*('تشخيص الحالات'!$G$2:$G$1001=1)*ROW('تشخيص الحالات'!$B$2:$B$1001))-1),"")&amp;IF(SUMPRODUCT(('تشخيص الحالات'!$B$2:$B$1001=B285)*('تشخيص الحالات'!$G$2:$G$1001=2))&gt;0,"، "&amp;IFERROR(INDEX('تشخيص الحالات'!$D$2:$D$1001,SUMPRODUCT(('تشخيص الحالات'!$B$2:$B$1001=B285)*('تشخيص الحالات'!$G$2:$G$1001=2)*ROW('تشخيص الحالات'!$B$2:$B$1001))-1),""),"")&amp;IF(SUMPRODUCT(('تشخيص الحالات'!$B$2:$B$1001=B285)*('تشخيص الحالات'!$G$2:$G$1001=3))&gt;0,"، "&amp;IFERROR(INDEX('تشخيص الحالات'!$D$2:$D$1001,SUMPRODUCT(('تشخيص الحالات'!$B$2:$B$1001=B285)*('تشخيص الحالات'!$G$2:$G$1001=3)*ROW('تشخيص الحالات'!$B$2:$B$1001))-1),""),"")&amp;IF(SUMPRODUCT(('تشخيص الحالات'!$B$2:$B$1001=B285)*('تشخيص الحالات'!$G$2:$G$1001=4))&gt;0,"، "&amp;IFERROR(INDEX('تشخيص الحالات'!$D$2:$D$1001,SUMPRODUCT(('تشخيص الحالات'!$B$2:$B$1001=B285)*('تشخيص الحالات'!$G$2:$G$1001=4)*ROW('تشخيص الحالات'!$B$2:$B$1001))-1),""),"")&amp;IF(SUMPRODUCT(('تشخيص الحالات'!$B$2:$B$1001=B285)*('تشخيص الحالات'!$G$2:$G$1001=5))&gt;0,"، "&amp;IFERROR(INDEX('تشخيص الحالات'!$D$2:$D$1001,SUMPRODUCT(('تشخيص الحالات'!$B$2:$B$1001=B285)*('تشخيص الحالات'!$G$2:$G$1001=5)*ROW('تشخيص الحالات'!$B$2:$B$1001))-1),""),"")&amp;IF(SUMPRODUCT(('تشخيص الحالات'!$B$2:$B$1001=B285)*('تشخيص الحالات'!$G$2:$G$1001=6))&gt;0,"، "&amp;IFERROR(INDEX('تشخيص الحالات'!$D$2:$D$1001,SUMPRODUCT(('تشخيص الحالات'!$B$2:$B$1001=B285)*('تشخيص الحالات'!$G$2:$G$1001=6)*ROW('تشخيص الحالات'!$B$2:$B$1001))-1),""),"")&amp;IF(SUMPRODUCT(('تشخيص الحالات'!$B$2:$B$1001=B285)*('تشخيص الحالات'!$G$2:$G$1001=7))&gt;0,"، "&amp;IFERROR(INDEX('تشخيص الحالات'!$D$2:$D$1001,SUMPRODUCT(('تشخيص الحالات'!$B$2:$B$1001=B285)*('تشخيص الحالات'!$G$2:$G$1001=7)*ROW('تشخيص الحالات'!$B$2:$B$1001))-1),""),"")&amp;IF(SUMPRODUCT(('تشخيص الحالات'!$B$2:$B$1001=B285)*('تشخيص الحالات'!$G$2:$G$1001=8))&gt;0,"، "&amp;IFERROR(INDEX('تشخيص الحالات'!$D$2:$D$1001,SUMPRODUCT(('تشخيص الحالات'!$B$2:$B$1001=B285)*('تشخيص الحالات'!$G$2:$G$1001=8)*ROW('تشخيص الحالات'!$B$2:$B$1001))-1),""),"")</f>
        <v/>
      </c>
      <c r="J285" s="1"/>
      <c r="K285" s="1"/>
      <c r="L285" s="1"/>
      <c r="M285" s="1"/>
    </row>
    <row r="286" spans="1:13" x14ac:dyDescent="0.2">
      <c r="A286" s="1"/>
      <c r="B286" s="1"/>
      <c r="C286" s="1"/>
      <c r="D286" s="1"/>
      <c r="E286" s="1"/>
      <c r="F286" s="1"/>
      <c r="G286" s="1"/>
      <c r="H286" s="1"/>
      <c r="I286" t="str">
        <f>IFERROR(INDEX('تشخيص الحالات'!$D$2:$D$1001,SUMPRODUCT(('تشخيص الحالات'!$B$2:$B$1001=B286)*('تشخيص الحالات'!$G$2:$G$1001=1)*ROW('تشخيص الحالات'!$B$2:$B$1001))-1),"")&amp;IF(SUMPRODUCT(('تشخيص الحالات'!$B$2:$B$1001=B286)*('تشخيص الحالات'!$G$2:$G$1001=2))&gt;0,"، "&amp;IFERROR(INDEX('تشخيص الحالات'!$D$2:$D$1001,SUMPRODUCT(('تشخيص الحالات'!$B$2:$B$1001=B286)*('تشخيص الحالات'!$G$2:$G$1001=2)*ROW('تشخيص الحالات'!$B$2:$B$1001))-1),""),"")&amp;IF(SUMPRODUCT(('تشخيص الحالات'!$B$2:$B$1001=B286)*('تشخيص الحالات'!$G$2:$G$1001=3))&gt;0,"، "&amp;IFERROR(INDEX('تشخيص الحالات'!$D$2:$D$1001,SUMPRODUCT(('تشخيص الحالات'!$B$2:$B$1001=B286)*('تشخيص الحالات'!$G$2:$G$1001=3)*ROW('تشخيص الحالات'!$B$2:$B$1001))-1),""),"")&amp;IF(SUMPRODUCT(('تشخيص الحالات'!$B$2:$B$1001=B286)*('تشخيص الحالات'!$G$2:$G$1001=4))&gt;0,"، "&amp;IFERROR(INDEX('تشخيص الحالات'!$D$2:$D$1001,SUMPRODUCT(('تشخيص الحالات'!$B$2:$B$1001=B286)*('تشخيص الحالات'!$G$2:$G$1001=4)*ROW('تشخيص الحالات'!$B$2:$B$1001))-1),""),"")&amp;IF(SUMPRODUCT(('تشخيص الحالات'!$B$2:$B$1001=B286)*('تشخيص الحالات'!$G$2:$G$1001=5))&gt;0,"، "&amp;IFERROR(INDEX('تشخيص الحالات'!$D$2:$D$1001,SUMPRODUCT(('تشخيص الحالات'!$B$2:$B$1001=B286)*('تشخيص الحالات'!$G$2:$G$1001=5)*ROW('تشخيص الحالات'!$B$2:$B$1001))-1),""),"")&amp;IF(SUMPRODUCT(('تشخيص الحالات'!$B$2:$B$1001=B286)*('تشخيص الحالات'!$G$2:$G$1001=6))&gt;0,"، "&amp;IFERROR(INDEX('تشخيص الحالات'!$D$2:$D$1001,SUMPRODUCT(('تشخيص الحالات'!$B$2:$B$1001=B286)*('تشخيص الحالات'!$G$2:$G$1001=6)*ROW('تشخيص الحالات'!$B$2:$B$1001))-1),""),"")&amp;IF(SUMPRODUCT(('تشخيص الحالات'!$B$2:$B$1001=B286)*('تشخيص الحالات'!$G$2:$G$1001=7))&gt;0,"، "&amp;IFERROR(INDEX('تشخيص الحالات'!$D$2:$D$1001,SUMPRODUCT(('تشخيص الحالات'!$B$2:$B$1001=B286)*('تشخيص الحالات'!$G$2:$G$1001=7)*ROW('تشخيص الحالات'!$B$2:$B$1001))-1),""),"")&amp;IF(SUMPRODUCT(('تشخيص الحالات'!$B$2:$B$1001=B286)*('تشخيص الحالات'!$G$2:$G$1001=8))&gt;0,"، "&amp;IFERROR(INDEX('تشخيص الحالات'!$D$2:$D$1001,SUMPRODUCT(('تشخيص الحالات'!$B$2:$B$1001=B286)*('تشخيص الحالات'!$G$2:$G$1001=8)*ROW('تشخيص الحالات'!$B$2:$B$1001))-1),""),"")</f>
        <v/>
      </c>
      <c r="J286" s="1"/>
      <c r="K286" s="1"/>
      <c r="L286" s="1"/>
      <c r="M286" s="1"/>
    </row>
    <row r="287" spans="1:13" x14ac:dyDescent="0.2">
      <c r="A287" s="1"/>
      <c r="B287" s="1"/>
      <c r="C287" s="1"/>
      <c r="D287" s="1"/>
      <c r="E287" s="1"/>
      <c r="F287" s="1"/>
      <c r="G287" s="1"/>
      <c r="H287" s="1"/>
      <c r="I287" t="str">
        <f>IFERROR(INDEX('تشخيص الحالات'!$D$2:$D$1001,SUMPRODUCT(('تشخيص الحالات'!$B$2:$B$1001=B287)*('تشخيص الحالات'!$G$2:$G$1001=1)*ROW('تشخيص الحالات'!$B$2:$B$1001))-1),"")&amp;IF(SUMPRODUCT(('تشخيص الحالات'!$B$2:$B$1001=B287)*('تشخيص الحالات'!$G$2:$G$1001=2))&gt;0,"، "&amp;IFERROR(INDEX('تشخيص الحالات'!$D$2:$D$1001,SUMPRODUCT(('تشخيص الحالات'!$B$2:$B$1001=B287)*('تشخيص الحالات'!$G$2:$G$1001=2)*ROW('تشخيص الحالات'!$B$2:$B$1001))-1),""),"")&amp;IF(SUMPRODUCT(('تشخيص الحالات'!$B$2:$B$1001=B287)*('تشخيص الحالات'!$G$2:$G$1001=3))&gt;0,"، "&amp;IFERROR(INDEX('تشخيص الحالات'!$D$2:$D$1001,SUMPRODUCT(('تشخيص الحالات'!$B$2:$B$1001=B287)*('تشخيص الحالات'!$G$2:$G$1001=3)*ROW('تشخيص الحالات'!$B$2:$B$1001))-1),""),"")&amp;IF(SUMPRODUCT(('تشخيص الحالات'!$B$2:$B$1001=B287)*('تشخيص الحالات'!$G$2:$G$1001=4))&gt;0,"، "&amp;IFERROR(INDEX('تشخيص الحالات'!$D$2:$D$1001,SUMPRODUCT(('تشخيص الحالات'!$B$2:$B$1001=B287)*('تشخيص الحالات'!$G$2:$G$1001=4)*ROW('تشخيص الحالات'!$B$2:$B$1001))-1),""),"")&amp;IF(SUMPRODUCT(('تشخيص الحالات'!$B$2:$B$1001=B287)*('تشخيص الحالات'!$G$2:$G$1001=5))&gt;0,"، "&amp;IFERROR(INDEX('تشخيص الحالات'!$D$2:$D$1001,SUMPRODUCT(('تشخيص الحالات'!$B$2:$B$1001=B287)*('تشخيص الحالات'!$G$2:$G$1001=5)*ROW('تشخيص الحالات'!$B$2:$B$1001))-1),""),"")&amp;IF(SUMPRODUCT(('تشخيص الحالات'!$B$2:$B$1001=B287)*('تشخيص الحالات'!$G$2:$G$1001=6))&gt;0,"، "&amp;IFERROR(INDEX('تشخيص الحالات'!$D$2:$D$1001,SUMPRODUCT(('تشخيص الحالات'!$B$2:$B$1001=B287)*('تشخيص الحالات'!$G$2:$G$1001=6)*ROW('تشخيص الحالات'!$B$2:$B$1001))-1),""),"")&amp;IF(SUMPRODUCT(('تشخيص الحالات'!$B$2:$B$1001=B287)*('تشخيص الحالات'!$G$2:$G$1001=7))&gt;0,"، "&amp;IFERROR(INDEX('تشخيص الحالات'!$D$2:$D$1001,SUMPRODUCT(('تشخيص الحالات'!$B$2:$B$1001=B287)*('تشخيص الحالات'!$G$2:$G$1001=7)*ROW('تشخيص الحالات'!$B$2:$B$1001))-1),""),"")&amp;IF(SUMPRODUCT(('تشخيص الحالات'!$B$2:$B$1001=B287)*('تشخيص الحالات'!$G$2:$G$1001=8))&gt;0,"، "&amp;IFERROR(INDEX('تشخيص الحالات'!$D$2:$D$1001,SUMPRODUCT(('تشخيص الحالات'!$B$2:$B$1001=B287)*('تشخيص الحالات'!$G$2:$G$1001=8)*ROW('تشخيص الحالات'!$B$2:$B$1001))-1),""),"")</f>
        <v/>
      </c>
      <c r="J287" s="1"/>
      <c r="K287" s="1"/>
      <c r="L287" s="1"/>
      <c r="M287" s="1"/>
    </row>
    <row r="288" spans="1:13" x14ac:dyDescent="0.2">
      <c r="A288" s="1"/>
      <c r="B288" s="1"/>
      <c r="C288" s="1"/>
      <c r="D288" s="1"/>
      <c r="E288" s="1"/>
      <c r="F288" s="1"/>
      <c r="G288" s="1"/>
      <c r="H288" s="1"/>
      <c r="I288" t="str">
        <f>IFERROR(INDEX('تشخيص الحالات'!$D$2:$D$1001,SUMPRODUCT(('تشخيص الحالات'!$B$2:$B$1001=B288)*('تشخيص الحالات'!$G$2:$G$1001=1)*ROW('تشخيص الحالات'!$B$2:$B$1001))-1),"")&amp;IF(SUMPRODUCT(('تشخيص الحالات'!$B$2:$B$1001=B288)*('تشخيص الحالات'!$G$2:$G$1001=2))&gt;0,"، "&amp;IFERROR(INDEX('تشخيص الحالات'!$D$2:$D$1001,SUMPRODUCT(('تشخيص الحالات'!$B$2:$B$1001=B288)*('تشخيص الحالات'!$G$2:$G$1001=2)*ROW('تشخيص الحالات'!$B$2:$B$1001))-1),""),"")&amp;IF(SUMPRODUCT(('تشخيص الحالات'!$B$2:$B$1001=B288)*('تشخيص الحالات'!$G$2:$G$1001=3))&gt;0,"، "&amp;IFERROR(INDEX('تشخيص الحالات'!$D$2:$D$1001,SUMPRODUCT(('تشخيص الحالات'!$B$2:$B$1001=B288)*('تشخيص الحالات'!$G$2:$G$1001=3)*ROW('تشخيص الحالات'!$B$2:$B$1001))-1),""),"")&amp;IF(SUMPRODUCT(('تشخيص الحالات'!$B$2:$B$1001=B288)*('تشخيص الحالات'!$G$2:$G$1001=4))&gt;0,"، "&amp;IFERROR(INDEX('تشخيص الحالات'!$D$2:$D$1001,SUMPRODUCT(('تشخيص الحالات'!$B$2:$B$1001=B288)*('تشخيص الحالات'!$G$2:$G$1001=4)*ROW('تشخيص الحالات'!$B$2:$B$1001))-1),""),"")&amp;IF(SUMPRODUCT(('تشخيص الحالات'!$B$2:$B$1001=B288)*('تشخيص الحالات'!$G$2:$G$1001=5))&gt;0,"، "&amp;IFERROR(INDEX('تشخيص الحالات'!$D$2:$D$1001,SUMPRODUCT(('تشخيص الحالات'!$B$2:$B$1001=B288)*('تشخيص الحالات'!$G$2:$G$1001=5)*ROW('تشخيص الحالات'!$B$2:$B$1001))-1),""),"")&amp;IF(SUMPRODUCT(('تشخيص الحالات'!$B$2:$B$1001=B288)*('تشخيص الحالات'!$G$2:$G$1001=6))&gt;0,"، "&amp;IFERROR(INDEX('تشخيص الحالات'!$D$2:$D$1001,SUMPRODUCT(('تشخيص الحالات'!$B$2:$B$1001=B288)*('تشخيص الحالات'!$G$2:$G$1001=6)*ROW('تشخيص الحالات'!$B$2:$B$1001))-1),""),"")&amp;IF(SUMPRODUCT(('تشخيص الحالات'!$B$2:$B$1001=B288)*('تشخيص الحالات'!$G$2:$G$1001=7))&gt;0,"، "&amp;IFERROR(INDEX('تشخيص الحالات'!$D$2:$D$1001,SUMPRODUCT(('تشخيص الحالات'!$B$2:$B$1001=B288)*('تشخيص الحالات'!$G$2:$G$1001=7)*ROW('تشخيص الحالات'!$B$2:$B$1001))-1),""),"")&amp;IF(SUMPRODUCT(('تشخيص الحالات'!$B$2:$B$1001=B288)*('تشخيص الحالات'!$G$2:$G$1001=8))&gt;0,"، "&amp;IFERROR(INDEX('تشخيص الحالات'!$D$2:$D$1001,SUMPRODUCT(('تشخيص الحالات'!$B$2:$B$1001=B288)*('تشخيص الحالات'!$G$2:$G$1001=8)*ROW('تشخيص الحالات'!$B$2:$B$1001))-1),""),"")</f>
        <v/>
      </c>
      <c r="J288" s="1"/>
      <c r="K288" s="1"/>
      <c r="L288" s="1"/>
      <c r="M288" s="1"/>
    </row>
    <row r="289" spans="1:13" x14ac:dyDescent="0.2">
      <c r="A289" s="1"/>
      <c r="B289" s="1"/>
      <c r="C289" s="1"/>
      <c r="D289" s="1"/>
      <c r="E289" s="1"/>
      <c r="F289" s="1"/>
      <c r="G289" s="1"/>
      <c r="H289" s="1"/>
      <c r="I289" t="str">
        <f>IFERROR(INDEX('تشخيص الحالات'!$D$2:$D$1001,SUMPRODUCT(('تشخيص الحالات'!$B$2:$B$1001=B289)*('تشخيص الحالات'!$G$2:$G$1001=1)*ROW('تشخيص الحالات'!$B$2:$B$1001))-1),"")&amp;IF(SUMPRODUCT(('تشخيص الحالات'!$B$2:$B$1001=B289)*('تشخيص الحالات'!$G$2:$G$1001=2))&gt;0,"، "&amp;IFERROR(INDEX('تشخيص الحالات'!$D$2:$D$1001,SUMPRODUCT(('تشخيص الحالات'!$B$2:$B$1001=B289)*('تشخيص الحالات'!$G$2:$G$1001=2)*ROW('تشخيص الحالات'!$B$2:$B$1001))-1),""),"")&amp;IF(SUMPRODUCT(('تشخيص الحالات'!$B$2:$B$1001=B289)*('تشخيص الحالات'!$G$2:$G$1001=3))&gt;0,"، "&amp;IFERROR(INDEX('تشخيص الحالات'!$D$2:$D$1001,SUMPRODUCT(('تشخيص الحالات'!$B$2:$B$1001=B289)*('تشخيص الحالات'!$G$2:$G$1001=3)*ROW('تشخيص الحالات'!$B$2:$B$1001))-1),""),"")&amp;IF(SUMPRODUCT(('تشخيص الحالات'!$B$2:$B$1001=B289)*('تشخيص الحالات'!$G$2:$G$1001=4))&gt;0,"، "&amp;IFERROR(INDEX('تشخيص الحالات'!$D$2:$D$1001,SUMPRODUCT(('تشخيص الحالات'!$B$2:$B$1001=B289)*('تشخيص الحالات'!$G$2:$G$1001=4)*ROW('تشخيص الحالات'!$B$2:$B$1001))-1),""),"")&amp;IF(SUMPRODUCT(('تشخيص الحالات'!$B$2:$B$1001=B289)*('تشخيص الحالات'!$G$2:$G$1001=5))&gt;0,"، "&amp;IFERROR(INDEX('تشخيص الحالات'!$D$2:$D$1001,SUMPRODUCT(('تشخيص الحالات'!$B$2:$B$1001=B289)*('تشخيص الحالات'!$G$2:$G$1001=5)*ROW('تشخيص الحالات'!$B$2:$B$1001))-1),""),"")&amp;IF(SUMPRODUCT(('تشخيص الحالات'!$B$2:$B$1001=B289)*('تشخيص الحالات'!$G$2:$G$1001=6))&gt;0,"، "&amp;IFERROR(INDEX('تشخيص الحالات'!$D$2:$D$1001,SUMPRODUCT(('تشخيص الحالات'!$B$2:$B$1001=B289)*('تشخيص الحالات'!$G$2:$G$1001=6)*ROW('تشخيص الحالات'!$B$2:$B$1001))-1),""),"")&amp;IF(SUMPRODUCT(('تشخيص الحالات'!$B$2:$B$1001=B289)*('تشخيص الحالات'!$G$2:$G$1001=7))&gt;0,"، "&amp;IFERROR(INDEX('تشخيص الحالات'!$D$2:$D$1001,SUMPRODUCT(('تشخيص الحالات'!$B$2:$B$1001=B289)*('تشخيص الحالات'!$G$2:$G$1001=7)*ROW('تشخيص الحالات'!$B$2:$B$1001))-1),""),"")&amp;IF(SUMPRODUCT(('تشخيص الحالات'!$B$2:$B$1001=B289)*('تشخيص الحالات'!$G$2:$G$1001=8))&gt;0,"، "&amp;IFERROR(INDEX('تشخيص الحالات'!$D$2:$D$1001,SUMPRODUCT(('تشخيص الحالات'!$B$2:$B$1001=B289)*('تشخيص الحالات'!$G$2:$G$1001=8)*ROW('تشخيص الحالات'!$B$2:$B$1001))-1),""),"")</f>
        <v/>
      </c>
      <c r="J289" s="1"/>
      <c r="K289" s="1"/>
      <c r="L289" s="1"/>
      <c r="M289" s="1"/>
    </row>
    <row r="290" spans="1:13" x14ac:dyDescent="0.2">
      <c r="A290" s="1"/>
      <c r="B290" s="1"/>
      <c r="C290" s="1"/>
      <c r="D290" s="1"/>
      <c r="E290" s="1"/>
      <c r="F290" s="1"/>
      <c r="G290" s="1"/>
      <c r="H290" s="1"/>
      <c r="I290" t="str">
        <f>IFERROR(INDEX('تشخيص الحالات'!$D$2:$D$1001,SUMPRODUCT(('تشخيص الحالات'!$B$2:$B$1001=B290)*('تشخيص الحالات'!$G$2:$G$1001=1)*ROW('تشخيص الحالات'!$B$2:$B$1001))-1),"")&amp;IF(SUMPRODUCT(('تشخيص الحالات'!$B$2:$B$1001=B290)*('تشخيص الحالات'!$G$2:$G$1001=2))&gt;0,"، "&amp;IFERROR(INDEX('تشخيص الحالات'!$D$2:$D$1001,SUMPRODUCT(('تشخيص الحالات'!$B$2:$B$1001=B290)*('تشخيص الحالات'!$G$2:$G$1001=2)*ROW('تشخيص الحالات'!$B$2:$B$1001))-1),""),"")&amp;IF(SUMPRODUCT(('تشخيص الحالات'!$B$2:$B$1001=B290)*('تشخيص الحالات'!$G$2:$G$1001=3))&gt;0,"، "&amp;IFERROR(INDEX('تشخيص الحالات'!$D$2:$D$1001,SUMPRODUCT(('تشخيص الحالات'!$B$2:$B$1001=B290)*('تشخيص الحالات'!$G$2:$G$1001=3)*ROW('تشخيص الحالات'!$B$2:$B$1001))-1),""),"")&amp;IF(SUMPRODUCT(('تشخيص الحالات'!$B$2:$B$1001=B290)*('تشخيص الحالات'!$G$2:$G$1001=4))&gt;0,"، "&amp;IFERROR(INDEX('تشخيص الحالات'!$D$2:$D$1001,SUMPRODUCT(('تشخيص الحالات'!$B$2:$B$1001=B290)*('تشخيص الحالات'!$G$2:$G$1001=4)*ROW('تشخيص الحالات'!$B$2:$B$1001))-1),""),"")&amp;IF(SUMPRODUCT(('تشخيص الحالات'!$B$2:$B$1001=B290)*('تشخيص الحالات'!$G$2:$G$1001=5))&gt;0,"، "&amp;IFERROR(INDEX('تشخيص الحالات'!$D$2:$D$1001,SUMPRODUCT(('تشخيص الحالات'!$B$2:$B$1001=B290)*('تشخيص الحالات'!$G$2:$G$1001=5)*ROW('تشخيص الحالات'!$B$2:$B$1001))-1),""),"")&amp;IF(SUMPRODUCT(('تشخيص الحالات'!$B$2:$B$1001=B290)*('تشخيص الحالات'!$G$2:$G$1001=6))&gt;0,"، "&amp;IFERROR(INDEX('تشخيص الحالات'!$D$2:$D$1001,SUMPRODUCT(('تشخيص الحالات'!$B$2:$B$1001=B290)*('تشخيص الحالات'!$G$2:$G$1001=6)*ROW('تشخيص الحالات'!$B$2:$B$1001))-1),""),"")&amp;IF(SUMPRODUCT(('تشخيص الحالات'!$B$2:$B$1001=B290)*('تشخيص الحالات'!$G$2:$G$1001=7))&gt;0,"، "&amp;IFERROR(INDEX('تشخيص الحالات'!$D$2:$D$1001,SUMPRODUCT(('تشخيص الحالات'!$B$2:$B$1001=B290)*('تشخيص الحالات'!$G$2:$G$1001=7)*ROW('تشخيص الحالات'!$B$2:$B$1001))-1),""),"")&amp;IF(SUMPRODUCT(('تشخيص الحالات'!$B$2:$B$1001=B290)*('تشخيص الحالات'!$G$2:$G$1001=8))&gt;0,"، "&amp;IFERROR(INDEX('تشخيص الحالات'!$D$2:$D$1001,SUMPRODUCT(('تشخيص الحالات'!$B$2:$B$1001=B290)*('تشخيص الحالات'!$G$2:$G$1001=8)*ROW('تشخيص الحالات'!$B$2:$B$1001))-1),""),"")</f>
        <v/>
      </c>
      <c r="J290" s="1"/>
      <c r="K290" s="1"/>
      <c r="L290" s="1"/>
      <c r="M290" s="1"/>
    </row>
    <row r="291" spans="1:13" x14ac:dyDescent="0.2">
      <c r="A291" s="1"/>
      <c r="B291" s="1"/>
      <c r="C291" s="1"/>
      <c r="D291" s="1"/>
      <c r="E291" s="1"/>
      <c r="F291" s="1"/>
      <c r="G291" s="1"/>
      <c r="H291" s="1"/>
      <c r="I291" t="str">
        <f>IFERROR(INDEX('تشخيص الحالات'!$D$2:$D$1001,SUMPRODUCT(('تشخيص الحالات'!$B$2:$B$1001=B291)*('تشخيص الحالات'!$G$2:$G$1001=1)*ROW('تشخيص الحالات'!$B$2:$B$1001))-1),"")&amp;IF(SUMPRODUCT(('تشخيص الحالات'!$B$2:$B$1001=B291)*('تشخيص الحالات'!$G$2:$G$1001=2))&gt;0,"، "&amp;IFERROR(INDEX('تشخيص الحالات'!$D$2:$D$1001,SUMPRODUCT(('تشخيص الحالات'!$B$2:$B$1001=B291)*('تشخيص الحالات'!$G$2:$G$1001=2)*ROW('تشخيص الحالات'!$B$2:$B$1001))-1),""),"")&amp;IF(SUMPRODUCT(('تشخيص الحالات'!$B$2:$B$1001=B291)*('تشخيص الحالات'!$G$2:$G$1001=3))&gt;0,"، "&amp;IFERROR(INDEX('تشخيص الحالات'!$D$2:$D$1001,SUMPRODUCT(('تشخيص الحالات'!$B$2:$B$1001=B291)*('تشخيص الحالات'!$G$2:$G$1001=3)*ROW('تشخيص الحالات'!$B$2:$B$1001))-1),""),"")&amp;IF(SUMPRODUCT(('تشخيص الحالات'!$B$2:$B$1001=B291)*('تشخيص الحالات'!$G$2:$G$1001=4))&gt;0,"، "&amp;IFERROR(INDEX('تشخيص الحالات'!$D$2:$D$1001,SUMPRODUCT(('تشخيص الحالات'!$B$2:$B$1001=B291)*('تشخيص الحالات'!$G$2:$G$1001=4)*ROW('تشخيص الحالات'!$B$2:$B$1001))-1),""),"")&amp;IF(SUMPRODUCT(('تشخيص الحالات'!$B$2:$B$1001=B291)*('تشخيص الحالات'!$G$2:$G$1001=5))&gt;0,"، "&amp;IFERROR(INDEX('تشخيص الحالات'!$D$2:$D$1001,SUMPRODUCT(('تشخيص الحالات'!$B$2:$B$1001=B291)*('تشخيص الحالات'!$G$2:$G$1001=5)*ROW('تشخيص الحالات'!$B$2:$B$1001))-1),""),"")&amp;IF(SUMPRODUCT(('تشخيص الحالات'!$B$2:$B$1001=B291)*('تشخيص الحالات'!$G$2:$G$1001=6))&gt;0,"، "&amp;IFERROR(INDEX('تشخيص الحالات'!$D$2:$D$1001,SUMPRODUCT(('تشخيص الحالات'!$B$2:$B$1001=B291)*('تشخيص الحالات'!$G$2:$G$1001=6)*ROW('تشخيص الحالات'!$B$2:$B$1001))-1),""),"")&amp;IF(SUMPRODUCT(('تشخيص الحالات'!$B$2:$B$1001=B291)*('تشخيص الحالات'!$G$2:$G$1001=7))&gt;0,"، "&amp;IFERROR(INDEX('تشخيص الحالات'!$D$2:$D$1001,SUMPRODUCT(('تشخيص الحالات'!$B$2:$B$1001=B291)*('تشخيص الحالات'!$G$2:$G$1001=7)*ROW('تشخيص الحالات'!$B$2:$B$1001))-1),""),"")&amp;IF(SUMPRODUCT(('تشخيص الحالات'!$B$2:$B$1001=B291)*('تشخيص الحالات'!$G$2:$G$1001=8))&gt;0,"، "&amp;IFERROR(INDEX('تشخيص الحالات'!$D$2:$D$1001,SUMPRODUCT(('تشخيص الحالات'!$B$2:$B$1001=B291)*('تشخيص الحالات'!$G$2:$G$1001=8)*ROW('تشخيص الحالات'!$B$2:$B$1001))-1),""),"")</f>
        <v/>
      </c>
      <c r="J291" s="1"/>
      <c r="K291" s="1"/>
      <c r="L291" s="1"/>
      <c r="M291" s="1"/>
    </row>
    <row r="292" spans="1:13" x14ac:dyDescent="0.2">
      <c r="A292" s="1"/>
      <c r="B292" s="1"/>
      <c r="C292" s="1"/>
      <c r="D292" s="1"/>
      <c r="E292" s="1"/>
      <c r="F292" s="1"/>
      <c r="G292" s="1"/>
      <c r="H292" s="1"/>
      <c r="I292" t="str">
        <f>IFERROR(INDEX('تشخيص الحالات'!$D$2:$D$1001,SUMPRODUCT(('تشخيص الحالات'!$B$2:$B$1001=B292)*('تشخيص الحالات'!$G$2:$G$1001=1)*ROW('تشخيص الحالات'!$B$2:$B$1001))-1),"")&amp;IF(SUMPRODUCT(('تشخيص الحالات'!$B$2:$B$1001=B292)*('تشخيص الحالات'!$G$2:$G$1001=2))&gt;0,"، "&amp;IFERROR(INDEX('تشخيص الحالات'!$D$2:$D$1001,SUMPRODUCT(('تشخيص الحالات'!$B$2:$B$1001=B292)*('تشخيص الحالات'!$G$2:$G$1001=2)*ROW('تشخيص الحالات'!$B$2:$B$1001))-1),""),"")&amp;IF(SUMPRODUCT(('تشخيص الحالات'!$B$2:$B$1001=B292)*('تشخيص الحالات'!$G$2:$G$1001=3))&gt;0,"، "&amp;IFERROR(INDEX('تشخيص الحالات'!$D$2:$D$1001,SUMPRODUCT(('تشخيص الحالات'!$B$2:$B$1001=B292)*('تشخيص الحالات'!$G$2:$G$1001=3)*ROW('تشخيص الحالات'!$B$2:$B$1001))-1),""),"")&amp;IF(SUMPRODUCT(('تشخيص الحالات'!$B$2:$B$1001=B292)*('تشخيص الحالات'!$G$2:$G$1001=4))&gt;0,"، "&amp;IFERROR(INDEX('تشخيص الحالات'!$D$2:$D$1001,SUMPRODUCT(('تشخيص الحالات'!$B$2:$B$1001=B292)*('تشخيص الحالات'!$G$2:$G$1001=4)*ROW('تشخيص الحالات'!$B$2:$B$1001))-1),""),"")&amp;IF(SUMPRODUCT(('تشخيص الحالات'!$B$2:$B$1001=B292)*('تشخيص الحالات'!$G$2:$G$1001=5))&gt;0,"، "&amp;IFERROR(INDEX('تشخيص الحالات'!$D$2:$D$1001,SUMPRODUCT(('تشخيص الحالات'!$B$2:$B$1001=B292)*('تشخيص الحالات'!$G$2:$G$1001=5)*ROW('تشخيص الحالات'!$B$2:$B$1001))-1),""),"")&amp;IF(SUMPRODUCT(('تشخيص الحالات'!$B$2:$B$1001=B292)*('تشخيص الحالات'!$G$2:$G$1001=6))&gt;0,"، "&amp;IFERROR(INDEX('تشخيص الحالات'!$D$2:$D$1001,SUMPRODUCT(('تشخيص الحالات'!$B$2:$B$1001=B292)*('تشخيص الحالات'!$G$2:$G$1001=6)*ROW('تشخيص الحالات'!$B$2:$B$1001))-1),""),"")&amp;IF(SUMPRODUCT(('تشخيص الحالات'!$B$2:$B$1001=B292)*('تشخيص الحالات'!$G$2:$G$1001=7))&gt;0,"، "&amp;IFERROR(INDEX('تشخيص الحالات'!$D$2:$D$1001,SUMPRODUCT(('تشخيص الحالات'!$B$2:$B$1001=B292)*('تشخيص الحالات'!$G$2:$G$1001=7)*ROW('تشخيص الحالات'!$B$2:$B$1001))-1),""),"")&amp;IF(SUMPRODUCT(('تشخيص الحالات'!$B$2:$B$1001=B292)*('تشخيص الحالات'!$G$2:$G$1001=8))&gt;0,"، "&amp;IFERROR(INDEX('تشخيص الحالات'!$D$2:$D$1001,SUMPRODUCT(('تشخيص الحالات'!$B$2:$B$1001=B292)*('تشخيص الحالات'!$G$2:$G$1001=8)*ROW('تشخيص الحالات'!$B$2:$B$1001))-1),""),"")</f>
        <v/>
      </c>
      <c r="J292" s="1"/>
      <c r="K292" s="1"/>
      <c r="L292" s="1"/>
      <c r="M292" s="1"/>
    </row>
    <row r="293" spans="1:13" x14ac:dyDescent="0.2">
      <c r="A293" s="1"/>
      <c r="B293" s="1"/>
      <c r="C293" s="1"/>
      <c r="D293" s="1"/>
      <c r="E293" s="1"/>
      <c r="F293" s="1"/>
      <c r="G293" s="1"/>
      <c r="H293" s="1"/>
      <c r="I293" t="str">
        <f>IFERROR(INDEX('تشخيص الحالات'!$D$2:$D$1001,SUMPRODUCT(('تشخيص الحالات'!$B$2:$B$1001=B293)*('تشخيص الحالات'!$G$2:$G$1001=1)*ROW('تشخيص الحالات'!$B$2:$B$1001))-1),"")&amp;IF(SUMPRODUCT(('تشخيص الحالات'!$B$2:$B$1001=B293)*('تشخيص الحالات'!$G$2:$G$1001=2))&gt;0,"، "&amp;IFERROR(INDEX('تشخيص الحالات'!$D$2:$D$1001,SUMPRODUCT(('تشخيص الحالات'!$B$2:$B$1001=B293)*('تشخيص الحالات'!$G$2:$G$1001=2)*ROW('تشخيص الحالات'!$B$2:$B$1001))-1),""),"")&amp;IF(SUMPRODUCT(('تشخيص الحالات'!$B$2:$B$1001=B293)*('تشخيص الحالات'!$G$2:$G$1001=3))&gt;0,"، "&amp;IFERROR(INDEX('تشخيص الحالات'!$D$2:$D$1001,SUMPRODUCT(('تشخيص الحالات'!$B$2:$B$1001=B293)*('تشخيص الحالات'!$G$2:$G$1001=3)*ROW('تشخيص الحالات'!$B$2:$B$1001))-1),""),"")&amp;IF(SUMPRODUCT(('تشخيص الحالات'!$B$2:$B$1001=B293)*('تشخيص الحالات'!$G$2:$G$1001=4))&gt;0,"، "&amp;IFERROR(INDEX('تشخيص الحالات'!$D$2:$D$1001,SUMPRODUCT(('تشخيص الحالات'!$B$2:$B$1001=B293)*('تشخيص الحالات'!$G$2:$G$1001=4)*ROW('تشخيص الحالات'!$B$2:$B$1001))-1),""),"")&amp;IF(SUMPRODUCT(('تشخيص الحالات'!$B$2:$B$1001=B293)*('تشخيص الحالات'!$G$2:$G$1001=5))&gt;0,"، "&amp;IFERROR(INDEX('تشخيص الحالات'!$D$2:$D$1001,SUMPRODUCT(('تشخيص الحالات'!$B$2:$B$1001=B293)*('تشخيص الحالات'!$G$2:$G$1001=5)*ROW('تشخيص الحالات'!$B$2:$B$1001))-1),""),"")&amp;IF(SUMPRODUCT(('تشخيص الحالات'!$B$2:$B$1001=B293)*('تشخيص الحالات'!$G$2:$G$1001=6))&gt;0,"، "&amp;IFERROR(INDEX('تشخيص الحالات'!$D$2:$D$1001,SUMPRODUCT(('تشخيص الحالات'!$B$2:$B$1001=B293)*('تشخيص الحالات'!$G$2:$G$1001=6)*ROW('تشخيص الحالات'!$B$2:$B$1001))-1),""),"")&amp;IF(SUMPRODUCT(('تشخيص الحالات'!$B$2:$B$1001=B293)*('تشخيص الحالات'!$G$2:$G$1001=7))&gt;0,"، "&amp;IFERROR(INDEX('تشخيص الحالات'!$D$2:$D$1001,SUMPRODUCT(('تشخيص الحالات'!$B$2:$B$1001=B293)*('تشخيص الحالات'!$G$2:$G$1001=7)*ROW('تشخيص الحالات'!$B$2:$B$1001))-1),""),"")&amp;IF(SUMPRODUCT(('تشخيص الحالات'!$B$2:$B$1001=B293)*('تشخيص الحالات'!$G$2:$G$1001=8))&gt;0,"، "&amp;IFERROR(INDEX('تشخيص الحالات'!$D$2:$D$1001,SUMPRODUCT(('تشخيص الحالات'!$B$2:$B$1001=B293)*('تشخيص الحالات'!$G$2:$G$1001=8)*ROW('تشخيص الحالات'!$B$2:$B$1001))-1),""),"")</f>
        <v/>
      </c>
      <c r="J293" s="1"/>
      <c r="K293" s="1"/>
      <c r="L293" s="1"/>
      <c r="M293" s="1"/>
    </row>
    <row r="294" spans="1:13" x14ac:dyDescent="0.2">
      <c r="A294" s="1"/>
      <c r="B294" s="1"/>
      <c r="C294" s="1"/>
      <c r="D294" s="1"/>
      <c r="E294" s="1"/>
      <c r="F294" s="1"/>
      <c r="G294" s="1"/>
      <c r="H294" s="1"/>
      <c r="I294" t="str">
        <f>IFERROR(INDEX('تشخيص الحالات'!$D$2:$D$1001,SUMPRODUCT(('تشخيص الحالات'!$B$2:$B$1001=B294)*('تشخيص الحالات'!$G$2:$G$1001=1)*ROW('تشخيص الحالات'!$B$2:$B$1001))-1),"")&amp;IF(SUMPRODUCT(('تشخيص الحالات'!$B$2:$B$1001=B294)*('تشخيص الحالات'!$G$2:$G$1001=2))&gt;0,"، "&amp;IFERROR(INDEX('تشخيص الحالات'!$D$2:$D$1001,SUMPRODUCT(('تشخيص الحالات'!$B$2:$B$1001=B294)*('تشخيص الحالات'!$G$2:$G$1001=2)*ROW('تشخيص الحالات'!$B$2:$B$1001))-1),""),"")&amp;IF(SUMPRODUCT(('تشخيص الحالات'!$B$2:$B$1001=B294)*('تشخيص الحالات'!$G$2:$G$1001=3))&gt;0,"، "&amp;IFERROR(INDEX('تشخيص الحالات'!$D$2:$D$1001,SUMPRODUCT(('تشخيص الحالات'!$B$2:$B$1001=B294)*('تشخيص الحالات'!$G$2:$G$1001=3)*ROW('تشخيص الحالات'!$B$2:$B$1001))-1),""),"")&amp;IF(SUMPRODUCT(('تشخيص الحالات'!$B$2:$B$1001=B294)*('تشخيص الحالات'!$G$2:$G$1001=4))&gt;0,"، "&amp;IFERROR(INDEX('تشخيص الحالات'!$D$2:$D$1001,SUMPRODUCT(('تشخيص الحالات'!$B$2:$B$1001=B294)*('تشخيص الحالات'!$G$2:$G$1001=4)*ROW('تشخيص الحالات'!$B$2:$B$1001))-1),""),"")&amp;IF(SUMPRODUCT(('تشخيص الحالات'!$B$2:$B$1001=B294)*('تشخيص الحالات'!$G$2:$G$1001=5))&gt;0,"، "&amp;IFERROR(INDEX('تشخيص الحالات'!$D$2:$D$1001,SUMPRODUCT(('تشخيص الحالات'!$B$2:$B$1001=B294)*('تشخيص الحالات'!$G$2:$G$1001=5)*ROW('تشخيص الحالات'!$B$2:$B$1001))-1),""),"")&amp;IF(SUMPRODUCT(('تشخيص الحالات'!$B$2:$B$1001=B294)*('تشخيص الحالات'!$G$2:$G$1001=6))&gt;0,"، "&amp;IFERROR(INDEX('تشخيص الحالات'!$D$2:$D$1001,SUMPRODUCT(('تشخيص الحالات'!$B$2:$B$1001=B294)*('تشخيص الحالات'!$G$2:$G$1001=6)*ROW('تشخيص الحالات'!$B$2:$B$1001))-1),""),"")&amp;IF(SUMPRODUCT(('تشخيص الحالات'!$B$2:$B$1001=B294)*('تشخيص الحالات'!$G$2:$G$1001=7))&gt;0,"، "&amp;IFERROR(INDEX('تشخيص الحالات'!$D$2:$D$1001,SUMPRODUCT(('تشخيص الحالات'!$B$2:$B$1001=B294)*('تشخيص الحالات'!$G$2:$G$1001=7)*ROW('تشخيص الحالات'!$B$2:$B$1001))-1),""),"")&amp;IF(SUMPRODUCT(('تشخيص الحالات'!$B$2:$B$1001=B294)*('تشخيص الحالات'!$G$2:$G$1001=8))&gt;0,"، "&amp;IFERROR(INDEX('تشخيص الحالات'!$D$2:$D$1001,SUMPRODUCT(('تشخيص الحالات'!$B$2:$B$1001=B294)*('تشخيص الحالات'!$G$2:$G$1001=8)*ROW('تشخيص الحالات'!$B$2:$B$1001))-1),""),"")</f>
        <v/>
      </c>
      <c r="J294" s="1"/>
      <c r="K294" s="1"/>
      <c r="L294" s="1"/>
      <c r="M294" s="1"/>
    </row>
    <row r="295" spans="1:13" x14ac:dyDescent="0.2">
      <c r="A295" s="1"/>
      <c r="B295" s="1"/>
      <c r="C295" s="1"/>
      <c r="D295" s="1"/>
      <c r="E295" s="1"/>
      <c r="F295" s="1"/>
      <c r="G295" s="1"/>
      <c r="H295" s="1"/>
      <c r="I295" t="str">
        <f>IFERROR(INDEX('تشخيص الحالات'!$D$2:$D$1001,SUMPRODUCT(('تشخيص الحالات'!$B$2:$B$1001=B295)*('تشخيص الحالات'!$G$2:$G$1001=1)*ROW('تشخيص الحالات'!$B$2:$B$1001))-1),"")&amp;IF(SUMPRODUCT(('تشخيص الحالات'!$B$2:$B$1001=B295)*('تشخيص الحالات'!$G$2:$G$1001=2))&gt;0,"، "&amp;IFERROR(INDEX('تشخيص الحالات'!$D$2:$D$1001,SUMPRODUCT(('تشخيص الحالات'!$B$2:$B$1001=B295)*('تشخيص الحالات'!$G$2:$G$1001=2)*ROW('تشخيص الحالات'!$B$2:$B$1001))-1),""),"")&amp;IF(SUMPRODUCT(('تشخيص الحالات'!$B$2:$B$1001=B295)*('تشخيص الحالات'!$G$2:$G$1001=3))&gt;0,"، "&amp;IFERROR(INDEX('تشخيص الحالات'!$D$2:$D$1001,SUMPRODUCT(('تشخيص الحالات'!$B$2:$B$1001=B295)*('تشخيص الحالات'!$G$2:$G$1001=3)*ROW('تشخيص الحالات'!$B$2:$B$1001))-1),""),"")&amp;IF(SUMPRODUCT(('تشخيص الحالات'!$B$2:$B$1001=B295)*('تشخيص الحالات'!$G$2:$G$1001=4))&gt;0,"، "&amp;IFERROR(INDEX('تشخيص الحالات'!$D$2:$D$1001,SUMPRODUCT(('تشخيص الحالات'!$B$2:$B$1001=B295)*('تشخيص الحالات'!$G$2:$G$1001=4)*ROW('تشخيص الحالات'!$B$2:$B$1001))-1),""),"")&amp;IF(SUMPRODUCT(('تشخيص الحالات'!$B$2:$B$1001=B295)*('تشخيص الحالات'!$G$2:$G$1001=5))&gt;0,"، "&amp;IFERROR(INDEX('تشخيص الحالات'!$D$2:$D$1001,SUMPRODUCT(('تشخيص الحالات'!$B$2:$B$1001=B295)*('تشخيص الحالات'!$G$2:$G$1001=5)*ROW('تشخيص الحالات'!$B$2:$B$1001))-1),""),"")&amp;IF(SUMPRODUCT(('تشخيص الحالات'!$B$2:$B$1001=B295)*('تشخيص الحالات'!$G$2:$G$1001=6))&gt;0,"، "&amp;IFERROR(INDEX('تشخيص الحالات'!$D$2:$D$1001,SUMPRODUCT(('تشخيص الحالات'!$B$2:$B$1001=B295)*('تشخيص الحالات'!$G$2:$G$1001=6)*ROW('تشخيص الحالات'!$B$2:$B$1001))-1),""),"")&amp;IF(SUMPRODUCT(('تشخيص الحالات'!$B$2:$B$1001=B295)*('تشخيص الحالات'!$G$2:$G$1001=7))&gt;0,"، "&amp;IFERROR(INDEX('تشخيص الحالات'!$D$2:$D$1001,SUMPRODUCT(('تشخيص الحالات'!$B$2:$B$1001=B295)*('تشخيص الحالات'!$G$2:$G$1001=7)*ROW('تشخيص الحالات'!$B$2:$B$1001))-1),""),"")&amp;IF(SUMPRODUCT(('تشخيص الحالات'!$B$2:$B$1001=B295)*('تشخيص الحالات'!$G$2:$G$1001=8))&gt;0,"، "&amp;IFERROR(INDEX('تشخيص الحالات'!$D$2:$D$1001,SUMPRODUCT(('تشخيص الحالات'!$B$2:$B$1001=B295)*('تشخيص الحالات'!$G$2:$G$1001=8)*ROW('تشخيص الحالات'!$B$2:$B$1001))-1),""),"")</f>
        <v/>
      </c>
      <c r="J295" s="1"/>
      <c r="K295" s="1"/>
      <c r="L295" s="1"/>
      <c r="M295" s="1"/>
    </row>
    <row r="296" spans="1:13" x14ac:dyDescent="0.2">
      <c r="A296" s="1"/>
      <c r="B296" s="1"/>
      <c r="C296" s="1"/>
      <c r="D296" s="1"/>
      <c r="E296" s="1"/>
      <c r="F296" s="1"/>
      <c r="G296" s="1"/>
      <c r="H296" s="1"/>
      <c r="I296" t="str">
        <f>IFERROR(INDEX('تشخيص الحالات'!$D$2:$D$1001,SUMPRODUCT(('تشخيص الحالات'!$B$2:$B$1001=B296)*('تشخيص الحالات'!$G$2:$G$1001=1)*ROW('تشخيص الحالات'!$B$2:$B$1001))-1),"")&amp;IF(SUMPRODUCT(('تشخيص الحالات'!$B$2:$B$1001=B296)*('تشخيص الحالات'!$G$2:$G$1001=2))&gt;0,"، "&amp;IFERROR(INDEX('تشخيص الحالات'!$D$2:$D$1001,SUMPRODUCT(('تشخيص الحالات'!$B$2:$B$1001=B296)*('تشخيص الحالات'!$G$2:$G$1001=2)*ROW('تشخيص الحالات'!$B$2:$B$1001))-1),""),"")&amp;IF(SUMPRODUCT(('تشخيص الحالات'!$B$2:$B$1001=B296)*('تشخيص الحالات'!$G$2:$G$1001=3))&gt;0,"، "&amp;IFERROR(INDEX('تشخيص الحالات'!$D$2:$D$1001,SUMPRODUCT(('تشخيص الحالات'!$B$2:$B$1001=B296)*('تشخيص الحالات'!$G$2:$G$1001=3)*ROW('تشخيص الحالات'!$B$2:$B$1001))-1),""),"")&amp;IF(SUMPRODUCT(('تشخيص الحالات'!$B$2:$B$1001=B296)*('تشخيص الحالات'!$G$2:$G$1001=4))&gt;0,"، "&amp;IFERROR(INDEX('تشخيص الحالات'!$D$2:$D$1001,SUMPRODUCT(('تشخيص الحالات'!$B$2:$B$1001=B296)*('تشخيص الحالات'!$G$2:$G$1001=4)*ROW('تشخيص الحالات'!$B$2:$B$1001))-1),""),"")&amp;IF(SUMPRODUCT(('تشخيص الحالات'!$B$2:$B$1001=B296)*('تشخيص الحالات'!$G$2:$G$1001=5))&gt;0,"، "&amp;IFERROR(INDEX('تشخيص الحالات'!$D$2:$D$1001,SUMPRODUCT(('تشخيص الحالات'!$B$2:$B$1001=B296)*('تشخيص الحالات'!$G$2:$G$1001=5)*ROW('تشخيص الحالات'!$B$2:$B$1001))-1),""),"")&amp;IF(SUMPRODUCT(('تشخيص الحالات'!$B$2:$B$1001=B296)*('تشخيص الحالات'!$G$2:$G$1001=6))&gt;0,"، "&amp;IFERROR(INDEX('تشخيص الحالات'!$D$2:$D$1001,SUMPRODUCT(('تشخيص الحالات'!$B$2:$B$1001=B296)*('تشخيص الحالات'!$G$2:$G$1001=6)*ROW('تشخيص الحالات'!$B$2:$B$1001))-1),""),"")&amp;IF(SUMPRODUCT(('تشخيص الحالات'!$B$2:$B$1001=B296)*('تشخيص الحالات'!$G$2:$G$1001=7))&gt;0,"، "&amp;IFERROR(INDEX('تشخيص الحالات'!$D$2:$D$1001,SUMPRODUCT(('تشخيص الحالات'!$B$2:$B$1001=B296)*('تشخيص الحالات'!$G$2:$G$1001=7)*ROW('تشخيص الحالات'!$B$2:$B$1001))-1),""),"")&amp;IF(SUMPRODUCT(('تشخيص الحالات'!$B$2:$B$1001=B296)*('تشخيص الحالات'!$G$2:$G$1001=8))&gt;0,"، "&amp;IFERROR(INDEX('تشخيص الحالات'!$D$2:$D$1001,SUMPRODUCT(('تشخيص الحالات'!$B$2:$B$1001=B296)*('تشخيص الحالات'!$G$2:$G$1001=8)*ROW('تشخيص الحالات'!$B$2:$B$1001))-1),""),"")</f>
        <v/>
      </c>
      <c r="J296" s="1"/>
      <c r="K296" s="1"/>
      <c r="L296" s="1"/>
      <c r="M296" s="1"/>
    </row>
    <row r="297" spans="1:13" x14ac:dyDescent="0.2">
      <c r="A297" s="1"/>
      <c r="B297" s="1"/>
      <c r="C297" s="1"/>
      <c r="D297" s="1"/>
      <c r="E297" s="1"/>
      <c r="F297" s="1"/>
      <c r="G297" s="1"/>
      <c r="H297" s="1"/>
      <c r="I297" t="str">
        <f>IFERROR(INDEX('تشخيص الحالات'!$D$2:$D$1001,SUMPRODUCT(('تشخيص الحالات'!$B$2:$B$1001=B297)*('تشخيص الحالات'!$G$2:$G$1001=1)*ROW('تشخيص الحالات'!$B$2:$B$1001))-1),"")&amp;IF(SUMPRODUCT(('تشخيص الحالات'!$B$2:$B$1001=B297)*('تشخيص الحالات'!$G$2:$G$1001=2))&gt;0,"، "&amp;IFERROR(INDEX('تشخيص الحالات'!$D$2:$D$1001,SUMPRODUCT(('تشخيص الحالات'!$B$2:$B$1001=B297)*('تشخيص الحالات'!$G$2:$G$1001=2)*ROW('تشخيص الحالات'!$B$2:$B$1001))-1),""),"")&amp;IF(SUMPRODUCT(('تشخيص الحالات'!$B$2:$B$1001=B297)*('تشخيص الحالات'!$G$2:$G$1001=3))&gt;0,"، "&amp;IFERROR(INDEX('تشخيص الحالات'!$D$2:$D$1001,SUMPRODUCT(('تشخيص الحالات'!$B$2:$B$1001=B297)*('تشخيص الحالات'!$G$2:$G$1001=3)*ROW('تشخيص الحالات'!$B$2:$B$1001))-1),""),"")&amp;IF(SUMPRODUCT(('تشخيص الحالات'!$B$2:$B$1001=B297)*('تشخيص الحالات'!$G$2:$G$1001=4))&gt;0,"، "&amp;IFERROR(INDEX('تشخيص الحالات'!$D$2:$D$1001,SUMPRODUCT(('تشخيص الحالات'!$B$2:$B$1001=B297)*('تشخيص الحالات'!$G$2:$G$1001=4)*ROW('تشخيص الحالات'!$B$2:$B$1001))-1),""),"")&amp;IF(SUMPRODUCT(('تشخيص الحالات'!$B$2:$B$1001=B297)*('تشخيص الحالات'!$G$2:$G$1001=5))&gt;0,"، "&amp;IFERROR(INDEX('تشخيص الحالات'!$D$2:$D$1001,SUMPRODUCT(('تشخيص الحالات'!$B$2:$B$1001=B297)*('تشخيص الحالات'!$G$2:$G$1001=5)*ROW('تشخيص الحالات'!$B$2:$B$1001))-1),""),"")&amp;IF(SUMPRODUCT(('تشخيص الحالات'!$B$2:$B$1001=B297)*('تشخيص الحالات'!$G$2:$G$1001=6))&gt;0,"، "&amp;IFERROR(INDEX('تشخيص الحالات'!$D$2:$D$1001,SUMPRODUCT(('تشخيص الحالات'!$B$2:$B$1001=B297)*('تشخيص الحالات'!$G$2:$G$1001=6)*ROW('تشخيص الحالات'!$B$2:$B$1001))-1),""),"")&amp;IF(SUMPRODUCT(('تشخيص الحالات'!$B$2:$B$1001=B297)*('تشخيص الحالات'!$G$2:$G$1001=7))&gt;0,"، "&amp;IFERROR(INDEX('تشخيص الحالات'!$D$2:$D$1001,SUMPRODUCT(('تشخيص الحالات'!$B$2:$B$1001=B297)*('تشخيص الحالات'!$G$2:$G$1001=7)*ROW('تشخيص الحالات'!$B$2:$B$1001))-1),""),"")&amp;IF(SUMPRODUCT(('تشخيص الحالات'!$B$2:$B$1001=B297)*('تشخيص الحالات'!$G$2:$G$1001=8))&gt;0,"، "&amp;IFERROR(INDEX('تشخيص الحالات'!$D$2:$D$1001,SUMPRODUCT(('تشخيص الحالات'!$B$2:$B$1001=B297)*('تشخيص الحالات'!$G$2:$G$1001=8)*ROW('تشخيص الحالات'!$B$2:$B$1001))-1),""),"")</f>
        <v/>
      </c>
      <c r="J297" s="1"/>
      <c r="K297" s="1"/>
      <c r="L297" s="1"/>
      <c r="M297" s="1"/>
    </row>
    <row r="298" spans="1:13" x14ac:dyDescent="0.2">
      <c r="A298" s="1"/>
      <c r="B298" s="1"/>
      <c r="C298" s="1"/>
      <c r="D298" s="1"/>
      <c r="E298" s="1"/>
      <c r="F298" s="1"/>
      <c r="G298" s="1"/>
      <c r="H298" s="1"/>
      <c r="I298" t="str">
        <f>IFERROR(INDEX('تشخيص الحالات'!$D$2:$D$1001,SUMPRODUCT(('تشخيص الحالات'!$B$2:$B$1001=B298)*('تشخيص الحالات'!$G$2:$G$1001=1)*ROW('تشخيص الحالات'!$B$2:$B$1001))-1),"")&amp;IF(SUMPRODUCT(('تشخيص الحالات'!$B$2:$B$1001=B298)*('تشخيص الحالات'!$G$2:$G$1001=2))&gt;0,"، "&amp;IFERROR(INDEX('تشخيص الحالات'!$D$2:$D$1001,SUMPRODUCT(('تشخيص الحالات'!$B$2:$B$1001=B298)*('تشخيص الحالات'!$G$2:$G$1001=2)*ROW('تشخيص الحالات'!$B$2:$B$1001))-1),""),"")&amp;IF(SUMPRODUCT(('تشخيص الحالات'!$B$2:$B$1001=B298)*('تشخيص الحالات'!$G$2:$G$1001=3))&gt;0,"، "&amp;IFERROR(INDEX('تشخيص الحالات'!$D$2:$D$1001,SUMPRODUCT(('تشخيص الحالات'!$B$2:$B$1001=B298)*('تشخيص الحالات'!$G$2:$G$1001=3)*ROW('تشخيص الحالات'!$B$2:$B$1001))-1),""),"")&amp;IF(SUMPRODUCT(('تشخيص الحالات'!$B$2:$B$1001=B298)*('تشخيص الحالات'!$G$2:$G$1001=4))&gt;0,"، "&amp;IFERROR(INDEX('تشخيص الحالات'!$D$2:$D$1001,SUMPRODUCT(('تشخيص الحالات'!$B$2:$B$1001=B298)*('تشخيص الحالات'!$G$2:$G$1001=4)*ROW('تشخيص الحالات'!$B$2:$B$1001))-1),""),"")&amp;IF(SUMPRODUCT(('تشخيص الحالات'!$B$2:$B$1001=B298)*('تشخيص الحالات'!$G$2:$G$1001=5))&gt;0,"، "&amp;IFERROR(INDEX('تشخيص الحالات'!$D$2:$D$1001,SUMPRODUCT(('تشخيص الحالات'!$B$2:$B$1001=B298)*('تشخيص الحالات'!$G$2:$G$1001=5)*ROW('تشخيص الحالات'!$B$2:$B$1001))-1),""),"")&amp;IF(SUMPRODUCT(('تشخيص الحالات'!$B$2:$B$1001=B298)*('تشخيص الحالات'!$G$2:$G$1001=6))&gt;0,"، "&amp;IFERROR(INDEX('تشخيص الحالات'!$D$2:$D$1001,SUMPRODUCT(('تشخيص الحالات'!$B$2:$B$1001=B298)*('تشخيص الحالات'!$G$2:$G$1001=6)*ROW('تشخيص الحالات'!$B$2:$B$1001))-1),""),"")&amp;IF(SUMPRODUCT(('تشخيص الحالات'!$B$2:$B$1001=B298)*('تشخيص الحالات'!$G$2:$G$1001=7))&gt;0,"، "&amp;IFERROR(INDEX('تشخيص الحالات'!$D$2:$D$1001,SUMPRODUCT(('تشخيص الحالات'!$B$2:$B$1001=B298)*('تشخيص الحالات'!$G$2:$G$1001=7)*ROW('تشخيص الحالات'!$B$2:$B$1001))-1),""),"")&amp;IF(SUMPRODUCT(('تشخيص الحالات'!$B$2:$B$1001=B298)*('تشخيص الحالات'!$G$2:$G$1001=8))&gt;0,"، "&amp;IFERROR(INDEX('تشخيص الحالات'!$D$2:$D$1001,SUMPRODUCT(('تشخيص الحالات'!$B$2:$B$1001=B298)*('تشخيص الحالات'!$G$2:$G$1001=8)*ROW('تشخيص الحالات'!$B$2:$B$1001))-1),""),"")</f>
        <v/>
      </c>
      <c r="J298" s="1"/>
      <c r="K298" s="1"/>
      <c r="L298" s="1"/>
      <c r="M298" s="1"/>
    </row>
    <row r="299" spans="1:13" x14ac:dyDescent="0.2">
      <c r="A299" s="1"/>
      <c r="B299" s="1"/>
      <c r="C299" s="1"/>
      <c r="D299" s="1"/>
      <c r="E299" s="1"/>
      <c r="F299" s="1"/>
      <c r="G299" s="1"/>
      <c r="H299" s="1"/>
      <c r="I299" t="str">
        <f>IFERROR(INDEX('تشخيص الحالات'!$D$2:$D$1001,SUMPRODUCT(('تشخيص الحالات'!$B$2:$B$1001=B299)*('تشخيص الحالات'!$G$2:$G$1001=1)*ROW('تشخيص الحالات'!$B$2:$B$1001))-1),"")&amp;IF(SUMPRODUCT(('تشخيص الحالات'!$B$2:$B$1001=B299)*('تشخيص الحالات'!$G$2:$G$1001=2))&gt;0,"، "&amp;IFERROR(INDEX('تشخيص الحالات'!$D$2:$D$1001,SUMPRODUCT(('تشخيص الحالات'!$B$2:$B$1001=B299)*('تشخيص الحالات'!$G$2:$G$1001=2)*ROW('تشخيص الحالات'!$B$2:$B$1001))-1),""),"")&amp;IF(SUMPRODUCT(('تشخيص الحالات'!$B$2:$B$1001=B299)*('تشخيص الحالات'!$G$2:$G$1001=3))&gt;0,"، "&amp;IFERROR(INDEX('تشخيص الحالات'!$D$2:$D$1001,SUMPRODUCT(('تشخيص الحالات'!$B$2:$B$1001=B299)*('تشخيص الحالات'!$G$2:$G$1001=3)*ROW('تشخيص الحالات'!$B$2:$B$1001))-1),""),"")&amp;IF(SUMPRODUCT(('تشخيص الحالات'!$B$2:$B$1001=B299)*('تشخيص الحالات'!$G$2:$G$1001=4))&gt;0,"، "&amp;IFERROR(INDEX('تشخيص الحالات'!$D$2:$D$1001,SUMPRODUCT(('تشخيص الحالات'!$B$2:$B$1001=B299)*('تشخيص الحالات'!$G$2:$G$1001=4)*ROW('تشخيص الحالات'!$B$2:$B$1001))-1),""),"")&amp;IF(SUMPRODUCT(('تشخيص الحالات'!$B$2:$B$1001=B299)*('تشخيص الحالات'!$G$2:$G$1001=5))&gt;0,"، "&amp;IFERROR(INDEX('تشخيص الحالات'!$D$2:$D$1001,SUMPRODUCT(('تشخيص الحالات'!$B$2:$B$1001=B299)*('تشخيص الحالات'!$G$2:$G$1001=5)*ROW('تشخيص الحالات'!$B$2:$B$1001))-1),""),"")&amp;IF(SUMPRODUCT(('تشخيص الحالات'!$B$2:$B$1001=B299)*('تشخيص الحالات'!$G$2:$G$1001=6))&gt;0,"، "&amp;IFERROR(INDEX('تشخيص الحالات'!$D$2:$D$1001,SUMPRODUCT(('تشخيص الحالات'!$B$2:$B$1001=B299)*('تشخيص الحالات'!$G$2:$G$1001=6)*ROW('تشخيص الحالات'!$B$2:$B$1001))-1),""),"")&amp;IF(SUMPRODUCT(('تشخيص الحالات'!$B$2:$B$1001=B299)*('تشخيص الحالات'!$G$2:$G$1001=7))&gt;0,"، "&amp;IFERROR(INDEX('تشخيص الحالات'!$D$2:$D$1001,SUMPRODUCT(('تشخيص الحالات'!$B$2:$B$1001=B299)*('تشخيص الحالات'!$G$2:$G$1001=7)*ROW('تشخيص الحالات'!$B$2:$B$1001))-1),""),"")&amp;IF(SUMPRODUCT(('تشخيص الحالات'!$B$2:$B$1001=B299)*('تشخيص الحالات'!$G$2:$G$1001=8))&gt;0,"، "&amp;IFERROR(INDEX('تشخيص الحالات'!$D$2:$D$1001,SUMPRODUCT(('تشخيص الحالات'!$B$2:$B$1001=B299)*('تشخيص الحالات'!$G$2:$G$1001=8)*ROW('تشخيص الحالات'!$B$2:$B$1001))-1),""),"")</f>
        <v/>
      </c>
      <c r="J299" s="1"/>
      <c r="K299" s="1"/>
      <c r="L299" s="1"/>
      <c r="M299" s="1"/>
    </row>
    <row r="300" spans="1:13" x14ac:dyDescent="0.2">
      <c r="A300" s="1"/>
      <c r="B300" s="1"/>
      <c r="C300" s="1"/>
      <c r="D300" s="1"/>
      <c r="E300" s="1"/>
      <c r="F300" s="1"/>
      <c r="G300" s="1"/>
      <c r="H300" s="1"/>
      <c r="I300" t="str">
        <f>IFERROR(INDEX('تشخيص الحالات'!$D$2:$D$1001,SUMPRODUCT(('تشخيص الحالات'!$B$2:$B$1001=B300)*('تشخيص الحالات'!$G$2:$G$1001=1)*ROW('تشخيص الحالات'!$B$2:$B$1001))-1),"")&amp;IF(SUMPRODUCT(('تشخيص الحالات'!$B$2:$B$1001=B300)*('تشخيص الحالات'!$G$2:$G$1001=2))&gt;0,"، "&amp;IFERROR(INDEX('تشخيص الحالات'!$D$2:$D$1001,SUMPRODUCT(('تشخيص الحالات'!$B$2:$B$1001=B300)*('تشخيص الحالات'!$G$2:$G$1001=2)*ROW('تشخيص الحالات'!$B$2:$B$1001))-1),""),"")&amp;IF(SUMPRODUCT(('تشخيص الحالات'!$B$2:$B$1001=B300)*('تشخيص الحالات'!$G$2:$G$1001=3))&gt;0,"، "&amp;IFERROR(INDEX('تشخيص الحالات'!$D$2:$D$1001,SUMPRODUCT(('تشخيص الحالات'!$B$2:$B$1001=B300)*('تشخيص الحالات'!$G$2:$G$1001=3)*ROW('تشخيص الحالات'!$B$2:$B$1001))-1),""),"")&amp;IF(SUMPRODUCT(('تشخيص الحالات'!$B$2:$B$1001=B300)*('تشخيص الحالات'!$G$2:$G$1001=4))&gt;0,"، "&amp;IFERROR(INDEX('تشخيص الحالات'!$D$2:$D$1001,SUMPRODUCT(('تشخيص الحالات'!$B$2:$B$1001=B300)*('تشخيص الحالات'!$G$2:$G$1001=4)*ROW('تشخيص الحالات'!$B$2:$B$1001))-1),""),"")&amp;IF(SUMPRODUCT(('تشخيص الحالات'!$B$2:$B$1001=B300)*('تشخيص الحالات'!$G$2:$G$1001=5))&gt;0,"، "&amp;IFERROR(INDEX('تشخيص الحالات'!$D$2:$D$1001,SUMPRODUCT(('تشخيص الحالات'!$B$2:$B$1001=B300)*('تشخيص الحالات'!$G$2:$G$1001=5)*ROW('تشخيص الحالات'!$B$2:$B$1001))-1),""),"")&amp;IF(SUMPRODUCT(('تشخيص الحالات'!$B$2:$B$1001=B300)*('تشخيص الحالات'!$G$2:$G$1001=6))&gt;0,"، "&amp;IFERROR(INDEX('تشخيص الحالات'!$D$2:$D$1001,SUMPRODUCT(('تشخيص الحالات'!$B$2:$B$1001=B300)*('تشخيص الحالات'!$G$2:$G$1001=6)*ROW('تشخيص الحالات'!$B$2:$B$1001))-1),""),"")&amp;IF(SUMPRODUCT(('تشخيص الحالات'!$B$2:$B$1001=B300)*('تشخيص الحالات'!$G$2:$G$1001=7))&gt;0,"، "&amp;IFERROR(INDEX('تشخيص الحالات'!$D$2:$D$1001,SUMPRODUCT(('تشخيص الحالات'!$B$2:$B$1001=B300)*('تشخيص الحالات'!$G$2:$G$1001=7)*ROW('تشخيص الحالات'!$B$2:$B$1001))-1),""),"")&amp;IF(SUMPRODUCT(('تشخيص الحالات'!$B$2:$B$1001=B300)*('تشخيص الحالات'!$G$2:$G$1001=8))&gt;0,"، "&amp;IFERROR(INDEX('تشخيص الحالات'!$D$2:$D$1001,SUMPRODUCT(('تشخيص الحالات'!$B$2:$B$1001=B300)*('تشخيص الحالات'!$G$2:$G$1001=8)*ROW('تشخيص الحالات'!$B$2:$B$1001))-1),""),"")</f>
        <v/>
      </c>
      <c r="J300" s="1"/>
      <c r="K300" s="1"/>
      <c r="L300" s="1"/>
      <c r="M300" s="1"/>
    </row>
    <row r="301" spans="1:13" x14ac:dyDescent="0.2">
      <c r="A301" s="1"/>
      <c r="B301" s="1"/>
      <c r="C301" s="1"/>
      <c r="D301" s="1"/>
      <c r="E301" s="1"/>
      <c r="F301" s="1"/>
      <c r="G301" s="1"/>
      <c r="H301" s="1"/>
      <c r="I301" t="str">
        <f>IFERROR(INDEX('تشخيص الحالات'!$D$2:$D$1001,SUMPRODUCT(('تشخيص الحالات'!$B$2:$B$1001=B301)*('تشخيص الحالات'!$G$2:$G$1001=1)*ROW('تشخيص الحالات'!$B$2:$B$1001))-1),"")&amp;IF(SUMPRODUCT(('تشخيص الحالات'!$B$2:$B$1001=B301)*('تشخيص الحالات'!$G$2:$G$1001=2))&gt;0,"، "&amp;IFERROR(INDEX('تشخيص الحالات'!$D$2:$D$1001,SUMPRODUCT(('تشخيص الحالات'!$B$2:$B$1001=B301)*('تشخيص الحالات'!$G$2:$G$1001=2)*ROW('تشخيص الحالات'!$B$2:$B$1001))-1),""),"")&amp;IF(SUMPRODUCT(('تشخيص الحالات'!$B$2:$B$1001=B301)*('تشخيص الحالات'!$G$2:$G$1001=3))&gt;0,"، "&amp;IFERROR(INDEX('تشخيص الحالات'!$D$2:$D$1001,SUMPRODUCT(('تشخيص الحالات'!$B$2:$B$1001=B301)*('تشخيص الحالات'!$G$2:$G$1001=3)*ROW('تشخيص الحالات'!$B$2:$B$1001))-1),""),"")&amp;IF(SUMPRODUCT(('تشخيص الحالات'!$B$2:$B$1001=B301)*('تشخيص الحالات'!$G$2:$G$1001=4))&gt;0,"، "&amp;IFERROR(INDEX('تشخيص الحالات'!$D$2:$D$1001,SUMPRODUCT(('تشخيص الحالات'!$B$2:$B$1001=B301)*('تشخيص الحالات'!$G$2:$G$1001=4)*ROW('تشخيص الحالات'!$B$2:$B$1001))-1),""),"")&amp;IF(SUMPRODUCT(('تشخيص الحالات'!$B$2:$B$1001=B301)*('تشخيص الحالات'!$G$2:$G$1001=5))&gt;0,"، "&amp;IFERROR(INDEX('تشخيص الحالات'!$D$2:$D$1001,SUMPRODUCT(('تشخيص الحالات'!$B$2:$B$1001=B301)*('تشخيص الحالات'!$G$2:$G$1001=5)*ROW('تشخيص الحالات'!$B$2:$B$1001))-1),""),"")&amp;IF(SUMPRODUCT(('تشخيص الحالات'!$B$2:$B$1001=B301)*('تشخيص الحالات'!$G$2:$G$1001=6))&gt;0,"، "&amp;IFERROR(INDEX('تشخيص الحالات'!$D$2:$D$1001,SUMPRODUCT(('تشخيص الحالات'!$B$2:$B$1001=B301)*('تشخيص الحالات'!$G$2:$G$1001=6)*ROW('تشخيص الحالات'!$B$2:$B$1001))-1),""),"")&amp;IF(SUMPRODUCT(('تشخيص الحالات'!$B$2:$B$1001=B301)*('تشخيص الحالات'!$G$2:$G$1001=7))&gt;0,"، "&amp;IFERROR(INDEX('تشخيص الحالات'!$D$2:$D$1001,SUMPRODUCT(('تشخيص الحالات'!$B$2:$B$1001=B301)*('تشخيص الحالات'!$G$2:$G$1001=7)*ROW('تشخيص الحالات'!$B$2:$B$1001))-1),""),"")&amp;IF(SUMPRODUCT(('تشخيص الحالات'!$B$2:$B$1001=B301)*('تشخيص الحالات'!$G$2:$G$1001=8))&gt;0,"، "&amp;IFERROR(INDEX('تشخيص الحالات'!$D$2:$D$1001,SUMPRODUCT(('تشخيص الحالات'!$B$2:$B$1001=B301)*('تشخيص الحالات'!$G$2:$G$1001=8)*ROW('تشخيص الحالات'!$B$2:$B$1001))-1),""),"")</f>
        <v/>
      </c>
      <c r="J301" s="1"/>
      <c r="K301" s="1"/>
      <c r="L301" s="1"/>
      <c r="M301" s="1"/>
    </row>
    <row r="302" spans="1:13" x14ac:dyDescent="0.2">
      <c r="A302" s="1"/>
      <c r="B302" s="1"/>
      <c r="C302" s="1"/>
      <c r="D302" s="1"/>
      <c r="E302" s="1"/>
      <c r="F302" s="1"/>
      <c r="G302" s="1"/>
      <c r="H302" s="1"/>
      <c r="I302" t="str">
        <f>IFERROR(INDEX('تشخيص الحالات'!$D$2:$D$1001,SUMPRODUCT(('تشخيص الحالات'!$B$2:$B$1001=B302)*('تشخيص الحالات'!$G$2:$G$1001=1)*ROW('تشخيص الحالات'!$B$2:$B$1001))-1),"")&amp;IF(SUMPRODUCT(('تشخيص الحالات'!$B$2:$B$1001=B302)*('تشخيص الحالات'!$G$2:$G$1001=2))&gt;0,"، "&amp;IFERROR(INDEX('تشخيص الحالات'!$D$2:$D$1001,SUMPRODUCT(('تشخيص الحالات'!$B$2:$B$1001=B302)*('تشخيص الحالات'!$G$2:$G$1001=2)*ROW('تشخيص الحالات'!$B$2:$B$1001))-1),""),"")&amp;IF(SUMPRODUCT(('تشخيص الحالات'!$B$2:$B$1001=B302)*('تشخيص الحالات'!$G$2:$G$1001=3))&gt;0,"، "&amp;IFERROR(INDEX('تشخيص الحالات'!$D$2:$D$1001,SUMPRODUCT(('تشخيص الحالات'!$B$2:$B$1001=B302)*('تشخيص الحالات'!$G$2:$G$1001=3)*ROW('تشخيص الحالات'!$B$2:$B$1001))-1),""),"")&amp;IF(SUMPRODUCT(('تشخيص الحالات'!$B$2:$B$1001=B302)*('تشخيص الحالات'!$G$2:$G$1001=4))&gt;0,"، "&amp;IFERROR(INDEX('تشخيص الحالات'!$D$2:$D$1001,SUMPRODUCT(('تشخيص الحالات'!$B$2:$B$1001=B302)*('تشخيص الحالات'!$G$2:$G$1001=4)*ROW('تشخيص الحالات'!$B$2:$B$1001))-1),""),"")&amp;IF(SUMPRODUCT(('تشخيص الحالات'!$B$2:$B$1001=B302)*('تشخيص الحالات'!$G$2:$G$1001=5))&gt;0,"، "&amp;IFERROR(INDEX('تشخيص الحالات'!$D$2:$D$1001,SUMPRODUCT(('تشخيص الحالات'!$B$2:$B$1001=B302)*('تشخيص الحالات'!$G$2:$G$1001=5)*ROW('تشخيص الحالات'!$B$2:$B$1001))-1),""),"")&amp;IF(SUMPRODUCT(('تشخيص الحالات'!$B$2:$B$1001=B302)*('تشخيص الحالات'!$G$2:$G$1001=6))&gt;0,"، "&amp;IFERROR(INDEX('تشخيص الحالات'!$D$2:$D$1001,SUMPRODUCT(('تشخيص الحالات'!$B$2:$B$1001=B302)*('تشخيص الحالات'!$G$2:$G$1001=6)*ROW('تشخيص الحالات'!$B$2:$B$1001))-1),""),"")&amp;IF(SUMPRODUCT(('تشخيص الحالات'!$B$2:$B$1001=B302)*('تشخيص الحالات'!$G$2:$G$1001=7))&gt;0,"، "&amp;IFERROR(INDEX('تشخيص الحالات'!$D$2:$D$1001,SUMPRODUCT(('تشخيص الحالات'!$B$2:$B$1001=B302)*('تشخيص الحالات'!$G$2:$G$1001=7)*ROW('تشخيص الحالات'!$B$2:$B$1001))-1),""),"")&amp;IF(SUMPRODUCT(('تشخيص الحالات'!$B$2:$B$1001=B302)*('تشخيص الحالات'!$G$2:$G$1001=8))&gt;0,"، "&amp;IFERROR(INDEX('تشخيص الحالات'!$D$2:$D$1001,SUMPRODUCT(('تشخيص الحالات'!$B$2:$B$1001=B302)*('تشخيص الحالات'!$G$2:$G$1001=8)*ROW('تشخيص الحالات'!$B$2:$B$1001))-1),""),"")</f>
        <v/>
      </c>
      <c r="J302" s="1"/>
      <c r="K302" s="1"/>
      <c r="L302" s="1"/>
      <c r="M302" s="1"/>
    </row>
    <row r="303" spans="1:13" x14ac:dyDescent="0.2">
      <c r="A303" s="1"/>
      <c r="B303" s="1"/>
      <c r="C303" s="1"/>
      <c r="D303" s="1"/>
      <c r="E303" s="1"/>
      <c r="F303" s="1"/>
      <c r="G303" s="1"/>
      <c r="H303" s="1"/>
      <c r="I303" t="str">
        <f>IFERROR(INDEX('تشخيص الحالات'!$D$2:$D$1001,SUMPRODUCT(('تشخيص الحالات'!$B$2:$B$1001=B303)*('تشخيص الحالات'!$G$2:$G$1001=1)*ROW('تشخيص الحالات'!$B$2:$B$1001))-1),"")&amp;IF(SUMPRODUCT(('تشخيص الحالات'!$B$2:$B$1001=B303)*('تشخيص الحالات'!$G$2:$G$1001=2))&gt;0,"، "&amp;IFERROR(INDEX('تشخيص الحالات'!$D$2:$D$1001,SUMPRODUCT(('تشخيص الحالات'!$B$2:$B$1001=B303)*('تشخيص الحالات'!$G$2:$G$1001=2)*ROW('تشخيص الحالات'!$B$2:$B$1001))-1),""),"")&amp;IF(SUMPRODUCT(('تشخيص الحالات'!$B$2:$B$1001=B303)*('تشخيص الحالات'!$G$2:$G$1001=3))&gt;0,"، "&amp;IFERROR(INDEX('تشخيص الحالات'!$D$2:$D$1001,SUMPRODUCT(('تشخيص الحالات'!$B$2:$B$1001=B303)*('تشخيص الحالات'!$G$2:$G$1001=3)*ROW('تشخيص الحالات'!$B$2:$B$1001))-1),""),"")&amp;IF(SUMPRODUCT(('تشخيص الحالات'!$B$2:$B$1001=B303)*('تشخيص الحالات'!$G$2:$G$1001=4))&gt;0,"، "&amp;IFERROR(INDEX('تشخيص الحالات'!$D$2:$D$1001,SUMPRODUCT(('تشخيص الحالات'!$B$2:$B$1001=B303)*('تشخيص الحالات'!$G$2:$G$1001=4)*ROW('تشخيص الحالات'!$B$2:$B$1001))-1),""),"")&amp;IF(SUMPRODUCT(('تشخيص الحالات'!$B$2:$B$1001=B303)*('تشخيص الحالات'!$G$2:$G$1001=5))&gt;0,"، "&amp;IFERROR(INDEX('تشخيص الحالات'!$D$2:$D$1001,SUMPRODUCT(('تشخيص الحالات'!$B$2:$B$1001=B303)*('تشخيص الحالات'!$G$2:$G$1001=5)*ROW('تشخيص الحالات'!$B$2:$B$1001))-1),""),"")&amp;IF(SUMPRODUCT(('تشخيص الحالات'!$B$2:$B$1001=B303)*('تشخيص الحالات'!$G$2:$G$1001=6))&gt;0,"، "&amp;IFERROR(INDEX('تشخيص الحالات'!$D$2:$D$1001,SUMPRODUCT(('تشخيص الحالات'!$B$2:$B$1001=B303)*('تشخيص الحالات'!$G$2:$G$1001=6)*ROW('تشخيص الحالات'!$B$2:$B$1001))-1),""),"")&amp;IF(SUMPRODUCT(('تشخيص الحالات'!$B$2:$B$1001=B303)*('تشخيص الحالات'!$G$2:$G$1001=7))&gt;0,"، "&amp;IFERROR(INDEX('تشخيص الحالات'!$D$2:$D$1001,SUMPRODUCT(('تشخيص الحالات'!$B$2:$B$1001=B303)*('تشخيص الحالات'!$G$2:$G$1001=7)*ROW('تشخيص الحالات'!$B$2:$B$1001))-1),""),"")&amp;IF(SUMPRODUCT(('تشخيص الحالات'!$B$2:$B$1001=B303)*('تشخيص الحالات'!$G$2:$G$1001=8))&gt;0,"، "&amp;IFERROR(INDEX('تشخيص الحالات'!$D$2:$D$1001,SUMPRODUCT(('تشخيص الحالات'!$B$2:$B$1001=B303)*('تشخيص الحالات'!$G$2:$G$1001=8)*ROW('تشخيص الحالات'!$B$2:$B$1001))-1),""),"")</f>
        <v/>
      </c>
      <c r="J303" s="1"/>
      <c r="K303" s="1"/>
      <c r="L303" s="1"/>
      <c r="M303" s="1"/>
    </row>
    <row r="304" spans="1:13" x14ac:dyDescent="0.2">
      <c r="A304" s="1"/>
      <c r="B304" s="1"/>
      <c r="C304" s="1"/>
      <c r="D304" s="1"/>
      <c r="E304" s="1"/>
      <c r="F304" s="1"/>
      <c r="G304" s="1"/>
      <c r="H304" s="1"/>
      <c r="I304" t="str">
        <f>IFERROR(INDEX('تشخيص الحالات'!$D$2:$D$1001,SUMPRODUCT(('تشخيص الحالات'!$B$2:$B$1001=B304)*('تشخيص الحالات'!$G$2:$G$1001=1)*ROW('تشخيص الحالات'!$B$2:$B$1001))-1),"")&amp;IF(SUMPRODUCT(('تشخيص الحالات'!$B$2:$B$1001=B304)*('تشخيص الحالات'!$G$2:$G$1001=2))&gt;0,"، "&amp;IFERROR(INDEX('تشخيص الحالات'!$D$2:$D$1001,SUMPRODUCT(('تشخيص الحالات'!$B$2:$B$1001=B304)*('تشخيص الحالات'!$G$2:$G$1001=2)*ROW('تشخيص الحالات'!$B$2:$B$1001))-1),""),"")&amp;IF(SUMPRODUCT(('تشخيص الحالات'!$B$2:$B$1001=B304)*('تشخيص الحالات'!$G$2:$G$1001=3))&gt;0,"، "&amp;IFERROR(INDEX('تشخيص الحالات'!$D$2:$D$1001,SUMPRODUCT(('تشخيص الحالات'!$B$2:$B$1001=B304)*('تشخيص الحالات'!$G$2:$G$1001=3)*ROW('تشخيص الحالات'!$B$2:$B$1001))-1),""),"")&amp;IF(SUMPRODUCT(('تشخيص الحالات'!$B$2:$B$1001=B304)*('تشخيص الحالات'!$G$2:$G$1001=4))&gt;0,"، "&amp;IFERROR(INDEX('تشخيص الحالات'!$D$2:$D$1001,SUMPRODUCT(('تشخيص الحالات'!$B$2:$B$1001=B304)*('تشخيص الحالات'!$G$2:$G$1001=4)*ROW('تشخيص الحالات'!$B$2:$B$1001))-1),""),"")&amp;IF(SUMPRODUCT(('تشخيص الحالات'!$B$2:$B$1001=B304)*('تشخيص الحالات'!$G$2:$G$1001=5))&gt;0,"، "&amp;IFERROR(INDEX('تشخيص الحالات'!$D$2:$D$1001,SUMPRODUCT(('تشخيص الحالات'!$B$2:$B$1001=B304)*('تشخيص الحالات'!$G$2:$G$1001=5)*ROW('تشخيص الحالات'!$B$2:$B$1001))-1),""),"")&amp;IF(SUMPRODUCT(('تشخيص الحالات'!$B$2:$B$1001=B304)*('تشخيص الحالات'!$G$2:$G$1001=6))&gt;0,"، "&amp;IFERROR(INDEX('تشخيص الحالات'!$D$2:$D$1001,SUMPRODUCT(('تشخيص الحالات'!$B$2:$B$1001=B304)*('تشخيص الحالات'!$G$2:$G$1001=6)*ROW('تشخيص الحالات'!$B$2:$B$1001))-1),""),"")&amp;IF(SUMPRODUCT(('تشخيص الحالات'!$B$2:$B$1001=B304)*('تشخيص الحالات'!$G$2:$G$1001=7))&gt;0,"، "&amp;IFERROR(INDEX('تشخيص الحالات'!$D$2:$D$1001,SUMPRODUCT(('تشخيص الحالات'!$B$2:$B$1001=B304)*('تشخيص الحالات'!$G$2:$G$1001=7)*ROW('تشخيص الحالات'!$B$2:$B$1001))-1),""),"")&amp;IF(SUMPRODUCT(('تشخيص الحالات'!$B$2:$B$1001=B304)*('تشخيص الحالات'!$G$2:$G$1001=8))&gt;0,"، "&amp;IFERROR(INDEX('تشخيص الحالات'!$D$2:$D$1001,SUMPRODUCT(('تشخيص الحالات'!$B$2:$B$1001=B304)*('تشخيص الحالات'!$G$2:$G$1001=8)*ROW('تشخيص الحالات'!$B$2:$B$1001))-1),""),"")</f>
        <v/>
      </c>
      <c r="J304" s="1"/>
      <c r="K304" s="1"/>
      <c r="L304" s="1"/>
      <c r="M304" s="1"/>
    </row>
    <row r="305" spans="1:13" x14ac:dyDescent="0.2">
      <c r="A305" s="1"/>
      <c r="B305" s="1"/>
      <c r="C305" s="1"/>
      <c r="D305" s="1"/>
      <c r="E305" s="1"/>
      <c r="F305" s="1"/>
      <c r="G305" s="1"/>
      <c r="H305" s="1"/>
      <c r="I305" t="str">
        <f>IFERROR(INDEX('تشخيص الحالات'!$D$2:$D$1001,SUMPRODUCT(('تشخيص الحالات'!$B$2:$B$1001=B305)*('تشخيص الحالات'!$G$2:$G$1001=1)*ROW('تشخيص الحالات'!$B$2:$B$1001))-1),"")&amp;IF(SUMPRODUCT(('تشخيص الحالات'!$B$2:$B$1001=B305)*('تشخيص الحالات'!$G$2:$G$1001=2))&gt;0,"، "&amp;IFERROR(INDEX('تشخيص الحالات'!$D$2:$D$1001,SUMPRODUCT(('تشخيص الحالات'!$B$2:$B$1001=B305)*('تشخيص الحالات'!$G$2:$G$1001=2)*ROW('تشخيص الحالات'!$B$2:$B$1001))-1),""),"")&amp;IF(SUMPRODUCT(('تشخيص الحالات'!$B$2:$B$1001=B305)*('تشخيص الحالات'!$G$2:$G$1001=3))&gt;0,"، "&amp;IFERROR(INDEX('تشخيص الحالات'!$D$2:$D$1001,SUMPRODUCT(('تشخيص الحالات'!$B$2:$B$1001=B305)*('تشخيص الحالات'!$G$2:$G$1001=3)*ROW('تشخيص الحالات'!$B$2:$B$1001))-1),""),"")&amp;IF(SUMPRODUCT(('تشخيص الحالات'!$B$2:$B$1001=B305)*('تشخيص الحالات'!$G$2:$G$1001=4))&gt;0,"، "&amp;IFERROR(INDEX('تشخيص الحالات'!$D$2:$D$1001,SUMPRODUCT(('تشخيص الحالات'!$B$2:$B$1001=B305)*('تشخيص الحالات'!$G$2:$G$1001=4)*ROW('تشخيص الحالات'!$B$2:$B$1001))-1),""),"")&amp;IF(SUMPRODUCT(('تشخيص الحالات'!$B$2:$B$1001=B305)*('تشخيص الحالات'!$G$2:$G$1001=5))&gt;0,"، "&amp;IFERROR(INDEX('تشخيص الحالات'!$D$2:$D$1001,SUMPRODUCT(('تشخيص الحالات'!$B$2:$B$1001=B305)*('تشخيص الحالات'!$G$2:$G$1001=5)*ROW('تشخيص الحالات'!$B$2:$B$1001))-1),""),"")&amp;IF(SUMPRODUCT(('تشخيص الحالات'!$B$2:$B$1001=B305)*('تشخيص الحالات'!$G$2:$G$1001=6))&gt;0,"، "&amp;IFERROR(INDEX('تشخيص الحالات'!$D$2:$D$1001,SUMPRODUCT(('تشخيص الحالات'!$B$2:$B$1001=B305)*('تشخيص الحالات'!$G$2:$G$1001=6)*ROW('تشخيص الحالات'!$B$2:$B$1001))-1),""),"")&amp;IF(SUMPRODUCT(('تشخيص الحالات'!$B$2:$B$1001=B305)*('تشخيص الحالات'!$G$2:$G$1001=7))&gt;0,"، "&amp;IFERROR(INDEX('تشخيص الحالات'!$D$2:$D$1001,SUMPRODUCT(('تشخيص الحالات'!$B$2:$B$1001=B305)*('تشخيص الحالات'!$G$2:$G$1001=7)*ROW('تشخيص الحالات'!$B$2:$B$1001))-1),""),"")&amp;IF(SUMPRODUCT(('تشخيص الحالات'!$B$2:$B$1001=B305)*('تشخيص الحالات'!$G$2:$G$1001=8))&gt;0,"، "&amp;IFERROR(INDEX('تشخيص الحالات'!$D$2:$D$1001,SUMPRODUCT(('تشخيص الحالات'!$B$2:$B$1001=B305)*('تشخيص الحالات'!$G$2:$G$1001=8)*ROW('تشخيص الحالات'!$B$2:$B$1001))-1),""),"")</f>
        <v/>
      </c>
      <c r="J305" s="1"/>
      <c r="K305" s="1"/>
      <c r="L305" s="1"/>
      <c r="M305" s="1"/>
    </row>
    <row r="306" spans="1:13" x14ac:dyDescent="0.2">
      <c r="A306" s="1"/>
      <c r="B306" s="1"/>
      <c r="C306" s="1"/>
      <c r="D306" s="1"/>
      <c r="E306" s="1"/>
      <c r="F306" s="1"/>
      <c r="G306" s="1"/>
      <c r="H306" s="1"/>
      <c r="I306" t="str">
        <f>IFERROR(INDEX('تشخيص الحالات'!$D$2:$D$1001,SUMPRODUCT(('تشخيص الحالات'!$B$2:$B$1001=B306)*('تشخيص الحالات'!$G$2:$G$1001=1)*ROW('تشخيص الحالات'!$B$2:$B$1001))-1),"")&amp;IF(SUMPRODUCT(('تشخيص الحالات'!$B$2:$B$1001=B306)*('تشخيص الحالات'!$G$2:$G$1001=2))&gt;0,"، "&amp;IFERROR(INDEX('تشخيص الحالات'!$D$2:$D$1001,SUMPRODUCT(('تشخيص الحالات'!$B$2:$B$1001=B306)*('تشخيص الحالات'!$G$2:$G$1001=2)*ROW('تشخيص الحالات'!$B$2:$B$1001))-1),""),"")&amp;IF(SUMPRODUCT(('تشخيص الحالات'!$B$2:$B$1001=B306)*('تشخيص الحالات'!$G$2:$G$1001=3))&gt;0,"، "&amp;IFERROR(INDEX('تشخيص الحالات'!$D$2:$D$1001,SUMPRODUCT(('تشخيص الحالات'!$B$2:$B$1001=B306)*('تشخيص الحالات'!$G$2:$G$1001=3)*ROW('تشخيص الحالات'!$B$2:$B$1001))-1),""),"")&amp;IF(SUMPRODUCT(('تشخيص الحالات'!$B$2:$B$1001=B306)*('تشخيص الحالات'!$G$2:$G$1001=4))&gt;0,"، "&amp;IFERROR(INDEX('تشخيص الحالات'!$D$2:$D$1001,SUMPRODUCT(('تشخيص الحالات'!$B$2:$B$1001=B306)*('تشخيص الحالات'!$G$2:$G$1001=4)*ROW('تشخيص الحالات'!$B$2:$B$1001))-1),""),"")&amp;IF(SUMPRODUCT(('تشخيص الحالات'!$B$2:$B$1001=B306)*('تشخيص الحالات'!$G$2:$G$1001=5))&gt;0,"، "&amp;IFERROR(INDEX('تشخيص الحالات'!$D$2:$D$1001,SUMPRODUCT(('تشخيص الحالات'!$B$2:$B$1001=B306)*('تشخيص الحالات'!$G$2:$G$1001=5)*ROW('تشخيص الحالات'!$B$2:$B$1001))-1),""),"")&amp;IF(SUMPRODUCT(('تشخيص الحالات'!$B$2:$B$1001=B306)*('تشخيص الحالات'!$G$2:$G$1001=6))&gt;0,"، "&amp;IFERROR(INDEX('تشخيص الحالات'!$D$2:$D$1001,SUMPRODUCT(('تشخيص الحالات'!$B$2:$B$1001=B306)*('تشخيص الحالات'!$G$2:$G$1001=6)*ROW('تشخيص الحالات'!$B$2:$B$1001))-1),""),"")&amp;IF(SUMPRODUCT(('تشخيص الحالات'!$B$2:$B$1001=B306)*('تشخيص الحالات'!$G$2:$G$1001=7))&gt;0,"، "&amp;IFERROR(INDEX('تشخيص الحالات'!$D$2:$D$1001,SUMPRODUCT(('تشخيص الحالات'!$B$2:$B$1001=B306)*('تشخيص الحالات'!$G$2:$G$1001=7)*ROW('تشخيص الحالات'!$B$2:$B$1001))-1),""),"")&amp;IF(SUMPRODUCT(('تشخيص الحالات'!$B$2:$B$1001=B306)*('تشخيص الحالات'!$G$2:$G$1001=8))&gt;0,"، "&amp;IFERROR(INDEX('تشخيص الحالات'!$D$2:$D$1001,SUMPRODUCT(('تشخيص الحالات'!$B$2:$B$1001=B306)*('تشخيص الحالات'!$G$2:$G$1001=8)*ROW('تشخيص الحالات'!$B$2:$B$1001))-1),""),"")</f>
        <v/>
      </c>
      <c r="J306" s="1"/>
      <c r="K306" s="1"/>
      <c r="L306" s="1"/>
      <c r="M306" s="1"/>
    </row>
    <row r="307" spans="1:13" x14ac:dyDescent="0.2">
      <c r="A307" s="1"/>
      <c r="B307" s="1"/>
      <c r="C307" s="1"/>
      <c r="D307" s="1"/>
      <c r="E307" s="1"/>
      <c r="F307" s="1"/>
      <c r="G307" s="1"/>
      <c r="H307" s="1"/>
      <c r="I307" t="str">
        <f>IFERROR(INDEX('تشخيص الحالات'!$D$2:$D$1001,SUMPRODUCT(('تشخيص الحالات'!$B$2:$B$1001=B307)*('تشخيص الحالات'!$G$2:$G$1001=1)*ROW('تشخيص الحالات'!$B$2:$B$1001))-1),"")&amp;IF(SUMPRODUCT(('تشخيص الحالات'!$B$2:$B$1001=B307)*('تشخيص الحالات'!$G$2:$G$1001=2))&gt;0,"، "&amp;IFERROR(INDEX('تشخيص الحالات'!$D$2:$D$1001,SUMPRODUCT(('تشخيص الحالات'!$B$2:$B$1001=B307)*('تشخيص الحالات'!$G$2:$G$1001=2)*ROW('تشخيص الحالات'!$B$2:$B$1001))-1),""),"")&amp;IF(SUMPRODUCT(('تشخيص الحالات'!$B$2:$B$1001=B307)*('تشخيص الحالات'!$G$2:$G$1001=3))&gt;0,"، "&amp;IFERROR(INDEX('تشخيص الحالات'!$D$2:$D$1001,SUMPRODUCT(('تشخيص الحالات'!$B$2:$B$1001=B307)*('تشخيص الحالات'!$G$2:$G$1001=3)*ROW('تشخيص الحالات'!$B$2:$B$1001))-1),""),"")&amp;IF(SUMPRODUCT(('تشخيص الحالات'!$B$2:$B$1001=B307)*('تشخيص الحالات'!$G$2:$G$1001=4))&gt;0,"، "&amp;IFERROR(INDEX('تشخيص الحالات'!$D$2:$D$1001,SUMPRODUCT(('تشخيص الحالات'!$B$2:$B$1001=B307)*('تشخيص الحالات'!$G$2:$G$1001=4)*ROW('تشخيص الحالات'!$B$2:$B$1001))-1),""),"")&amp;IF(SUMPRODUCT(('تشخيص الحالات'!$B$2:$B$1001=B307)*('تشخيص الحالات'!$G$2:$G$1001=5))&gt;0,"، "&amp;IFERROR(INDEX('تشخيص الحالات'!$D$2:$D$1001,SUMPRODUCT(('تشخيص الحالات'!$B$2:$B$1001=B307)*('تشخيص الحالات'!$G$2:$G$1001=5)*ROW('تشخيص الحالات'!$B$2:$B$1001))-1),""),"")&amp;IF(SUMPRODUCT(('تشخيص الحالات'!$B$2:$B$1001=B307)*('تشخيص الحالات'!$G$2:$G$1001=6))&gt;0,"، "&amp;IFERROR(INDEX('تشخيص الحالات'!$D$2:$D$1001,SUMPRODUCT(('تشخيص الحالات'!$B$2:$B$1001=B307)*('تشخيص الحالات'!$G$2:$G$1001=6)*ROW('تشخيص الحالات'!$B$2:$B$1001))-1),""),"")&amp;IF(SUMPRODUCT(('تشخيص الحالات'!$B$2:$B$1001=B307)*('تشخيص الحالات'!$G$2:$G$1001=7))&gt;0,"، "&amp;IFERROR(INDEX('تشخيص الحالات'!$D$2:$D$1001,SUMPRODUCT(('تشخيص الحالات'!$B$2:$B$1001=B307)*('تشخيص الحالات'!$G$2:$G$1001=7)*ROW('تشخيص الحالات'!$B$2:$B$1001))-1),""),"")&amp;IF(SUMPRODUCT(('تشخيص الحالات'!$B$2:$B$1001=B307)*('تشخيص الحالات'!$G$2:$G$1001=8))&gt;0,"، "&amp;IFERROR(INDEX('تشخيص الحالات'!$D$2:$D$1001,SUMPRODUCT(('تشخيص الحالات'!$B$2:$B$1001=B307)*('تشخيص الحالات'!$G$2:$G$1001=8)*ROW('تشخيص الحالات'!$B$2:$B$1001))-1),""),"")</f>
        <v/>
      </c>
      <c r="J307" s="1"/>
      <c r="K307" s="1"/>
      <c r="L307" s="1"/>
      <c r="M307" s="1"/>
    </row>
    <row r="308" spans="1:13" x14ac:dyDescent="0.2">
      <c r="A308" s="1"/>
      <c r="B308" s="1"/>
      <c r="C308" s="1"/>
      <c r="D308" s="1"/>
      <c r="E308" s="1"/>
      <c r="F308" s="1"/>
      <c r="G308" s="1"/>
      <c r="H308" s="1"/>
      <c r="I308" t="str">
        <f>IFERROR(INDEX('تشخيص الحالات'!$D$2:$D$1001,SUMPRODUCT(('تشخيص الحالات'!$B$2:$B$1001=B308)*('تشخيص الحالات'!$G$2:$G$1001=1)*ROW('تشخيص الحالات'!$B$2:$B$1001))-1),"")&amp;IF(SUMPRODUCT(('تشخيص الحالات'!$B$2:$B$1001=B308)*('تشخيص الحالات'!$G$2:$G$1001=2))&gt;0,"، "&amp;IFERROR(INDEX('تشخيص الحالات'!$D$2:$D$1001,SUMPRODUCT(('تشخيص الحالات'!$B$2:$B$1001=B308)*('تشخيص الحالات'!$G$2:$G$1001=2)*ROW('تشخيص الحالات'!$B$2:$B$1001))-1),""),"")&amp;IF(SUMPRODUCT(('تشخيص الحالات'!$B$2:$B$1001=B308)*('تشخيص الحالات'!$G$2:$G$1001=3))&gt;0,"، "&amp;IFERROR(INDEX('تشخيص الحالات'!$D$2:$D$1001,SUMPRODUCT(('تشخيص الحالات'!$B$2:$B$1001=B308)*('تشخيص الحالات'!$G$2:$G$1001=3)*ROW('تشخيص الحالات'!$B$2:$B$1001))-1),""),"")&amp;IF(SUMPRODUCT(('تشخيص الحالات'!$B$2:$B$1001=B308)*('تشخيص الحالات'!$G$2:$G$1001=4))&gt;0,"، "&amp;IFERROR(INDEX('تشخيص الحالات'!$D$2:$D$1001,SUMPRODUCT(('تشخيص الحالات'!$B$2:$B$1001=B308)*('تشخيص الحالات'!$G$2:$G$1001=4)*ROW('تشخيص الحالات'!$B$2:$B$1001))-1),""),"")&amp;IF(SUMPRODUCT(('تشخيص الحالات'!$B$2:$B$1001=B308)*('تشخيص الحالات'!$G$2:$G$1001=5))&gt;0,"، "&amp;IFERROR(INDEX('تشخيص الحالات'!$D$2:$D$1001,SUMPRODUCT(('تشخيص الحالات'!$B$2:$B$1001=B308)*('تشخيص الحالات'!$G$2:$G$1001=5)*ROW('تشخيص الحالات'!$B$2:$B$1001))-1),""),"")&amp;IF(SUMPRODUCT(('تشخيص الحالات'!$B$2:$B$1001=B308)*('تشخيص الحالات'!$G$2:$G$1001=6))&gt;0,"، "&amp;IFERROR(INDEX('تشخيص الحالات'!$D$2:$D$1001,SUMPRODUCT(('تشخيص الحالات'!$B$2:$B$1001=B308)*('تشخيص الحالات'!$G$2:$G$1001=6)*ROW('تشخيص الحالات'!$B$2:$B$1001))-1),""),"")&amp;IF(SUMPRODUCT(('تشخيص الحالات'!$B$2:$B$1001=B308)*('تشخيص الحالات'!$G$2:$G$1001=7))&gt;0,"، "&amp;IFERROR(INDEX('تشخيص الحالات'!$D$2:$D$1001,SUMPRODUCT(('تشخيص الحالات'!$B$2:$B$1001=B308)*('تشخيص الحالات'!$G$2:$G$1001=7)*ROW('تشخيص الحالات'!$B$2:$B$1001))-1),""),"")&amp;IF(SUMPRODUCT(('تشخيص الحالات'!$B$2:$B$1001=B308)*('تشخيص الحالات'!$G$2:$G$1001=8))&gt;0,"، "&amp;IFERROR(INDEX('تشخيص الحالات'!$D$2:$D$1001,SUMPRODUCT(('تشخيص الحالات'!$B$2:$B$1001=B308)*('تشخيص الحالات'!$G$2:$G$1001=8)*ROW('تشخيص الحالات'!$B$2:$B$1001))-1),""),"")</f>
        <v/>
      </c>
      <c r="J308" s="1"/>
      <c r="K308" s="1"/>
      <c r="L308" s="1"/>
      <c r="M308" s="1"/>
    </row>
    <row r="309" spans="1:13" x14ac:dyDescent="0.2">
      <c r="A309" s="1"/>
      <c r="B309" s="1"/>
      <c r="C309" s="1"/>
      <c r="D309" s="1"/>
      <c r="E309" s="1"/>
      <c r="F309" s="1"/>
      <c r="G309" s="1"/>
      <c r="H309" s="1"/>
      <c r="I309" t="str">
        <f>IFERROR(INDEX('تشخيص الحالات'!$D$2:$D$1001,SUMPRODUCT(('تشخيص الحالات'!$B$2:$B$1001=B309)*('تشخيص الحالات'!$G$2:$G$1001=1)*ROW('تشخيص الحالات'!$B$2:$B$1001))-1),"")&amp;IF(SUMPRODUCT(('تشخيص الحالات'!$B$2:$B$1001=B309)*('تشخيص الحالات'!$G$2:$G$1001=2))&gt;0,"، "&amp;IFERROR(INDEX('تشخيص الحالات'!$D$2:$D$1001,SUMPRODUCT(('تشخيص الحالات'!$B$2:$B$1001=B309)*('تشخيص الحالات'!$G$2:$G$1001=2)*ROW('تشخيص الحالات'!$B$2:$B$1001))-1),""),"")&amp;IF(SUMPRODUCT(('تشخيص الحالات'!$B$2:$B$1001=B309)*('تشخيص الحالات'!$G$2:$G$1001=3))&gt;0,"، "&amp;IFERROR(INDEX('تشخيص الحالات'!$D$2:$D$1001,SUMPRODUCT(('تشخيص الحالات'!$B$2:$B$1001=B309)*('تشخيص الحالات'!$G$2:$G$1001=3)*ROW('تشخيص الحالات'!$B$2:$B$1001))-1),""),"")&amp;IF(SUMPRODUCT(('تشخيص الحالات'!$B$2:$B$1001=B309)*('تشخيص الحالات'!$G$2:$G$1001=4))&gt;0,"، "&amp;IFERROR(INDEX('تشخيص الحالات'!$D$2:$D$1001,SUMPRODUCT(('تشخيص الحالات'!$B$2:$B$1001=B309)*('تشخيص الحالات'!$G$2:$G$1001=4)*ROW('تشخيص الحالات'!$B$2:$B$1001))-1),""),"")&amp;IF(SUMPRODUCT(('تشخيص الحالات'!$B$2:$B$1001=B309)*('تشخيص الحالات'!$G$2:$G$1001=5))&gt;0,"، "&amp;IFERROR(INDEX('تشخيص الحالات'!$D$2:$D$1001,SUMPRODUCT(('تشخيص الحالات'!$B$2:$B$1001=B309)*('تشخيص الحالات'!$G$2:$G$1001=5)*ROW('تشخيص الحالات'!$B$2:$B$1001))-1),""),"")&amp;IF(SUMPRODUCT(('تشخيص الحالات'!$B$2:$B$1001=B309)*('تشخيص الحالات'!$G$2:$G$1001=6))&gt;0,"، "&amp;IFERROR(INDEX('تشخيص الحالات'!$D$2:$D$1001,SUMPRODUCT(('تشخيص الحالات'!$B$2:$B$1001=B309)*('تشخيص الحالات'!$G$2:$G$1001=6)*ROW('تشخيص الحالات'!$B$2:$B$1001))-1),""),"")&amp;IF(SUMPRODUCT(('تشخيص الحالات'!$B$2:$B$1001=B309)*('تشخيص الحالات'!$G$2:$G$1001=7))&gt;0,"، "&amp;IFERROR(INDEX('تشخيص الحالات'!$D$2:$D$1001,SUMPRODUCT(('تشخيص الحالات'!$B$2:$B$1001=B309)*('تشخيص الحالات'!$G$2:$G$1001=7)*ROW('تشخيص الحالات'!$B$2:$B$1001))-1),""),"")&amp;IF(SUMPRODUCT(('تشخيص الحالات'!$B$2:$B$1001=B309)*('تشخيص الحالات'!$G$2:$G$1001=8))&gt;0,"، "&amp;IFERROR(INDEX('تشخيص الحالات'!$D$2:$D$1001,SUMPRODUCT(('تشخيص الحالات'!$B$2:$B$1001=B309)*('تشخيص الحالات'!$G$2:$G$1001=8)*ROW('تشخيص الحالات'!$B$2:$B$1001))-1),""),"")</f>
        <v/>
      </c>
      <c r="J309" s="1"/>
      <c r="K309" s="1"/>
      <c r="L309" s="1"/>
      <c r="M309" s="1"/>
    </row>
    <row r="310" spans="1:13" x14ac:dyDescent="0.2">
      <c r="A310" s="1"/>
      <c r="B310" s="1"/>
      <c r="C310" s="1"/>
      <c r="D310" s="1"/>
      <c r="E310" s="1"/>
      <c r="F310" s="1"/>
      <c r="G310" s="1"/>
      <c r="H310" s="1"/>
      <c r="I310" t="str">
        <f>IFERROR(INDEX('تشخيص الحالات'!$D$2:$D$1001,SUMPRODUCT(('تشخيص الحالات'!$B$2:$B$1001=B310)*('تشخيص الحالات'!$G$2:$G$1001=1)*ROW('تشخيص الحالات'!$B$2:$B$1001))-1),"")&amp;IF(SUMPRODUCT(('تشخيص الحالات'!$B$2:$B$1001=B310)*('تشخيص الحالات'!$G$2:$G$1001=2))&gt;0,"، "&amp;IFERROR(INDEX('تشخيص الحالات'!$D$2:$D$1001,SUMPRODUCT(('تشخيص الحالات'!$B$2:$B$1001=B310)*('تشخيص الحالات'!$G$2:$G$1001=2)*ROW('تشخيص الحالات'!$B$2:$B$1001))-1),""),"")&amp;IF(SUMPRODUCT(('تشخيص الحالات'!$B$2:$B$1001=B310)*('تشخيص الحالات'!$G$2:$G$1001=3))&gt;0,"، "&amp;IFERROR(INDEX('تشخيص الحالات'!$D$2:$D$1001,SUMPRODUCT(('تشخيص الحالات'!$B$2:$B$1001=B310)*('تشخيص الحالات'!$G$2:$G$1001=3)*ROW('تشخيص الحالات'!$B$2:$B$1001))-1),""),"")&amp;IF(SUMPRODUCT(('تشخيص الحالات'!$B$2:$B$1001=B310)*('تشخيص الحالات'!$G$2:$G$1001=4))&gt;0,"، "&amp;IFERROR(INDEX('تشخيص الحالات'!$D$2:$D$1001,SUMPRODUCT(('تشخيص الحالات'!$B$2:$B$1001=B310)*('تشخيص الحالات'!$G$2:$G$1001=4)*ROW('تشخيص الحالات'!$B$2:$B$1001))-1),""),"")&amp;IF(SUMPRODUCT(('تشخيص الحالات'!$B$2:$B$1001=B310)*('تشخيص الحالات'!$G$2:$G$1001=5))&gt;0,"، "&amp;IFERROR(INDEX('تشخيص الحالات'!$D$2:$D$1001,SUMPRODUCT(('تشخيص الحالات'!$B$2:$B$1001=B310)*('تشخيص الحالات'!$G$2:$G$1001=5)*ROW('تشخيص الحالات'!$B$2:$B$1001))-1),""),"")&amp;IF(SUMPRODUCT(('تشخيص الحالات'!$B$2:$B$1001=B310)*('تشخيص الحالات'!$G$2:$G$1001=6))&gt;0,"، "&amp;IFERROR(INDEX('تشخيص الحالات'!$D$2:$D$1001,SUMPRODUCT(('تشخيص الحالات'!$B$2:$B$1001=B310)*('تشخيص الحالات'!$G$2:$G$1001=6)*ROW('تشخيص الحالات'!$B$2:$B$1001))-1),""),"")&amp;IF(SUMPRODUCT(('تشخيص الحالات'!$B$2:$B$1001=B310)*('تشخيص الحالات'!$G$2:$G$1001=7))&gt;0,"، "&amp;IFERROR(INDEX('تشخيص الحالات'!$D$2:$D$1001,SUMPRODUCT(('تشخيص الحالات'!$B$2:$B$1001=B310)*('تشخيص الحالات'!$G$2:$G$1001=7)*ROW('تشخيص الحالات'!$B$2:$B$1001))-1),""),"")&amp;IF(SUMPRODUCT(('تشخيص الحالات'!$B$2:$B$1001=B310)*('تشخيص الحالات'!$G$2:$G$1001=8))&gt;0,"، "&amp;IFERROR(INDEX('تشخيص الحالات'!$D$2:$D$1001,SUMPRODUCT(('تشخيص الحالات'!$B$2:$B$1001=B310)*('تشخيص الحالات'!$G$2:$G$1001=8)*ROW('تشخيص الحالات'!$B$2:$B$1001))-1),""),"")</f>
        <v/>
      </c>
      <c r="J310" s="1"/>
      <c r="K310" s="1"/>
      <c r="L310" s="1"/>
      <c r="M310" s="1"/>
    </row>
    <row r="311" spans="1:13" x14ac:dyDescent="0.2">
      <c r="A311" s="1"/>
      <c r="B311" s="1"/>
      <c r="C311" s="1"/>
      <c r="D311" s="1"/>
      <c r="E311" s="1"/>
      <c r="F311" s="1"/>
      <c r="G311" s="1"/>
      <c r="H311" s="1"/>
      <c r="I311" t="str">
        <f>IFERROR(INDEX('تشخيص الحالات'!$D$2:$D$1001,SUMPRODUCT(('تشخيص الحالات'!$B$2:$B$1001=B311)*('تشخيص الحالات'!$G$2:$G$1001=1)*ROW('تشخيص الحالات'!$B$2:$B$1001))-1),"")&amp;IF(SUMPRODUCT(('تشخيص الحالات'!$B$2:$B$1001=B311)*('تشخيص الحالات'!$G$2:$G$1001=2))&gt;0,"، "&amp;IFERROR(INDEX('تشخيص الحالات'!$D$2:$D$1001,SUMPRODUCT(('تشخيص الحالات'!$B$2:$B$1001=B311)*('تشخيص الحالات'!$G$2:$G$1001=2)*ROW('تشخيص الحالات'!$B$2:$B$1001))-1),""),"")&amp;IF(SUMPRODUCT(('تشخيص الحالات'!$B$2:$B$1001=B311)*('تشخيص الحالات'!$G$2:$G$1001=3))&gt;0,"، "&amp;IFERROR(INDEX('تشخيص الحالات'!$D$2:$D$1001,SUMPRODUCT(('تشخيص الحالات'!$B$2:$B$1001=B311)*('تشخيص الحالات'!$G$2:$G$1001=3)*ROW('تشخيص الحالات'!$B$2:$B$1001))-1),""),"")&amp;IF(SUMPRODUCT(('تشخيص الحالات'!$B$2:$B$1001=B311)*('تشخيص الحالات'!$G$2:$G$1001=4))&gt;0,"، "&amp;IFERROR(INDEX('تشخيص الحالات'!$D$2:$D$1001,SUMPRODUCT(('تشخيص الحالات'!$B$2:$B$1001=B311)*('تشخيص الحالات'!$G$2:$G$1001=4)*ROW('تشخيص الحالات'!$B$2:$B$1001))-1),""),"")&amp;IF(SUMPRODUCT(('تشخيص الحالات'!$B$2:$B$1001=B311)*('تشخيص الحالات'!$G$2:$G$1001=5))&gt;0,"، "&amp;IFERROR(INDEX('تشخيص الحالات'!$D$2:$D$1001,SUMPRODUCT(('تشخيص الحالات'!$B$2:$B$1001=B311)*('تشخيص الحالات'!$G$2:$G$1001=5)*ROW('تشخيص الحالات'!$B$2:$B$1001))-1),""),"")&amp;IF(SUMPRODUCT(('تشخيص الحالات'!$B$2:$B$1001=B311)*('تشخيص الحالات'!$G$2:$G$1001=6))&gt;0,"، "&amp;IFERROR(INDEX('تشخيص الحالات'!$D$2:$D$1001,SUMPRODUCT(('تشخيص الحالات'!$B$2:$B$1001=B311)*('تشخيص الحالات'!$G$2:$G$1001=6)*ROW('تشخيص الحالات'!$B$2:$B$1001))-1),""),"")&amp;IF(SUMPRODUCT(('تشخيص الحالات'!$B$2:$B$1001=B311)*('تشخيص الحالات'!$G$2:$G$1001=7))&gt;0,"، "&amp;IFERROR(INDEX('تشخيص الحالات'!$D$2:$D$1001,SUMPRODUCT(('تشخيص الحالات'!$B$2:$B$1001=B311)*('تشخيص الحالات'!$G$2:$G$1001=7)*ROW('تشخيص الحالات'!$B$2:$B$1001))-1),""),"")&amp;IF(SUMPRODUCT(('تشخيص الحالات'!$B$2:$B$1001=B311)*('تشخيص الحالات'!$G$2:$G$1001=8))&gt;0,"، "&amp;IFERROR(INDEX('تشخيص الحالات'!$D$2:$D$1001,SUMPRODUCT(('تشخيص الحالات'!$B$2:$B$1001=B311)*('تشخيص الحالات'!$G$2:$G$1001=8)*ROW('تشخيص الحالات'!$B$2:$B$1001))-1),""),"")</f>
        <v/>
      </c>
      <c r="J311" s="1"/>
      <c r="K311" s="1"/>
      <c r="L311" s="1"/>
      <c r="M311" s="1"/>
    </row>
    <row r="312" spans="1:13" x14ac:dyDescent="0.2">
      <c r="A312" s="1"/>
      <c r="B312" s="1"/>
      <c r="C312" s="1"/>
      <c r="D312" s="1"/>
      <c r="E312" s="1"/>
      <c r="F312" s="1"/>
      <c r="G312" s="1"/>
      <c r="H312" s="1"/>
      <c r="I312" t="str">
        <f>IFERROR(INDEX('تشخيص الحالات'!$D$2:$D$1001,SUMPRODUCT(('تشخيص الحالات'!$B$2:$B$1001=B312)*('تشخيص الحالات'!$G$2:$G$1001=1)*ROW('تشخيص الحالات'!$B$2:$B$1001))-1),"")&amp;IF(SUMPRODUCT(('تشخيص الحالات'!$B$2:$B$1001=B312)*('تشخيص الحالات'!$G$2:$G$1001=2))&gt;0,"، "&amp;IFERROR(INDEX('تشخيص الحالات'!$D$2:$D$1001,SUMPRODUCT(('تشخيص الحالات'!$B$2:$B$1001=B312)*('تشخيص الحالات'!$G$2:$G$1001=2)*ROW('تشخيص الحالات'!$B$2:$B$1001))-1),""),"")&amp;IF(SUMPRODUCT(('تشخيص الحالات'!$B$2:$B$1001=B312)*('تشخيص الحالات'!$G$2:$G$1001=3))&gt;0,"، "&amp;IFERROR(INDEX('تشخيص الحالات'!$D$2:$D$1001,SUMPRODUCT(('تشخيص الحالات'!$B$2:$B$1001=B312)*('تشخيص الحالات'!$G$2:$G$1001=3)*ROW('تشخيص الحالات'!$B$2:$B$1001))-1),""),"")&amp;IF(SUMPRODUCT(('تشخيص الحالات'!$B$2:$B$1001=B312)*('تشخيص الحالات'!$G$2:$G$1001=4))&gt;0,"، "&amp;IFERROR(INDEX('تشخيص الحالات'!$D$2:$D$1001,SUMPRODUCT(('تشخيص الحالات'!$B$2:$B$1001=B312)*('تشخيص الحالات'!$G$2:$G$1001=4)*ROW('تشخيص الحالات'!$B$2:$B$1001))-1),""),"")&amp;IF(SUMPRODUCT(('تشخيص الحالات'!$B$2:$B$1001=B312)*('تشخيص الحالات'!$G$2:$G$1001=5))&gt;0,"، "&amp;IFERROR(INDEX('تشخيص الحالات'!$D$2:$D$1001,SUMPRODUCT(('تشخيص الحالات'!$B$2:$B$1001=B312)*('تشخيص الحالات'!$G$2:$G$1001=5)*ROW('تشخيص الحالات'!$B$2:$B$1001))-1),""),"")&amp;IF(SUMPRODUCT(('تشخيص الحالات'!$B$2:$B$1001=B312)*('تشخيص الحالات'!$G$2:$G$1001=6))&gt;0,"، "&amp;IFERROR(INDEX('تشخيص الحالات'!$D$2:$D$1001,SUMPRODUCT(('تشخيص الحالات'!$B$2:$B$1001=B312)*('تشخيص الحالات'!$G$2:$G$1001=6)*ROW('تشخيص الحالات'!$B$2:$B$1001))-1),""),"")&amp;IF(SUMPRODUCT(('تشخيص الحالات'!$B$2:$B$1001=B312)*('تشخيص الحالات'!$G$2:$G$1001=7))&gt;0,"، "&amp;IFERROR(INDEX('تشخيص الحالات'!$D$2:$D$1001,SUMPRODUCT(('تشخيص الحالات'!$B$2:$B$1001=B312)*('تشخيص الحالات'!$G$2:$G$1001=7)*ROW('تشخيص الحالات'!$B$2:$B$1001))-1),""),"")&amp;IF(SUMPRODUCT(('تشخيص الحالات'!$B$2:$B$1001=B312)*('تشخيص الحالات'!$G$2:$G$1001=8))&gt;0,"، "&amp;IFERROR(INDEX('تشخيص الحالات'!$D$2:$D$1001,SUMPRODUCT(('تشخيص الحالات'!$B$2:$B$1001=B312)*('تشخيص الحالات'!$G$2:$G$1001=8)*ROW('تشخيص الحالات'!$B$2:$B$1001))-1),""),"")</f>
        <v/>
      </c>
      <c r="J312" s="1"/>
      <c r="K312" s="1"/>
      <c r="L312" s="1"/>
      <c r="M312" s="1"/>
    </row>
    <row r="313" spans="1:13" x14ac:dyDescent="0.2">
      <c r="A313" s="1"/>
      <c r="B313" s="1"/>
      <c r="C313" s="1"/>
      <c r="D313" s="1"/>
      <c r="E313" s="1"/>
      <c r="F313" s="1"/>
      <c r="G313" s="1"/>
      <c r="H313" s="1"/>
      <c r="I313" t="str">
        <f>IFERROR(INDEX('تشخيص الحالات'!$D$2:$D$1001,SUMPRODUCT(('تشخيص الحالات'!$B$2:$B$1001=B313)*('تشخيص الحالات'!$G$2:$G$1001=1)*ROW('تشخيص الحالات'!$B$2:$B$1001))-1),"")&amp;IF(SUMPRODUCT(('تشخيص الحالات'!$B$2:$B$1001=B313)*('تشخيص الحالات'!$G$2:$G$1001=2))&gt;0,"، "&amp;IFERROR(INDEX('تشخيص الحالات'!$D$2:$D$1001,SUMPRODUCT(('تشخيص الحالات'!$B$2:$B$1001=B313)*('تشخيص الحالات'!$G$2:$G$1001=2)*ROW('تشخيص الحالات'!$B$2:$B$1001))-1),""),"")&amp;IF(SUMPRODUCT(('تشخيص الحالات'!$B$2:$B$1001=B313)*('تشخيص الحالات'!$G$2:$G$1001=3))&gt;0,"، "&amp;IFERROR(INDEX('تشخيص الحالات'!$D$2:$D$1001,SUMPRODUCT(('تشخيص الحالات'!$B$2:$B$1001=B313)*('تشخيص الحالات'!$G$2:$G$1001=3)*ROW('تشخيص الحالات'!$B$2:$B$1001))-1),""),"")&amp;IF(SUMPRODUCT(('تشخيص الحالات'!$B$2:$B$1001=B313)*('تشخيص الحالات'!$G$2:$G$1001=4))&gt;0,"، "&amp;IFERROR(INDEX('تشخيص الحالات'!$D$2:$D$1001,SUMPRODUCT(('تشخيص الحالات'!$B$2:$B$1001=B313)*('تشخيص الحالات'!$G$2:$G$1001=4)*ROW('تشخيص الحالات'!$B$2:$B$1001))-1),""),"")&amp;IF(SUMPRODUCT(('تشخيص الحالات'!$B$2:$B$1001=B313)*('تشخيص الحالات'!$G$2:$G$1001=5))&gt;0,"، "&amp;IFERROR(INDEX('تشخيص الحالات'!$D$2:$D$1001,SUMPRODUCT(('تشخيص الحالات'!$B$2:$B$1001=B313)*('تشخيص الحالات'!$G$2:$G$1001=5)*ROW('تشخيص الحالات'!$B$2:$B$1001))-1),""),"")&amp;IF(SUMPRODUCT(('تشخيص الحالات'!$B$2:$B$1001=B313)*('تشخيص الحالات'!$G$2:$G$1001=6))&gt;0,"، "&amp;IFERROR(INDEX('تشخيص الحالات'!$D$2:$D$1001,SUMPRODUCT(('تشخيص الحالات'!$B$2:$B$1001=B313)*('تشخيص الحالات'!$G$2:$G$1001=6)*ROW('تشخيص الحالات'!$B$2:$B$1001))-1),""),"")&amp;IF(SUMPRODUCT(('تشخيص الحالات'!$B$2:$B$1001=B313)*('تشخيص الحالات'!$G$2:$G$1001=7))&gt;0,"، "&amp;IFERROR(INDEX('تشخيص الحالات'!$D$2:$D$1001,SUMPRODUCT(('تشخيص الحالات'!$B$2:$B$1001=B313)*('تشخيص الحالات'!$G$2:$G$1001=7)*ROW('تشخيص الحالات'!$B$2:$B$1001))-1),""),"")&amp;IF(SUMPRODUCT(('تشخيص الحالات'!$B$2:$B$1001=B313)*('تشخيص الحالات'!$G$2:$G$1001=8))&gt;0,"، "&amp;IFERROR(INDEX('تشخيص الحالات'!$D$2:$D$1001,SUMPRODUCT(('تشخيص الحالات'!$B$2:$B$1001=B313)*('تشخيص الحالات'!$G$2:$G$1001=8)*ROW('تشخيص الحالات'!$B$2:$B$1001))-1),""),"")</f>
        <v/>
      </c>
      <c r="J313" s="1"/>
      <c r="K313" s="1"/>
      <c r="L313" s="1"/>
      <c r="M313" s="1"/>
    </row>
    <row r="314" spans="1:13" x14ac:dyDescent="0.2">
      <c r="A314" s="1"/>
      <c r="B314" s="1"/>
      <c r="C314" s="1"/>
      <c r="D314" s="1"/>
      <c r="E314" s="1"/>
      <c r="F314" s="1"/>
      <c r="G314" s="1"/>
      <c r="H314" s="1"/>
      <c r="I314" t="str">
        <f>IFERROR(INDEX('تشخيص الحالات'!$D$2:$D$1001,SUMPRODUCT(('تشخيص الحالات'!$B$2:$B$1001=B314)*('تشخيص الحالات'!$G$2:$G$1001=1)*ROW('تشخيص الحالات'!$B$2:$B$1001))-1),"")&amp;IF(SUMPRODUCT(('تشخيص الحالات'!$B$2:$B$1001=B314)*('تشخيص الحالات'!$G$2:$G$1001=2))&gt;0,"، "&amp;IFERROR(INDEX('تشخيص الحالات'!$D$2:$D$1001,SUMPRODUCT(('تشخيص الحالات'!$B$2:$B$1001=B314)*('تشخيص الحالات'!$G$2:$G$1001=2)*ROW('تشخيص الحالات'!$B$2:$B$1001))-1),""),"")&amp;IF(SUMPRODUCT(('تشخيص الحالات'!$B$2:$B$1001=B314)*('تشخيص الحالات'!$G$2:$G$1001=3))&gt;0,"، "&amp;IFERROR(INDEX('تشخيص الحالات'!$D$2:$D$1001,SUMPRODUCT(('تشخيص الحالات'!$B$2:$B$1001=B314)*('تشخيص الحالات'!$G$2:$G$1001=3)*ROW('تشخيص الحالات'!$B$2:$B$1001))-1),""),"")&amp;IF(SUMPRODUCT(('تشخيص الحالات'!$B$2:$B$1001=B314)*('تشخيص الحالات'!$G$2:$G$1001=4))&gt;0,"، "&amp;IFERROR(INDEX('تشخيص الحالات'!$D$2:$D$1001,SUMPRODUCT(('تشخيص الحالات'!$B$2:$B$1001=B314)*('تشخيص الحالات'!$G$2:$G$1001=4)*ROW('تشخيص الحالات'!$B$2:$B$1001))-1),""),"")&amp;IF(SUMPRODUCT(('تشخيص الحالات'!$B$2:$B$1001=B314)*('تشخيص الحالات'!$G$2:$G$1001=5))&gt;0,"، "&amp;IFERROR(INDEX('تشخيص الحالات'!$D$2:$D$1001,SUMPRODUCT(('تشخيص الحالات'!$B$2:$B$1001=B314)*('تشخيص الحالات'!$G$2:$G$1001=5)*ROW('تشخيص الحالات'!$B$2:$B$1001))-1),""),"")&amp;IF(SUMPRODUCT(('تشخيص الحالات'!$B$2:$B$1001=B314)*('تشخيص الحالات'!$G$2:$G$1001=6))&gt;0,"، "&amp;IFERROR(INDEX('تشخيص الحالات'!$D$2:$D$1001,SUMPRODUCT(('تشخيص الحالات'!$B$2:$B$1001=B314)*('تشخيص الحالات'!$G$2:$G$1001=6)*ROW('تشخيص الحالات'!$B$2:$B$1001))-1),""),"")&amp;IF(SUMPRODUCT(('تشخيص الحالات'!$B$2:$B$1001=B314)*('تشخيص الحالات'!$G$2:$G$1001=7))&gt;0,"، "&amp;IFERROR(INDEX('تشخيص الحالات'!$D$2:$D$1001,SUMPRODUCT(('تشخيص الحالات'!$B$2:$B$1001=B314)*('تشخيص الحالات'!$G$2:$G$1001=7)*ROW('تشخيص الحالات'!$B$2:$B$1001))-1),""),"")&amp;IF(SUMPRODUCT(('تشخيص الحالات'!$B$2:$B$1001=B314)*('تشخيص الحالات'!$G$2:$G$1001=8))&gt;0,"، "&amp;IFERROR(INDEX('تشخيص الحالات'!$D$2:$D$1001,SUMPRODUCT(('تشخيص الحالات'!$B$2:$B$1001=B314)*('تشخيص الحالات'!$G$2:$G$1001=8)*ROW('تشخيص الحالات'!$B$2:$B$1001))-1),""),"")</f>
        <v/>
      </c>
      <c r="J314" s="1"/>
      <c r="K314" s="1"/>
      <c r="L314" s="1"/>
      <c r="M314" s="1"/>
    </row>
    <row r="315" spans="1:13" x14ac:dyDescent="0.2">
      <c r="A315" s="1"/>
      <c r="B315" s="1"/>
      <c r="C315" s="1"/>
      <c r="D315" s="1"/>
      <c r="E315" s="1"/>
      <c r="F315" s="1"/>
      <c r="G315" s="1"/>
      <c r="H315" s="1"/>
      <c r="I315" t="str">
        <f>IFERROR(INDEX('تشخيص الحالات'!$D$2:$D$1001,SUMPRODUCT(('تشخيص الحالات'!$B$2:$B$1001=B315)*('تشخيص الحالات'!$G$2:$G$1001=1)*ROW('تشخيص الحالات'!$B$2:$B$1001))-1),"")&amp;IF(SUMPRODUCT(('تشخيص الحالات'!$B$2:$B$1001=B315)*('تشخيص الحالات'!$G$2:$G$1001=2))&gt;0,"، "&amp;IFERROR(INDEX('تشخيص الحالات'!$D$2:$D$1001,SUMPRODUCT(('تشخيص الحالات'!$B$2:$B$1001=B315)*('تشخيص الحالات'!$G$2:$G$1001=2)*ROW('تشخيص الحالات'!$B$2:$B$1001))-1),""),"")&amp;IF(SUMPRODUCT(('تشخيص الحالات'!$B$2:$B$1001=B315)*('تشخيص الحالات'!$G$2:$G$1001=3))&gt;0,"، "&amp;IFERROR(INDEX('تشخيص الحالات'!$D$2:$D$1001,SUMPRODUCT(('تشخيص الحالات'!$B$2:$B$1001=B315)*('تشخيص الحالات'!$G$2:$G$1001=3)*ROW('تشخيص الحالات'!$B$2:$B$1001))-1),""),"")&amp;IF(SUMPRODUCT(('تشخيص الحالات'!$B$2:$B$1001=B315)*('تشخيص الحالات'!$G$2:$G$1001=4))&gt;0,"، "&amp;IFERROR(INDEX('تشخيص الحالات'!$D$2:$D$1001,SUMPRODUCT(('تشخيص الحالات'!$B$2:$B$1001=B315)*('تشخيص الحالات'!$G$2:$G$1001=4)*ROW('تشخيص الحالات'!$B$2:$B$1001))-1),""),"")&amp;IF(SUMPRODUCT(('تشخيص الحالات'!$B$2:$B$1001=B315)*('تشخيص الحالات'!$G$2:$G$1001=5))&gt;0,"، "&amp;IFERROR(INDEX('تشخيص الحالات'!$D$2:$D$1001,SUMPRODUCT(('تشخيص الحالات'!$B$2:$B$1001=B315)*('تشخيص الحالات'!$G$2:$G$1001=5)*ROW('تشخيص الحالات'!$B$2:$B$1001))-1),""),"")&amp;IF(SUMPRODUCT(('تشخيص الحالات'!$B$2:$B$1001=B315)*('تشخيص الحالات'!$G$2:$G$1001=6))&gt;0,"، "&amp;IFERROR(INDEX('تشخيص الحالات'!$D$2:$D$1001,SUMPRODUCT(('تشخيص الحالات'!$B$2:$B$1001=B315)*('تشخيص الحالات'!$G$2:$G$1001=6)*ROW('تشخيص الحالات'!$B$2:$B$1001))-1),""),"")&amp;IF(SUMPRODUCT(('تشخيص الحالات'!$B$2:$B$1001=B315)*('تشخيص الحالات'!$G$2:$G$1001=7))&gt;0,"، "&amp;IFERROR(INDEX('تشخيص الحالات'!$D$2:$D$1001,SUMPRODUCT(('تشخيص الحالات'!$B$2:$B$1001=B315)*('تشخيص الحالات'!$G$2:$G$1001=7)*ROW('تشخيص الحالات'!$B$2:$B$1001))-1),""),"")&amp;IF(SUMPRODUCT(('تشخيص الحالات'!$B$2:$B$1001=B315)*('تشخيص الحالات'!$G$2:$G$1001=8))&gt;0,"، "&amp;IFERROR(INDEX('تشخيص الحالات'!$D$2:$D$1001,SUMPRODUCT(('تشخيص الحالات'!$B$2:$B$1001=B315)*('تشخيص الحالات'!$G$2:$G$1001=8)*ROW('تشخيص الحالات'!$B$2:$B$1001))-1),""),"")</f>
        <v/>
      </c>
      <c r="J315" s="1"/>
      <c r="K315" s="1"/>
      <c r="L315" s="1"/>
      <c r="M315" s="1"/>
    </row>
    <row r="316" spans="1:13" x14ac:dyDescent="0.2">
      <c r="A316" s="1"/>
      <c r="B316" s="1"/>
      <c r="C316" s="1"/>
      <c r="D316" s="1"/>
      <c r="E316" s="1"/>
      <c r="F316" s="1"/>
      <c r="G316" s="1"/>
      <c r="H316" s="1"/>
      <c r="I316" t="str">
        <f>IFERROR(INDEX('تشخيص الحالات'!$D$2:$D$1001,SUMPRODUCT(('تشخيص الحالات'!$B$2:$B$1001=B316)*('تشخيص الحالات'!$G$2:$G$1001=1)*ROW('تشخيص الحالات'!$B$2:$B$1001))-1),"")&amp;IF(SUMPRODUCT(('تشخيص الحالات'!$B$2:$B$1001=B316)*('تشخيص الحالات'!$G$2:$G$1001=2))&gt;0,"، "&amp;IFERROR(INDEX('تشخيص الحالات'!$D$2:$D$1001,SUMPRODUCT(('تشخيص الحالات'!$B$2:$B$1001=B316)*('تشخيص الحالات'!$G$2:$G$1001=2)*ROW('تشخيص الحالات'!$B$2:$B$1001))-1),""),"")&amp;IF(SUMPRODUCT(('تشخيص الحالات'!$B$2:$B$1001=B316)*('تشخيص الحالات'!$G$2:$G$1001=3))&gt;0,"، "&amp;IFERROR(INDEX('تشخيص الحالات'!$D$2:$D$1001,SUMPRODUCT(('تشخيص الحالات'!$B$2:$B$1001=B316)*('تشخيص الحالات'!$G$2:$G$1001=3)*ROW('تشخيص الحالات'!$B$2:$B$1001))-1),""),"")&amp;IF(SUMPRODUCT(('تشخيص الحالات'!$B$2:$B$1001=B316)*('تشخيص الحالات'!$G$2:$G$1001=4))&gt;0,"، "&amp;IFERROR(INDEX('تشخيص الحالات'!$D$2:$D$1001,SUMPRODUCT(('تشخيص الحالات'!$B$2:$B$1001=B316)*('تشخيص الحالات'!$G$2:$G$1001=4)*ROW('تشخيص الحالات'!$B$2:$B$1001))-1),""),"")&amp;IF(SUMPRODUCT(('تشخيص الحالات'!$B$2:$B$1001=B316)*('تشخيص الحالات'!$G$2:$G$1001=5))&gt;0,"، "&amp;IFERROR(INDEX('تشخيص الحالات'!$D$2:$D$1001,SUMPRODUCT(('تشخيص الحالات'!$B$2:$B$1001=B316)*('تشخيص الحالات'!$G$2:$G$1001=5)*ROW('تشخيص الحالات'!$B$2:$B$1001))-1),""),"")&amp;IF(SUMPRODUCT(('تشخيص الحالات'!$B$2:$B$1001=B316)*('تشخيص الحالات'!$G$2:$G$1001=6))&gt;0,"، "&amp;IFERROR(INDEX('تشخيص الحالات'!$D$2:$D$1001,SUMPRODUCT(('تشخيص الحالات'!$B$2:$B$1001=B316)*('تشخيص الحالات'!$G$2:$G$1001=6)*ROW('تشخيص الحالات'!$B$2:$B$1001))-1),""),"")&amp;IF(SUMPRODUCT(('تشخيص الحالات'!$B$2:$B$1001=B316)*('تشخيص الحالات'!$G$2:$G$1001=7))&gt;0,"، "&amp;IFERROR(INDEX('تشخيص الحالات'!$D$2:$D$1001,SUMPRODUCT(('تشخيص الحالات'!$B$2:$B$1001=B316)*('تشخيص الحالات'!$G$2:$G$1001=7)*ROW('تشخيص الحالات'!$B$2:$B$1001))-1),""),"")&amp;IF(SUMPRODUCT(('تشخيص الحالات'!$B$2:$B$1001=B316)*('تشخيص الحالات'!$G$2:$G$1001=8))&gt;0,"، "&amp;IFERROR(INDEX('تشخيص الحالات'!$D$2:$D$1001,SUMPRODUCT(('تشخيص الحالات'!$B$2:$B$1001=B316)*('تشخيص الحالات'!$G$2:$G$1001=8)*ROW('تشخيص الحالات'!$B$2:$B$1001))-1),""),"")</f>
        <v/>
      </c>
      <c r="J316" s="1"/>
      <c r="K316" s="1"/>
      <c r="L316" s="1"/>
      <c r="M316" s="1"/>
    </row>
    <row r="317" spans="1:13" x14ac:dyDescent="0.2">
      <c r="A317" s="1"/>
      <c r="B317" s="1"/>
      <c r="C317" s="1"/>
      <c r="D317" s="1"/>
      <c r="E317" s="1"/>
      <c r="F317" s="1"/>
      <c r="G317" s="1"/>
      <c r="H317" s="1"/>
      <c r="I317" t="str">
        <f>IFERROR(INDEX('تشخيص الحالات'!$D$2:$D$1001,SUMPRODUCT(('تشخيص الحالات'!$B$2:$B$1001=B317)*('تشخيص الحالات'!$G$2:$G$1001=1)*ROW('تشخيص الحالات'!$B$2:$B$1001))-1),"")&amp;IF(SUMPRODUCT(('تشخيص الحالات'!$B$2:$B$1001=B317)*('تشخيص الحالات'!$G$2:$G$1001=2))&gt;0,"، "&amp;IFERROR(INDEX('تشخيص الحالات'!$D$2:$D$1001,SUMPRODUCT(('تشخيص الحالات'!$B$2:$B$1001=B317)*('تشخيص الحالات'!$G$2:$G$1001=2)*ROW('تشخيص الحالات'!$B$2:$B$1001))-1),""),"")&amp;IF(SUMPRODUCT(('تشخيص الحالات'!$B$2:$B$1001=B317)*('تشخيص الحالات'!$G$2:$G$1001=3))&gt;0,"، "&amp;IFERROR(INDEX('تشخيص الحالات'!$D$2:$D$1001,SUMPRODUCT(('تشخيص الحالات'!$B$2:$B$1001=B317)*('تشخيص الحالات'!$G$2:$G$1001=3)*ROW('تشخيص الحالات'!$B$2:$B$1001))-1),""),"")&amp;IF(SUMPRODUCT(('تشخيص الحالات'!$B$2:$B$1001=B317)*('تشخيص الحالات'!$G$2:$G$1001=4))&gt;0,"، "&amp;IFERROR(INDEX('تشخيص الحالات'!$D$2:$D$1001,SUMPRODUCT(('تشخيص الحالات'!$B$2:$B$1001=B317)*('تشخيص الحالات'!$G$2:$G$1001=4)*ROW('تشخيص الحالات'!$B$2:$B$1001))-1),""),"")&amp;IF(SUMPRODUCT(('تشخيص الحالات'!$B$2:$B$1001=B317)*('تشخيص الحالات'!$G$2:$G$1001=5))&gt;0,"، "&amp;IFERROR(INDEX('تشخيص الحالات'!$D$2:$D$1001,SUMPRODUCT(('تشخيص الحالات'!$B$2:$B$1001=B317)*('تشخيص الحالات'!$G$2:$G$1001=5)*ROW('تشخيص الحالات'!$B$2:$B$1001))-1),""),"")&amp;IF(SUMPRODUCT(('تشخيص الحالات'!$B$2:$B$1001=B317)*('تشخيص الحالات'!$G$2:$G$1001=6))&gt;0,"، "&amp;IFERROR(INDEX('تشخيص الحالات'!$D$2:$D$1001,SUMPRODUCT(('تشخيص الحالات'!$B$2:$B$1001=B317)*('تشخيص الحالات'!$G$2:$G$1001=6)*ROW('تشخيص الحالات'!$B$2:$B$1001))-1),""),"")&amp;IF(SUMPRODUCT(('تشخيص الحالات'!$B$2:$B$1001=B317)*('تشخيص الحالات'!$G$2:$G$1001=7))&gt;0,"، "&amp;IFERROR(INDEX('تشخيص الحالات'!$D$2:$D$1001,SUMPRODUCT(('تشخيص الحالات'!$B$2:$B$1001=B317)*('تشخيص الحالات'!$G$2:$G$1001=7)*ROW('تشخيص الحالات'!$B$2:$B$1001))-1),""),"")&amp;IF(SUMPRODUCT(('تشخيص الحالات'!$B$2:$B$1001=B317)*('تشخيص الحالات'!$G$2:$G$1001=8))&gt;0,"، "&amp;IFERROR(INDEX('تشخيص الحالات'!$D$2:$D$1001,SUMPRODUCT(('تشخيص الحالات'!$B$2:$B$1001=B317)*('تشخيص الحالات'!$G$2:$G$1001=8)*ROW('تشخيص الحالات'!$B$2:$B$1001))-1),""),"")</f>
        <v/>
      </c>
      <c r="J317" s="1"/>
      <c r="K317" s="1"/>
      <c r="L317" s="1"/>
      <c r="M317" s="1"/>
    </row>
    <row r="318" spans="1:13" x14ac:dyDescent="0.2">
      <c r="A318" s="1"/>
      <c r="B318" s="1"/>
      <c r="C318" s="1"/>
      <c r="D318" s="1"/>
      <c r="E318" s="1"/>
      <c r="F318" s="1"/>
      <c r="G318" s="1"/>
      <c r="H318" s="1"/>
      <c r="I318" t="str">
        <f>IFERROR(INDEX('تشخيص الحالات'!$D$2:$D$1001,SUMPRODUCT(('تشخيص الحالات'!$B$2:$B$1001=B318)*('تشخيص الحالات'!$G$2:$G$1001=1)*ROW('تشخيص الحالات'!$B$2:$B$1001))-1),"")&amp;IF(SUMPRODUCT(('تشخيص الحالات'!$B$2:$B$1001=B318)*('تشخيص الحالات'!$G$2:$G$1001=2))&gt;0,"، "&amp;IFERROR(INDEX('تشخيص الحالات'!$D$2:$D$1001,SUMPRODUCT(('تشخيص الحالات'!$B$2:$B$1001=B318)*('تشخيص الحالات'!$G$2:$G$1001=2)*ROW('تشخيص الحالات'!$B$2:$B$1001))-1),""),"")&amp;IF(SUMPRODUCT(('تشخيص الحالات'!$B$2:$B$1001=B318)*('تشخيص الحالات'!$G$2:$G$1001=3))&gt;0,"، "&amp;IFERROR(INDEX('تشخيص الحالات'!$D$2:$D$1001,SUMPRODUCT(('تشخيص الحالات'!$B$2:$B$1001=B318)*('تشخيص الحالات'!$G$2:$G$1001=3)*ROW('تشخيص الحالات'!$B$2:$B$1001))-1),""),"")&amp;IF(SUMPRODUCT(('تشخيص الحالات'!$B$2:$B$1001=B318)*('تشخيص الحالات'!$G$2:$G$1001=4))&gt;0,"، "&amp;IFERROR(INDEX('تشخيص الحالات'!$D$2:$D$1001,SUMPRODUCT(('تشخيص الحالات'!$B$2:$B$1001=B318)*('تشخيص الحالات'!$G$2:$G$1001=4)*ROW('تشخيص الحالات'!$B$2:$B$1001))-1),""),"")&amp;IF(SUMPRODUCT(('تشخيص الحالات'!$B$2:$B$1001=B318)*('تشخيص الحالات'!$G$2:$G$1001=5))&gt;0,"، "&amp;IFERROR(INDEX('تشخيص الحالات'!$D$2:$D$1001,SUMPRODUCT(('تشخيص الحالات'!$B$2:$B$1001=B318)*('تشخيص الحالات'!$G$2:$G$1001=5)*ROW('تشخيص الحالات'!$B$2:$B$1001))-1),""),"")&amp;IF(SUMPRODUCT(('تشخيص الحالات'!$B$2:$B$1001=B318)*('تشخيص الحالات'!$G$2:$G$1001=6))&gt;0,"، "&amp;IFERROR(INDEX('تشخيص الحالات'!$D$2:$D$1001,SUMPRODUCT(('تشخيص الحالات'!$B$2:$B$1001=B318)*('تشخيص الحالات'!$G$2:$G$1001=6)*ROW('تشخيص الحالات'!$B$2:$B$1001))-1),""),"")&amp;IF(SUMPRODUCT(('تشخيص الحالات'!$B$2:$B$1001=B318)*('تشخيص الحالات'!$G$2:$G$1001=7))&gt;0,"، "&amp;IFERROR(INDEX('تشخيص الحالات'!$D$2:$D$1001,SUMPRODUCT(('تشخيص الحالات'!$B$2:$B$1001=B318)*('تشخيص الحالات'!$G$2:$G$1001=7)*ROW('تشخيص الحالات'!$B$2:$B$1001))-1),""),"")&amp;IF(SUMPRODUCT(('تشخيص الحالات'!$B$2:$B$1001=B318)*('تشخيص الحالات'!$G$2:$G$1001=8))&gt;0,"، "&amp;IFERROR(INDEX('تشخيص الحالات'!$D$2:$D$1001,SUMPRODUCT(('تشخيص الحالات'!$B$2:$B$1001=B318)*('تشخيص الحالات'!$G$2:$G$1001=8)*ROW('تشخيص الحالات'!$B$2:$B$1001))-1),""),"")</f>
        <v/>
      </c>
      <c r="J318" s="1"/>
      <c r="K318" s="1"/>
      <c r="L318" s="1"/>
      <c r="M318" s="1"/>
    </row>
    <row r="319" spans="1:13" x14ac:dyDescent="0.2">
      <c r="A319" s="1"/>
      <c r="B319" s="1"/>
      <c r="C319" s="1"/>
      <c r="D319" s="1"/>
      <c r="E319" s="1"/>
      <c r="F319" s="1"/>
      <c r="G319" s="1"/>
      <c r="H319" s="1"/>
      <c r="I319" t="str">
        <f>IFERROR(INDEX('تشخيص الحالات'!$D$2:$D$1001,SUMPRODUCT(('تشخيص الحالات'!$B$2:$B$1001=B319)*('تشخيص الحالات'!$G$2:$G$1001=1)*ROW('تشخيص الحالات'!$B$2:$B$1001))-1),"")&amp;IF(SUMPRODUCT(('تشخيص الحالات'!$B$2:$B$1001=B319)*('تشخيص الحالات'!$G$2:$G$1001=2))&gt;0,"، "&amp;IFERROR(INDEX('تشخيص الحالات'!$D$2:$D$1001,SUMPRODUCT(('تشخيص الحالات'!$B$2:$B$1001=B319)*('تشخيص الحالات'!$G$2:$G$1001=2)*ROW('تشخيص الحالات'!$B$2:$B$1001))-1),""),"")&amp;IF(SUMPRODUCT(('تشخيص الحالات'!$B$2:$B$1001=B319)*('تشخيص الحالات'!$G$2:$G$1001=3))&gt;0,"، "&amp;IFERROR(INDEX('تشخيص الحالات'!$D$2:$D$1001,SUMPRODUCT(('تشخيص الحالات'!$B$2:$B$1001=B319)*('تشخيص الحالات'!$G$2:$G$1001=3)*ROW('تشخيص الحالات'!$B$2:$B$1001))-1),""),"")&amp;IF(SUMPRODUCT(('تشخيص الحالات'!$B$2:$B$1001=B319)*('تشخيص الحالات'!$G$2:$G$1001=4))&gt;0,"، "&amp;IFERROR(INDEX('تشخيص الحالات'!$D$2:$D$1001,SUMPRODUCT(('تشخيص الحالات'!$B$2:$B$1001=B319)*('تشخيص الحالات'!$G$2:$G$1001=4)*ROW('تشخيص الحالات'!$B$2:$B$1001))-1),""),"")&amp;IF(SUMPRODUCT(('تشخيص الحالات'!$B$2:$B$1001=B319)*('تشخيص الحالات'!$G$2:$G$1001=5))&gt;0,"، "&amp;IFERROR(INDEX('تشخيص الحالات'!$D$2:$D$1001,SUMPRODUCT(('تشخيص الحالات'!$B$2:$B$1001=B319)*('تشخيص الحالات'!$G$2:$G$1001=5)*ROW('تشخيص الحالات'!$B$2:$B$1001))-1),""),"")&amp;IF(SUMPRODUCT(('تشخيص الحالات'!$B$2:$B$1001=B319)*('تشخيص الحالات'!$G$2:$G$1001=6))&gt;0,"، "&amp;IFERROR(INDEX('تشخيص الحالات'!$D$2:$D$1001,SUMPRODUCT(('تشخيص الحالات'!$B$2:$B$1001=B319)*('تشخيص الحالات'!$G$2:$G$1001=6)*ROW('تشخيص الحالات'!$B$2:$B$1001))-1),""),"")&amp;IF(SUMPRODUCT(('تشخيص الحالات'!$B$2:$B$1001=B319)*('تشخيص الحالات'!$G$2:$G$1001=7))&gt;0,"، "&amp;IFERROR(INDEX('تشخيص الحالات'!$D$2:$D$1001,SUMPRODUCT(('تشخيص الحالات'!$B$2:$B$1001=B319)*('تشخيص الحالات'!$G$2:$G$1001=7)*ROW('تشخيص الحالات'!$B$2:$B$1001))-1),""),"")&amp;IF(SUMPRODUCT(('تشخيص الحالات'!$B$2:$B$1001=B319)*('تشخيص الحالات'!$G$2:$G$1001=8))&gt;0,"، "&amp;IFERROR(INDEX('تشخيص الحالات'!$D$2:$D$1001,SUMPRODUCT(('تشخيص الحالات'!$B$2:$B$1001=B319)*('تشخيص الحالات'!$G$2:$G$1001=8)*ROW('تشخيص الحالات'!$B$2:$B$1001))-1),""),"")</f>
        <v/>
      </c>
      <c r="J319" s="1"/>
      <c r="K319" s="1"/>
      <c r="L319" s="1"/>
      <c r="M319" s="1"/>
    </row>
    <row r="320" spans="1:13" x14ac:dyDescent="0.2">
      <c r="A320" s="1"/>
      <c r="B320" s="1"/>
      <c r="C320" s="1"/>
      <c r="D320" s="1"/>
      <c r="E320" s="1"/>
      <c r="F320" s="1"/>
      <c r="G320" s="1"/>
      <c r="H320" s="1"/>
      <c r="I320" t="str">
        <f>IFERROR(INDEX('تشخيص الحالات'!$D$2:$D$1001,SUMPRODUCT(('تشخيص الحالات'!$B$2:$B$1001=B320)*('تشخيص الحالات'!$G$2:$G$1001=1)*ROW('تشخيص الحالات'!$B$2:$B$1001))-1),"")&amp;IF(SUMPRODUCT(('تشخيص الحالات'!$B$2:$B$1001=B320)*('تشخيص الحالات'!$G$2:$G$1001=2))&gt;0,"، "&amp;IFERROR(INDEX('تشخيص الحالات'!$D$2:$D$1001,SUMPRODUCT(('تشخيص الحالات'!$B$2:$B$1001=B320)*('تشخيص الحالات'!$G$2:$G$1001=2)*ROW('تشخيص الحالات'!$B$2:$B$1001))-1),""),"")&amp;IF(SUMPRODUCT(('تشخيص الحالات'!$B$2:$B$1001=B320)*('تشخيص الحالات'!$G$2:$G$1001=3))&gt;0,"، "&amp;IFERROR(INDEX('تشخيص الحالات'!$D$2:$D$1001,SUMPRODUCT(('تشخيص الحالات'!$B$2:$B$1001=B320)*('تشخيص الحالات'!$G$2:$G$1001=3)*ROW('تشخيص الحالات'!$B$2:$B$1001))-1),""),"")&amp;IF(SUMPRODUCT(('تشخيص الحالات'!$B$2:$B$1001=B320)*('تشخيص الحالات'!$G$2:$G$1001=4))&gt;0,"، "&amp;IFERROR(INDEX('تشخيص الحالات'!$D$2:$D$1001,SUMPRODUCT(('تشخيص الحالات'!$B$2:$B$1001=B320)*('تشخيص الحالات'!$G$2:$G$1001=4)*ROW('تشخيص الحالات'!$B$2:$B$1001))-1),""),"")&amp;IF(SUMPRODUCT(('تشخيص الحالات'!$B$2:$B$1001=B320)*('تشخيص الحالات'!$G$2:$G$1001=5))&gt;0,"، "&amp;IFERROR(INDEX('تشخيص الحالات'!$D$2:$D$1001,SUMPRODUCT(('تشخيص الحالات'!$B$2:$B$1001=B320)*('تشخيص الحالات'!$G$2:$G$1001=5)*ROW('تشخيص الحالات'!$B$2:$B$1001))-1),""),"")&amp;IF(SUMPRODUCT(('تشخيص الحالات'!$B$2:$B$1001=B320)*('تشخيص الحالات'!$G$2:$G$1001=6))&gt;0,"، "&amp;IFERROR(INDEX('تشخيص الحالات'!$D$2:$D$1001,SUMPRODUCT(('تشخيص الحالات'!$B$2:$B$1001=B320)*('تشخيص الحالات'!$G$2:$G$1001=6)*ROW('تشخيص الحالات'!$B$2:$B$1001))-1),""),"")&amp;IF(SUMPRODUCT(('تشخيص الحالات'!$B$2:$B$1001=B320)*('تشخيص الحالات'!$G$2:$G$1001=7))&gt;0,"، "&amp;IFERROR(INDEX('تشخيص الحالات'!$D$2:$D$1001,SUMPRODUCT(('تشخيص الحالات'!$B$2:$B$1001=B320)*('تشخيص الحالات'!$G$2:$G$1001=7)*ROW('تشخيص الحالات'!$B$2:$B$1001))-1),""),"")&amp;IF(SUMPRODUCT(('تشخيص الحالات'!$B$2:$B$1001=B320)*('تشخيص الحالات'!$G$2:$G$1001=8))&gt;0,"، "&amp;IFERROR(INDEX('تشخيص الحالات'!$D$2:$D$1001,SUMPRODUCT(('تشخيص الحالات'!$B$2:$B$1001=B320)*('تشخيص الحالات'!$G$2:$G$1001=8)*ROW('تشخيص الحالات'!$B$2:$B$1001))-1),""),"")</f>
        <v/>
      </c>
      <c r="J320" s="1"/>
      <c r="K320" s="1"/>
      <c r="L320" s="1"/>
      <c r="M320" s="1"/>
    </row>
    <row r="321" spans="1:13" x14ac:dyDescent="0.2">
      <c r="A321" s="1"/>
      <c r="B321" s="1"/>
      <c r="C321" s="1"/>
      <c r="D321" s="1"/>
      <c r="E321" s="1"/>
      <c r="F321" s="1"/>
      <c r="G321" s="1"/>
      <c r="H321" s="1"/>
      <c r="I321" t="str">
        <f>IFERROR(INDEX('تشخيص الحالات'!$D$2:$D$1001,SUMPRODUCT(('تشخيص الحالات'!$B$2:$B$1001=B321)*('تشخيص الحالات'!$G$2:$G$1001=1)*ROW('تشخيص الحالات'!$B$2:$B$1001))-1),"")&amp;IF(SUMPRODUCT(('تشخيص الحالات'!$B$2:$B$1001=B321)*('تشخيص الحالات'!$G$2:$G$1001=2))&gt;0,"، "&amp;IFERROR(INDEX('تشخيص الحالات'!$D$2:$D$1001,SUMPRODUCT(('تشخيص الحالات'!$B$2:$B$1001=B321)*('تشخيص الحالات'!$G$2:$G$1001=2)*ROW('تشخيص الحالات'!$B$2:$B$1001))-1),""),"")&amp;IF(SUMPRODUCT(('تشخيص الحالات'!$B$2:$B$1001=B321)*('تشخيص الحالات'!$G$2:$G$1001=3))&gt;0,"، "&amp;IFERROR(INDEX('تشخيص الحالات'!$D$2:$D$1001,SUMPRODUCT(('تشخيص الحالات'!$B$2:$B$1001=B321)*('تشخيص الحالات'!$G$2:$G$1001=3)*ROW('تشخيص الحالات'!$B$2:$B$1001))-1),""),"")&amp;IF(SUMPRODUCT(('تشخيص الحالات'!$B$2:$B$1001=B321)*('تشخيص الحالات'!$G$2:$G$1001=4))&gt;0,"، "&amp;IFERROR(INDEX('تشخيص الحالات'!$D$2:$D$1001,SUMPRODUCT(('تشخيص الحالات'!$B$2:$B$1001=B321)*('تشخيص الحالات'!$G$2:$G$1001=4)*ROW('تشخيص الحالات'!$B$2:$B$1001))-1),""),"")&amp;IF(SUMPRODUCT(('تشخيص الحالات'!$B$2:$B$1001=B321)*('تشخيص الحالات'!$G$2:$G$1001=5))&gt;0,"، "&amp;IFERROR(INDEX('تشخيص الحالات'!$D$2:$D$1001,SUMPRODUCT(('تشخيص الحالات'!$B$2:$B$1001=B321)*('تشخيص الحالات'!$G$2:$G$1001=5)*ROW('تشخيص الحالات'!$B$2:$B$1001))-1),""),"")&amp;IF(SUMPRODUCT(('تشخيص الحالات'!$B$2:$B$1001=B321)*('تشخيص الحالات'!$G$2:$G$1001=6))&gt;0,"، "&amp;IFERROR(INDEX('تشخيص الحالات'!$D$2:$D$1001,SUMPRODUCT(('تشخيص الحالات'!$B$2:$B$1001=B321)*('تشخيص الحالات'!$G$2:$G$1001=6)*ROW('تشخيص الحالات'!$B$2:$B$1001))-1),""),"")&amp;IF(SUMPRODUCT(('تشخيص الحالات'!$B$2:$B$1001=B321)*('تشخيص الحالات'!$G$2:$G$1001=7))&gt;0,"، "&amp;IFERROR(INDEX('تشخيص الحالات'!$D$2:$D$1001,SUMPRODUCT(('تشخيص الحالات'!$B$2:$B$1001=B321)*('تشخيص الحالات'!$G$2:$G$1001=7)*ROW('تشخيص الحالات'!$B$2:$B$1001))-1),""),"")&amp;IF(SUMPRODUCT(('تشخيص الحالات'!$B$2:$B$1001=B321)*('تشخيص الحالات'!$G$2:$G$1001=8))&gt;0,"، "&amp;IFERROR(INDEX('تشخيص الحالات'!$D$2:$D$1001,SUMPRODUCT(('تشخيص الحالات'!$B$2:$B$1001=B321)*('تشخيص الحالات'!$G$2:$G$1001=8)*ROW('تشخيص الحالات'!$B$2:$B$1001))-1),""),"")</f>
        <v/>
      </c>
      <c r="J321" s="1"/>
      <c r="K321" s="1"/>
      <c r="L321" s="1"/>
      <c r="M321" s="1"/>
    </row>
    <row r="322" spans="1:13" x14ac:dyDescent="0.2">
      <c r="A322" s="1"/>
      <c r="B322" s="1"/>
      <c r="C322" s="1"/>
      <c r="D322" s="1"/>
      <c r="E322" s="1"/>
      <c r="F322" s="1"/>
      <c r="G322" s="1"/>
      <c r="H322" s="1"/>
      <c r="I322" t="str">
        <f>IFERROR(INDEX('تشخيص الحالات'!$D$2:$D$1001,SUMPRODUCT(('تشخيص الحالات'!$B$2:$B$1001=B322)*('تشخيص الحالات'!$G$2:$G$1001=1)*ROW('تشخيص الحالات'!$B$2:$B$1001))-1),"")&amp;IF(SUMPRODUCT(('تشخيص الحالات'!$B$2:$B$1001=B322)*('تشخيص الحالات'!$G$2:$G$1001=2))&gt;0,"، "&amp;IFERROR(INDEX('تشخيص الحالات'!$D$2:$D$1001,SUMPRODUCT(('تشخيص الحالات'!$B$2:$B$1001=B322)*('تشخيص الحالات'!$G$2:$G$1001=2)*ROW('تشخيص الحالات'!$B$2:$B$1001))-1),""),"")&amp;IF(SUMPRODUCT(('تشخيص الحالات'!$B$2:$B$1001=B322)*('تشخيص الحالات'!$G$2:$G$1001=3))&gt;0,"، "&amp;IFERROR(INDEX('تشخيص الحالات'!$D$2:$D$1001,SUMPRODUCT(('تشخيص الحالات'!$B$2:$B$1001=B322)*('تشخيص الحالات'!$G$2:$G$1001=3)*ROW('تشخيص الحالات'!$B$2:$B$1001))-1),""),"")&amp;IF(SUMPRODUCT(('تشخيص الحالات'!$B$2:$B$1001=B322)*('تشخيص الحالات'!$G$2:$G$1001=4))&gt;0,"، "&amp;IFERROR(INDEX('تشخيص الحالات'!$D$2:$D$1001,SUMPRODUCT(('تشخيص الحالات'!$B$2:$B$1001=B322)*('تشخيص الحالات'!$G$2:$G$1001=4)*ROW('تشخيص الحالات'!$B$2:$B$1001))-1),""),"")&amp;IF(SUMPRODUCT(('تشخيص الحالات'!$B$2:$B$1001=B322)*('تشخيص الحالات'!$G$2:$G$1001=5))&gt;0,"، "&amp;IFERROR(INDEX('تشخيص الحالات'!$D$2:$D$1001,SUMPRODUCT(('تشخيص الحالات'!$B$2:$B$1001=B322)*('تشخيص الحالات'!$G$2:$G$1001=5)*ROW('تشخيص الحالات'!$B$2:$B$1001))-1),""),"")&amp;IF(SUMPRODUCT(('تشخيص الحالات'!$B$2:$B$1001=B322)*('تشخيص الحالات'!$G$2:$G$1001=6))&gt;0,"، "&amp;IFERROR(INDEX('تشخيص الحالات'!$D$2:$D$1001,SUMPRODUCT(('تشخيص الحالات'!$B$2:$B$1001=B322)*('تشخيص الحالات'!$G$2:$G$1001=6)*ROW('تشخيص الحالات'!$B$2:$B$1001))-1),""),"")&amp;IF(SUMPRODUCT(('تشخيص الحالات'!$B$2:$B$1001=B322)*('تشخيص الحالات'!$G$2:$G$1001=7))&gt;0,"، "&amp;IFERROR(INDEX('تشخيص الحالات'!$D$2:$D$1001,SUMPRODUCT(('تشخيص الحالات'!$B$2:$B$1001=B322)*('تشخيص الحالات'!$G$2:$G$1001=7)*ROW('تشخيص الحالات'!$B$2:$B$1001))-1),""),"")&amp;IF(SUMPRODUCT(('تشخيص الحالات'!$B$2:$B$1001=B322)*('تشخيص الحالات'!$G$2:$G$1001=8))&gt;0,"، "&amp;IFERROR(INDEX('تشخيص الحالات'!$D$2:$D$1001,SUMPRODUCT(('تشخيص الحالات'!$B$2:$B$1001=B322)*('تشخيص الحالات'!$G$2:$G$1001=8)*ROW('تشخيص الحالات'!$B$2:$B$1001))-1),""),"")</f>
        <v/>
      </c>
      <c r="J322" s="1"/>
      <c r="K322" s="1"/>
      <c r="L322" s="1"/>
      <c r="M322" s="1"/>
    </row>
    <row r="323" spans="1:13" x14ac:dyDescent="0.2">
      <c r="A323" s="1"/>
      <c r="B323" s="1"/>
      <c r="C323" s="1"/>
      <c r="D323" s="1"/>
      <c r="E323" s="1"/>
      <c r="F323" s="1"/>
      <c r="G323" s="1"/>
      <c r="H323" s="1"/>
      <c r="I323" t="str">
        <f>IFERROR(INDEX('تشخيص الحالات'!$D$2:$D$1001,SUMPRODUCT(('تشخيص الحالات'!$B$2:$B$1001=B323)*('تشخيص الحالات'!$G$2:$G$1001=1)*ROW('تشخيص الحالات'!$B$2:$B$1001))-1),"")&amp;IF(SUMPRODUCT(('تشخيص الحالات'!$B$2:$B$1001=B323)*('تشخيص الحالات'!$G$2:$G$1001=2))&gt;0,"، "&amp;IFERROR(INDEX('تشخيص الحالات'!$D$2:$D$1001,SUMPRODUCT(('تشخيص الحالات'!$B$2:$B$1001=B323)*('تشخيص الحالات'!$G$2:$G$1001=2)*ROW('تشخيص الحالات'!$B$2:$B$1001))-1),""),"")&amp;IF(SUMPRODUCT(('تشخيص الحالات'!$B$2:$B$1001=B323)*('تشخيص الحالات'!$G$2:$G$1001=3))&gt;0,"، "&amp;IFERROR(INDEX('تشخيص الحالات'!$D$2:$D$1001,SUMPRODUCT(('تشخيص الحالات'!$B$2:$B$1001=B323)*('تشخيص الحالات'!$G$2:$G$1001=3)*ROW('تشخيص الحالات'!$B$2:$B$1001))-1),""),"")&amp;IF(SUMPRODUCT(('تشخيص الحالات'!$B$2:$B$1001=B323)*('تشخيص الحالات'!$G$2:$G$1001=4))&gt;0,"، "&amp;IFERROR(INDEX('تشخيص الحالات'!$D$2:$D$1001,SUMPRODUCT(('تشخيص الحالات'!$B$2:$B$1001=B323)*('تشخيص الحالات'!$G$2:$G$1001=4)*ROW('تشخيص الحالات'!$B$2:$B$1001))-1),""),"")&amp;IF(SUMPRODUCT(('تشخيص الحالات'!$B$2:$B$1001=B323)*('تشخيص الحالات'!$G$2:$G$1001=5))&gt;0,"، "&amp;IFERROR(INDEX('تشخيص الحالات'!$D$2:$D$1001,SUMPRODUCT(('تشخيص الحالات'!$B$2:$B$1001=B323)*('تشخيص الحالات'!$G$2:$G$1001=5)*ROW('تشخيص الحالات'!$B$2:$B$1001))-1),""),"")&amp;IF(SUMPRODUCT(('تشخيص الحالات'!$B$2:$B$1001=B323)*('تشخيص الحالات'!$G$2:$G$1001=6))&gt;0,"، "&amp;IFERROR(INDEX('تشخيص الحالات'!$D$2:$D$1001,SUMPRODUCT(('تشخيص الحالات'!$B$2:$B$1001=B323)*('تشخيص الحالات'!$G$2:$G$1001=6)*ROW('تشخيص الحالات'!$B$2:$B$1001))-1),""),"")&amp;IF(SUMPRODUCT(('تشخيص الحالات'!$B$2:$B$1001=B323)*('تشخيص الحالات'!$G$2:$G$1001=7))&gt;0,"، "&amp;IFERROR(INDEX('تشخيص الحالات'!$D$2:$D$1001,SUMPRODUCT(('تشخيص الحالات'!$B$2:$B$1001=B323)*('تشخيص الحالات'!$G$2:$G$1001=7)*ROW('تشخيص الحالات'!$B$2:$B$1001))-1),""),"")&amp;IF(SUMPRODUCT(('تشخيص الحالات'!$B$2:$B$1001=B323)*('تشخيص الحالات'!$G$2:$G$1001=8))&gt;0,"، "&amp;IFERROR(INDEX('تشخيص الحالات'!$D$2:$D$1001,SUMPRODUCT(('تشخيص الحالات'!$B$2:$B$1001=B323)*('تشخيص الحالات'!$G$2:$G$1001=8)*ROW('تشخيص الحالات'!$B$2:$B$1001))-1),""),"")</f>
        <v/>
      </c>
      <c r="J323" s="1"/>
      <c r="K323" s="1"/>
      <c r="L323" s="1"/>
      <c r="M323" s="1"/>
    </row>
    <row r="324" spans="1:13" x14ac:dyDescent="0.2">
      <c r="A324" s="1"/>
      <c r="B324" s="1"/>
      <c r="C324" s="1"/>
      <c r="D324" s="1"/>
      <c r="E324" s="1"/>
      <c r="F324" s="1"/>
      <c r="G324" s="1"/>
      <c r="H324" s="1"/>
      <c r="I324" t="str">
        <f>IFERROR(INDEX('تشخيص الحالات'!$D$2:$D$1001,SUMPRODUCT(('تشخيص الحالات'!$B$2:$B$1001=B324)*('تشخيص الحالات'!$G$2:$G$1001=1)*ROW('تشخيص الحالات'!$B$2:$B$1001))-1),"")&amp;IF(SUMPRODUCT(('تشخيص الحالات'!$B$2:$B$1001=B324)*('تشخيص الحالات'!$G$2:$G$1001=2))&gt;0,"، "&amp;IFERROR(INDEX('تشخيص الحالات'!$D$2:$D$1001,SUMPRODUCT(('تشخيص الحالات'!$B$2:$B$1001=B324)*('تشخيص الحالات'!$G$2:$G$1001=2)*ROW('تشخيص الحالات'!$B$2:$B$1001))-1),""),"")&amp;IF(SUMPRODUCT(('تشخيص الحالات'!$B$2:$B$1001=B324)*('تشخيص الحالات'!$G$2:$G$1001=3))&gt;0,"، "&amp;IFERROR(INDEX('تشخيص الحالات'!$D$2:$D$1001,SUMPRODUCT(('تشخيص الحالات'!$B$2:$B$1001=B324)*('تشخيص الحالات'!$G$2:$G$1001=3)*ROW('تشخيص الحالات'!$B$2:$B$1001))-1),""),"")&amp;IF(SUMPRODUCT(('تشخيص الحالات'!$B$2:$B$1001=B324)*('تشخيص الحالات'!$G$2:$G$1001=4))&gt;0,"، "&amp;IFERROR(INDEX('تشخيص الحالات'!$D$2:$D$1001,SUMPRODUCT(('تشخيص الحالات'!$B$2:$B$1001=B324)*('تشخيص الحالات'!$G$2:$G$1001=4)*ROW('تشخيص الحالات'!$B$2:$B$1001))-1),""),"")&amp;IF(SUMPRODUCT(('تشخيص الحالات'!$B$2:$B$1001=B324)*('تشخيص الحالات'!$G$2:$G$1001=5))&gt;0,"، "&amp;IFERROR(INDEX('تشخيص الحالات'!$D$2:$D$1001,SUMPRODUCT(('تشخيص الحالات'!$B$2:$B$1001=B324)*('تشخيص الحالات'!$G$2:$G$1001=5)*ROW('تشخيص الحالات'!$B$2:$B$1001))-1),""),"")&amp;IF(SUMPRODUCT(('تشخيص الحالات'!$B$2:$B$1001=B324)*('تشخيص الحالات'!$G$2:$G$1001=6))&gt;0,"، "&amp;IFERROR(INDEX('تشخيص الحالات'!$D$2:$D$1001,SUMPRODUCT(('تشخيص الحالات'!$B$2:$B$1001=B324)*('تشخيص الحالات'!$G$2:$G$1001=6)*ROW('تشخيص الحالات'!$B$2:$B$1001))-1),""),"")&amp;IF(SUMPRODUCT(('تشخيص الحالات'!$B$2:$B$1001=B324)*('تشخيص الحالات'!$G$2:$G$1001=7))&gt;0,"، "&amp;IFERROR(INDEX('تشخيص الحالات'!$D$2:$D$1001,SUMPRODUCT(('تشخيص الحالات'!$B$2:$B$1001=B324)*('تشخيص الحالات'!$G$2:$G$1001=7)*ROW('تشخيص الحالات'!$B$2:$B$1001))-1),""),"")&amp;IF(SUMPRODUCT(('تشخيص الحالات'!$B$2:$B$1001=B324)*('تشخيص الحالات'!$G$2:$G$1001=8))&gt;0,"، "&amp;IFERROR(INDEX('تشخيص الحالات'!$D$2:$D$1001,SUMPRODUCT(('تشخيص الحالات'!$B$2:$B$1001=B324)*('تشخيص الحالات'!$G$2:$G$1001=8)*ROW('تشخيص الحالات'!$B$2:$B$1001))-1),""),"")</f>
        <v/>
      </c>
      <c r="J324" s="1"/>
      <c r="K324" s="1"/>
      <c r="L324" s="1"/>
      <c r="M324" s="1"/>
    </row>
    <row r="325" spans="1:13" x14ac:dyDescent="0.2">
      <c r="A325" s="1"/>
      <c r="B325" s="1"/>
      <c r="C325" s="1"/>
      <c r="D325" s="1"/>
      <c r="E325" s="1"/>
      <c r="F325" s="1"/>
      <c r="G325" s="1"/>
      <c r="H325" s="1"/>
      <c r="I325" t="str">
        <f>IFERROR(INDEX('تشخيص الحالات'!$D$2:$D$1001,SUMPRODUCT(('تشخيص الحالات'!$B$2:$B$1001=B325)*('تشخيص الحالات'!$G$2:$G$1001=1)*ROW('تشخيص الحالات'!$B$2:$B$1001))-1),"")&amp;IF(SUMPRODUCT(('تشخيص الحالات'!$B$2:$B$1001=B325)*('تشخيص الحالات'!$G$2:$G$1001=2))&gt;0,"، "&amp;IFERROR(INDEX('تشخيص الحالات'!$D$2:$D$1001,SUMPRODUCT(('تشخيص الحالات'!$B$2:$B$1001=B325)*('تشخيص الحالات'!$G$2:$G$1001=2)*ROW('تشخيص الحالات'!$B$2:$B$1001))-1),""),"")&amp;IF(SUMPRODUCT(('تشخيص الحالات'!$B$2:$B$1001=B325)*('تشخيص الحالات'!$G$2:$G$1001=3))&gt;0,"، "&amp;IFERROR(INDEX('تشخيص الحالات'!$D$2:$D$1001,SUMPRODUCT(('تشخيص الحالات'!$B$2:$B$1001=B325)*('تشخيص الحالات'!$G$2:$G$1001=3)*ROW('تشخيص الحالات'!$B$2:$B$1001))-1),""),"")&amp;IF(SUMPRODUCT(('تشخيص الحالات'!$B$2:$B$1001=B325)*('تشخيص الحالات'!$G$2:$G$1001=4))&gt;0,"، "&amp;IFERROR(INDEX('تشخيص الحالات'!$D$2:$D$1001,SUMPRODUCT(('تشخيص الحالات'!$B$2:$B$1001=B325)*('تشخيص الحالات'!$G$2:$G$1001=4)*ROW('تشخيص الحالات'!$B$2:$B$1001))-1),""),"")&amp;IF(SUMPRODUCT(('تشخيص الحالات'!$B$2:$B$1001=B325)*('تشخيص الحالات'!$G$2:$G$1001=5))&gt;0,"، "&amp;IFERROR(INDEX('تشخيص الحالات'!$D$2:$D$1001,SUMPRODUCT(('تشخيص الحالات'!$B$2:$B$1001=B325)*('تشخيص الحالات'!$G$2:$G$1001=5)*ROW('تشخيص الحالات'!$B$2:$B$1001))-1),""),"")&amp;IF(SUMPRODUCT(('تشخيص الحالات'!$B$2:$B$1001=B325)*('تشخيص الحالات'!$G$2:$G$1001=6))&gt;0,"، "&amp;IFERROR(INDEX('تشخيص الحالات'!$D$2:$D$1001,SUMPRODUCT(('تشخيص الحالات'!$B$2:$B$1001=B325)*('تشخيص الحالات'!$G$2:$G$1001=6)*ROW('تشخيص الحالات'!$B$2:$B$1001))-1),""),"")&amp;IF(SUMPRODUCT(('تشخيص الحالات'!$B$2:$B$1001=B325)*('تشخيص الحالات'!$G$2:$G$1001=7))&gt;0,"، "&amp;IFERROR(INDEX('تشخيص الحالات'!$D$2:$D$1001,SUMPRODUCT(('تشخيص الحالات'!$B$2:$B$1001=B325)*('تشخيص الحالات'!$G$2:$G$1001=7)*ROW('تشخيص الحالات'!$B$2:$B$1001))-1),""),"")&amp;IF(SUMPRODUCT(('تشخيص الحالات'!$B$2:$B$1001=B325)*('تشخيص الحالات'!$G$2:$G$1001=8))&gt;0,"، "&amp;IFERROR(INDEX('تشخيص الحالات'!$D$2:$D$1001,SUMPRODUCT(('تشخيص الحالات'!$B$2:$B$1001=B325)*('تشخيص الحالات'!$G$2:$G$1001=8)*ROW('تشخيص الحالات'!$B$2:$B$1001))-1),""),"")</f>
        <v/>
      </c>
      <c r="J325" s="1"/>
      <c r="K325" s="1"/>
      <c r="L325" s="1"/>
      <c r="M325" s="1"/>
    </row>
    <row r="326" spans="1:13" x14ac:dyDescent="0.2">
      <c r="A326" s="1"/>
      <c r="B326" s="1"/>
      <c r="C326" s="1"/>
      <c r="D326" s="1"/>
      <c r="E326" s="1"/>
      <c r="F326" s="1"/>
      <c r="G326" s="1"/>
      <c r="H326" s="1"/>
      <c r="I326" t="str">
        <f>IFERROR(INDEX('تشخيص الحالات'!$D$2:$D$1001,SUMPRODUCT(('تشخيص الحالات'!$B$2:$B$1001=B326)*('تشخيص الحالات'!$G$2:$G$1001=1)*ROW('تشخيص الحالات'!$B$2:$B$1001))-1),"")&amp;IF(SUMPRODUCT(('تشخيص الحالات'!$B$2:$B$1001=B326)*('تشخيص الحالات'!$G$2:$G$1001=2))&gt;0,"، "&amp;IFERROR(INDEX('تشخيص الحالات'!$D$2:$D$1001,SUMPRODUCT(('تشخيص الحالات'!$B$2:$B$1001=B326)*('تشخيص الحالات'!$G$2:$G$1001=2)*ROW('تشخيص الحالات'!$B$2:$B$1001))-1),""),"")&amp;IF(SUMPRODUCT(('تشخيص الحالات'!$B$2:$B$1001=B326)*('تشخيص الحالات'!$G$2:$G$1001=3))&gt;0,"، "&amp;IFERROR(INDEX('تشخيص الحالات'!$D$2:$D$1001,SUMPRODUCT(('تشخيص الحالات'!$B$2:$B$1001=B326)*('تشخيص الحالات'!$G$2:$G$1001=3)*ROW('تشخيص الحالات'!$B$2:$B$1001))-1),""),"")&amp;IF(SUMPRODUCT(('تشخيص الحالات'!$B$2:$B$1001=B326)*('تشخيص الحالات'!$G$2:$G$1001=4))&gt;0,"، "&amp;IFERROR(INDEX('تشخيص الحالات'!$D$2:$D$1001,SUMPRODUCT(('تشخيص الحالات'!$B$2:$B$1001=B326)*('تشخيص الحالات'!$G$2:$G$1001=4)*ROW('تشخيص الحالات'!$B$2:$B$1001))-1),""),"")&amp;IF(SUMPRODUCT(('تشخيص الحالات'!$B$2:$B$1001=B326)*('تشخيص الحالات'!$G$2:$G$1001=5))&gt;0,"، "&amp;IFERROR(INDEX('تشخيص الحالات'!$D$2:$D$1001,SUMPRODUCT(('تشخيص الحالات'!$B$2:$B$1001=B326)*('تشخيص الحالات'!$G$2:$G$1001=5)*ROW('تشخيص الحالات'!$B$2:$B$1001))-1),""),"")&amp;IF(SUMPRODUCT(('تشخيص الحالات'!$B$2:$B$1001=B326)*('تشخيص الحالات'!$G$2:$G$1001=6))&gt;0,"، "&amp;IFERROR(INDEX('تشخيص الحالات'!$D$2:$D$1001,SUMPRODUCT(('تشخيص الحالات'!$B$2:$B$1001=B326)*('تشخيص الحالات'!$G$2:$G$1001=6)*ROW('تشخيص الحالات'!$B$2:$B$1001))-1),""),"")&amp;IF(SUMPRODUCT(('تشخيص الحالات'!$B$2:$B$1001=B326)*('تشخيص الحالات'!$G$2:$G$1001=7))&gt;0,"، "&amp;IFERROR(INDEX('تشخيص الحالات'!$D$2:$D$1001,SUMPRODUCT(('تشخيص الحالات'!$B$2:$B$1001=B326)*('تشخيص الحالات'!$G$2:$G$1001=7)*ROW('تشخيص الحالات'!$B$2:$B$1001))-1),""),"")&amp;IF(SUMPRODUCT(('تشخيص الحالات'!$B$2:$B$1001=B326)*('تشخيص الحالات'!$G$2:$G$1001=8))&gt;0,"، "&amp;IFERROR(INDEX('تشخيص الحالات'!$D$2:$D$1001,SUMPRODUCT(('تشخيص الحالات'!$B$2:$B$1001=B326)*('تشخيص الحالات'!$G$2:$G$1001=8)*ROW('تشخيص الحالات'!$B$2:$B$1001))-1),""),"")</f>
        <v/>
      </c>
      <c r="J326" s="1"/>
      <c r="K326" s="1"/>
      <c r="L326" s="1"/>
      <c r="M326" s="1"/>
    </row>
    <row r="327" spans="1:13" x14ac:dyDescent="0.2">
      <c r="A327" s="1"/>
      <c r="B327" s="1"/>
      <c r="C327" s="1"/>
      <c r="D327" s="1"/>
      <c r="E327" s="1"/>
      <c r="F327" s="1"/>
      <c r="G327" s="1"/>
      <c r="H327" s="1"/>
      <c r="I327" t="str">
        <f>IFERROR(INDEX('تشخيص الحالات'!$D$2:$D$1001,SUMPRODUCT(('تشخيص الحالات'!$B$2:$B$1001=B327)*('تشخيص الحالات'!$G$2:$G$1001=1)*ROW('تشخيص الحالات'!$B$2:$B$1001))-1),"")&amp;IF(SUMPRODUCT(('تشخيص الحالات'!$B$2:$B$1001=B327)*('تشخيص الحالات'!$G$2:$G$1001=2))&gt;0,"، "&amp;IFERROR(INDEX('تشخيص الحالات'!$D$2:$D$1001,SUMPRODUCT(('تشخيص الحالات'!$B$2:$B$1001=B327)*('تشخيص الحالات'!$G$2:$G$1001=2)*ROW('تشخيص الحالات'!$B$2:$B$1001))-1),""),"")&amp;IF(SUMPRODUCT(('تشخيص الحالات'!$B$2:$B$1001=B327)*('تشخيص الحالات'!$G$2:$G$1001=3))&gt;0,"، "&amp;IFERROR(INDEX('تشخيص الحالات'!$D$2:$D$1001,SUMPRODUCT(('تشخيص الحالات'!$B$2:$B$1001=B327)*('تشخيص الحالات'!$G$2:$G$1001=3)*ROW('تشخيص الحالات'!$B$2:$B$1001))-1),""),"")&amp;IF(SUMPRODUCT(('تشخيص الحالات'!$B$2:$B$1001=B327)*('تشخيص الحالات'!$G$2:$G$1001=4))&gt;0,"، "&amp;IFERROR(INDEX('تشخيص الحالات'!$D$2:$D$1001,SUMPRODUCT(('تشخيص الحالات'!$B$2:$B$1001=B327)*('تشخيص الحالات'!$G$2:$G$1001=4)*ROW('تشخيص الحالات'!$B$2:$B$1001))-1),""),"")&amp;IF(SUMPRODUCT(('تشخيص الحالات'!$B$2:$B$1001=B327)*('تشخيص الحالات'!$G$2:$G$1001=5))&gt;0,"، "&amp;IFERROR(INDEX('تشخيص الحالات'!$D$2:$D$1001,SUMPRODUCT(('تشخيص الحالات'!$B$2:$B$1001=B327)*('تشخيص الحالات'!$G$2:$G$1001=5)*ROW('تشخيص الحالات'!$B$2:$B$1001))-1),""),"")&amp;IF(SUMPRODUCT(('تشخيص الحالات'!$B$2:$B$1001=B327)*('تشخيص الحالات'!$G$2:$G$1001=6))&gt;0,"، "&amp;IFERROR(INDEX('تشخيص الحالات'!$D$2:$D$1001,SUMPRODUCT(('تشخيص الحالات'!$B$2:$B$1001=B327)*('تشخيص الحالات'!$G$2:$G$1001=6)*ROW('تشخيص الحالات'!$B$2:$B$1001))-1),""),"")&amp;IF(SUMPRODUCT(('تشخيص الحالات'!$B$2:$B$1001=B327)*('تشخيص الحالات'!$G$2:$G$1001=7))&gt;0,"، "&amp;IFERROR(INDEX('تشخيص الحالات'!$D$2:$D$1001,SUMPRODUCT(('تشخيص الحالات'!$B$2:$B$1001=B327)*('تشخيص الحالات'!$G$2:$G$1001=7)*ROW('تشخيص الحالات'!$B$2:$B$1001))-1),""),"")&amp;IF(SUMPRODUCT(('تشخيص الحالات'!$B$2:$B$1001=B327)*('تشخيص الحالات'!$G$2:$G$1001=8))&gt;0,"، "&amp;IFERROR(INDEX('تشخيص الحالات'!$D$2:$D$1001,SUMPRODUCT(('تشخيص الحالات'!$B$2:$B$1001=B327)*('تشخيص الحالات'!$G$2:$G$1001=8)*ROW('تشخيص الحالات'!$B$2:$B$1001))-1),""),"")</f>
        <v/>
      </c>
      <c r="J327" s="1"/>
      <c r="K327" s="1"/>
      <c r="L327" s="1"/>
      <c r="M327" s="1"/>
    </row>
    <row r="328" spans="1:13" x14ac:dyDescent="0.2">
      <c r="A328" s="1"/>
      <c r="B328" s="1"/>
      <c r="C328" s="1"/>
      <c r="D328" s="1"/>
      <c r="E328" s="1"/>
      <c r="F328" s="1"/>
      <c r="G328" s="1"/>
      <c r="H328" s="1"/>
      <c r="I328" t="str">
        <f>IFERROR(INDEX('تشخيص الحالات'!$D$2:$D$1001,SUMPRODUCT(('تشخيص الحالات'!$B$2:$B$1001=B328)*('تشخيص الحالات'!$G$2:$G$1001=1)*ROW('تشخيص الحالات'!$B$2:$B$1001))-1),"")&amp;IF(SUMPRODUCT(('تشخيص الحالات'!$B$2:$B$1001=B328)*('تشخيص الحالات'!$G$2:$G$1001=2))&gt;0,"، "&amp;IFERROR(INDEX('تشخيص الحالات'!$D$2:$D$1001,SUMPRODUCT(('تشخيص الحالات'!$B$2:$B$1001=B328)*('تشخيص الحالات'!$G$2:$G$1001=2)*ROW('تشخيص الحالات'!$B$2:$B$1001))-1),""),"")&amp;IF(SUMPRODUCT(('تشخيص الحالات'!$B$2:$B$1001=B328)*('تشخيص الحالات'!$G$2:$G$1001=3))&gt;0,"، "&amp;IFERROR(INDEX('تشخيص الحالات'!$D$2:$D$1001,SUMPRODUCT(('تشخيص الحالات'!$B$2:$B$1001=B328)*('تشخيص الحالات'!$G$2:$G$1001=3)*ROW('تشخيص الحالات'!$B$2:$B$1001))-1),""),"")&amp;IF(SUMPRODUCT(('تشخيص الحالات'!$B$2:$B$1001=B328)*('تشخيص الحالات'!$G$2:$G$1001=4))&gt;0,"، "&amp;IFERROR(INDEX('تشخيص الحالات'!$D$2:$D$1001,SUMPRODUCT(('تشخيص الحالات'!$B$2:$B$1001=B328)*('تشخيص الحالات'!$G$2:$G$1001=4)*ROW('تشخيص الحالات'!$B$2:$B$1001))-1),""),"")&amp;IF(SUMPRODUCT(('تشخيص الحالات'!$B$2:$B$1001=B328)*('تشخيص الحالات'!$G$2:$G$1001=5))&gt;0,"، "&amp;IFERROR(INDEX('تشخيص الحالات'!$D$2:$D$1001,SUMPRODUCT(('تشخيص الحالات'!$B$2:$B$1001=B328)*('تشخيص الحالات'!$G$2:$G$1001=5)*ROW('تشخيص الحالات'!$B$2:$B$1001))-1),""),"")&amp;IF(SUMPRODUCT(('تشخيص الحالات'!$B$2:$B$1001=B328)*('تشخيص الحالات'!$G$2:$G$1001=6))&gt;0,"، "&amp;IFERROR(INDEX('تشخيص الحالات'!$D$2:$D$1001,SUMPRODUCT(('تشخيص الحالات'!$B$2:$B$1001=B328)*('تشخيص الحالات'!$G$2:$G$1001=6)*ROW('تشخيص الحالات'!$B$2:$B$1001))-1),""),"")&amp;IF(SUMPRODUCT(('تشخيص الحالات'!$B$2:$B$1001=B328)*('تشخيص الحالات'!$G$2:$G$1001=7))&gt;0,"، "&amp;IFERROR(INDEX('تشخيص الحالات'!$D$2:$D$1001,SUMPRODUCT(('تشخيص الحالات'!$B$2:$B$1001=B328)*('تشخيص الحالات'!$G$2:$G$1001=7)*ROW('تشخيص الحالات'!$B$2:$B$1001))-1),""),"")&amp;IF(SUMPRODUCT(('تشخيص الحالات'!$B$2:$B$1001=B328)*('تشخيص الحالات'!$G$2:$G$1001=8))&gt;0,"، "&amp;IFERROR(INDEX('تشخيص الحالات'!$D$2:$D$1001,SUMPRODUCT(('تشخيص الحالات'!$B$2:$B$1001=B328)*('تشخيص الحالات'!$G$2:$G$1001=8)*ROW('تشخيص الحالات'!$B$2:$B$1001))-1),""),"")</f>
        <v/>
      </c>
      <c r="J328" s="1"/>
      <c r="K328" s="1"/>
      <c r="L328" s="1"/>
      <c r="M328" s="1"/>
    </row>
    <row r="329" spans="1:13" x14ac:dyDescent="0.2">
      <c r="A329" s="1"/>
      <c r="B329" s="1"/>
      <c r="C329" s="1"/>
      <c r="D329" s="1"/>
      <c r="E329" s="1"/>
      <c r="F329" s="1"/>
      <c r="G329" s="1"/>
      <c r="H329" s="1"/>
      <c r="I329" t="str">
        <f>IFERROR(INDEX('تشخيص الحالات'!$D$2:$D$1001,SUMPRODUCT(('تشخيص الحالات'!$B$2:$B$1001=B329)*('تشخيص الحالات'!$G$2:$G$1001=1)*ROW('تشخيص الحالات'!$B$2:$B$1001))-1),"")&amp;IF(SUMPRODUCT(('تشخيص الحالات'!$B$2:$B$1001=B329)*('تشخيص الحالات'!$G$2:$G$1001=2))&gt;0,"، "&amp;IFERROR(INDEX('تشخيص الحالات'!$D$2:$D$1001,SUMPRODUCT(('تشخيص الحالات'!$B$2:$B$1001=B329)*('تشخيص الحالات'!$G$2:$G$1001=2)*ROW('تشخيص الحالات'!$B$2:$B$1001))-1),""),"")&amp;IF(SUMPRODUCT(('تشخيص الحالات'!$B$2:$B$1001=B329)*('تشخيص الحالات'!$G$2:$G$1001=3))&gt;0,"، "&amp;IFERROR(INDEX('تشخيص الحالات'!$D$2:$D$1001,SUMPRODUCT(('تشخيص الحالات'!$B$2:$B$1001=B329)*('تشخيص الحالات'!$G$2:$G$1001=3)*ROW('تشخيص الحالات'!$B$2:$B$1001))-1),""),"")&amp;IF(SUMPRODUCT(('تشخيص الحالات'!$B$2:$B$1001=B329)*('تشخيص الحالات'!$G$2:$G$1001=4))&gt;0,"، "&amp;IFERROR(INDEX('تشخيص الحالات'!$D$2:$D$1001,SUMPRODUCT(('تشخيص الحالات'!$B$2:$B$1001=B329)*('تشخيص الحالات'!$G$2:$G$1001=4)*ROW('تشخيص الحالات'!$B$2:$B$1001))-1),""),"")&amp;IF(SUMPRODUCT(('تشخيص الحالات'!$B$2:$B$1001=B329)*('تشخيص الحالات'!$G$2:$G$1001=5))&gt;0,"، "&amp;IFERROR(INDEX('تشخيص الحالات'!$D$2:$D$1001,SUMPRODUCT(('تشخيص الحالات'!$B$2:$B$1001=B329)*('تشخيص الحالات'!$G$2:$G$1001=5)*ROW('تشخيص الحالات'!$B$2:$B$1001))-1),""),"")&amp;IF(SUMPRODUCT(('تشخيص الحالات'!$B$2:$B$1001=B329)*('تشخيص الحالات'!$G$2:$G$1001=6))&gt;0,"، "&amp;IFERROR(INDEX('تشخيص الحالات'!$D$2:$D$1001,SUMPRODUCT(('تشخيص الحالات'!$B$2:$B$1001=B329)*('تشخيص الحالات'!$G$2:$G$1001=6)*ROW('تشخيص الحالات'!$B$2:$B$1001))-1),""),"")&amp;IF(SUMPRODUCT(('تشخيص الحالات'!$B$2:$B$1001=B329)*('تشخيص الحالات'!$G$2:$G$1001=7))&gt;0,"، "&amp;IFERROR(INDEX('تشخيص الحالات'!$D$2:$D$1001,SUMPRODUCT(('تشخيص الحالات'!$B$2:$B$1001=B329)*('تشخيص الحالات'!$G$2:$G$1001=7)*ROW('تشخيص الحالات'!$B$2:$B$1001))-1),""),"")&amp;IF(SUMPRODUCT(('تشخيص الحالات'!$B$2:$B$1001=B329)*('تشخيص الحالات'!$G$2:$G$1001=8))&gt;0,"، "&amp;IFERROR(INDEX('تشخيص الحالات'!$D$2:$D$1001,SUMPRODUCT(('تشخيص الحالات'!$B$2:$B$1001=B329)*('تشخيص الحالات'!$G$2:$G$1001=8)*ROW('تشخيص الحالات'!$B$2:$B$1001))-1),""),"")</f>
        <v/>
      </c>
      <c r="J329" s="1"/>
      <c r="K329" s="1"/>
      <c r="L329" s="1"/>
      <c r="M329" s="1"/>
    </row>
    <row r="330" spans="1:13" x14ac:dyDescent="0.2">
      <c r="A330" s="1"/>
      <c r="B330" s="1"/>
      <c r="C330" s="1"/>
      <c r="D330" s="1"/>
      <c r="E330" s="1"/>
      <c r="F330" s="1"/>
      <c r="G330" s="1"/>
      <c r="H330" s="1"/>
      <c r="I330" t="str">
        <f>IFERROR(INDEX('تشخيص الحالات'!$D$2:$D$1001,SUMPRODUCT(('تشخيص الحالات'!$B$2:$B$1001=B330)*('تشخيص الحالات'!$G$2:$G$1001=1)*ROW('تشخيص الحالات'!$B$2:$B$1001))-1),"")&amp;IF(SUMPRODUCT(('تشخيص الحالات'!$B$2:$B$1001=B330)*('تشخيص الحالات'!$G$2:$G$1001=2))&gt;0,"، "&amp;IFERROR(INDEX('تشخيص الحالات'!$D$2:$D$1001,SUMPRODUCT(('تشخيص الحالات'!$B$2:$B$1001=B330)*('تشخيص الحالات'!$G$2:$G$1001=2)*ROW('تشخيص الحالات'!$B$2:$B$1001))-1),""),"")&amp;IF(SUMPRODUCT(('تشخيص الحالات'!$B$2:$B$1001=B330)*('تشخيص الحالات'!$G$2:$G$1001=3))&gt;0,"، "&amp;IFERROR(INDEX('تشخيص الحالات'!$D$2:$D$1001,SUMPRODUCT(('تشخيص الحالات'!$B$2:$B$1001=B330)*('تشخيص الحالات'!$G$2:$G$1001=3)*ROW('تشخيص الحالات'!$B$2:$B$1001))-1),""),"")&amp;IF(SUMPRODUCT(('تشخيص الحالات'!$B$2:$B$1001=B330)*('تشخيص الحالات'!$G$2:$G$1001=4))&gt;0,"، "&amp;IFERROR(INDEX('تشخيص الحالات'!$D$2:$D$1001,SUMPRODUCT(('تشخيص الحالات'!$B$2:$B$1001=B330)*('تشخيص الحالات'!$G$2:$G$1001=4)*ROW('تشخيص الحالات'!$B$2:$B$1001))-1),""),"")&amp;IF(SUMPRODUCT(('تشخيص الحالات'!$B$2:$B$1001=B330)*('تشخيص الحالات'!$G$2:$G$1001=5))&gt;0,"، "&amp;IFERROR(INDEX('تشخيص الحالات'!$D$2:$D$1001,SUMPRODUCT(('تشخيص الحالات'!$B$2:$B$1001=B330)*('تشخيص الحالات'!$G$2:$G$1001=5)*ROW('تشخيص الحالات'!$B$2:$B$1001))-1),""),"")&amp;IF(SUMPRODUCT(('تشخيص الحالات'!$B$2:$B$1001=B330)*('تشخيص الحالات'!$G$2:$G$1001=6))&gt;0,"، "&amp;IFERROR(INDEX('تشخيص الحالات'!$D$2:$D$1001,SUMPRODUCT(('تشخيص الحالات'!$B$2:$B$1001=B330)*('تشخيص الحالات'!$G$2:$G$1001=6)*ROW('تشخيص الحالات'!$B$2:$B$1001))-1),""),"")&amp;IF(SUMPRODUCT(('تشخيص الحالات'!$B$2:$B$1001=B330)*('تشخيص الحالات'!$G$2:$G$1001=7))&gt;0,"، "&amp;IFERROR(INDEX('تشخيص الحالات'!$D$2:$D$1001,SUMPRODUCT(('تشخيص الحالات'!$B$2:$B$1001=B330)*('تشخيص الحالات'!$G$2:$G$1001=7)*ROW('تشخيص الحالات'!$B$2:$B$1001))-1),""),"")&amp;IF(SUMPRODUCT(('تشخيص الحالات'!$B$2:$B$1001=B330)*('تشخيص الحالات'!$G$2:$G$1001=8))&gt;0,"، "&amp;IFERROR(INDEX('تشخيص الحالات'!$D$2:$D$1001,SUMPRODUCT(('تشخيص الحالات'!$B$2:$B$1001=B330)*('تشخيص الحالات'!$G$2:$G$1001=8)*ROW('تشخيص الحالات'!$B$2:$B$1001))-1),""),"")</f>
        <v/>
      </c>
      <c r="J330" s="1"/>
      <c r="K330" s="1"/>
      <c r="L330" s="1"/>
      <c r="M330" s="1"/>
    </row>
    <row r="331" spans="1:13" x14ac:dyDescent="0.2">
      <c r="A331" s="1"/>
      <c r="B331" s="1"/>
      <c r="C331" s="1"/>
      <c r="D331" s="1"/>
      <c r="E331" s="1"/>
      <c r="F331" s="1"/>
      <c r="G331" s="1"/>
      <c r="H331" s="1"/>
      <c r="I331" t="str">
        <f>IFERROR(INDEX('تشخيص الحالات'!$D$2:$D$1001,SUMPRODUCT(('تشخيص الحالات'!$B$2:$B$1001=B331)*('تشخيص الحالات'!$G$2:$G$1001=1)*ROW('تشخيص الحالات'!$B$2:$B$1001))-1),"")&amp;IF(SUMPRODUCT(('تشخيص الحالات'!$B$2:$B$1001=B331)*('تشخيص الحالات'!$G$2:$G$1001=2))&gt;0,"، "&amp;IFERROR(INDEX('تشخيص الحالات'!$D$2:$D$1001,SUMPRODUCT(('تشخيص الحالات'!$B$2:$B$1001=B331)*('تشخيص الحالات'!$G$2:$G$1001=2)*ROW('تشخيص الحالات'!$B$2:$B$1001))-1),""),"")&amp;IF(SUMPRODUCT(('تشخيص الحالات'!$B$2:$B$1001=B331)*('تشخيص الحالات'!$G$2:$G$1001=3))&gt;0,"، "&amp;IFERROR(INDEX('تشخيص الحالات'!$D$2:$D$1001,SUMPRODUCT(('تشخيص الحالات'!$B$2:$B$1001=B331)*('تشخيص الحالات'!$G$2:$G$1001=3)*ROW('تشخيص الحالات'!$B$2:$B$1001))-1),""),"")&amp;IF(SUMPRODUCT(('تشخيص الحالات'!$B$2:$B$1001=B331)*('تشخيص الحالات'!$G$2:$G$1001=4))&gt;0,"، "&amp;IFERROR(INDEX('تشخيص الحالات'!$D$2:$D$1001,SUMPRODUCT(('تشخيص الحالات'!$B$2:$B$1001=B331)*('تشخيص الحالات'!$G$2:$G$1001=4)*ROW('تشخيص الحالات'!$B$2:$B$1001))-1),""),"")&amp;IF(SUMPRODUCT(('تشخيص الحالات'!$B$2:$B$1001=B331)*('تشخيص الحالات'!$G$2:$G$1001=5))&gt;0,"، "&amp;IFERROR(INDEX('تشخيص الحالات'!$D$2:$D$1001,SUMPRODUCT(('تشخيص الحالات'!$B$2:$B$1001=B331)*('تشخيص الحالات'!$G$2:$G$1001=5)*ROW('تشخيص الحالات'!$B$2:$B$1001))-1),""),"")&amp;IF(SUMPRODUCT(('تشخيص الحالات'!$B$2:$B$1001=B331)*('تشخيص الحالات'!$G$2:$G$1001=6))&gt;0,"، "&amp;IFERROR(INDEX('تشخيص الحالات'!$D$2:$D$1001,SUMPRODUCT(('تشخيص الحالات'!$B$2:$B$1001=B331)*('تشخيص الحالات'!$G$2:$G$1001=6)*ROW('تشخيص الحالات'!$B$2:$B$1001))-1),""),"")&amp;IF(SUMPRODUCT(('تشخيص الحالات'!$B$2:$B$1001=B331)*('تشخيص الحالات'!$G$2:$G$1001=7))&gt;0,"، "&amp;IFERROR(INDEX('تشخيص الحالات'!$D$2:$D$1001,SUMPRODUCT(('تشخيص الحالات'!$B$2:$B$1001=B331)*('تشخيص الحالات'!$G$2:$G$1001=7)*ROW('تشخيص الحالات'!$B$2:$B$1001))-1),""),"")&amp;IF(SUMPRODUCT(('تشخيص الحالات'!$B$2:$B$1001=B331)*('تشخيص الحالات'!$G$2:$G$1001=8))&gt;0,"، "&amp;IFERROR(INDEX('تشخيص الحالات'!$D$2:$D$1001,SUMPRODUCT(('تشخيص الحالات'!$B$2:$B$1001=B331)*('تشخيص الحالات'!$G$2:$G$1001=8)*ROW('تشخيص الحالات'!$B$2:$B$1001))-1),""),"")</f>
        <v/>
      </c>
      <c r="J331" s="1"/>
      <c r="K331" s="1"/>
      <c r="L331" s="1"/>
      <c r="M331" s="1"/>
    </row>
    <row r="332" spans="1:13" x14ac:dyDescent="0.2">
      <c r="A332" s="1"/>
      <c r="B332" s="1"/>
      <c r="C332" s="1"/>
      <c r="D332" s="1"/>
      <c r="E332" s="1"/>
      <c r="F332" s="1"/>
      <c r="G332" s="1"/>
      <c r="H332" s="1"/>
      <c r="I332" t="str">
        <f>IFERROR(INDEX('تشخيص الحالات'!$D$2:$D$1001,SUMPRODUCT(('تشخيص الحالات'!$B$2:$B$1001=B332)*('تشخيص الحالات'!$G$2:$G$1001=1)*ROW('تشخيص الحالات'!$B$2:$B$1001))-1),"")&amp;IF(SUMPRODUCT(('تشخيص الحالات'!$B$2:$B$1001=B332)*('تشخيص الحالات'!$G$2:$G$1001=2))&gt;0,"، "&amp;IFERROR(INDEX('تشخيص الحالات'!$D$2:$D$1001,SUMPRODUCT(('تشخيص الحالات'!$B$2:$B$1001=B332)*('تشخيص الحالات'!$G$2:$G$1001=2)*ROW('تشخيص الحالات'!$B$2:$B$1001))-1),""),"")&amp;IF(SUMPRODUCT(('تشخيص الحالات'!$B$2:$B$1001=B332)*('تشخيص الحالات'!$G$2:$G$1001=3))&gt;0,"، "&amp;IFERROR(INDEX('تشخيص الحالات'!$D$2:$D$1001,SUMPRODUCT(('تشخيص الحالات'!$B$2:$B$1001=B332)*('تشخيص الحالات'!$G$2:$G$1001=3)*ROW('تشخيص الحالات'!$B$2:$B$1001))-1),""),"")&amp;IF(SUMPRODUCT(('تشخيص الحالات'!$B$2:$B$1001=B332)*('تشخيص الحالات'!$G$2:$G$1001=4))&gt;0,"، "&amp;IFERROR(INDEX('تشخيص الحالات'!$D$2:$D$1001,SUMPRODUCT(('تشخيص الحالات'!$B$2:$B$1001=B332)*('تشخيص الحالات'!$G$2:$G$1001=4)*ROW('تشخيص الحالات'!$B$2:$B$1001))-1),""),"")&amp;IF(SUMPRODUCT(('تشخيص الحالات'!$B$2:$B$1001=B332)*('تشخيص الحالات'!$G$2:$G$1001=5))&gt;0,"، "&amp;IFERROR(INDEX('تشخيص الحالات'!$D$2:$D$1001,SUMPRODUCT(('تشخيص الحالات'!$B$2:$B$1001=B332)*('تشخيص الحالات'!$G$2:$G$1001=5)*ROW('تشخيص الحالات'!$B$2:$B$1001))-1),""),"")&amp;IF(SUMPRODUCT(('تشخيص الحالات'!$B$2:$B$1001=B332)*('تشخيص الحالات'!$G$2:$G$1001=6))&gt;0,"، "&amp;IFERROR(INDEX('تشخيص الحالات'!$D$2:$D$1001,SUMPRODUCT(('تشخيص الحالات'!$B$2:$B$1001=B332)*('تشخيص الحالات'!$G$2:$G$1001=6)*ROW('تشخيص الحالات'!$B$2:$B$1001))-1),""),"")&amp;IF(SUMPRODUCT(('تشخيص الحالات'!$B$2:$B$1001=B332)*('تشخيص الحالات'!$G$2:$G$1001=7))&gt;0,"، "&amp;IFERROR(INDEX('تشخيص الحالات'!$D$2:$D$1001,SUMPRODUCT(('تشخيص الحالات'!$B$2:$B$1001=B332)*('تشخيص الحالات'!$G$2:$G$1001=7)*ROW('تشخيص الحالات'!$B$2:$B$1001))-1),""),"")&amp;IF(SUMPRODUCT(('تشخيص الحالات'!$B$2:$B$1001=B332)*('تشخيص الحالات'!$G$2:$G$1001=8))&gt;0,"، "&amp;IFERROR(INDEX('تشخيص الحالات'!$D$2:$D$1001,SUMPRODUCT(('تشخيص الحالات'!$B$2:$B$1001=B332)*('تشخيص الحالات'!$G$2:$G$1001=8)*ROW('تشخيص الحالات'!$B$2:$B$1001))-1),""),"")</f>
        <v/>
      </c>
      <c r="J332" s="1"/>
      <c r="K332" s="1"/>
      <c r="L332" s="1"/>
      <c r="M332" s="1"/>
    </row>
    <row r="333" spans="1:13" x14ac:dyDescent="0.2">
      <c r="A333" s="1"/>
      <c r="B333" s="1"/>
      <c r="C333" s="1"/>
      <c r="D333" s="1"/>
      <c r="E333" s="1"/>
      <c r="F333" s="1"/>
      <c r="G333" s="1"/>
      <c r="H333" s="1"/>
      <c r="I333" t="str">
        <f>IFERROR(INDEX('تشخيص الحالات'!$D$2:$D$1001,SUMPRODUCT(('تشخيص الحالات'!$B$2:$B$1001=B333)*('تشخيص الحالات'!$G$2:$G$1001=1)*ROW('تشخيص الحالات'!$B$2:$B$1001))-1),"")&amp;IF(SUMPRODUCT(('تشخيص الحالات'!$B$2:$B$1001=B333)*('تشخيص الحالات'!$G$2:$G$1001=2))&gt;0,"، "&amp;IFERROR(INDEX('تشخيص الحالات'!$D$2:$D$1001,SUMPRODUCT(('تشخيص الحالات'!$B$2:$B$1001=B333)*('تشخيص الحالات'!$G$2:$G$1001=2)*ROW('تشخيص الحالات'!$B$2:$B$1001))-1),""),"")&amp;IF(SUMPRODUCT(('تشخيص الحالات'!$B$2:$B$1001=B333)*('تشخيص الحالات'!$G$2:$G$1001=3))&gt;0,"، "&amp;IFERROR(INDEX('تشخيص الحالات'!$D$2:$D$1001,SUMPRODUCT(('تشخيص الحالات'!$B$2:$B$1001=B333)*('تشخيص الحالات'!$G$2:$G$1001=3)*ROW('تشخيص الحالات'!$B$2:$B$1001))-1),""),"")&amp;IF(SUMPRODUCT(('تشخيص الحالات'!$B$2:$B$1001=B333)*('تشخيص الحالات'!$G$2:$G$1001=4))&gt;0,"، "&amp;IFERROR(INDEX('تشخيص الحالات'!$D$2:$D$1001,SUMPRODUCT(('تشخيص الحالات'!$B$2:$B$1001=B333)*('تشخيص الحالات'!$G$2:$G$1001=4)*ROW('تشخيص الحالات'!$B$2:$B$1001))-1),""),"")&amp;IF(SUMPRODUCT(('تشخيص الحالات'!$B$2:$B$1001=B333)*('تشخيص الحالات'!$G$2:$G$1001=5))&gt;0,"، "&amp;IFERROR(INDEX('تشخيص الحالات'!$D$2:$D$1001,SUMPRODUCT(('تشخيص الحالات'!$B$2:$B$1001=B333)*('تشخيص الحالات'!$G$2:$G$1001=5)*ROW('تشخيص الحالات'!$B$2:$B$1001))-1),""),"")&amp;IF(SUMPRODUCT(('تشخيص الحالات'!$B$2:$B$1001=B333)*('تشخيص الحالات'!$G$2:$G$1001=6))&gt;0,"، "&amp;IFERROR(INDEX('تشخيص الحالات'!$D$2:$D$1001,SUMPRODUCT(('تشخيص الحالات'!$B$2:$B$1001=B333)*('تشخيص الحالات'!$G$2:$G$1001=6)*ROW('تشخيص الحالات'!$B$2:$B$1001))-1),""),"")&amp;IF(SUMPRODUCT(('تشخيص الحالات'!$B$2:$B$1001=B333)*('تشخيص الحالات'!$G$2:$G$1001=7))&gt;0,"، "&amp;IFERROR(INDEX('تشخيص الحالات'!$D$2:$D$1001,SUMPRODUCT(('تشخيص الحالات'!$B$2:$B$1001=B333)*('تشخيص الحالات'!$G$2:$G$1001=7)*ROW('تشخيص الحالات'!$B$2:$B$1001))-1),""),"")&amp;IF(SUMPRODUCT(('تشخيص الحالات'!$B$2:$B$1001=B333)*('تشخيص الحالات'!$G$2:$G$1001=8))&gt;0,"، "&amp;IFERROR(INDEX('تشخيص الحالات'!$D$2:$D$1001,SUMPRODUCT(('تشخيص الحالات'!$B$2:$B$1001=B333)*('تشخيص الحالات'!$G$2:$G$1001=8)*ROW('تشخيص الحالات'!$B$2:$B$1001))-1),""),"")</f>
        <v/>
      </c>
      <c r="J333" s="1"/>
      <c r="K333" s="1"/>
      <c r="L333" s="1"/>
      <c r="M333" s="1"/>
    </row>
    <row r="334" spans="1:13" x14ac:dyDescent="0.2">
      <c r="A334" s="1"/>
      <c r="B334" s="1"/>
      <c r="C334" s="1"/>
      <c r="D334" s="1"/>
      <c r="E334" s="1"/>
      <c r="F334" s="1"/>
      <c r="G334" s="1"/>
      <c r="H334" s="1"/>
      <c r="I334" t="str">
        <f>IFERROR(INDEX('تشخيص الحالات'!$D$2:$D$1001,SUMPRODUCT(('تشخيص الحالات'!$B$2:$B$1001=B334)*('تشخيص الحالات'!$G$2:$G$1001=1)*ROW('تشخيص الحالات'!$B$2:$B$1001))-1),"")&amp;IF(SUMPRODUCT(('تشخيص الحالات'!$B$2:$B$1001=B334)*('تشخيص الحالات'!$G$2:$G$1001=2))&gt;0,"، "&amp;IFERROR(INDEX('تشخيص الحالات'!$D$2:$D$1001,SUMPRODUCT(('تشخيص الحالات'!$B$2:$B$1001=B334)*('تشخيص الحالات'!$G$2:$G$1001=2)*ROW('تشخيص الحالات'!$B$2:$B$1001))-1),""),"")&amp;IF(SUMPRODUCT(('تشخيص الحالات'!$B$2:$B$1001=B334)*('تشخيص الحالات'!$G$2:$G$1001=3))&gt;0,"، "&amp;IFERROR(INDEX('تشخيص الحالات'!$D$2:$D$1001,SUMPRODUCT(('تشخيص الحالات'!$B$2:$B$1001=B334)*('تشخيص الحالات'!$G$2:$G$1001=3)*ROW('تشخيص الحالات'!$B$2:$B$1001))-1),""),"")&amp;IF(SUMPRODUCT(('تشخيص الحالات'!$B$2:$B$1001=B334)*('تشخيص الحالات'!$G$2:$G$1001=4))&gt;0,"، "&amp;IFERROR(INDEX('تشخيص الحالات'!$D$2:$D$1001,SUMPRODUCT(('تشخيص الحالات'!$B$2:$B$1001=B334)*('تشخيص الحالات'!$G$2:$G$1001=4)*ROW('تشخيص الحالات'!$B$2:$B$1001))-1),""),"")&amp;IF(SUMPRODUCT(('تشخيص الحالات'!$B$2:$B$1001=B334)*('تشخيص الحالات'!$G$2:$G$1001=5))&gt;0,"، "&amp;IFERROR(INDEX('تشخيص الحالات'!$D$2:$D$1001,SUMPRODUCT(('تشخيص الحالات'!$B$2:$B$1001=B334)*('تشخيص الحالات'!$G$2:$G$1001=5)*ROW('تشخيص الحالات'!$B$2:$B$1001))-1),""),"")&amp;IF(SUMPRODUCT(('تشخيص الحالات'!$B$2:$B$1001=B334)*('تشخيص الحالات'!$G$2:$G$1001=6))&gt;0,"، "&amp;IFERROR(INDEX('تشخيص الحالات'!$D$2:$D$1001,SUMPRODUCT(('تشخيص الحالات'!$B$2:$B$1001=B334)*('تشخيص الحالات'!$G$2:$G$1001=6)*ROW('تشخيص الحالات'!$B$2:$B$1001))-1),""),"")&amp;IF(SUMPRODUCT(('تشخيص الحالات'!$B$2:$B$1001=B334)*('تشخيص الحالات'!$G$2:$G$1001=7))&gt;0,"، "&amp;IFERROR(INDEX('تشخيص الحالات'!$D$2:$D$1001,SUMPRODUCT(('تشخيص الحالات'!$B$2:$B$1001=B334)*('تشخيص الحالات'!$G$2:$G$1001=7)*ROW('تشخيص الحالات'!$B$2:$B$1001))-1),""),"")&amp;IF(SUMPRODUCT(('تشخيص الحالات'!$B$2:$B$1001=B334)*('تشخيص الحالات'!$G$2:$G$1001=8))&gt;0,"، "&amp;IFERROR(INDEX('تشخيص الحالات'!$D$2:$D$1001,SUMPRODUCT(('تشخيص الحالات'!$B$2:$B$1001=B334)*('تشخيص الحالات'!$G$2:$G$1001=8)*ROW('تشخيص الحالات'!$B$2:$B$1001))-1),""),"")</f>
        <v/>
      </c>
      <c r="J334" s="1"/>
      <c r="K334" s="1"/>
      <c r="L334" s="1"/>
      <c r="M334" s="1"/>
    </row>
    <row r="335" spans="1:13" x14ac:dyDescent="0.2">
      <c r="A335" s="1"/>
      <c r="B335" s="1"/>
      <c r="C335" s="1"/>
      <c r="D335" s="1"/>
      <c r="E335" s="1"/>
      <c r="F335" s="1"/>
      <c r="G335" s="1"/>
      <c r="H335" s="1"/>
      <c r="I335" t="str">
        <f>IFERROR(INDEX('تشخيص الحالات'!$D$2:$D$1001,SUMPRODUCT(('تشخيص الحالات'!$B$2:$B$1001=B335)*('تشخيص الحالات'!$G$2:$G$1001=1)*ROW('تشخيص الحالات'!$B$2:$B$1001))-1),"")&amp;IF(SUMPRODUCT(('تشخيص الحالات'!$B$2:$B$1001=B335)*('تشخيص الحالات'!$G$2:$G$1001=2))&gt;0,"، "&amp;IFERROR(INDEX('تشخيص الحالات'!$D$2:$D$1001,SUMPRODUCT(('تشخيص الحالات'!$B$2:$B$1001=B335)*('تشخيص الحالات'!$G$2:$G$1001=2)*ROW('تشخيص الحالات'!$B$2:$B$1001))-1),""),"")&amp;IF(SUMPRODUCT(('تشخيص الحالات'!$B$2:$B$1001=B335)*('تشخيص الحالات'!$G$2:$G$1001=3))&gt;0,"، "&amp;IFERROR(INDEX('تشخيص الحالات'!$D$2:$D$1001,SUMPRODUCT(('تشخيص الحالات'!$B$2:$B$1001=B335)*('تشخيص الحالات'!$G$2:$G$1001=3)*ROW('تشخيص الحالات'!$B$2:$B$1001))-1),""),"")&amp;IF(SUMPRODUCT(('تشخيص الحالات'!$B$2:$B$1001=B335)*('تشخيص الحالات'!$G$2:$G$1001=4))&gt;0,"، "&amp;IFERROR(INDEX('تشخيص الحالات'!$D$2:$D$1001,SUMPRODUCT(('تشخيص الحالات'!$B$2:$B$1001=B335)*('تشخيص الحالات'!$G$2:$G$1001=4)*ROW('تشخيص الحالات'!$B$2:$B$1001))-1),""),"")&amp;IF(SUMPRODUCT(('تشخيص الحالات'!$B$2:$B$1001=B335)*('تشخيص الحالات'!$G$2:$G$1001=5))&gt;0,"، "&amp;IFERROR(INDEX('تشخيص الحالات'!$D$2:$D$1001,SUMPRODUCT(('تشخيص الحالات'!$B$2:$B$1001=B335)*('تشخيص الحالات'!$G$2:$G$1001=5)*ROW('تشخيص الحالات'!$B$2:$B$1001))-1),""),"")&amp;IF(SUMPRODUCT(('تشخيص الحالات'!$B$2:$B$1001=B335)*('تشخيص الحالات'!$G$2:$G$1001=6))&gt;0,"، "&amp;IFERROR(INDEX('تشخيص الحالات'!$D$2:$D$1001,SUMPRODUCT(('تشخيص الحالات'!$B$2:$B$1001=B335)*('تشخيص الحالات'!$G$2:$G$1001=6)*ROW('تشخيص الحالات'!$B$2:$B$1001))-1),""),"")&amp;IF(SUMPRODUCT(('تشخيص الحالات'!$B$2:$B$1001=B335)*('تشخيص الحالات'!$G$2:$G$1001=7))&gt;0,"، "&amp;IFERROR(INDEX('تشخيص الحالات'!$D$2:$D$1001,SUMPRODUCT(('تشخيص الحالات'!$B$2:$B$1001=B335)*('تشخيص الحالات'!$G$2:$G$1001=7)*ROW('تشخيص الحالات'!$B$2:$B$1001))-1),""),"")&amp;IF(SUMPRODUCT(('تشخيص الحالات'!$B$2:$B$1001=B335)*('تشخيص الحالات'!$G$2:$G$1001=8))&gt;0,"، "&amp;IFERROR(INDEX('تشخيص الحالات'!$D$2:$D$1001,SUMPRODUCT(('تشخيص الحالات'!$B$2:$B$1001=B335)*('تشخيص الحالات'!$G$2:$G$1001=8)*ROW('تشخيص الحالات'!$B$2:$B$1001))-1),""),"")</f>
        <v/>
      </c>
      <c r="J335" s="1"/>
      <c r="K335" s="1"/>
      <c r="L335" s="1"/>
      <c r="M335" s="1"/>
    </row>
    <row r="336" spans="1:13" x14ac:dyDescent="0.2">
      <c r="A336" s="1"/>
      <c r="B336" s="1"/>
      <c r="C336" s="1"/>
      <c r="D336" s="1"/>
      <c r="E336" s="1"/>
      <c r="F336" s="1"/>
      <c r="G336" s="1"/>
      <c r="H336" s="1"/>
      <c r="I336" t="str">
        <f>IFERROR(INDEX('تشخيص الحالات'!$D$2:$D$1001,SUMPRODUCT(('تشخيص الحالات'!$B$2:$B$1001=B336)*('تشخيص الحالات'!$G$2:$G$1001=1)*ROW('تشخيص الحالات'!$B$2:$B$1001))-1),"")&amp;IF(SUMPRODUCT(('تشخيص الحالات'!$B$2:$B$1001=B336)*('تشخيص الحالات'!$G$2:$G$1001=2))&gt;0,"، "&amp;IFERROR(INDEX('تشخيص الحالات'!$D$2:$D$1001,SUMPRODUCT(('تشخيص الحالات'!$B$2:$B$1001=B336)*('تشخيص الحالات'!$G$2:$G$1001=2)*ROW('تشخيص الحالات'!$B$2:$B$1001))-1),""),"")&amp;IF(SUMPRODUCT(('تشخيص الحالات'!$B$2:$B$1001=B336)*('تشخيص الحالات'!$G$2:$G$1001=3))&gt;0,"، "&amp;IFERROR(INDEX('تشخيص الحالات'!$D$2:$D$1001,SUMPRODUCT(('تشخيص الحالات'!$B$2:$B$1001=B336)*('تشخيص الحالات'!$G$2:$G$1001=3)*ROW('تشخيص الحالات'!$B$2:$B$1001))-1),""),"")&amp;IF(SUMPRODUCT(('تشخيص الحالات'!$B$2:$B$1001=B336)*('تشخيص الحالات'!$G$2:$G$1001=4))&gt;0,"، "&amp;IFERROR(INDEX('تشخيص الحالات'!$D$2:$D$1001,SUMPRODUCT(('تشخيص الحالات'!$B$2:$B$1001=B336)*('تشخيص الحالات'!$G$2:$G$1001=4)*ROW('تشخيص الحالات'!$B$2:$B$1001))-1),""),"")&amp;IF(SUMPRODUCT(('تشخيص الحالات'!$B$2:$B$1001=B336)*('تشخيص الحالات'!$G$2:$G$1001=5))&gt;0,"، "&amp;IFERROR(INDEX('تشخيص الحالات'!$D$2:$D$1001,SUMPRODUCT(('تشخيص الحالات'!$B$2:$B$1001=B336)*('تشخيص الحالات'!$G$2:$G$1001=5)*ROW('تشخيص الحالات'!$B$2:$B$1001))-1),""),"")&amp;IF(SUMPRODUCT(('تشخيص الحالات'!$B$2:$B$1001=B336)*('تشخيص الحالات'!$G$2:$G$1001=6))&gt;0,"، "&amp;IFERROR(INDEX('تشخيص الحالات'!$D$2:$D$1001,SUMPRODUCT(('تشخيص الحالات'!$B$2:$B$1001=B336)*('تشخيص الحالات'!$G$2:$G$1001=6)*ROW('تشخيص الحالات'!$B$2:$B$1001))-1),""),"")&amp;IF(SUMPRODUCT(('تشخيص الحالات'!$B$2:$B$1001=B336)*('تشخيص الحالات'!$G$2:$G$1001=7))&gt;0,"، "&amp;IFERROR(INDEX('تشخيص الحالات'!$D$2:$D$1001,SUMPRODUCT(('تشخيص الحالات'!$B$2:$B$1001=B336)*('تشخيص الحالات'!$G$2:$G$1001=7)*ROW('تشخيص الحالات'!$B$2:$B$1001))-1),""),"")&amp;IF(SUMPRODUCT(('تشخيص الحالات'!$B$2:$B$1001=B336)*('تشخيص الحالات'!$G$2:$G$1001=8))&gt;0,"، "&amp;IFERROR(INDEX('تشخيص الحالات'!$D$2:$D$1001,SUMPRODUCT(('تشخيص الحالات'!$B$2:$B$1001=B336)*('تشخيص الحالات'!$G$2:$G$1001=8)*ROW('تشخيص الحالات'!$B$2:$B$1001))-1),""),"")</f>
        <v/>
      </c>
      <c r="J336" s="1"/>
      <c r="K336" s="1"/>
      <c r="L336" s="1"/>
      <c r="M336" s="1"/>
    </row>
    <row r="337" spans="1:13" x14ac:dyDescent="0.2">
      <c r="A337" s="1"/>
      <c r="B337" s="1"/>
      <c r="C337" s="1"/>
      <c r="D337" s="1"/>
      <c r="E337" s="1"/>
      <c r="F337" s="1"/>
      <c r="G337" s="1"/>
      <c r="H337" s="1"/>
      <c r="I337" t="str">
        <f>IFERROR(INDEX('تشخيص الحالات'!$D$2:$D$1001,SUMPRODUCT(('تشخيص الحالات'!$B$2:$B$1001=B337)*('تشخيص الحالات'!$G$2:$G$1001=1)*ROW('تشخيص الحالات'!$B$2:$B$1001))-1),"")&amp;IF(SUMPRODUCT(('تشخيص الحالات'!$B$2:$B$1001=B337)*('تشخيص الحالات'!$G$2:$G$1001=2))&gt;0,"، "&amp;IFERROR(INDEX('تشخيص الحالات'!$D$2:$D$1001,SUMPRODUCT(('تشخيص الحالات'!$B$2:$B$1001=B337)*('تشخيص الحالات'!$G$2:$G$1001=2)*ROW('تشخيص الحالات'!$B$2:$B$1001))-1),""),"")&amp;IF(SUMPRODUCT(('تشخيص الحالات'!$B$2:$B$1001=B337)*('تشخيص الحالات'!$G$2:$G$1001=3))&gt;0,"، "&amp;IFERROR(INDEX('تشخيص الحالات'!$D$2:$D$1001,SUMPRODUCT(('تشخيص الحالات'!$B$2:$B$1001=B337)*('تشخيص الحالات'!$G$2:$G$1001=3)*ROW('تشخيص الحالات'!$B$2:$B$1001))-1),""),"")&amp;IF(SUMPRODUCT(('تشخيص الحالات'!$B$2:$B$1001=B337)*('تشخيص الحالات'!$G$2:$G$1001=4))&gt;0,"، "&amp;IFERROR(INDEX('تشخيص الحالات'!$D$2:$D$1001,SUMPRODUCT(('تشخيص الحالات'!$B$2:$B$1001=B337)*('تشخيص الحالات'!$G$2:$G$1001=4)*ROW('تشخيص الحالات'!$B$2:$B$1001))-1),""),"")&amp;IF(SUMPRODUCT(('تشخيص الحالات'!$B$2:$B$1001=B337)*('تشخيص الحالات'!$G$2:$G$1001=5))&gt;0,"، "&amp;IFERROR(INDEX('تشخيص الحالات'!$D$2:$D$1001,SUMPRODUCT(('تشخيص الحالات'!$B$2:$B$1001=B337)*('تشخيص الحالات'!$G$2:$G$1001=5)*ROW('تشخيص الحالات'!$B$2:$B$1001))-1),""),"")&amp;IF(SUMPRODUCT(('تشخيص الحالات'!$B$2:$B$1001=B337)*('تشخيص الحالات'!$G$2:$G$1001=6))&gt;0,"، "&amp;IFERROR(INDEX('تشخيص الحالات'!$D$2:$D$1001,SUMPRODUCT(('تشخيص الحالات'!$B$2:$B$1001=B337)*('تشخيص الحالات'!$G$2:$G$1001=6)*ROW('تشخيص الحالات'!$B$2:$B$1001))-1),""),"")&amp;IF(SUMPRODUCT(('تشخيص الحالات'!$B$2:$B$1001=B337)*('تشخيص الحالات'!$G$2:$G$1001=7))&gt;0,"، "&amp;IFERROR(INDEX('تشخيص الحالات'!$D$2:$D$1001,SUMPRODUCT(('تشخيص الحالات'!$B$2:$B$1001=B337)*('تشخيص الحالات'!$G$2:$G$1001=7)*ROW('تشخيص الحالات'!$B$2:$B$1001))-1),""),"")&amp;IF(SUMPRODUCT(('تشخيص الحالات'!$B$2:$B$1001=B337)*('تشخيص الحالات'!$G$2:$G$1001=8))&gt;0,"، "&amp;IFERROR(INDEX('تشخيص الحالات'!$D$2:$D$1001,SUMPRODUCT(('تشخيص الحالات'!$B$2:$B$1001=B337)*('تشخيص الحالات'!$G$2:$G$1001=8)*ROW('تشخيص الحالات'!$B$2:$B$1001))-1),""),"")</f>
        <v/>
      </c>
      <c r="J337" s="1"/>
      <c r="K337" s="1"/>
      <c r="L337" s="1"/>
      <c r="M337" s="1"/>
    </row>
    <row r="338" spans="1:13" x14ac:dyDescent="0.2">
      <c r="A338" s="1"/>
      <c r="B338" s="1"/>
      <c r="C338" s="1"/>
      <c r="D338" s="1"/>
      <c r="E338" s="1"/>
      <c r="F338" s="1"/>
      <c r="G338" s="1"/>
      <c r="H338" s="1"/>
      <c r="I338" t="str">
        <f>IFERROR(INDEX('تشخيص الحالات'!$D$2:$D$1001,SUMPRODUCT(('تشخيص الحالات'!$B$2:$B$1001=B338)*('تشخيص الحالات'!$G$2:$G$1001=1)*ROW('تشخيص الحالات'!$B$2:$B$1001))-1),"")&amp;IF(SUMPRODUCT(('تشخيص الحالات'!$B$2:$B$1001=B338)*('تشخيص الحالات'!$G$2:$G$1001=2))&gt;0,"، "&amp;IFERROR(INDEX('تشخيص الحالات'!$D$2:$D$1001,SUMPRODUCT(('تشخيص الحالات'!$B$2:$B$1001=B338)*('تشخيص الحالات'!$G$2:$G$1001=2)*ROW('تشخيص الحالات'!$B$2:$B$1001))-1),""),"")&amp;IF(SUMPRODUCT(('تشخيص الحالات'!$B$2:$B$1001=B338)*('تشخيص الحالات'!$G$2:$G$1001=3))&gt;0,"، "&amp;IFERROR(INDEX('تشخيص الحالات'!$D$2:$D$1001,SUMPRODUCT(('تشخيص الحالات'!$B$2:$B$1001=B338)*('تشخيص الحالات'!$G$2:$G$1001=3)*ROW('تشخيص الحالات'!$B$2:$B$1001))-1),""),"")&amp;IF(SUMPRODUCT(('تشخيص الحالات'!$B$2:$B$1001=B338)*('تشخيص الحالات'!$G$2:$G$1001=4))&gt;0,"، "&amp;IFERROR(INDEX('تشخيص الحالات'!$D$2:$D$1001,SUMPRODUCT(('تشخيص الحالات'!$B$2:$B$1001=B338)*('تشخيص الحالات'!$G$2:$G$1001=4)*ROW('تشخيص الحالات'!$B$2:$B$1001))-1),""),"")&amp;IF(SUMPRODUCT(('تشخيص الحالات'!$B$2:$B$1001=B338)*('تشخيص الحالات'!$G$2:$G$1001=5))&gt;0,"، "&amp;IFERROR(INDEX('تشخيص الحالات'!$D$2:$D$1001,SUMPRODUCT(('تشخيص الحالات'!$B$2:$B$1001=B338)*('تشخيص الحالات'!$G$2:$G$1001=5)*ROW('تشخيص الحالات'!$B$2:$B$1001))-1),""),"")&amp;IF(SUMPRODUCT(('تشخيص الحالات'!$B$2:$B$1001=B338)*('تشخيص الحالات'!$G$2:$G$1001=6))&gt;0,"، "&amp;IFERROR(INDEX('تشخيص الحالات'!$D$2:$D$1001,SUMPRODUCT(('تشخيص الحالات'!$B$2:$B$1001=B338)*('تشخيص الحالات'!$G$2:$G$1001=6)*ROW('تشخيص الحالات'!$B$2:$B$1001))-1),""),"")&amp;IF(SUMPRODUCT(('تشخيص الحالات'!$B$2:$B$1001=B338)*('تشخيص الحالات'!$G$2:$G$1001=7))&gt;0,"، "&amp;IFERROR(INDEX('تشخيص الحالات'!$D$2:$D$1001,SUMPRODUCT(('تشخيص الحالات'!$B$2:$B$1001=B338)*('تشخيص الحالات'!$G$2:$G$1001=7)*ROW('تشخيص الحالات'!$B$2:$B$1001))-1),""),"")&amp;IF(SUMPRODUCT(('تشخيص الحالات'!$B$2:$B$1001=B338)*('تشخيص الحالات'!$G$2:$G$1001=8))&gt;0,"، "&amp;IFERROR(INDEX('تشخيص الحالات'!$D$2:$D$1001,SUMPRODUCT(('تشخيص الحالات'!$B$2:$B$1001=B338)*('تشخيص الحالات'!$G$2:$G$1001=8)*ROW('تشخيص الحالات'!$B$2:$B$1001))-1),""),"")</f>
        <v/>
      </c>
      <c r="J338" s="1"/>
      <c r="K338" s="1"/>
      <c r="L338" s="1"/>
      <c r="M338" s="1"/>
    </row>
    <row r="339" spans="1:13" x14ac:dyDescent="0.2">
      <c r="A339" s="1"/>
      <c r="B339" s="1"/>
      <c r="C339" s="1"/>
      <c r="D339" s="1"/>
      <c r="E339" s="1"/>
      <c r="F339" s="1"/>
      <c r="G339" s="1"/>
      <c r="H339" s="1"/>
      <c r="I339" t="str">
        <f>IFERROR(INDEX('تشخيص الحالات'!$D$2:$D$1001,SUMPRODUCT(('تشخيص الحالات'!$B$2:$B$1001=B339)*('تشخيص الحالات'!$G$2:$G$1001=1)*ROW('تشخيص الحالات'!$B$2:$B$1001))-1),"")&amp;IF(SUMPRODUCT(('تشخيص الحالات'!$B$2:$B$1001=B339)*('تشخيص الحالات'!$G$2:$G$1001=2))&gt;0,"، "&amp;IFERROR(INDEX('تشخيص الحالات'!$D$2:$D$1001,SUMPRODUCT(('تشخيص الحالات'!$B$2:$B$1001=B339)*('تشخيص الحالات'!$G$2:$G$1001=2)*ROW('تشخيص الحالات'!$B$2:$B$1001))-1),""),"")&amp;IF(SUMPRODUCT(('تشخيص الحالات'!$B$2:$B$1001=B339)*('تشخيص الحالات'!$G$2:$G$1001=3))&gt;0,"، "&amp;IFERROR(INDEX('تشخيص الحالات'!$D$2:$D$1001,SUMPRODUCT(('تشخيص الحالات'!$B$2:$B$1001=B339)*('تشخيص الحالات'!$G$2:$G$1001=3)*ROW('تشخيص الحالات'!$B$2:$B$1001))-1),""),"")&amp;IF(SUMPRODUCT(('تشخيص الحالات'!$B$2:$B$1001=B339)*('تشخيص الحالات'!$G$2:$G$1001=4))&gt;0,"، "&amp;IFERROR(INDEX('تشخيص الحالات'!$D$2:$D$1001,SUMPRODUCT(('تشخيص الحالات'!$B$2:$B$1001=B339)*('تشخيص الحالات'!$G$2:$G$1001=4)*ROW('تشخيص الحالات'!$B$2:$B$1001))-1),""),"")&amp;IF(SUMPRODUCT(('تشخيص الحالات'!$B$2:$B$1001=B339)*('تشخيص الحالات'!$G$2:$G$1001=5))&gt;0,"، "&amp;IFERROR(INDEX('تشخيص الحالات'!$D$2:$D$1001,SUMPRODUCT(('تشخيص الحالات'!$B$2:$B$1001=B339)*('تشخيص الحالات'!$G$2:$G$1001=5)*ROW('تشخيص الحالات'!$B$2:$B$1001))-1),""),"")&amp;IF(SUMPRODUCT(('تشخيص الحالات'!$B$2:$B$1001=B339)*('تشخيص الحالات'!$G$2:$G$1001=6))&gt;0,"، "&amp;IFERROR(INDEX('تشخيص الحالات'!$D$2:$D$1001,SUMPRODUCT(('تشخيص الحالات'!$B$2:$B$1001=B339)*('تشخيص الحالات'!$G$2:$G$1001=6)*ROW('تشخيص الحالات'!$B$2:$B$1001))-1),""),"")&amp;IF(SUMPRODUCT(('تشخيص الحالات'!$B$2:$B$1001=B339)*('تشخيص الحالات'!$G$2:$G$1001=7))&gt;0,"، "&amp;IFERROR(INDEX('تشخيص الحالات'!$D$2:$D$1001,SUMPRODUCT(('تشخيص الحالات'!$B$2:$B$1001=B339)*('تشخيص الحالات'!$G$2:$G$1001=7)*ROW('تشخيص الحالات'!$B$2:$B$1001))-1),""),"")&amp;IF(SUMPRODUCT(('تشخيص الحالات'!$B$2:$B$1001=B339)*('تشخيص الحالات'!$G$2:$G$1001=8))&gt;0,"، "&amp;IFERROR(INDEX('تشخيص الحالات'!$D$2:$D$1001,SUMPRODUCT(('تشخيص الحالات'!$B$2:$B$1001=B339)*('تشخيص الحالات'!$G$2:$G$1001=8)*ROW('تشخيص الحالات'!$B$2:$B$1001))-1),""),"")</f>
        <v/>
      </c>
      <c r="J339" s="1"/>
      <c r="K339" s="1"/>
      <c r="L339" s="1"/>
      <c r="M339" s="1"/>
    </row>
    <row r="340" spans="1:13" x14ac:dyDescent="0.2">
      <c r="A340" s="1"/>
      <c r="B340" s="1"/>
      <c r="C340" s="1"/>
      <c r="D340" s="1"/>
      <c r="E340" s="1"/>
      <c r="F340" s="1"/>
      <c r="G340" s="1"/>
      <c r="H340" s="1"/>
      <c r="I340" t="str">
        <f>IFERROR(INDEX('تشخيص الحالات'!$D$2:$D$1001,SUMPRODUCT(('تشخيص الحالات'!$B$2:$B$1001=B340)*('تشخيص الحالات'!$G$2:$G$1001=1)*ROW('تشخيص الحالات'!$B$2:$B$1001))-1),"")&amp;IF(SUMPRODUCT(('تشخيص الحالات'!$B$2:$B$1001=B340)*('تشخيص الحالات'!$G$2:$G$1001=2))&gt;0,"، "&amp;IFERROR(INDEX('تشخيص الحالات'!$D$2:$D$1001,SUMPRODUCT(('تشخيص الحالات'!$B$2:$B$1001=B340)*('تشخيص الحالات'!$G$2:$G$1001=2)*ROW('تشخيص الحالات'!$B$2:$B$1001))-1),""),"")&amp;IF(SUMPRODUCT(('تشخيص الحالات'!$B$2:$B$1001=B340)*('تشخيص الحالات'!$G$2:$G$1001=3))&gt;0,"، "&amp;IFERROR(INDEX('تشخيص الحالات'!$D$2:$D$1001,SUMPRODUCT(('تشخيص الحالات'!$B$2:$B$1001=B340)*('تشخيص الحالات'!$G$2:$G$1001=3)*ROW('تشخيص الحالات'!$B$2:$B$1001))-1),""),"")&amp;IF(SUMPRODUCT(('تشخيص الحالات'!$B$2:$B$1001=B340)*('تشخيص الحالات'!$G$2:$G$1001=4))&gt;0,"، "&amp;IFERROR(INDEX('تشخيص الحالات'!$D$2:$D$1001,SUMPRODUCT(('تشخيص الحالات'!$B$2:$B$1001=B340)*('تشخيص الحالات'!$G$2:$G$1001=4)*ROW('تشخيص الحالات'!$B$2:$B$1001))-1),""),"")&amp;IF(SUMPRODUCT(('تشخيص الحالات'!$B$2:$B$1001=B340)*('تشخيص الحالات'!$G$2:$G$1001=5))&gt;0,"، "&amp;IFERROR(INDEX('تشخيص الحالات'!$D$2:$D$1001,SUMPRODUCT(('تشخيص الحالات'!$B$2:$B$1001=B340)*('تشخيص الحالات'!$G$2:$G$1001=5)*ROW('تشخيص الحالات'!$B$2:$B$1001))-1),""),"")&amp;IF(SUMPRODUCT(('تشخيص الحالات'!$B$2:$B$1001=B340)*('تشخيص الحالات'!$G$2:$G$1001=6))&gt;0,"، "&amp;IFERROR(INDEX('تشخيص الحالات'!$D$2:$D$1001,SUMPRODUCT(('تشخيص الحالات'!$B$2:$B$1001=B340)*('تشخيص الحالات'!$G$2:$G$1001=6)*ROW('تشخيص الحالات'!$B$2:$B$1001))-1),""),"")&amp;IF(SUMPRODUCT(('تشخيص الحالات'!$B$2:$B$1001=B340)*('تشخيص الحالات'!$G$2:$G$1001=7))&gt;0,"، "&amp;IFERROR(INDEX('تشخيص الحالات'!$D$2:$D$1001,SUMPRODUCT(('تشخيص الحالات'!$B$2:$B$1001=B340)*('تشخيص الحالات'!$G$2:$G$1001=7)*ROW('تشخيص الحالات'!$B$2:$B$1001))-1),""),"")&amp;IF(SUMPRODUCT(('تشخيص الحالات'!$B$2:$B$1001=B340)*('تشخيص الحالات'!$G$2:$G$1001=8))&gt;0,"، "&amp;IFERROR(INDEX('تشخيص الحالات'!$D$2:$D$1001,SUMPRODUCT(('تشخيص الحالات'!$B$2:$B$1001=B340)*('تشخيص الحالات'!$G$2:$G$1001=8)*ROW('تشخيص الحالات'!$B$2:$B$1001))-1),""),"")</f>
        <v/>
      </c>
      <c r="J340" s="1"/>
      <c r="K340" s="1"/>
      <c r="L340" s="1"/>
      <c r="M340" s="1"/>
    </row>
    <row r="341" spans="1:13" x14ac:dyDescent="0.2">
      <c r="A341" s="1"/>
      <c r="B341" s="1"/>
      <c r="C341" s="1"/>
      <c r="D341" s="1"/>
      <c r="E341" s="1"/>
      <c r="F341" s="1"/>
      <c r="G341" s="1"/>
      <c r="H341" s="1"/>
      <c r="I341" t="str">
        <f>IFERROR(INDEX('تشخيص الحالات'!$D$2:$D$1001,SUMPRODUCT(('تشخيص الحالات'!$B$2:$B$1001=B341)*('تشخيص الحالات'!$G$2:$G$1001=1)*ROW('تشخيص الحالات'!$B$2:$B$1001))-1),"")&amp;IF(SUMPRODUCT(('تشخيص الحالات'!$B$2:$B$1001=B341)*('تشخيص الحالات'!$G$2:$G$1001=2))&gt;0,"، "&amp;IFERROR(INDEX('تشخيص الحالات'!$D$2:$D$1001,SUMPRODUCT(('تشخيص الحالات'!$B$2:$B$1001=B341)*('تشخيص الحالات'!$G$2:$G$1001=2)*ROW('تشخيص الحالات'!$B$2:$B$1001))-1),""),"")&amp;IF(SUMPRODUCT(('تشخيص الحالات'!$B$2:$B$1001=B341)*('تشخيص الحالات'!$G$2:$G$1001=3))&gt;0,"، "&amp;IFERROR(INDEX('تشخيص الحالات'!$D$2:$D$1001,SUMPRODUCT(('تشخيص الحالات'!$B$2:$B$1001=B341)*('تشخيص الحالات'!$G$2:$G$1001=3)*ROW('تشخيص الحالات'!$B$2:$B$1001))-1),""),"")&amp;IF(SUMPRODUCT(('تشخيص الحالات'!$B$2:$B$1001=B341)*('تشخيص الحالات'!$G$2:$G$1001=4))&gt;0,"، "&amp;IFERROR(INDEX('تشخيص الحالات'!$D$2:$D$1001,SUMPRODUCT(('تشخيص الحالات'!$B$2:$B$1001=B341)*('تشخيص الحالات'!$G$2:$G$1001=4)*ROW('تشخيص الحالات'!$B$2:$B$1001))-1),""),"")&amp;IF(SUMPRODUCT(('تشخيص الحالات'!$B$2:$B$1001=B341)*('تشخيص الحالات'!$G$2:$G$1001=5))&gt;0,"، "&amp;IFERROR(INDEX('تشخيص الحالات'!$D$2:$D$1001,SUMPRODUCT(('تشخيص الحالات'!$B$2:$B$1001=B341)*('تشخيص الحالات'!$G$2:$G$1001=5)*ROW('تشخيص الحالات'!$B$2:$B$1001))-1),""),"")&amp;IF(SUMPRODUCT(('تشخيص الحالات'!$B$2:$B$1001=B341)*('تشخيص الحالات'!$G$2:$G$1001=6))&gt;0,"، "&amp;IFERROR(INDEX('تشخيص الحالات'!$D$2:$D$1001,SUMPRODUCT(('تشخيص الحالات'!$B$2:$B$1001=B341)*('تشخيص الحالات'!$G$2:$G$1001=6)*ROW('تشخيص الحالات'!$B$2:$B$1001))-1),""),"")&amp;IF(SUMPRODUCT(('تشخيص الحالات'!$B$2:$B$1001=B341)*('تشخيص الحالات'!$G$2:$G$1001=7))&gt;0,"، "&amp;IFERROR(INDEX('تشخيص الحالات'!$D$2:$D$1001,SUMPRODUCT(('تشخيص الحالات'!$B$2:$B$1001=B341)*('تشخيص الحالات'!$G$2:$G$1001=7)*ROW('تشخيص الحالات'!$B$2:$B$1001))-1),""),"")&amp;IF(SUMPRODUCT(('تشخيص الحالات'!$B$2:$B$1001=B341)*('تشخيص الحالات'!$G$2:$G$1001=8))&gt;0,"، "&amp;IFERROR(INDEX('تشخيص الحالات'!$D$2:$D$1001,SUMPRODUCT(('تشخيص الحالات'!$B$2:$B$1001=B341)*('تشخيص الحالات'!$G$2:$G$1001=8)*ROW('تشخيص الحالات'!$B$2:$B$1001))-1),""),"")</f>
        <v/>
      </c>
      <c r="J341" s="1"/>
      <c r="K341" s="1"/>
      <c r="L341" s="1"/>
      <c r="M341" s="1"/>
    </row>
    <row r="342" spans="1:13" x14ac:dyDescent="0.2">
      <c r="A342" s="1"/>
      <c r="B342" s="1"/>
      <c r="C342" s="1"/>
      <c r="D342" s="1"/>
      <c r="E342" s="1"/>
      <c r="F342" s="1"/>
      <c r="G342" s="1"/>
      <c r="H342" s="1"/>
      <c r="I342" t="str">
        <f>IFERROR(INDEX('تشخيص الحالات'!$D$2:$D$1001,SUMPRODUCT(('تشخيص الحالات'!$B$2:$B$1001=B342)*('تشخيص الحالات'!$G$2:$G$1001=1)*ROW('تشخيص الحالات'!$B$2:$B$1001))-1),"")&amp;IF(SUMPRODUCT(('تشخيص الحالات'!$B$2:$B$1001=B342)*('تشخيص الحالات'!$G$2:$G$1001=2))&gt;0,"، "&amp;IFERROR(INDEX('تشخيص الحالات'!$D$2:$D$1001,SUMPRODUCT(('تشخيص الحالات'!$B$2:$B$1001=B342)*('تشخيص الحالات'!$G$2:$G$1001=2)*ROW('تشخيص الحالات'!$B$2:$B$1001))-1),""),"")&amp;IF(SUMPRODUCT(('تشخيص الحالات'!$B$2:$B$1001=B342)*('تشخيص الحالات'!$G$2:$G$1001=3))&gt;0,"، "&amp;IFERROR(INDEX('تشخيص الحالات'!$D$2:$D$1001,SUMPRODUCT(('تشخيص الحالات'!$B$2:$B$1001=B342)*('تشخيص الحالات'!$G$2:$G$1001=3)*ROW('تشخيص الحالات'!$B$2:$B$1001))-1),""),"")&amp;IF(SUMPRODUCT(('تشخيص الحالات'!$B$2:$B$1001=B342)*('تشخيص الحالات'!$G$2:$G$1001=4))&gt;0,"، "&amp;IFERROR(INDEX('تشخيص الحالات'!$D$2:$D$1001,SUMPRODUCT(('تشخيص الحالات'!$B$2:$B$1001=B342)*('تشخيص الحالات'!$G$2:$G$1001=4)*ROW('تشخيص الحالات'!$B$2:$B$1001))-1),""),"")&amp;IF(SUMPRODUCT(('تشخيص الحالات'!$B$2:$B$1001=B342)*('تشخيص الحالات'!$G$2:$G$1001=5))&gt;0,"، "&amp;IFERROR(INDEX('تشخيص الحالات'!$D$2:$D$1001,SUMPRODUCT(('تشخيص الحالات'!$B$2:$B$1001=B342)*('تشخيص الحالات'!$G$2:$G$1001=5)*ROW('تشخيص الحالات'!$B$2:$B$1001))-1),""),"")&amp;IF(SUMPRODUCT(('تشخيص الحالات'!$B$2:$B$1001=B342)*('تشخيص الحالات'!$G$2:$G$1001=6))&gt;0,"، "&amp;IFERROR(INDEX('تشخيص الحالات'!$D$2:$D$1001,SUMPRODUCT(('تشخيص الحالات'!$B$2:$B$1001=B342)*('تشخيص الحالات'!$G$2:$G$1001=6)*ROW('تشخيص الحالات'!$B$2:$B$1001))-1),""),"")&amp;IF(SUMPRODUCT(('تشخيص الحالات'!$B$2:$B$1001=B342)*('تشخيص الحالات'!$G$2:$G$1001=7))&gt;0,"، "&amp;IFERROR(INDEX('تشخيص الحالات'!$D$2:$D$1001,SUMPRODUCT(('تشخيص الحالات'!$B$2:$B$1001=B342)*('تشخيص الحالات'!$G$2:$G$1001=7)*ROW('تشخيص الحالات'!$B$2:$B$1001))-1),""),"")&amp;IF(SUMPRODUCT(('تشخيص الحالات'!$B$2:$B$1001=B342)*('تشخيص الحالات'!$G$2:$G$1001=8))&gt;0,"، "&amp;IFERROR(INDEX('تشخيص الحالات'!$D$2:$D$1001,SUMPRODUCT(('تشخيص الحالات'!$B$2:$B$1001=B342)*('تشخيص الحالات'!$G$2:$G$1001=8)*ROW('تشخيص الحالات'!$B$2:$B$1001))-1),""),"")</f>
        <v/>
      </c>
      <c r="J342" s="1"/>
      <c r="K342" s="1"/>
      <c r="L342" s="1"/>
      <c r="M342" s="1"/>
    </row>
    <row r="343" spans="1:13" x14ac:dyDescent="0.2">
      <c r="A343" s="1"/>
      <c r="B343" s="1"/>
      <c r="C343" s="1"/>
      <c r="D343" s="1"/>
      <c r="E343" s="1"/>
      <c r="F343" s="1"/>
      <c r="G343" s="1"/>
      <c r="H343" s="1"/>
      <c r="I343" t="str">
        <f>IFERROR(INDEX('تشخيص الحالات'!$D$2:$D$1001,SUMPRODUCT(('تشخيص الحالات'!$B$2:$B$1001=B343)*('تشخيص الحالات'!$G$2:$G$1001=1)*ROW('تشخيص الحالات'!$B$2:$B$1001))-1),"")&amp;IF(SUMPRODUCT(('تشخيص الحالات'!$B$2:$B$1001=B343)*('تشخيص الحالات'!$G$2:$G$1001=2))&gt;0,"، "&amp;IFERROR(INDEX('تشخيص الحالات'!$D$2:$D$1001,SUMPRODUCT(('تشخيص الحالات'!$B$2:$B$1001=B343)*('تشخيص الحالات'!$G$2:$G$1001=2)*ROW('تشخيص الحالات'!$B$2:$B$1001))-1),""),"")&amp;IF(SUMPRODUCT(('تشخيص الحالات'!$B$2:$B$1001=B343)*('تشخيص الحالات'!$G$2:$G$1001=3))&gt;0,"، "&amp;IFERROR(INDEX('تشخيص الحالات'!$D$2:$D$1001,SUMPRODUCT(('تشخيص الحالات'!$B$2:$B$1001=B343)*('تشخيص الحالات'!$G$2:$G$1001=3)*ROW('تشخيص الحالات'!$B$2:$B$1001))-1),""),"")&amp;IF(SUMPRODUCT(('تشخيص الحالات'!$B$2:$B$1001=B343)*('تشخيص الحالات'!$G$2:$G$1001=4))&gt;0,"، "&amp;IFERROR(INDEX('تشخيص الحالات'!$D$2:$D$1001,SUMPRODUCT(('تشخيص الحالات'!$B$2:$B$1001=B343)*('تشخيص الحالات'!$G$2:$G$1001=4)*ROW('تشخيص الحالات'!$B$2:$B$1001))-1),""),"")&amp;IF(SUMPRODUCT(('تشخيص الحالات'!$B$2:$B$1001=B343)*('تشخيص الحالات'!$G$2:$G$1001=5))&gt;0,"، "&amp;IFERROR(INDEX('تشخيص الحالات'!$D$2:$D$1001,SUMPRODUCT(('تشخيص الحالات'!$B$2:$B$1001=B343)*('تشخيص الحالات'!$G$2:$G$1001=5)*ROW('تشخيص الحالات'!$B$2:$B$1001))-1),""),"")&amp;IF(SUMPRODUCT(('تشخيص الحالات'!$B$2:$B$1001=B343)*('تشخيص الحالات'!$G$2:$G$1001=6))&gt;0,"، "&amp;IFERROR(INDEX('تشخيص الحالات'!$D$2:$D$1001,SUMPRODUCT(('تشخيص الحالات'!$B$2:$B$1001=B343)*('تشخيص الحالات'!$G$2:$G$1001=6)*ROW('تشخيص الحالات'!$B$2:$B$1001))-1),""),"")&amp;IF(SUMPRODUCT(('تشخيص الحالات'!$B$2:$B$1001=B343)*('تشخيص الحالات'!$G$2:$G$1001=7))&gt;0,"، "&amp;IFERROR(INDEX('تشخيص الحالات'!$D$2:$D$1001,SUMPRODUCT(('تشخيص الحالات'!$B$2:$B$1001=B343)*('تشخيص الحالات'!$G$2:$G$1001=7)*ROW('تشخيص الحالات'!$B$2:$B$1001))-1),""),"")&amp;IF(SUMPRODUCT(('تشخيص الحالات'!$B$2:$B$1001=B343)*('تشخيص الحالات'!$G$2:$G$1001=8))&gt;0,"، "&amp;IFERROR(INDEX('تشخيص الحالات'!$D$2:$D$1001,SUMPRODUCT(('تشخيص الحالات'!$B$2:$B$1001=B343)*('تشخيص الحالات'!$G$2:$G$1001=8)*ROW('تشخيص الحالات'!$B$2:$B$1001))-1),""),"")</f>
        <v/>
      </c>
      <c r="J343" s="1"/>
      <c r="K343" s="1"/>
      <c r="L343" s="1"/>
      <c r="M343" s="1"/>
    </row>
    <row r="344" spans="1:13" x14ac:dyDescent="0.2">
      <c r="A344" s="1"/>
      <c r="B344" s="1"/>
      <c r="C344" s="1"/>
      <c r="D344" s="1"/>
      <c r="E344" s="1"/>
      <c r="F344" s="1"/>
      <c r="G344" s="1"/>
      <c r="H344" s="1"/>
      <c r="I344" t="str">
        <f>IFERROR(INDEX('تشخيص الحالات'!$D$2:$D$1001,SUMPRODUCT(('تشخيص الحالات'!$B$2:$B$1001=B344)*('تشخيص الحالات'!$G$2:$G$1001=1)*ROW('تشخيص الحالات'!$B$2:$B$1001))-1),"")&amp;IF(SUMPRODUCT(('تشخيص الحالات'!$B$2:$B$1001=B344)*('تشخيص الحالات'!$G$2:$G$1001=2))&gt;0,"، "&amp;IFERROR(INDEX('تشخيص الحالات'!$D$2:$D$1001,SUMPRODUCT(('تشخيص الحالات'!$B$2:$B$1001=B344)*('تشخيص الحالات'!$G$2:$G$1001=2)*ROW('تشخيص الحالات'!$B$2:$B$1001))-1),""),"")&amp;IF(SUMPRODUCT(('تشخيص الحالات'!$B$2:$B$1001=B344)*('تشخيص الحالات'!$G$2:$G$1001=3))&gt;0,"، "&amp;IFERROR(INDEX('تشخيص الحالات'!$D$2:$D$1001,SUMPRODUCT(('تشخيص الحالات'!$B$2:$B$1001=B344)*('تشخيص الحالات'!$G$2:$G$1001=3)*ROW('تشخيص الحالات'!$B$2:$B$1001))-1),""),"")&amp;IF(SUMPRODUCT(('تشخيص الحالات'!$B$2:$B$1001=B344)*('تشخيص الحالات'!$G$2:$G$1001=4))&gt;0,"، "&amp;IFERROR(INDEX('تشخيص الحالات'!$D$2:$D$1001,SUMPRODUCT(('تشخيص الحالات'!$B$2:$B$1001=B344)*('تشخيص الحالات'!$G$2:$G$1001=4)*ROW('تشخيص الحالات'!$B$2:$B$1001))-1),""),"")&amp;IF(SUMPRODUCT(('تشخيص الحالات'!$B$2:$B$1001=B344)*('تشخيص الحالات'!$G$2:$G$1001=5))&gt;0,"، "&amp;IFERROR(INDEX('تشخيص الحالات'!$D$2:$D$1001,SUMPRODUCT(('تشخيص الحالات'!$B$2:$B$1001=B344)*('تشخيص الحالات'!$G$2:$G$1001=5)*ROW('تشخيص الحالات'!$B$2:$B$1001))-1),""),"")&amp;IF(SUMPRODUCT(('تشخيص الحالات'!$B$2:$B$1001=B344)*('تشخيص الحالات'!$G$2:$G$1001=6))&gt;0,"، "&amp;IFERROR(INDEX('تشخيص الحالات'!$D$2:$D$1001,SUMPRODUCT(('تشخيص الحالات'!$B$2:$B$1001=B344)*('تشخيص الحالات'!$G$2:$G$1001=6)*ROW('تشخيص الحالات'!$B$2:$B$1001))-1),""),"")&amp;IF(SUMPRODUCT(('تشخيص الحالات'!$B$2:$B$1001=B344)*('تشخيص الحالات'!$G$2:$G$1001=7))&gt;0,"، "&amp;IFERROR(INDEX('تشخيص الحالات'!$D$2:$D$1001,SUMPRODUCT(('تشخيص الحالات'!$B$2:$B$1001=B344)*('تشخيص الحالات'!$G$2:$G$1001=7)*ROW('تشخيص الحالات'!$B$2:$B$1001))-1),""),"")&amp;IF(SUMPRODUCT(('تشخيص الحالات'!$B$2:$B$1001=B344)*('تشخيص الحالات'!$G$2:$G$1001=8))&gt;0,"، "&amp;IFERROR(INDEX('تشخيص الحالات'!$D$2:$D$1001,SUMPRODUCT(('تشخيص الحالات'!$B$2:$B$1001=B344)*('تشخيص الحالات'!$G$2:$G$1001=8)*ROW('تشخيص الحالات'!$B$2:$B$1001))-1),""),"")</f>
        <v/>
      </c>
      <c r="J344" s="1"/>
      <c r="K344" s="1"/>
      <c r="L344" s="1"/>
      <c r="M344" s="1"/>
    </row>
    <row r="345" spans="1:13" x14ac:dyDescent="0.2">
      <c r="A345" s="1"/>
      <c r="B345" s="1"/>
      <c r="C345" s="1"/>
      <c r="D345" s="1"/>
      <c r="E345" s="1"/>
      <c r="F345" s="1"/>
      <c r="G345" s="1"/>
      <c r="H345" s="1"/>
      <c r="I345" t="str">
        <f>IFERROR(INDEX('تشخيص الحالات'!$D$2:$D$1001,SUMPRODUCT(('تشخيص الحالات'!$B$2:$B$1001=B345)*('تشخيص الحالات'!$G$2:$G$1001=1)*ROW('تشخيص الحالات'!$B$2:$B$1001))-1),"")&amp;IF(SUMPRODUCT(('تشخيص الحالات'!$B$2:$B$1001=B345)*('تشخيص الحالات'!$G$2:$G$1001=2))&gt;0,"، "&amp;IFERROR(INDEX('تشخيص الحالات'!$D$2:$D$1001,SUMPRODUCT(('تشخيص الحالات'!$B$2:$B$1001=B345)*('تشخيص الحالات'!$G$2:$G$1001=2)*ROW('تشخيص الحالات'!$B$2:$B$1001))-1),""),"")&amp;IF(SUMPRODUCT(('تشخيص الحالات'!$B$2:$B$1001=B345)*('تشخيص الحالات'!$G$2:$G$1001=3))&gt;0,"، "&amp;IFERROR(INDEX('تشخيص الحالات'!$D$2:$D$1001,SUMPRODUCT(('تشخيص الحالات'!$B$2:$B$1001=B345)*('تشخيص الحالات'!$G$2:$G$1001=3)*ROW('تشخيص الحالات'!$B$2:$B$1001))-1),""),"")&amp;IF(SUMPRODUCT(('تشخيص الحالات'!$B$2:$B$1001=B345)*('تشخيص الحالات'!$G$2:$G$1001=4))&gt;0,"، "&amp;IFERROR(INDEX('تشخيص الحالات'!$D$2:$D$1001,SUMPRODUCT(('تشخيص الحالات'!$B$2:$B$1001=B345)*('تشخيص الحالات'!$G$2:$G$1001=4)*ROW('تشخيص الحالات'!$B$2:$B$1001))-1),""),"")&amp;IF(SUMPRODUCT(('تشخيص الحالات'!$B$2:$B$1001=B345)*('تشخيص الحالات'!$G$2:$G$1001=5))&gt;0,"، "&amp;IFERROR(INDEX('تشخيص الحالات'!$D$2:$D$1001,SUMPRODUCT(('تشخيص الحالات'!$B$2:$B$1001=B345)*('تشخيص الحالات'!$G$2:$G$1001=5)*ROW('تشخيص الحالات'!$B$2:$B$1001))-1),""),"")&amp;IF(SUMPRODUCT(('تشخيص الحالات'!$B$2:$B$1001=B345)*('تشخيص الحالات'!$G$2:$G$1001=6))&gt;0,"، "&amp;IFERROR(INDEX('تشخيص الحالات'!$D$2:$D$1001,SUMPRODUCT(('تشخيص الحالات'!$B$2:$B$1001=B345)*('تشخيص الحالات'!$G$2:$G$1001=6)*ROW('تشخيص الحالات'!$B$2:$B$1001))-1),""),"")&amp;IF(SUMPRODUCT(('تشخيص الحالات'!$B$2:$B$1001=B345)*('تشخيص الحالات'!$G$2:$G$1001=7))&gt;0,"، "&amp;IFERROR(INDEX('تشخيص الحالات'!$D$2:$D$1001,SUMPRODUCT(('تشخيص الحالات'!$B$2:$B$1001=B345)*('تشخيص الحالات'!$G$2:$G$1001=7)*ROW('تشخيص الحالات'!$B$2:$B$1001))-1),""),"")&amp;IF(SUMPRODUCT(('تشخيص الحالات'!$B$2:$B$1001=B345)*('تشخيص الحالات'!$G$2:$G$1001=8))&gt;0,"، "&amp;IFERROR(INDEX('تشخيص الحالات'!$D$2:$D$1001,SUMPRODUCT(('تشخيص الحالات'!$B$2:$B$1001=B345)*('تشخيص الحالات'!$G$2:$G$1001=8)*ROW('تشخيص الحالات'!$B$2:$B$1001))-1),""),"")</f>
        <v/>
      </c>
      <c r="J345" s="1"/>
      <c r="K345" s="1"/>
      <c r="L345" s="1"/>
      <c r="M345" s="1"/>
    </row>
    <row r="346" spans="1:13" x14ac:dyDescent="0.2">
      <c r="A346" s="1"/>
      <c r="B346" s="1"/>
      <c r="C346" s="1"/>
      <c r="D346" s="1"/>
      <c r="E346" s="1"/>
      <c r="F346" s="1"/>
      <c r="G346" s="1"/>
      <c r="H346" s="1"/>
      <c r="I346" t="str">
        <f>IFERROR(INDEX('تشخيص الحالات'!$D$2:$D$1001,SUMPRODUCT(('تشخيص الحالات'!$B$2:$B$1001=B346)*('تشخيص الحالات'!$G$2:$G$1001=1)*ROW('تشخيص الحالات'!$B$2:$B$1001))-1),"")&amp;IF(SUMPRODUCT(('تشخيص الحالات'!$B$2:$B$1001=B346)*('تشخيص الحالات'!$G$2:$G$1001=2))&gt;0,"، "&amp;IFERROR(INDEX('تشخيص الحالات'!$D$2:$D$1001,SUMPRODUCT(('تشخيص الحالات'!$B$2:$B$1001=B346)*('تشخيص الحالات'!$G$2:$G$1001=2)*ROW('تشخيص الحالات'!$B$2:$B$1001))-1),""),"")&amp;IF(SUMPRODUCT(('تشخيص الحالات'!$B$2:$B$1001=B346)*('تشخيص الحالات'!$G$2:$G$1001=3))&gt;0,"، "&amp;IFERROR(INDEX('تشخيص الحالات'!$D$2:$D$1001,SUMPRODUCT(('تشخيص الحالات'!$B$2:$B$1001=B346)*('تشخيص الحالات'!$G$2:$G$1001=3)*ROW('تشخيص الحالات'!$B$2:$B$1001))-1),""),"")&amp;IF(SUMPRODUCT(('تشخيص الحالات'!$B$2:$B$1001=B346)*('تشخيص الحالات'!$G$2:$G$1001=4))&gt;0,"، "&amp;IFERROR(INDEX('تشخيص الحالات'!$D$2:$D$1001,SUMPRODUCT(('تشخيص الحالات'!$B$2:$B$1001=B346)*('تشخيص الحالات'!$G$2:$G$1001=4)*ROW('تشخيص الحالات'!$B$2:$B$1001))-1),""),"")&amp;IF(SUMPRODUCT(('تشخيص الحالات'!$B$2:$B$1001=B346)*('تشخيص الحالات'!$G$2:$G$1001=5))&gt;0,"، "&amp;IFERROR(INDEX('تشخيص الحالات'!$D$2:$D$1001,SUMPRODUCT(('تشخيص الحالات'!$B$2:$B$1001=B346)*('تشخيص الحالات'!$G$2:$G$1001=5)*ROW('تشخيص الحالات'!$B$2:$B$1001))-1),""),"")&amp;IF(SUMPRODUCT(('تشخيص الحالات'!$B$2:$B$1001=B346)*('تشخيص الحالات'!$G$2:$G$1001=6))&gt;0,"، "&amp;IFERROR(INDEX('تشخيص الحالات'!$D$2:$D$1001,SUMPRODUCT(('تشخيص الحالات'!$B$2:$B$1001=B346)*('تشخيص الحالات'!$G$2:$G$1001=6)*ROW('تشخيص الحالات'!$B$2:$B$1001))-1),""),"")&amp;IF(SUMPRODUCT(('تشخيص الحالات'!$B$2:$B$1001=B346)*('تشخيص الحالات'!$G$2:$G$1001=7))&gt;0,"، "&amp;IFERROR(INDEX('تشخيص الحالات'!$D$2:$D$1001,SUMPRODUCT(('تشخيص الحالات'!$B$2:$B$1001=B346)*('تشخيص الحالات'!$G$2:$G$1001=7)*ROW('تشخيص الحالات'!$B$2:$B$1001))-1),""),"")&amp;IF(SUMPRODUCT(('تشخيص الحالات'!$B$2:$B$1001=B346)*('تشخيص الحالات'!$G$2:$G$1001=8))&gt;0,"، "&amp;IFERROR(INDEX('تشخيص الحالات'!$D$2:$D$1001,SUMPRODUCT(('تشخيص الحالات'!$B$2:$B$1001=B346)*('تشخيص الحالات'!$G$2:$G$1001=8)*ROW('تشخيص الحالات'!$B$2:$B$1001))-1),""),"")</f>
        <v/>
      </c>
      <c r="J346" s="1"/>
      <c r="K346" s="1"/>
      <c r="L346" s="1"/>
      <c r="M346" s="1"/>
    </row>
    <row r="347" spans="1:13" x14ac:dyDescent="0.2">
      <c r="A347" s="1"/>
      <c r="B347" s="1"/>
      <c r="C347" s="1"/>
      <c r="D347" s="1"/>
      <c r="E347" s="1"/>
      <c r="F347" s="1"/>
      <c r="G347" s="1"/>
      <c r="H347" s="1"/>
      <c r="I347" t="str">
        <f>IFERROR(INDEX('تشخيص الحالات'!$D$2:$D$1001,SUMPRODUCT(('تشخيص الحالات'!$B$2:$B$1001=B347)*('تشخيص الحالات'!$G$2:$G$1001=1)*ROW('تشخيص الحالات'!$B$2:$B$1001))-1),"")&amp;IF(SUMPRODUCT(('تشخيص الحالات'!$B$2:$B$1001=B347)*('تشخيص الحالات'!$G$2:$G$1001=2))&gt;0,"، "&amp;IFERROR(INDEX('تشخيص الحالات'!$D$2:$D$1001,SUMPRODUCT(('تشخيص الحالات'!$B$2:$B$1001=B347)*('تشخيص الحالات'!$G$2:$G$1001=2)*ROW('تشخيص الحالات'!$B$2:$B$1001))-1),""),"")&amp;IF(SUMPRODUCT(('تشخيص الحالات'!$B$2:$B$1001=B347)*('تشخيص الحالات'!$G$2:$G$1001=3))&gt;0,"، "&amp;IFERROR(INDEX('تشخيص الحالات'!$D$2:$D$1001,SUMPRODUCT(('تشخيص الحالات'!$B$2:$B$1001=B347)*('تشخيص الحالات'!$G$2:$G$1001=3)*ROW('تشخيص الحالات'!$B$2:$B$1001))-1),""),"")&amp;IF(SUMPRODUCT(('تشخيص الحالات'!$B$2:$B$1001=B347)*('تشخيص الحالات'!$G$2:$G$1001=4))&gt;0,"، "&amp;IFERROR(INDEX('تشخيص الحالات'!$D$2:$D$1001,SUMPRODUCT(('تشخيص الحالات'!$B$2:$B$1001=B347)*('تشخيص الحالات'!$G$2:$G$1001=4)*ROW('تشخيص الحالات'!$B$2:$B$1001))-1),""),"")&amp;IF(SUMPRODUCT(('تشخيص الحالات'!$B$2:$B$1001=B347)*('تشخيص الحالات'!$G$2:$G$1001=5))&gt;0,"، "&amp;IFERROR(INDEX('تشخيص الحالات'!$D$2:$D$1001,SUMPRODUCT(('تشخيص الحالات'!$B$2:$B$1001=B347)*('تشخيص الحالات'!$G$2:$G$1001=5)*ROW('تشخيص الحالات'!$B$2:$B$1001))-1),""),"")&amp;IF(SUMPRODUCT(('تشخيص الحالات'!$B$2:$B$1001=B347)*('تشخيص الحالات'!$G$2:$G$1001=6))&gt;0,"، "&amp;IFERROR(INDEX('تشخيص الحالات'!$D$2:$D$1001,SUMPRODUCT(('تشخيص الحالات'!$B$2:$B$1001=B347)*('تشخيص الحالات'!$G$2:$G$1001=6)*ROW('تشخيص الحالات'!$B$2:$B$1001))-1),""),"")&amp;IF(SUMPRODUCT(('تشخيص الحالات'!$B$2:$B$1001=B347)*('تشخيص الحالات'!$G$2:$G$1001=7))&gt;0,"، "&amp;IFERROR(INDEX('تشخيص الحالات'!$D$2:$D$1001,SUMPRODUCT(('تشخيص الحالات'!$B$2:$B$1001=B347)*('تشخيص الحالات'!$G$2:$G$1001=7)*ROW('تشخيص الحالات'!$B$2:$B$1001))-1),""),"")&amp;IF(SUMPRODUCT(('تشخيص الحالات'!$B$2:$B$1001=B347)*('تشخيص الحالات'!$G$2:$G$1001=8))&gt;0,"، "&amp;IFERROR(INDEX('تشخيص الحالات'!$D$2:$D$1001,SUMPRODUCT(('تشخيص الحالات'!$B$2:$B$1001=B347)*('تشخيص الحالات'!$G$2:$G$1001=8)*ROW('تشخيص الحالات'!$B$2:$B$1001))-1),""),"")</f>
        <v/>
      </c>
      <c r="J347" s="1"/>
      <c r="K347" s="1"/>
      <c r="L347" s="1"/>
      <c r="M347" s="1"/>
    </row>
    <row r="348" spans="1:13" x14ac:dyDescent="0.2">
      <c r="A348" s="1"/>
      <c r="B348" s="1"/>
      <c r="C348" s="1"/>
      <c r="D348" s="1"/>
      <c r="E348" s="1"/>
      <c r="F348" s="1"/>
      <c r="G348" s="1"/>
      <c r="H348" s="1"/>
      <c r="I348" t="str">
        <f>IFERROR(INDEX('تشخيص الحالات'!$D$2:$D$1001,SUMPRODUCT(('تشخيص الحالات'!$B$2:$B$1001=B348)*('تشخيص الحالات'!$G$2:$G$1001=1)*ROW('تشخيص الحالات'!$B$2:$B$1001))-1),"")&amp;IF(SUMPRODUCT(('تشخيص الحالات'!$B$2:$B$1001=B348)*('تشخيص الحالات'!$G$2:$G$1001=2))&gt;0,"، "&amp;IFERROR(INDEX('تشخيص الحالات'!$D$2:$D$1001,SUMPRODUCT(('تشخيص الحالات'!$B$2:$B$1001=B348)*('تشخيص الحالات'!$G$2:$G$1001=2)*ROW('تشخيص الحالات'!$B$2:$B$1001))-1),""),"")&amp;IF(SUMPRODUCT(('تشخيص الحالات'!$B$2:$B$1001=B348)*('تشخيص الحالات'!$G$2:$G$1001=3))&gt;0,"، "&amp;IFERROR(INDEX('تشخيص الحالات'!$D$2:$D$1001,SUMPRODUCT(('تشخيص الحالات'!$B$2:$B$1001=B348)*('تشخيص الحالات'!$G$2:$G$1001=3)*ROW('تشخيص الحالات'!$B$2:$B$1001))-1),""),"")&amp;IF(SUMPRODUCT(('تشخيص الحالات'!$B$2:$B$1001=B348)*('تشخيص الحالات'!$G$2:$G$1001=4))&gt;0,"، "&amp;IFERROR(INDEX('تشخيص الحالات'!$D$2:$D$1001,SUMPRODUCT(('تشخيص الحالات'!$B$2:$B$1001=B348)*('تشخيص الحالات'!$G$2:$G$1001=4)*ROW('تشخيص الحالات'!$B$2:$B$1001))-1),""),"")&amp;IF(SUMPRODUCT(('تشخيص الحالات'!$B$2:$B$1001=B348)*('تشخيص الحالات'!$G$2:$G$1001=5))&gt;0,"، "&amp;IFERROR(INDEX('تشخيص الحالات'!$D$2:$D$1001,SUMPRODUCT(('تشخيص الحالات'!$B$2:$B$1001=B348)*('تشخيص الحالات'!$G$2:$G$1001=5)*ROW('تشخيص الحالات'!$B$2:$B$1001))-1),""),"")&amp;IF(SUMPRODUCT(('تشخيص الحالات'!$B$2:$B$1001=B348)*('تشخيص الحالات'!$G$2:$G$1001=6))&gt;0,"، "&amp;IFERROR(INDEX('تشخيص الحالات'!$D$2:$D$1001,SUMPRODUCT(('تشخيص الحالات'!$B$2:$B$1001=B348)*('تشخيص الحالات'!$G$2:$G$1001=6)*ROW('تشخيص الحالات'!$B$2:$B$1001))-1),""),"")&amp;IF(SUMPRODUCT(('تشخيص الحالات'!$B$2:$B$1001=B348)*('تشخيص الحالات'!$G$2:$G$1001=7))&gt;0,"، "&amp;IFERROR(INDEX('تشخيص الحالات'!$D$2:$D$1001,SUMPRODUCT(('تشخيص الحالات'!$B$2:$B$1001=B348)*('تشخيص الحالات'!$G$2:$G$1001=7)*ROW('تشخيص الحالات'!$B$2:$B$1001))-1),""),"")&amp;IF(SUMPRODUCT(('تشخيص الحالات'!$B$2:$B$1001=B348)*('تشخيص الحالات'!$G$2:$G$1001=8))&gt;0,"، "&amp;IFERROR(INDEX('تشخيص الحالات'!$D$2:$D$1001,SUMPRODUCT(('تشخيص الحالات'!$B$2:$B$1001=B348)*('تشخيص الحالات'!$G$2:$G$1001=8)*ROW('تشخيص الحالات'!$B$2:$B$1001))-1),""),"")</f>
        <v/>
      </c>
      <c r="J348" s="1"/>
      <c r="K348" s="1"/>
      <c r="L348" s="1"/>
      <c r="M348" s="1"/>
    </row>
    <row r="349" spans="1:13" x14ac:dyDescent="0.2">
      <c r="A349" s="1"/>
      <c r="B349" s="1"/>
      <c r="C349" s="1"/>
      <c r="D349" s="1"/>
      <c r="E349" s="1"/>
      <c r="F349" s="1"/>
      <c r="G349" s="1"/>
      <c r="H349" s="1"/>
      <c r="I349" t="str">
        <f>IFERROR(INDEX('تشخيص الحالات'!$D$2:$D$1001,SUMPRODUCT(('تشخيص الحالات'!$B$2:$B$1001=B349)*('تشخيص الحالات'!$G$2:$G$1001=1)*ROW('تشخيص الحالات'!$B$2:$B$1001))-1),"")&amp;IF(SUMPRODUCT(('تشخيص الحالات'!$B$2:$B$1001=B349)*('تشخيص الحالات'!$G$2:$G$1001=2))&gt;0,"، "&amp;IFERROR(INDEX('تشخيص الحالات'!$D$2:$D$1001,SUMPRODUCT(('تشخيص الحالات'!$B$2:$B$1001=B349)*('تشخيص الحالات'!$G$2:$G$1001=2)*ROW('تشخيص الحالات'!$B$2:$B$1001))-1),""),"")&amp;IF(SUMPRODUCT(('تشخيص الحالات'!$B$2:$B$1001=B349)*('تشخيص الحالات'!$G$2:$G$1001=3))&gt;0,"، "&amp;IFERROR(INDEX('تشخيص الحالات'!$D$2:$D$1001,SUMPRODUCT(('تشخيص الحالات'!$B$2:$B$1001=B349)*('تشخيص الحالات'!$G$2:$G$1001=3)*ROW('تشخيص الحالات'!$B$2:$B$1001))-1),""),"")&amp;IF(SUMPRODUCT(('تشخيص الحالات'!$B$2:$B$1001=B349)*('تشخيص الحالات'!$G$2:$G$1001=4))&gt;0,"، "&amp;IFERROR(INDEX('تشخيص الحالات'!$D$2:$D$1001,SUMPRODUCT(('تشخيص الحالات'!$B$2:$B$1001=B349)*('تشخيص الحالات'!$G$2:$G$1001=4)*ROW('تشخيص الحالات'!$B$2:$B$1001))-1),""),"")&amp;IF(SUMPRODUCT(('تشخيص الحالات'!$B$2:$B$1001=B349)*('تشخيص الحالات'!$G$2:$G$1001=5))&gt;0,"، "&amp;IFERROR(INDEX('تشخيص الحالات'!$D$2:$D$1001,SUMPRODUCT(('تشخيص الحالات'!$B$2:$B$1001=B349)*('تشخيص الحالات'!$G$2:$G$1001=5)*ROW('تشخيص الحالات'!$B$2:$B$1001))-1),""),"")&amp;IF(SUMPRODUCT(('تشخيص الحالات'!$B$2:$B$1001=B349)*('تشخيص الحالات'!$G$2:$G$1001=6))&gt;0,"، "&amp;IFERROR(INDEX('تشخيص الحالات'!$D$2:$D$1001,SUMPRODUCT(('تشخيص الحالات'!$B$2:$B$1001=B349)*('تشخيص الحالات'!$G$2:$G$1001=6)*ROW('تشخيص الحالات'!$B$2:$B$1001))-1),""),"")&amp;IF(SUMPRODUCT(('تشخيص الحالات'!$B$2:$B$1001=B349)*('تشخيص الحالات'!$G$2:$G$1001=7))&gt;0,"، "&amp;IFERROR(INDEX('تشخيص الحالات'!$D$2:$D$1001,SUMPRODUCT(('تشخيص الحالات'!$B$2:$B$1001=B349)*('تشخيص الحالات'!$G$2:$G$1001=7)*ROW('تشخيص الحالات'!$B$2:$B$1001))-1),""),"")&amp;IF(SUMPRODUCT(('تشخيص الحالات'!$B$2:$B$1001=B349)*('تشخيص الحالات'!$G$2:$G$1001=8))&gt;0,"، "&amp;IFERROR(INDEX('تشخيص الحالات'!$D$2:$D$1001,SUMPRODUCT(('تشخيص الحالات'!$B$2:$B$1001=B349)*('تشخيص الحالات'!$G$2:$G$1001=8)*ROW('تشخيص الحالات'!$B$2:$B$1001))-1),""),"")</f>
        <v/>
      </c>
      <c r="J349" s="1"/>
      <c r="K349" s="1"/>
      <c r="L349" s="1"/>
      <c r="M349" s="1"/>
    </row>
    <row r="350" spans="1:13" x14ac:dyDescent="0.2">
      <c r="A350" s="1"/>
      <c r="B350" s="1"/>
      <c r="C350" s="1"/>
      <c r="D350" s="1"/>
      <c r="E350" s="1"/>
      <c r="F350" s="1"/>
      <c r="G350" s="1"/>
      <c r="H350" s="1"/>
      <c r="I350" t="str">
        <f>IFERROR(INDEX('تشخيص الحالات'!$D$2:$D$1001,SUMPRODUCT(('تشخيص الحالات'!$B$2:$B$1001=B350)*('تشخيص الحالات'!$G$2:$G$1001=1)*ROW('تشخيص الحالات'!$B$2:$B$1001))-1),"")&amp;IF(SUMPRODUCT(('تشخيص الحالات'!$B$2:$B$1001=B350)*('تشخيص الحالات'!$G$2:$G$1001=2))&gt;0,"، "&amp;IFERROR(INDEX('تشخيص الحالات'!$D$2:$D$1001,SUMPRODUCT(('تشخيص الحالات'!$B$2:$B$1001=B350)*('تشخيص الحالات'!$G$2:$G$1001=2)*ROW('تشخيص الحالات'!$B$2:$B$1001))-1),""),"")&amp;IF(SUMPRODUCT(('تشخيص الحالات'!$B$2:$B$1001=B350)*('تشخيص الحالات'!$G$2:$G$1001=3))&gt;0,"، "&amp;IFERROR(INDEX('تشخيص الحالات'!$D$2:$D$1001,SUMPRODUCT(('تشخيص الحالات'!$B$2:$B$1001=B350)*('تشخيص الحالات'!$G$2:$G$1001=3)*ROW('تشخيص الحالات'!$B$2:$B$1001))-1),""),"")&amp;IF(SUMPRODUCT(('تشخيص الحالات'!$B$2:$B$1001=B350)*('تشخيص الحالات'!$G$2:$G$1001=4))&gt;0,"، "&amp;IFERROR(INDEX('تشخيص الحالات'!$D$2:$D$1001,SUMPRODUCT(('تشخيص الحالات'!$B$2:$B$1001=B350)*('تشخيص الحالات'!$G$2:$G$1001=4)*ROW('تشخيص الحالات'!$B$2:$B$1001))-1),""),"")&amp;IF(SUMPRODUCT(('تشخيص الحالات'!$B$2:$B$1001=B350)*('تشخيص الحالات'!$G$2:$G$1001=5))&gt;0,"، "&amp;IFERROR(INDEX('تشخيص الحالات'!$D$2:$D$1001,SUMPRODUCT(('تشخيص الحالات'!$B$2:$B$1001=B350)*('تشخيص الحالات'!$G$2:$G$1001=5)*ROW('تشخيص الحالات'!$B$2:$B$1001))-1),""),"")&amp;IF(SUMPRODUCT(('تشخيص الحالات'!$B$2:$B$1001=B350)*('تشخيص الحالات'!$G$2:$G$1001=6))&gt;0,"، "&amp;IFERROR(INDEX('تشخيص الحالات'!$D$2:$D$1001,SUMPRODUCT(('تشخيص الحالات'!$B$2:$B$1001=B350)*('تشخيص الحالات'!$G$2:$G$1001=6)*ROW('تشخيص الحالات'!$B$2:$B$1001))-1),""),"")&amp;IF(SUMPRODUCT(('تشخيص الحالات'!$B$2:$B$1001=B350)*('تشخيص الحالات'!$G$2:$G$1001=7))&gt;0,"، "&amp;IFERROR(INDEX('تشخيص الحالات'!$D$2:$D$1001,SUMPRODUCT(('تشخيص الحالات'!$B$2:$B$1001=B350)*('تشخيص الحالات'!$G$2:$G$1001=7)*ROW('تشخيص الحالات'!$B$2:$B$1001))-1),""),"")&amp;IF(SUMPRODUCT(('تشخيص الحالات'!$B$2:$B$1001=B350)*('تشخيص الحالات'!$G$2:$G$1001=8))&gt;0,"، "&amp;IFERROR(INDEX('تشخيص الحالات'!$D$2:$D$1001,SUMPRODUCT(('تشخيص الحالات'!$B$2:$B$1001=B350)*('تشخيص الحالات'!$G$2:$G$1001=8)*ROW('تشخيص الحالات'!$B$2:$B$1001))-1),""),"")</f>
        <v/>
      </c>
      <c r="J350" s="1"/>
      <c r="K350" s="1"/>
      <c r="L350" s="1"/>
      <c r="M350" s="1"/>
    </row>
    <row r="351" spans="1:13" x14ac:dyDescent="0.2">
      <c r="A351" s="1"/>
      <c r="B351" s="1"/>
      <c r="C351" s="1"/>
      <c r="D351" s="1"/>
      <c r="E351" s="1"/>
      <c r="F351" s="1"/>
      <c r="G351" s="1"/>
      <c r="H351" s="1"/>
      <c r="I351" t="str">
        <f>IFERROR(INDEX('تشخيص الحالات'!$D$2:$D$1001,SUMPRODUCT(('تشخيص الحالات'!$B$2:$B$1001=B351)*('تشخيص الحالات'!$G$2:$G$1001=1)*ROW('تشخيص الحالات'!$B$2:$B$1001))-1),"")&amp;IF(SUMPRODUCT(('تشخيص الحالات'!$B$2:$B$1001=B351)*('تشخيص الحالات'!$G$2:$G$1001=2))&gt;0,"، "&amp;IFERROR(INDEX('تشخيص الحالات'!$D$2:$D$1001,SUMPRODUCT(('تشخيص الحالات'!$B$2:$B$1001=B351)*('تشخيص الحالات'!$G$2:$G$1001=2)*ROW('تشخيص الحالات'!$B$2:$B$1001))-1),""),"")&amp;IF(SUMPRODUCT(('تشخيص الحالات'!$B$2:$B$1001=B351)*('تشخيص الحالات'!$G$2:$G$1001=3))&gt;0,"، "&amp;IFERROR(INDEX('تشخيص الحالات'!$D$2:$D$1001,SUMPRODUCT(('تشخيص الحالات'!$B$2:$B$1001=B351)*('تشخيص الحالات'!$G$2:$G$1001=3)*ROW('تشخيص الحالات'!$B$2:$B$1001))-1),""),"")&amp;IF(SUMPRODUCT(('تشخيص الحالات'!$B$2:$B$1001=B351)*('تشخيص الحالات'!$G$2:$G$1001=4))&gt;0,"، "&amp;IFERROR(INDEX('تشخيص الحالات'!$D$2:$D$1001,SUMPRODUCT(('تشخيص الحالات'!$B$2:$B$1001=B351)*('تشخيص الحالات'!$G$2:$G$1001=4)*ROW('تشخيص الحالات'!$B$2:$B$1001))-1),""),"")&amp;IF(SUMPRODUCT(('تشخيص الحالات'!$B$2:$B$1001=B351)*('تشخيص الحالات'!$G$2:$G$1001=5))&gt;0,"، "&amp;IFERROR(INDEX('تشخيص الحالات'!$D$2:$D$1001,SUMPRODUCT(('تشخيص الحالات'!$B$2:$B$1001=B351)*('تشخيص الحالات'!$G$2:$G$1001=5)*ROW('تشخيص الحالات'!$B$2:$B$1001))-1),""),"")&amp;IF(SUMPRODUCT(('تشخيص الحالات'!$B$2:$B$1001=B351)*('تشخيص الحالات'!$G$2:$G$1001=6))&gt;0,"، "&amp;IFERROR(INDEX('تشخيص الحالات'!$D$2:$D$1001,SUMPRODUCT(('تشخيص الحالات'!$B$2:$B$1001=B351)*('تشخيص الحالات'!$G$2:$G$1001=6)*ROW('تشخيص الحالات'!$B$2:$B$1001))-1),""),"")&amp;IF(SUMPRODUCT(('تشخيص الحالات'!$B$2:$B$1001=B351)*('تشخيص الحالات'!$G$2:$G$1001=7))&gt;0,"، "&amp;IFERROR(INDEX('تشخيص الحالات'!$D$2:$D$1001,SUMPRODUCT(('تشخيص الحالات'!$B$2:$B$1001=B351)*('تشخيص الحالات'!$G$2:$G$1001=7)*ROW('تشخيص الحالات'!$B$2:$B$1001))-1),""),"")&amp;IF(SUMPRODUCT(('تشخيص الحالات'!$B$2:$B$1001=B351)*('تشخيص الحالات'!$G$2:$G$1001=8))&gt;0,"، "&amp;IFERROR(INDEX('تشخيص الحالات'!$D$2:$D$1001,SUMPRODUCT(('تشخيص الحالات'!$B$2:$B$1001=B351)*('تشخيص الحالات'!$G$2:$G$1001=8)*ROW('تشخيص الحالات'!$B$2:$B$1001))-1),""),"")</f>
        <v/>
      </c>
      <c r="J351" s="1"/>
      <c r="K351" s="1"/>
      <c r="L351" s="1"/>
      <c r="M351" s="1"/>
    </row>
    <row r="352" spans="1:13" x14ac:dyDescent="0.2">
      <c r="A352" s="1"/>
      <c r="B352" s="1"/>
      <c r="C352" s="1"/>
      <c r="D352" s="1"/>
      <c r="E352" s="1"/>
      <c r="F352" s="1"/>
      <c r="G352" s="1"/>
      <c r="H352" s="1"/>
      <c r="I352" t="str">
        <f>IFERROR(INDEX('تشخيص الحالات'!$D$2:$D$1001,SUMPRODUCT(('تشخيص الحالات'!$B$2:$B$1001=B352)*('تشخيص الحالات'!$G$2:$G$1001=1)*ROW('تشخيص الحالات'!$B$2:$B$1001))-1),"")&amp;IF(SUMPRODUCT(('تشخيص الحالات'!$B$2:$B$1001=B352)*('تشخيص الحالات'!$G$2:$G$1001=2))&gt;0,"، "&amp;IFERROR(INDEX('تشخيص الحالات'!$D$2:$D$1001,SUMPRODUCT(('تشخيص الحالات'!$B$2:$B$1001=B352)*('تشخيص الحالات'!$G$2:$G$1001=2)*ROW('تشخيص الحالات'!$B$2:$B$1001))-1),""),"")&amp;IF(SUMPRODUCT(('تشخيص الحالات'!$B$2:$B$1001=B352)*('تشخيص الحالات'!$G$2:$G$1001=3))&gt;0,"، "&amp;IFERROR(INDEX('تشخيص الحالات'!$D$2:$D$1001,SUMPRODUCT(('تشخيص الحالات'!$B$2:$B$1001=B352)*('تشخيص الحالات'!$G$2:$G$1001=3)*ROW('تشخيص الحالات'!$B$2:$B$1001))-1),""),"")&amp;IF(SUMPRODUCT(('تشخيص الحالات'!$B$2:$B$1001=B352)*('تشخيص الحالات'!$G$2:$G$1001=4))&gt;0,"، "&amp;IFERROR(INDEX('تشخيص الحالات'!$D$2:$D$1001,SUMPRODUCT(('تشخيص الحالات'!$B$2:$B$1001=B352)*('تشخيص الحالات'!$G$2:$G$1001=4)*ROW('تشخيص الحالات'!$B$2:$B$1001))-1),""),"")&amp;IF(SUMPRODUCT(('تشخيص الحالات'!$B$2:$B$1001=B352)*('تشخيص الحالات'!$G$2:$G$1001=5))&gt;0,"، "&amp;IFERROR(INDEX('تشخيص الحالات'!$D$2:$D$1001,SUMPRODUCT(('تشخيص الحالات'!$B$2:$B$1001=B352)*('تشخيص الحالات'!$G$2:$G$1001=5)*ROW('تشخيص الحالات'!$B$2:$B$1001))-1),""),"")&amp;IF(SUMPRODUCT(('تشخيص الحالات'!$B$2:$B$1001=B352)*('تشخيص الحالات'!$G$2:$G$1001=6))&gt;0,"، "&amp;IFERROR(INDEX('تشخيص الحالات'!$D$2:$D$1001,SUMPRODUCT(('تشخيص الحالات'!$B$2:$B$1001=B352)*('تشخيص الحالات'!$G$2:$G$1001=6)*ROW('تشخيص الحالات'!$B$2:$B$1001))-1),""),"")&amp;IF(SUMPRODUCT(('تشخيص الحالات'!$B$2:$B$1001=B352)*('تشخيص الحالات'!$G$2:$G$1001=7))&gt;0,"، "&amp;IFERROR(INDEX('تشخيص الحالات'!$D$2:$D$1001,SUMPRODUCT(('تشخيص الحالات'!$B$2:$B$1001=B352)*('تشخيص الحالات'!$G$2:$G$1001=7)*ROW('تشخيص الحالات'!$B$2:$B$1001))-1),""),"")&amp;IF(SUMPRODUCT(('تشخيص الحالات'!$B$2:$B$1001=B352)*('تشخيص الحالات'!$G$2:$G$1001=8))&gt;0,"، "&amp;IFERROR(INDEX('تشخيص الحالات'!$D$2:$D$1001,SUMPRODUCT(('تشخيص الحالات'!$B$2:$B$1001=B352)*('تشخيص الحالات'!$G$2:$G$1001=8)*ROW('تشخيص الحالات'!$B$2:$B$1001))-1),""),"")</f>
        <v/>
      </c>
      <c r="J352" s="1"/>
      <c r="K352" s="1"/>
      <c r="L352" s="1"/>
      <c r="M352" s="1"/>
    </row>
    <row r="353" spans="1:13" x14ac:dyDescent="0.2">
      <c r="A353" s="1"/>
      <c r="B353" s="1"/>
      <c r="C353" s="1"/>
      <c r="D353" s="1"/>
      <c r="E353" s="1"/>
      <c r="F353" s="1"/>
      <c r="G353" s="1"/>
      <c r="H353" s="1"/>
      <c r="I353" t="str">
        <f>IFERROR(INDEX('تشخيص الحالات'!$D$2:$D$1001,SUMPRODUCT(('تشخيص الحالات'!$B$2:$B$1001=B353)*('تشخيص الحالات'!$G$2:$G$1001=1)*ROW('تشخيص الحالات'!$B$2:$B$1001))-1),"")&amp;IF(SUMPRODUCT(('تشخيص الحالات'!$B$2:$B$1001=B353)*('تشخيص الحالات'!$G$2:$G$1001=2))&gt;0,"، "&amp;IFERROR(INDEX('تشخيص الحالات'!$D$2:$D$1001,SUMPRODUCT(('تشخيص الحالات'!$B$2:$B$1001=B353)*('تشخيص الحالات'!$G$2:$G$1001=2)*ROW('تشخيص الحالات'!$B$2:$B$1001))-1),""),"")&amp;IF(SUMPRODUCT(('تشخيص الحالات'!$B$2:$B$1001=B353)*('تشخيص الحالات'!$G$2:$G$1001=3))&gt;0,"، "&amp;IFERROR(INDEX('تشخيص الحالات'!$D$2:$D$1001,SUMPRODUCT(('تشخيص الحالات'!$B$2:$B$1001=B353)*('تشخيص الحالات'!$G$2:$G$1001=3)*ROW('تشخيص الحالات'!$B$2:$B$1001))-1),""),"")&amp;IF(SUMPRODUCT(('تشخيص الحالات'!$B$2:$B$1001=B353)*('تشخيص الحالات'!$G$2:$G$1001=4))&gt;0,"، "&amp;IFERROR(INDEX('تشخيص الحالات'!$D$2:$D$1001,SUMPRODUCT(('تشخيص الحالات'!$B$2:$B$1001=B353)*('تشخيص الحالات'!$G$2:$G$1001=4)*ROW('تشخيص الحالات'!$B$2:$B$1001))-1),""),"")&amp;IF(SUMPRODUCT(('تشخيص الحالات'!$B$2:$B$1001=B353)*('تشخيص الحالات'!$G$2:$G$1001=5))&gt;0,"، "&amp;IFERROR(INDEX('تشخيص الحالات'!$D$2:$D$1001,SUMPRODUCT(('تشخيص الحالات'!$B$2:$B$1001=B353)*('تشخيص الحالات'!$G$2:$G$1001=5)*ROW('تشخيص الحالات'!$B$2:$B$1001))-1),""),"")&amp;IF(SUMPRODUCT(('تشخيص الحالات'!$B$2:$B$1001=B353)*('تشخيص الحالات'!$G$2:$G$1001=6))&gt;0,"، "&amp;IFERROR(INDEX('تشخيص الحالات'!$D$2:$D$1001,SUMPRODUCT(('تشخيص الحالات'!$B$2:$B$1001=B353)*('تشخيص الحالات'!$G$2:$G$1001=6)*ROW('تشخيص الحالات'!$B$2:$B$1001))-1),""),"")&amp;IF(SUMPRODUCT(('تشخيص الحالات'!$B$2:$B$1001=B353)*('تشخيص الحالات'!$G$2:$G$1001=7))&gt;0,"، "&amp;IFERROR(INDEX('تشخيص الحالات'!$D$2:$D$1001,SUMPRODUCT(('تشخيص الحالات'!$B$2:$B$1001=B353)*('تشخيص الحالات'!$G$2:$G$1001=7)*ROW('تشخيص الحالات'!$B$2:$B$1001))-1),""),"")&amp;IF(SUMPRODUCT(('تشخيص الحالات'!$B$2:$B$1001=B353)*('تشخيص الحالات'!$G$2:$G$1001=8))&gt;0,"، "&amp;IFERROR(INDEX('تشخيص الحالات'!$D$2:$D$1001,SUMPRODUCT(('تشخيص الحالات'!$B$2:$B$1001=B353)*('تشخيص الحالات'!$G$2:$G$1001=8)*ROW('تشخيص الحالات'!$B$2:$B$1001))-1),""),"")</f>
        <v/>
      </c>
      <c r="J353" s="1"/>
      <c r="K353" s="1"/>
      <c r="L353" s="1"/>
      <c r="M353" s="1"/>
    </row>
    <row r="354" spans="1:13" x14ac:dyDescent="0.2">
      <c r="A354" s="1"/>
      <c r="B354" s="1"/>
      <c r="C354" s="1"/>
      <c r="D354" s="1"/>
      <c r="E354" s="1"/>
      <c r="F354" s="1"/>
      <c r="G354" s="1"/>
      <c r="H354" s="1"/>
      <c r="I354" t="str">
        <f>IFERROR(INDEX('تشخيص الحالات'!$D$2:$D$1001,SUMPRODUCT(('تشخيص الحالات'!$B$2:$B$1001=B354)*('تشخيص الحالات'!$G$2:$G$1001=1)*ROW('تشخيص الحالات'!$B$2:$B$1001))-1),"")&amp;IF(SUMPRODUCT(('تشخيص الحالات'!$B$2:$B$1001=B354)*('تشخيص الحالات'!$G$2:$G$1001=2))&gt;0,"، "&amp;IFERROR(INDEX('تشخيص الحالات'!$D$2:$D$1001,SUMPRODUCT(('تشخيص الحالات'!$B$2:$B$1001=B354)*('تشخيص الحالات'!$G$2:$G$1001=2)*ROW('تشخيص الحالات'!$B$2:$B$1001))-1),""),"")&amp;IF(SUMPRODUCT(('تشخيص الحالات'!$B$2:$B$1001=B354)*('تشخيص الحالات'!$G$2:$G$1001=3))&gt;0,"، "&amp;IFERROR(INDEX('تشخيص الحالات'!$D$2:$D$1001,SUMPRODUCT(('تشخيص الحالات'!$B$2:$B$1001=B354)*('تشخيص الحالات'!$G$2:$G$1001=3)*ROW('تشخيص الحالات'!$B$2:$B$1001))-1),""),"")&amp;IF(SUMPRODUCT(('تشخيص الحالات'!$B$2:$B$1001=B354)*('تشخيص الحالات'!$G$2:$G$1001=4))&gt;0,"، "&amp;IFERROR(INDEX('تشخيص الحالات'!$D$2:$D$1001,SUMPRODUCT(('تشخيص الحالات'!$B$2:$B$1001=B354)*('تشخيص الحالات'!$G$2:$G$1001=4)*ROW('تشخيص الحالات'!$B$2:$B$1001))-1),""),"")&amp;IF(SUMPRODUCT(('تشخيص الحالات'!$B$2:$B$1001=B354)*('تشخيص الحالات'!$G$2:$G$1001=5))&gt;0,"، "&amp;IFERROR(INDEX('تشخيص الحالات'!$D$2:$D$1001,SUMPRODUCT(('تشخيص الحالات'!$B$2:$B$1001=B354)*('تشخيص الحالات'!$G$2:$G$1001=5)*ROW('تشخيص الحالات'!$B$2:$B$1001))-1),""),"")&amp;IF(SUMPRODUCT(('تشخيص الحالات'!$B$2:$B$1001=B354)*('تشخيص الحالات'!$G$2:$G$1001=6))&gt;0,"، "&amp;IFERROR(INDEX('تشخيص الحالات'!$D$2:$D$1001,SUMPRODUCT(('تشخيص الحالات'!$B$2:$B$1001=B354)*('تشخيص الحالات'!$G$2:$G$1001=6)*ROW('تشخيص الحالات'!$B$2:$B$1001))-1),""),"")&amp;IF(SUMPRODUCT(('تشخيص الحالات'!$B$2:$B$1001=B354)*('تشخيص الحالات'!$G$2:$G$1001=7))&gt;0,"، "&amp;IFERROR(INDEX('تشخيص الحالات'!$D$2:$D$1001,SUMPRODUCT(('تشخيص الحالات'!$B$2:$B$1001=B354)*('تشخيص الحالات'!$G$2:$G$1001=7)*ROW('تشخيص الحالات'!$B$2:$B$1001))-1),""),"")&amp;IF(SUMPRODUCT(('تشخيص الحالات'!$B$2:$B$1001=B354)*('تشخيص الحالات'!$G$2:$G$1001=8))&gt;0,"، "&amp;IFERROR(INDEX('تشخيص الحالات'!$D$2:$D$1001,SUMPRODUCT(('تشخيص الحالات'!$B$2:$B$1001=B354)*('تشخيص الحالات'!$G$2:$G$1001=8)*ROW('تشخيص الحالات'!$B$2:$B$1001))-1),""),"")</f>
        <v/>
      </c>
      <c r="J354" s="1"/>
      <c r="K354" s="1"/>
      <c r="L354" s="1"/>
      <c r="M354" s="1"/>
    </row>
    <row r="355" spans="1:13" x14ac:dyDescent="0.2">
      <c r="A355" s="1"/>
      <c r="B355" s="1"/>
      <c r="C355" s="1"/>
      <c r="D355" s="1"/>
      <c r="E355" s="1"/>
      <c r="F355" s="1"/>
      <c r="G355" s="1"/>
      <c r="H355" s="1"/>
      <c r="I355" t="str">
        <f>IFERROR(INDEX('تشخيص الحالات'!$D$2:$D$1001,SUMPRODUCT(('تشخيص الحالات'!$B$2:$B$1001=B355)*('تشخيص الحالات'!$G$2:$G$1001=1)*ROW('تشخيص الحالات'!$B$2:$B$1001))-1),"")&amp;IF(SUMPRODUCT(('تشخيص الحالات'!$B$2:$B$1001=B355)*('تشخيص الحالات'!$G$2:$G$1001=2))&gt;0,"، "&amp;IFERROR(INDEX('تشخيص الحالات'!$D$2:$D$1001,SUMPRODUCT(('تشخيص الحالات'!$B$2:$B$1001=B355)*('تشخيص الحالات'!$G$2:$G$1001=2)*ROW('تشخيص الحالات'!$B$2:$B$1001))-1),""),"")&amp;IF(SUMPRODUCT(('تشخيص الحالات'!$B$2:$B$1001=B355)*('تشخيص الحالات'!$G$2:$G$1001=3))&gt;0,"، "&amp;IFERROR(INDEX('تشخيص الحالات'!$D$2:$D$1001,SUMPRODUCT(('تشخيص الحالات'!$B$2:$B$1001=B355)*('تشخيص الحالات'!$G$2:$G$1001=3)*ROW('تشخيص الحالات'!$B$2:$B$1001))-1),""),"")&amp;IF(SUMPRODUCT(('تشخيص الحالات'!$B$2:$B$1001=B355)*('تشخيص الحالات'!$G$2:$G$1001=4))&gt;0,"، "&amp;IFERROR(INDEX('تشخيص الحالات'!$D$2:$D$1001,SUMPRODUCT(('تشخيص الحالات'!$B$2:$B$1001=B355)*('تشخيص الحالات'!$G$2:$G$1001=4)*ROW('تشخيص الحالات'!$B$2:$B$1001))-1),""),"")&amp;IF(SUMPRODUCT(('تشخيص الحالات'!$B$2:$B$1001=B355)*('تشخيص الحالات'!$G$2:$G$1001=5))&gt;0,"، "&amp;IFERROR(INDEX('تشخيص الحالات'!$D$2:$D$1001,SUMPRODUCT(('تشخيص الحالات'!$B$2:$B$1001=B355)*('تشخيص الحالات'!$G$2:$G$1001=5)*ROW('تشخيص الحالات'!$B$2:$B$1001))-1),""),"")&amp;IF(SUMPRODUCT(('تشخيص الحالات'!$B$2:$B$1001=B355)*('تشخيص الحالات'!$G$2:$G$1001=6))&gt;0,"، "&amp;IFERROR(INDEX('تشخيص الحالات'!$D$2:$D$1001,SUMPRODUCT(('تشخيص الحالات'!$B$2:$B$1001=B355)*('تشخيص الحالات'!$G$2:$G$1001=6)*ROW('تشخيص الحالات'!$B$2:$B$1001))-1),""),"")&amp;IF(SUMPRODUCT(('تشخيص الحالات'!$B$2:$B$1001=B355)*('تشخيص الحالات'!$G$2:$G$1001=7))&gt;0,"، "&amp;IFERROR(INDEX('تشخيص الحالات'!$D$2:$D$1001,SUMPRODUCT(('تشخيص الحالات'!$B$2:$B$1001=B355)*('تشخيص الحالات'!$G$2:$G$1001=7)*ROW('تشخيص الحالات'!$B$2:$B$1001))-1),""),"")&amp;IF(SUMPRODUCT(('تشخيص الحالات'!$B$2:$B$1001=B355)*('تشخيص الحالات'!$G$2:$G$1001=8))&gt;0,"، "&amp;IFERROR(INDEX('تشخيص الحالات'!$D$2:$D$1001,SUMPRODUCT(('تشخيص الحالات'!$B$2:$B$1001=B355)*('تشخيص الحالات'!$G$2:$G$1001=8)*ROW('تشخيص الحالات'!$B$2:$B$1001))-1),""),"")</f>
        <v/>
      </c>
      <c r="J355" s="1"/>
      <c r="K355" s="1"/>
      <c r="L355" s="1"/>
      <c r="M355" s="1"/>
    </row>
    <row r="356" spans="1:13" x14ac:dyDescent="0.2">
      <c r="A356" s="1"/>
      <c r="B356" s="1"/>
      <c r="C356" s="1"/>
      <c r="D356" s="1"/>
      <c r="E356" s="1"/>
      <c r="F356" s="1"/>
      <c r="G356" s="1"/>
      <c r="H356" s="1"/>
      <c r="I356" t="str">
        <f>IFERROR(INDEX('تشخيص الحالات'!$D$2:$D$1001,SUMPRODUCT(('تشخيص الحالات'!$B$2:$B$1001=B356)*('تشخيص الحالات'!$G$2:$G$1001=1)*ROW('تشخيص الحالات'!$B$2:$B$1001))-1),"")&amp;IF(SUMPRODUCT(('تشخيص الحالات'!$B$2:$B$1001=B356)*('تشخيص الحالات'!$G$2:$G$1001=2))&gt;0,"، "&amp;IFERROR(INDEX('تشخيص الحالات'!$D$2:$D$1001,SUMPRODUCT(('تشخيص الحالات'!$B$2:$B$1001=B356)*('تشخيص الحالات'!$G$2:$G$1001=2)*ROW('تشخيص الحالات'!$B$2:$B$1001))-1),""),"")&amp;IF(SUMPRODUCT(('تشخيص الحالات'!$B$2:$B$1001=B356)*('تشخيص الحالات'!$G$2:$G$1001=3))&gt;0,"، "&amp;IFERROR(INDEX('تشخيص الحالات'!$D$2:$D$1001,SUMPRODUCT(('تشخيص الحالات'!$B$2:$B$1001=B356)*('تشخيص الحالات'!$G$2:$G$1001=3)*ROW('تشخيص الحالات'!$B$2:$B$1001))-1),""),"")&amp;IF(SUMPRODUCT(('تشخيص الحالات'!$B$2:$B$1001=B356)*('تشخيص الحالات'!$G$2:$G$1001=4))&gt;0,"، "&amp;IFERROR(INDEX('تشخيص الحالات'!$D$2:$D$1001,SUMPRODUCT(('تشخيص الحالات'!$B$2:$B$1001=B356)*('تشخيص الحالات'!$G$2:$G$1001=4)*ROW('تشخيص الحالات'!$B$2:$B$1001))-1),""),"")&amp;IF(SUMPRODUCT(('تشخيص الحالات'!$B$2:$B$1001=B356)*('تشخيص الحالات'!$G$2:$G$1001=5))&gt;0,"، "&amp;IFERROR(INDEX('تشخيص الحالات'!$D$2:$D$1001,SUMPRODUCT(('تشخيص الحالات'!$B$2:$B$1001=B356)*('تشخيص الحالات'!$G$2:$G$1001=5)*ROW('تشخيص الحالات'!$B$2:$B$1001))-1),""),"")&amp;IF(SUMPRODUCT(('تشخيص الحالات'!$B$2:$B$1001=B356)*('تشخيص الحالات'!$G$2:$G$1001=6))&gt;0,"، "&amp;IFERROR(INDEX('تشخيص الحالات'!$D$2:$D$1001,SUMPRODUCT(('تشخيص الحالات'!$B$2:$B$1001=B356)*('تشخيص الحالات'!$G$2:$G$1001=6)*ROW('تشخيص الحالات'!$B$2:$B$1001))-1),""),"")&amp;IF(SUMPRODUCT(('تشخيص الحالات'!$B$2:$B$1001=B356)*('تشخيص الحالات'!$G$2:$G$1001=7))&gt;0,"، "&amp;IFERROR(INDEX('تشخيص الحالات'!$D$2:$D$1001,SUMPRODUCT(('تشخيص الحالات'!$B$2:$B$1001=B356)*('تشخيص الحالات'!$G$2:$G$1001=7)*ROW('تشخيص الحالات'!$B$2:$B$1001))-1),""),"")&amp;IF(SUMPRODUCT(('تشخيص الحالات'!$B$2:$B$1001=B356)*('تشخيص الحالات'!$G$2:$G$1001=8))&gt;0,"، "&amp;IFERROR(INDEX('تشخيص الحالات'!$D$2:$D$1001,SUMPRODUCT(('تشخيص الحالات'!$B$2:$B$1001=B356)*('تشخيص الحالات'!$G$2:$G$1001=8)*ROW('تشخيص الحالات'!$B$2:$B$1001))-1),""),"")</f>
        <v/>
      </c>
      <c r="J356" s="1"/>
      <c r="K356" s="1"/>
      <c r="L356" s="1"/>
      <c r="M356" s="1"/>
    </row>
    <row r="357" spans="1:13" x14ac:dyDescent="0.2">
      <c r="A357" s="1"/>
      <c r="B357" s="1"/>
      <c r="C357" s="1"/>
      <c r="D357" s="1"/>
      <c r="E357" s="1"/>
      <c r="F357" s="1"/>
      <c r="G357" s="1"/>
      <c r="H357" s="1"/>
      <c r="I357" t="str">
        <f>IFERROR(INDEX('تشخيص الحالات'!$D$2:$D$1001,SUMPRODUCT(('تشخيص الحالات'!$B$2:$B$1001=B357)*('تشخيص الحالات'!$G$2:$G$1001=1)*ROW('تشخيص الحالات'!$B$2:$B$1001))-1),"")&amp;IF(SUMPRODUCT(('تشخيص الحالات'!$B$2:$B$1001=B357)*('تشخيص الحالات'!$G$2:$G$1001=2))&gt;0,"، "&amp;IFERROR(INDEX('تشخيص الحالات'!$D$2:$D$1001,SUMPRODUCT(('تشخيص الحالات'!$B$2:$B$1001=B357)*('تشخيص الحالات'!$G$2:$G$1001=2)*ROW('تشخيص الحالات'!$B$2:$B$1001))-1),""),"")&amp;IF(SUMPRODUCT(('تشخيص الحالات'!$B$2:$B$1001=B357)*('تشخيص الحالات'!$G$2:$G$1001=3))&gt;0,"، "&amp;IFERROR(INDEX('تشخيص الحالات'!$D$2:$D$1001,SUMPRODUCT(('تشخيص الحالات'!$B$2:$B$1001=B357)*('تشخيص الحالات'!$G$2:$G$1001=3)*ROW('تشخيص الحالات'!$B$2:$B$1001))-1),""),"")&amp;IF(SUMPRODUCT(('تشخيص الحالات'!$B$2:$B$1001=B357)*('تشخيص الحالات'!$G$2:$G$1001=4))&gt;0,"، "&amp;IFERROR(INDEX('تشخيص الحالات'!$D$2:$D$1001,SUMPRODUCT(('تشخيص الحالات'!$B$2:$B$1001=B357)*('تشخيص الحالات'!$G$2:$G$1001=4)*ROW('تشخيص الحالات'!$B$2:$B$1001))-1),""),"")&amp;IF(SUMPRODUCT(('تشخيص الحالات'!$B$2:$B$1001=B357)*('تشخيص الحالات'!$G$2:$G$1001=5))&gt;0,"، "&amp;IFERROR(INDEX('تشخيص الحالات'!$D$2:$D$1001,SUMPRODUCT(('تشخيص الحالات'!$B$2:$B$1001=B357)*('تشخيص الحالات'!$G$2:$G$1001=5)*ROW('تشخيص الحالات'!$B$2:$B$1001))-1),""),"")&amp;IF(SUMPRODUCT(('تشخيص الحالات'!$B$2:$B$1001=B357)*('تشخيص الحالات'!$G$2:$G$1001=6))&gt;0,"، "&amp;IFERROR(INDEX('تشخيص الحالات'!$D$2:$D$1001,SUMPRODUCT(('تشخيص الحالات'!$B$2:$B$1001=B357)*('تشخيص الحالات'!$G$2:$G$1001=6)*ROW('تشخيص الحالات'!$B$2:$B$1001))-1),""),"")&amp;IF(SUMPRODUCT(('تشخيص الحالات'!$B$2:$B$1001=B357)*('تشخيص الحالات'!$G$2:$G$1001=7))&gt;0,"، "&amp;IFERROR(INDEX('تشخيص الحالات'!$D$2:$D$1001,SUMPRODUCT(('تشخيص الحالات'!$B$2:$B$1001=B357)*('تشخيص الحالات'!$G$2:$G$1001=7)*ROW('تشخيص الحالات'!$B$2:$B$1001))-1),""),"")&amp;IF(SUMPRODUCT(('تشخيص الحالات'!$B$2:$B$1001=B357)*('تشخيص الحالات'!$G$2:$G$1001=8))&gt;0,"، "&amp;IFERROR(INDEX('تشخيص الحالات'!$D$2:$D$1001,SUMPRODUCT(('تشخيص الحالات'!$B$2:$B$1001=B357)*('تشخيص الحالات'!$G$2:$G$1001=8)*ROW('تشخيص الحالات'!$B$2:$B$1001))-1),""),"")</f>
        <v/>
      </c>
      <c r="J357" s="1"/>
      <c r="K357" s="1"/>
      <c r="L357" s="1"/>
      <c r="M357" s="1"/>
    </row>
    <row r="358" spans="1:13" x14ac:dyDescent="0.2">
      <c r="A358" s="1"/>
      <c r="B358" s="1"/>
      <c r="C358" s="1"/>
      <c r="D358" s="1"/>
      <c r="E358" s="1"/>
      <c r="F358" s="1"/>
      <c r="G358" s="1"/>
      <c r="H358" s="1"/>
      <c r="I358" t="str">
        <f>IFERROR(INDEX('تشخيص الحالات'!$D$2:$D$1001,SUMPRODUCT(('تشخيص الحالات'!$B$2:$B$1001=B358)*('تشخيص الحالات'!$G$2:$G$1001=1)*ROW('تشخيص الحالات'!$B$2:$B$1001))-1),"")&amp;IF(SUMPRODUCT(('تشخيص الحالات'!$B$2:$B$1001=B358)*('تشخيص الحالات'!$G$2:$G$1001=2))&gt;0,"، "&amp;IFERROR(INDEX('تشخيص الحالات'!$D$2:$D$1001,SUMPRODUCT(('تشخيص الحالات'!$B$2:$B$1001=B358)*('تشخيص الحالات'!$G$2:$G$1001=2)*ROW('تشخيص الحالات'!$B$2:$B$1001))-1),""),"")&amp;IF(SUMPRODUCT(('تشخيص الحالات'!$B$2:$B$1001=B358)*('تشخيص الحالات'!$G$2:$G$1001=3))&gt;0,"، "&amp;IFERROR(INDEX('تشخيص الحالات'!$D$2:$D$1001,SUMPRODUCT(('تشخيص الحالات'!$B$2:$B$1001=B358)*('تشخيص الحالات'!$G$2:$G$1001=3)*ROW('تشخيص الحالات'!$B$2:$B$1001))-1),""),"")&amp;IF(SUMPRODUCT(('تشخيص الحالات'!$B$2:$B$1001=B358)*('تشخيص الحالات'!$G$2:$G$1001=4))&gt;0,"، "&amp;IFERROR(INDEX('تشخيص الحالات'!$D$2:$D$1001,SUMPRODUCT(('تشخيص الحالات'!$B$2:$B$1001=B358)*('تشخيص الحالات'!$G$2:$G$1001=4)*ROW('تشخيص الحالات'!$B$2:$B$1001))-1),""),"")&amp;IF(SUMPRODUCT(('تشخيص الحالات'!$B$2:$B$1001=B358)*('تشخيص الحالات'!$G$2:$G$1001=5))&gt;0,"، "&amp;IFERROR(INDEX('تشخيص الحالات'!$D$2:$D$1001,SUMPRODUCT(('تشخيص الحالات'!$B$2:$B$1001=B358)*('تشخيص الحالات'!$G$2:$G$1001=5)*ROW('تشخيص الحالات'!$B$2:$B$1001))-1),""),"")&amp;IF(SUMPRODUCT(('تشخيص الحالات'!$B$2:$B$1001=B358)*('تشخيص الحالات'!$G$2:$G$1001=6))&gt;0,"، "&amp;IFERROR(INDEX('تشخيص الحالات'!$D$2:$D$1001,SUMPRODUCT(('تشخيص الحالات'!$B$2:$B$1001=B358)*('تشخيص الحالات'!$G$2:$G$1001=6)*ROW('تشخيص الحالات'!$B$2:$B$1001))-1),""),"")&amp;IF(SUMPRODUCT(('تشخيص الحالات'!$B$2:$B$1001=B358)*('تشخيص الحالات'!$G$2:$G$1001=7))&gt;0,"، "&amp;IFERROR(INDEX('تشخيص الحالات'!$D$2:$D$1001,SUMPRODUCT(('تشخيص الحالات'!$B$2:$B$1001=B358)*('تشخيص الحالات'!$G$2:$G$1001=7)*ROW('تشخيص الحالات'!$B$2:$B$1001))-1),""),"")&amp;IF(SUMPRODUCT(('تشخيص الحالات'!$B$2:$B$1001=B358)*('تشخيص الحالات'!$G$2:$G$1001=8))&gt;0,"، "&amp;IFERROR(INDEX('تشخيص الحالات'!$D$2:$D$1001,SUMPRODUCT(('تشخيص الحالات'!$B$2:$B$1001=B358)*('تشخيص الحالات'!$G$2:$G$1001=8)*ROW('تشخيص الحالات'!$B$2:$B$1001))-1),""),"")</f>
        <v/>
      </c>
      <c r="J358" s="1"/>
      <c r="K358" s="1"/>
      <c r="L358" s="1"/>
      <c r="M358" s="1"/>
    </row>
    <row r="359" spans="1:13" x14ac:dyDescent="0.2">
      <c r="A359" s="1"/>
      <c r="B359" s="1"/>
      <c r="C359" s="1"/>
      <c r="D359" s="1"/>
      <c r="E359" s="1"/>
      <c r="F359" s="1"/>
      <c r="G359" s="1"/>
      <c r="H359" s="1"/>
      <c r="I359" t="str">
        <f>IFERROR(INDEX('تشخيص الحالات'!$D$2:$D$1001,SUMPRODUCT(('تشخيص الحالات'!$B$2:$B$1001=B359)*('تشخيص الحالات'!$G$2:$G$1001=1)*ROW('تشخيص الحالات'!$B$2:$B$1001))-1),"")&amp;IF(SUMPRODUCT(('تشخيص الحالات'!$B$2:$B$1001=B359)*('تشخيص الحالات'!$G$2:$G$1001=2))&gt;0,"، "&amp;IFERROR(INDEX('تشخيص الحالات'!$D$2:$D$1001,SUMPRODUCT(('تشخيص الحالات'!$B$2:$B$1001=B359)*('تشخيص الحالات'!$G$2:$G$1001=2)*ROW('تشخيص الحالات'!$B$2:$B$1001))-1),""),"")&amp;IF(SUMPRODUCT(('تشخيص الحالات'!$B$2:$B$1001=B359)*('تشخيص الحالات'!$G$2:$G$1001=3))&gt;0,"، "&amp;IFERROR(INDEX('تشخيص الحالات'!$D$2:$D$1001,SUMPRODUCT(('تشخيص الحالات'!$B$2:$B$1001=B359)*('تشخيص الحالات'!$G$2:$G$1001=3)*ROW('تشخيص الحالات'!$B$2:$B$1001))-1),""),"")&amp;IF(SUMPRODUCT(('تشخيص الحالات'!$B$2:$B$1001=B359)*('تشخيص الحالات'!$G$2:$G$1001=4))&gt;0,"، "&amp;IFERROR(INDEX('تشخيص الحالات'!$D$2:$D$1001,SUMPRODUCT(('تشخيص الحالات'!$B$2:$B$1001=B359)*('تشخيص الحالات'!$G$2:$G$1001=4)*ROW('تشخيص الحالات'!$B$2:$B$1001))-1),""),"")&amp;IF(SUMPRODUCT(('تشخيص الحالات'!$B$2:$B$1001=B359)*('تشخيص الحالات'!$G$2:$G$1001=5))&gt;0,"، "&amp;IFERROR(INDEX('تشخيص الحالات'!$D$2:$D$1001,SUMPRODUCT(('تشخيص الحالات'!$B$2:$B$1001=B359)*('تشخيص الحالات'!$G$2:$G$1001=5)*ROW('تشخيص الحالات'!$B$2:$B$1001))-1),""),"")&amp;IF(SUMPRODUCT(('تشخيص الحالات'!$B$2:$B$1001=B359)*('تشخيص الحالات'!$G$2:$G$1001=6))&gt;0,"، "&amp;IFERROR(INDEX('تشخيص الحالات'!$D$2:$D$1001,SUMPRODUCT(('تشخيص الحالات'!$B$2:$B$1001=B359)*('تشخيص الحالات'!$G$2:$G$1001=6)*ROW('تشخيص الحالات'!$B$2:$B$1001))-1),""),"")&amp;IF(SUMPRODUCT(('تشخيص الحالات'!$B$2:$B$1001=B359)*('تشخيص الحالات'!$G$2:$G$1001=7))&gt;0,"، "&amp;IFERROR(INDEX('تشخيص الحالات'!$D$2:$D$1001,SUMPRODUCT(('تشخيص الحالات'!$B$2:$B$1001=B359)*('تشخيص الحالات'!$G$2:$G$1001=7)*ROW('تشخيص الحالات'!$B$2:$B$1001))-1),""),"")&amp;IF(SUMPRODUCT(('تشخيص الحالات'!$B$2:$B$1001=B359)*('تشخيص الحالات'!$G$2:$G$1001=8))&gt;0,"، "&amp;IFERROR(INDEX('تشخيص الحالات'!$D$2:$D$1001,SUMPRODUCT(('تشخيص الحالات'!$B$2:$B$1001=B359)*('تشخيص الحالات'!$G$2:$G$1001=8)*ROW('تشخيص الحالات'!$B$2:$B$1001))-1),""),"")</f>
        <v/>
      </c>
      <c r="J359" s="1"/>
      <c r="K359" s="1"/>
      <c r="L359" s="1"/>
      <c r="M359" s="1"/>
    </row>
    <row r="360" spans="1:13" x14ac:dyDescent="0.2">
      <c r="A360" s="1"/>
      <c r="B360" s="1"/>
      <c r="C360" s="1"/>
      <c r="D360" s="1"/>
      <c r="E360" s="1"/>
      <c r="F360" s="1"/>
      <c r="G360" s="1"/>
      <c r="H360" s="1"/>
      <c r="I360" t="str">
        <f>IFERROR(INDEX('تشخيص الحالات'!$D$2:$D$1001,SUMPRODUCT(('تشخيص الحالات'!$B$2:$B$1001=B360)*('تشخيص الحالات'!$G$2:$G$1001=1)*ROW('تشخيص الحالات'!$B$2:$B$1001))-1),"")&amp;IF(SUMPRODUCT(('تشخيص الحالات'!$B$2:$B$1001=B360)*('تشخيص الحالات'!$G$2:$G$1001=2))&gt;0,"، "&amp;IFERROR(INDEX('تشخيص الحالات'!$D$2:$D$1001,SUMPRODUCT(('تشخيص الحالات'!$B$2:$B$1001=B360)*('تشخيص الحالات'!$G$2:$G$1001=2)*ROW('تشخيص الحالات'!$B$2:$B$1001))-1),""),"")&amp;IF(SUMPRODUCT(('تشخيص الحالات'!$B$2:$B$1001=B360)*('تشخيص الحالات'!$G$2:$G$1001=3))&gt;0,"، "&amp;IFERROR(INDEX('تشخيص الحالات'!$D$2:$D$1001,SUMPRODUCT(('تشخيص الحالات'!$B$2:$B$1001=B360)*('تشخيص الحالات'!$G$2:$G$1001=3)*ROW('تشخيص الحالات'!$B$2:$B$1001))-1),""),"")&amp;IF(SUMPRODUCT(('تشخيص الحالات'!$B$2:$B$1001=B360)*('تشخيص الحالات'!$G$2:$G$1001=4))&gt;0,"، "&amp;IFERROR(INDEX('تشخيص الحالات'!$D$2:$D$1001,SUMPRODUCT(('تشخيص الحالات'!$B$2:$B$1001=B360)*('تشخيص الحالات'!$G$2:$G$1001=4)*ROW('تشخيص الحالات'!$B$2:$B$1001))-1),""),"")&amp;IF(SUMPRODUCT(('تشخيص الحالات'!$B$2:$B$1001=B360)*('تشخيص الحالات'!$G$2:$G$1001=5))&gt;0,"، "&amp;IFERROR(INDEX('تشخيص الحالات'!$D$2:$D$1001,SUMPRODUCT(('تشخيص الحالات'!$B$2:$B$1001=B360)*('تشخيص الحالات'!$G$2:$G$1001=5)*ROW('تشخيص الحالات'!$B$2:$B$1001))-1),""),"")&amp;IF(SUMPRODUCT(('تشخيص الحالات'!$B$2:$B$1001=B360)*('تشخيص الحالات'!$G$2:$G$1001=6))&gt;0,"، "&amp;IFERROR(INDEX('تشخيص الحالات'!$D$2:$D$1001,SUMPRODUCT(('تشخيص الحالات'!$B$2:$B$1001=B360)*('تشخيص الحالات'!$G$2:$G$1001=6)*ROW('تشخيص الحالات'!$B$2:$B$1001))-1),""),"")&amp;IF(SUMPRODUCT(('تشخيص الحالات'!$B$2:$B$1001=B360)*('تشخيص الحالات'!$G$2:$G$1001=7))&gt;0,"، "&amp;IFERROR(INDEX('تشخيص الحالات'!$D$2:$D$1001,SUMPRODUCT(('تشخيص الحالات'!$B$2:$B$1001=B360)*('تشخيص الحالات'!$G$2:$G$1001=7)*ROW('تشخيص الحالات'!$B$2:$B$1001))-1),""),"")&amp;IF(SUMPRODUCT(('تشخيص الحالات'!$B$2:$B$1001=B360)*('تشخيص الحالات'!$G$2:$G$1001=8))&gt;0,"، "&amp;IFERROR(INDEX('تشخيص الحالات'!$D$2:$D$1001,SUMPRODUCT(('تشخيص الحالات'!$B$2:$B$1001=B360)*('تشخيص الحالات'!$G$2:$G$1001=8)*ROW('تشخيص الحالات'!$B$2:$B$1001))-1),""),"")</f>
        <v/>
      </c>
      <c r="J360" s="1"/>
      <c r="K360" s="1"/>
      <c r="L360" s="1"/>
      <c r="M360" s="1"/>
    </row>
    <row r="361" spans="1:13" x14ac:dyDescent="0.2">
      <c r="A361" s="1"/>
      <c r="B361" s="1"/>
      <c r="C361" s="1"/>
      <c r="D361" s="1"/>
      <c r="E361" s="1"/>
      <c r="F361" s="1"/>
      <c r="G361" s="1"/>
      <c r="H361" s="1"/>
      <c r="I361" t="str">
        <f>IFERROR(INDEX('تشخيص الحالات'!$D$2:$D$1001,SUMPRODUCT(('تشخيص الحالات'!$B$2:$B$1001=B361)*('تشخيص الحالات'!$G$2:$G$1001=1)*ROW('تشخيص الحالات'!$B$2:$B$1001))-1),"")&amp;IF(SUMPRODUCT(('تشخيص الحالات'!$B$2:$B$1001=B361)*('تشخيص الحالات'!$G$2:$G$1001=2))&gt;0,"، "&amp;IFERROR(INDEX('تشخيص الحالات'!$D$2:$D$1001,SUMPRODUCT(('تشخيص الحالات'!$B$2:$B$1001=B361)*('تشخيص الحالات'!$G$2:$G$1001=2)*ROW('تشخيص الحالات'!$B$2:$B$1001))-1),""),"")&amp;IF(SUMPRODUCT(('تشخيص الحالات'!$B$2:$B$1001=B361)*('تشخيص الحالات'!$G$2:$G$1001=3))&gt;0,"، "&amp;IFERROR(INDEX('تشخيص الحالات'!$D$2:$D$1001,SUMPRODUCT(('تشخيص الحالات'!$B$2:$B$1001=B361)*('تشخيص الحالات'!$G$2:$G$1001=3)*ROW('تشخيص الحالات'!$B$2:$B$1001))-1),""),"")&amp;IF(SUMPRODUCT(('تشخيص الحالات'!$B$2:$B$1001=B361)*('تشخيص الحالات'!$G$2:$G$1001=4))&gt;0,"، "&amp;IFERROR(INDEX('تشخيص الحالات'!$D$2:$D$1001,SUMPRODUCT(('تشخيص الحالات'!$B$2:$B$1001=B361)*('تشخيص الحالات'!$G$2:$G$1001=4)*ROW('تشخيص الحالات'!$B$2:$B$1001))-1),""),"")&amp;IF(SUMPRODUCT(('تشخيص الحالات'!$B$2:$B$1001=B361)*('تشخيص الحالات'!$G$2:$G$1001=5))&gt;0,"، "&amp;IFERROR(INDEX('تشخيص الحالات'!$D$2:$D$1001,SUMPRODUCT(('تشخيص الحالات'!$B$2:$B$1001=B361)*('تشخيص الحالات'!$G$2:$G$1001=5)*ROW('تشخيص الحالات'!$B$2:$B$1001))-1),""),"")&amp;IF(SUMPRODUCT(('تشخيص الحالات'!$B$2:$B$1001=B361)*('تشخيص الحالات'!$G$2:$G$1001=6))&gt;0,"، "&amp;IFERROR(INDEX('تشخيص الحالات'!$D$2:$D$1001,SUMPRODUCT(('تشخيص الحالات'!$B$2:$B$1001=B361)*('تشخيص الحالات'!$G$2:$G$1001=6)*ROW('تشخيص الحالات'!$B$2:$B$1001))-1),""),"")&amp;IF(SUMPRODUCT(('تشخيص الحالات'!$B$2:$B$1001=B361)*('تشخيص الحالات'!$G$2:$G$1001=7))&gt;0,"، "&amp;IFERROR(INDEX('تشخيص الحالات'!$D$2:$D$1001,SUMPRODUCT(('تشخيص الحالات'!$B$2:$B$1001=B361)*('تشخيص الحالات'!$G$2:$G$1001=7)*ROW('تشخيص الحالات'!$B$2:$B$1001))-1),""),"")&amp;IF(SUMPRODUCT(('تشخيص الحالات'!$B$2:$B$1001=B361)*('تشخيص الحالات'!$G$2:$G$1001=8))&gt;0,"، "&amp;IFERROR(INDEX('تشخيص الحالات'!$D$2:$D$1001,SUMPRODUCT(('تشخيص الحالات'!$B$2:$B$1001=B361)*('تشخيص الحالات'!$G$2:$G$1001=8)*ROW('تشخيص الحالات'!$B$2:$B$1001))-1),""),"")</f>
        <v/>
      </c>
      <c r="J361" s="1"/>
      <c r="K361" s="1"/>
      <c r="L361" s="1"/>
      <c r="M361" s="1"/>
    </row>
    <row r="362" spans="1:13" x14ac:dyDescent="0.2">
      <c r="A362" s="1"/>
      <c r="B362" s="1"/>
      <c r="C362" s="1"/>
      <c r="D362" s="1"/>
      <c r="E362" s="1"/>
      <c r="F362" s="1"/>
      <c r="G362" s="1"/>
      <c r="H362" s="1"/>
      <c r="I362" t="str">
        <f>IFERROR(INDEX('تشخيص الحالات'!$D$2:$D$1001,SUMPRODUCT(('تشخيص الحالات'!$B$2:$B$1001=B362)*('تشخيص الحالات'!$G$2:$G$1001=1)*ROW('تشخيص الحالات'!$B$2:$B$1001))-1),"")&amp;IF(SUMPRODUCT(('تشخيص الحالات'!$B$2:$B$1001=B362)*('تشخيص الحالات'!$G$2:$G$1001=2))&gt;0,"، "&amp;IFERROR(INDEX('تشخيص الحالات'!$D$2:$D$1001,SUMPRODUCT(('تشخيص الحالات'!$B$2:$B$1001=B362)*('تشخيص الحالات'!$G$2:$G$1001=2)*ROW('تشخيص الحالات'!$B$2:$B$1001))-1),""),"")&amp;IF(SUMPRODUCT(('تشخيص الحالات'!$B$2:$B$1001=B362)*('تشخيص الحالات'!$G$2:$G$1001=3))&gt;0,"، "&amp;IFERROR(INDEX('تشخيص الحالات'!$D$2:$D$1001,SUMPRODUCT(('تشخيص الحالات'!$B$2:$B$1001=B362)*('تشخيص الحالات'!$G$2:$G$1001=3)*ROW('تشخيص الحالات'!$B$2:$B$1001))-1),""),"")&amp;IF(SUMPRODUCT(('تشخيص الحالات'!$B$2:$B$1001=B362)*('تشخيص الحالات'!$G$2:$G$1001=4))&gt;0,"، "&amp;IFERROR(INDEX('تشخيص الحالات'!$D$2:$D$1001,SUMPRODUCT(('تشخيص الحالات'!$B$2:$B$1001=B362)*('تشخيص الحالات'!$G$2:$G$1001=4)*ROW('تشخيص الحالات'!$B$2:$B$1001))-1),""),"")&amp;IF(SUMPRODUCT(('تشخيص الحالات'!$B$2:$B$1001=B362)*('تشخيص الحالات'!$G$2:$G$1001=5))&gt;0,"، "&amp;IFERROR(INDEX('تشخيص الحالات'!$D$2:$D$1001,SUMPRODUCT(('تشخيص الحالات'!$B$2:$B$1001=B362)*('تشخيص الحالات'!$G$2:$G$1001=5)*ROW('تشخيص الحالات'!$B$2:$B$1001))-1),""),"")&amp;IF(SUMPRODUCT(('تشخيص الحالات'!$B$2:$B$1001=B362)*('تشخيص الحالات'!$G$2:$G$1001=6))&gt;0,"، "&amp;IFERROR(INDEX('تشخيص الحالات'!$D$2:$D$1001,SUMPRODUCT(('تشخيص الحالات'!$B$2:$B$1001=B362)*('تشخيص الحالات'!$G$2:$G$1001=6)*ROW('تشخيص الحالات'!$B$2:$B$1001))-1),""),"")&amp;IF(SUMPRODUCT(('تشخيص الحالات'!$B$2:$B$1001=B362)*('تشخيص الحالات'!$G$2:$G$1001=7))&gt;0,"، "&amp;IFERROR(INDEX('تشخيص الحالات'!$D$2:$D$1001,SUMPRODUCT(('تشخيص الحالات'!$B$2:$B$1001=B362)*('تشخيص الحالات'!$G$2:$G$1001=7)*ROW('تشخيص الحالات'!$B$2:$B$1001))-1),""),"")&amp;IF(SUMPRODUCT(('تشخيص الحالات'!$B$2:$B$1001=B362)*('تشخيص الحالات'!$G$2:$G$1001=8))&gt;0,"، "&amp;IFERROR(INDEX('تشخيص الحالات'!$D$2:$D$1001,SUMPRODUCT(('تشخيص الحالات'!$B$2:$B$1001=B362)*('تشخيص الحالات'!$G$2:$G$1001=8)*ROW('تشخيص الحالات'!$B$2:$B$1001))-1),""),"")</f>
        <v/>
      </c>
      <c r="J362" s="1"/>
      <c r="K362" s="1"/>
      <c r="L362" s="1"/>
      <c r="M362" s="1"/>
    </row>
    <row r="363" spans="1:13" x14ac:dyDescent="0.2">
      <c r="A363" s="1"/>
      <c r="B363" s="1"/>
      <c r="C363" s="1"/>
      <c r="D363" s="1"/>
      <c r="E363" s="1"/>
      <c r="F363" s="1"/>
      <c r="G363" s="1"/>
      <c r="H363" s="1"/>
      <c r="I363" t="str">
        <f>IFERROR(INDEX('تشخيص الحالات'!$D$2:$D$1001,SUMPRODUCT(('تشخيص الحالات'!$B$2:$B$1001=B363)*('تشخيص الحالات'!$G$2:$G$1001=1)*ROW('تشخيص الحالات'!$B$2:$B$1001))-1),"")&amp;IF(SUMPRODUCT(('تشخيص الحالات'!$B$2:$B$1001=B363)*('تشخيص الحالات'!$G$2:$G$1001=2))&gt;0,"، "&amp;IFERROR(INDEX('تشخيص الحالات'!$D$2:$D$1001,SUMPRODUCT(('تشخيص الحالات'!$B$2:$B$1001=B363)*('تشخيص الحالات'!$G$2:$G$1001=2)*ROW('تشخيص الحالات'!$B$2:$B$1001))-1),""),"")&amp;IF(SUMPRODUCT(('تشخيص الحالات'!$B$2:$B$1001=B363)*('تشخيص الحالات'!$G$2:$G$1001=3))&gt;0,"، "&amp;IFERROR(INDEX('تشخيص الحالات'!$D$2:$D$1001,SUMPRODUCT(('تشخيص الحالات'!$B$2:$B$1001=B363)*('تشخيص الحالات'!$G$2:$G$1001=3)*ROW('تشخيص الحالات'!$B$2:$B$1001))-1),""),"")&amp;IF(SUMPRODUCT(('تشخيص الحالات'!$B$2:$B$1001=B363)*('تشخيص الحالات'!$G$2:$G$1001=4))&gt;0,"، "&amp;IFERROR(INDEX('تشخيص الحالات'!$D$2:$D$1001,SUMPRODUCT(('تشخيص الحالات'!$B$2:$B$1001=B363)*('تشخيص الحالات'!$G$2:$G$1001=4)*ROW('تشخيص الحالات'!$B$2:$B$1001))-1),""),"")&amp;IF(SUMPRODUCT(('تشخيص الحالات'!$B$2:$B$1001=B363)*('تشخيص الحالات'!$G$2:$G$1001=5))&gt;0,"، "&amp;IFERROR(INDEX('تشخيص الحالات'!$D$2:$D$1001,SUMPRODUCT(('تشخيص الحالات'!$B$2:$B$1001=B363)*('تشخيص الحالات'!$G$2:$G$1001=5)*ROW('تشخيص الحالات'!$B$2:$B$1001))-1),""),"")&amp;IF(SUMPRODUCT(('تشخيص الحالات'!$B$2:$B$1001=B363)*('تشخيص الحالات'!$G$2:$G$1001=6))&gt;0,"، "&amp;IFERROR(INDEX('تشخيص الحالات'!$D$2:$D$1001,SUMPRODUCT(('تشخيص الحالات'!$B$2:$B$1001=B363)*('تشخيص الحالات'!$G$2:$G$1001=6)*ROW('تشخيص الحالات'!$B$2:$B$1001))-1),""),"")&amp;IF(SUMPRODUCT(('تشخيص الحالات'!$B$2:$B$1001=B363)*('تشخيص الحالات'!$G$2:$G$1001=7))&gt;0,"، "&amp;IFERROR(INDEX('تشخيص الحالات'!$D$2:$D$1001,SUMPRODUCT(('تشخيص الحالات'!$B$2:$B$1001=B363)*('تشخيص الحالات'!$G$2:$G$1001=7)*ROW('تشخيص الحالات'!$B$2:$B$1001))-1),""),"")&amp;IF(SUMPRODUCT(('تشخيص الحالات'!$B$2:$B$1001=B363)*('تشخيص الحالات'!$G$2:$G$1001=8))&gt;0,"، "&amp;IFERROR(INDEX('تشخيص الحالات'!$D$2:$D$1001,SUMPRODUCT(('تشخيص الحالات'!$B$2:$B$1001=B363)*('تشخيص الحالات'!$G$2:$G$1001=8)*ROW('تشخيص الحالات'!$B$2:$B$1001))-1),""),"")</f>
        <v/>
      </c>
      <c r="J363" s="1"/>
      <c r="K363" s="1"/>
      <c r="L363" s="1"/>
      <c r="M363" s="1"/>
    </row>
    <row r="364" spans="1:13" x14ac:dyDescent="0.2">
      <c r="A364" s="1"/>
      <c r="B364" s="1"/>
      <c r="C364" s="1"/>
      <c r="D364" s="1"/>
      <c r="E364" s="1"/>
      <c r="F364" s="1"/>
      <c r="G364" s="1"/>
      <c r="H364" s="1"/>
      <c r="I364" t="str">
        <f>IFERROR(INDEX('تشخيص الحالات'!$D$2:$D$1001,SUMPRODUCT(('تشخيص الحالات'!$B$2:$B$1001=B364)*('تشخيص الحالات'!$G$2:$G$1001=1)*ROW('تشخيص الحالات'!$B$2:$B$1001))-1),"")&amp;IF(SUMPRODUCT(('تشخيص الحالات'!$B$2:$B$1001=B364)*('تشخيص الحالات'!$G$2:$G$1001=2))&gt;0,"، "&amp;IFERROR(INDEX('تشخيص الحالات'!$D$2:$D$1001,SUMPRODUCT(('تشخيص الحالات'!$B$2:$B$1001=B364)*('تشخيص الحالات'!$G$2:$G$1001=2)*ROW('تشخيص الحالات'!$B$2:$B$1001))-1),""),"")&amp;IF(SUMPRODUCT(('تشخيص الحالات'!$B$2:$B$1001=B364)*('تشخيص الحالات'!$G$2:$G$1001=3))&gt;0,"، "&amp;IFERROR(INDEX('تشخيص الحالات'!$D$2:$D$1001,SUMPRODUCT(('تشخيص الحالات'!$B$2:$B$1001=B364)*('تشخيص الحالات'!$G$2:$G$1001=3)*ROW('تشخيص الحالات'!$B$2:$B$1001))-1),""),"")&amp;IF(SUMPRODUCT(('تشخيص الحالات'!$B$2:$B$1001=B364)*('تشخيص الحالات'!$G$2:$G$1001=4))&gt;0,"، "&amp;IFERROR(INDEX('تشخيص الحالات'!$D$2:$D$1001,SUMPRODUCT(('تشخيص الحالات'!$B$2:$B$1001=B364)*('تشخيص الحالات'!$G$2:$G$1001=4)*ROW('تشخيص الحالات'!$B$2:$B$1001))-1),""),"")&amp;IF(SUMPRODUCT(('تشخيص الحالات'!$B$2:$B$1001=B364)*('تشخيص الحالات'!$G$2:$G$1001=5))&gt;0,"، "&amp;IFERROR(INDEX('تشخيص الحالات'!$D$2:$D$1001,SUMPRODUCT(('تشخيص الحالات'!$B$2:$B$1001=B364)*('تشخيص الحالات'!$G$2:$G$1001=5)*ROW('تشخيص الحالات'!$B$2:$B$1001))-1),""),"")&amp;IF(SUMPRODUCT(('تشخيص الحالات'!$B$2:$B$1001=B364)*('تشخيص الحالات'!$G$2:$G$1001=6))&gt;0,"، "&amp;IFERROR(INDEX('تشخيص الحالات'!$D$2:$D$1001,SUMPRODUCT(('تشخيص الحالات'!$B$2:$B$1001=B364)*('تشخيص الحالات'!$G$2:$G$1001=6)*ROW('تشخيص الحالات'!$B$2:$B$1001))-1),""),"")&amp;IF(SUMPRODUCT(('تشخيص الحالات'!$B$2:$B$1001=B364)*('تشخيص الحالات'!$G$2:$G$1001=7))&gt;0,"، "&amp;IFERROR(INDEX('تشخيص الحالات'!$D$2:$D$1001,SUMPRODUCT(('تشخيص الحالات'!$B$2:$B$1001=B364)*('تشخيص الحالات'!$G$2:$G$1001=7)*ROW('تشخيص الحالات'!$B$2:$B$1001))-1),""),"")&amp;IF(SUMPRODUCT(('تشخيص الحالات'!$B$2:$B$1001=B364)*('تشخيص الحالات'!$G$2:$G$1001=8))&gt;0,"، "&amp;IFERROR(INDEX('تشخيص الحالات'!$D$2:$D$1001,SUMPRODUCT(('تشخيص الحالات'!$B$2:$B$1001=B364)*('تشخيص الحالات'!$G$2:$G$1001=8)*ROW('تشخيص الحالات'!$B$2:$B$1001))-1),""),"")</f>
        <v/>
      </c>
      <c r="J364" s="1"/>
      <c r="K364" s="1"/>
      <c r="L364" s="1"/>
      <c r="M364" s="1"/>
    </row>
    <row r="365" spans="1:13" x14ac:dyDescent="0.2">
      <c r="A365" s="1"/>
      <c r="B365" s="1"/>
      <c r="C365" s="1"/>
      <c r="D365" s="1"/>
      <c r="E365" s="1"/>
      <c r="F365" s="1"/>
      <c r="G365" s="1"/>
      <c r="H365" s="1"/>
      <c r="I365" t="str">
        <f>IFERROR(INDEX('تشخيص الحالات'!$D$2:$D$1001,SUMPRODUCT(('تشخيص الحالات'!$B$2:$B$1001=B365)*('تشخيص الحالات'!$G$2:$G$1001=1)*ROW('تشخيص الحالات'!$B$2:$B$1001))-1),"")&amp;IF(SUMPRODUCT(('تشخيص الحالات'!$B$2:$B$1001=B365)*('تشخيص الحالات'!$G$2:$G$1001=2))&gt;0,"، "&amp;IFERROR(INDEX('تشخيص الحالات'!$D$2:$D$1001,SUMPRODUCT(('تشخيص الحالات'!$B$2:$B$1001=B365)*('تشخيص الحالات'!$G$2:$G$1001=2)*ROW('تشخيص الحالات'!$B$2:$B$1001))-1),""),"")&amp;IF(SUMPRODUCT(('تشخيص الحالات'!$B$2:$B$1001=B365)*('تشخيص الحالات'!$G$2:$G$1001=3))&gt;0,"، "&amp;IFERROR(INDEX('تشخيص الحالات'!$D$2:$D$1001,SUMPRODUCT(('تشخيص الحالات'!$B$2:$B$1001=B365)*('تشخيص الحالات'!$G$2:$G$1001=3)*ROW('تشخيص الحالات'!$B$2:$B$1001))-1),""),"")&amp;IF(SUMPRODUCT(('تشخيص الحالات'!$B$2:$B$1001=B365)*('تشخيص الحالات'!$G$2:$G$1001=4))&gt;0,"، "&amp;IFERROR(INDEX('تشخيص الحالات'!$D$2:$D$1001,SUMPRODUCT(('تشخيص الحالات'!$B$2:$B$1001=B365)*('تشخيص الحالات'!$G$2:$G$1001=4)*ROW('تشخيص الحالات'!$B$2:$B$1001))-1),""),"")&amp;IF(SUMPRODUCT(('تشخيص الحالات'!$B$2:$B$1001=B365)*('تشخيص الحالات'!$G$2:$G$1001=5))&gt;0,"، "&amp;IFERROR(INDEX('تشخيص الحالات'!$D$2:$D$1001,SUMPRODUCT(('تشخيص الحالات'!$B$2:$B$1001=B365)*('تشخيص الحالات'!$G$2:$G$1001=5)*ROW('تشخيص الحالات'!$B$2:$B$1001))-1),""),"")&amp;IF(SUMPRODUCT(('تشخيص الحالات'!$B$2:$B$1001=B365)*('تشخيص الحالات'!$G$2:$G$1001=6))&gt;0,"، "&amp;IFERROR(INDEX('تشخيص الحالات'!$D$2:$D$1001,SUMPRODUCT(('تشخيص الحالات'!$B$2:$B$1001=B365)*('تشخيص الحالات'!$G$2:$G$1001=6)*ROW('تشخيص الحالات'!$B$2:$B$1001))-1),""),"")&amp;IF(SUMPRODUCT(('تشخيص الحالات'!$B$2:$B$1001=B365)*('تشخيص الحالات'!$G$2:$G$1001=7))&gt;0,"، "&amp;IFERROR(INDEX('تشخيص الحالات'!$D$2:$D$1001,SUMPRODUCT(('تشخيص الحالات'!$B$2:$B$1001=B365)*('تشخيص الحالات'!$G$2:$G$1001=7)*ROW('تشخيص الحالات'!$B$2:$B$1001))-1),""),"")&amp;IF(SUMPRODUCT(('تشخيص الحالات'!$B$2:$B$1001=B365)*('تشخيص الحالات'!$G$2:$G$1001=8))&gt;0,"، "&amp;IFERROR(INDEX('تشخيص الحالات'!$D$2:$D$1001,SUMPRODUCT(('تشخيص الحالات'!$B$2:$B$1001=B365)*('تشخيص الحالات'!$G$2:$G$1001=8)*ROW('تشخيص الحالات'!$B$2:$B$1001))-1),""),"")</f>
        <v/>
      </c>
      <c r="J365" s="1"/>
      <c r="K365" s="1"/>
      <c r="L365" s="1"/>
      <c r="M365" s="1"/>
    </row>
    <row r="366" spans="1:13" x14ac:dyDescent="0.2">
      <c r="A366" s="1"/>
      <c r="B366" s="1"/>
      <c r="C366" s="1"/>
      <c r="D366" s="1"/>
      <c r="E366" s="1"/>
      <c r="F366" s="1"/>
      <c r="G366" s="1"/>
      <c r="H366" s="1"/>
      <c r="I366" t="str">
        <f>IFERROR(INDEX('تشخيص الحالات'!$D$2:$D$1001,SUMPRODUCT(('تشخيص الحالات'!$B$2:$B$1001=B366)*('تشخيص الحالات'!$G$2:$G$1001=1)*ROW('تشخيص الحالات'!$B$2:$B$1001))-1),"")&amp;IF(SUMPRODUCT(('تشخيص الحالات'!$B$2:$B$1001=B366)*('تشخيص الحالات'!$G$2:$G$1001=2))&gt;0,"، "&amp;IFERROR(INDEX('تشخيص الحالات'!$D$2:$D$1001,SUMPRODUCT(('تشخيص الحالات'!$B$2:$B$1001=B366)*('تشخيص الحالات'!$G$2:$G$1001=2)*ROW('تشخيص الحالات'!$B$2:$B$1001))-1),""),"")&amp;IF(SUMPRODUCT(('تشخيص الحالات'!$B$2:$B$1001=B366)*('تشخيص الحالات'!$G$2:$G$1001=3))&gt;0,"، "&amp;IFERROR(INDEX('تشخيص الحالات'!$D$2:$D$1001,SUMPRODUCT(('تشخيص الحالات'!$B$2:$B$1001=B366)*('تشخيص الحالات'!$G$2:$G$1001=3)*ROW('تشخيص الحالات'!$B$2:$B$1001))-1),""),"")&amp;IF(SUMPRODUCT(('تشخيص الحالات'!$B$2:$B$1001=B366)*('تشخيص الحالات'!$G$2:$G$1001=4))&gt;0,"، "&amp;IFERROR(INDEX('تشخيص الحالات'!$D$2:$D$1001,SUMPRODUCT(('تشخيص الحالات'!$B$2:$B$1001=B366)*('تشخيص الحالات'!$G$2:$G$1001=4)*ROW('تشخيص الحالات'!$B$2:$B$1001))-1),""),"")&amp;IF(SUMPRODUCT(('تشخيص الحالات'!$B$2:$B$1001=B366)*('تشخيص الحالات'!$G$2:$G$1001=5))&gt;0,"، "&amp;IFERROR(INDEX('تشخيص الحالات'!$D$2:$D$1001,SUMPRODUCT(('تشخيص الحالات'!$B$2:$B$1001=B366)*('تشخيص الحالات'!$G$2:$G$1001=5)*ROW('تشخيص الحالات'!$B$2:$B$1001))-1),""),"")&amp;IF(SUMPRODUCT(('تشخيص الحالات'!$B$2:$B$1001=B366)*('تشخيص الحالات'!$G$2:$G$1001=6))&gt;0,"، "&amp;IFERROR(INDEX('تشخيص الحالات'!$D$2:$D$1001,SUMPRODUCT(('تشخيص الحالات'!$B$2:$B$1001=B366)*('تشخيص الحالات'!$G$2:$G$1001=6)*ROW('تشخيص الحالات'!$B$2:$B$1001))-1),""),"")&amp;IF(SUMPRODUCT(('تشخيص الحالات'!$B$2:$B$1001=B366)*('تشخيص الحالات'!$G$2:$G$1001=7))&gt;0,"، "&amp;IFERROR(INDEX('تشخيص الحالات'!$D$2:$D$1001,SUMPRODUCT(('تشخيص الحالات'!$B$2:$B$1001=B366)*('تشخيص الحالات'!$G$2:$G$1001=7)*ROW('تشخيص الحالات'!$B$2:$B$1001))-1),""),"")&amp;IF(SUMPRODUCT(('تشخيص الحالات'!$B$2:$B$1001=B366)*('تشخيص الحالات'!$G$2:$G$1001=8))&gt;0,"، "&amp;IFERROR(INDEX('تشخيص الحالات'!$D$2:$D$1001,SUMPRODUCT(('تشخيص الحالات'!$B$2:$B$1001=B366)*('تشخيص الحالات'!$G$2:$G$1001=8)*ROW('تشخيص الحالات'!$B$2:$B$1001))-1),""),"")</f>
        <v/>
      </c>
      <c r="J366" s="1"/>
      <c r="K366" s="1"/>
      <c r="L366" s="1"/>
      <c r="M366" s="1"/>
    </row>
    <row r="367" spans="1:13" x14ac:dyDescent="0.2">
      <c r="A367" s="1"/>
      <c r="B367" s="1"/>
      <c r="C367" s="1"/>
      <c r="D367" s="1"/>
      <c r="E367" s="1"/>
      <c r="F367" s="1"/>
      <c r="G367" s="1"/>
      <c r="H367" s="1"/>
      <c r="I367" t="str">
        <f>IFERROR(INDEX('تشخيص الحالات'!$D$2:$D$1001,SUMPRODUCT(('تشخيص الحالات'!$B$2:$B$1001=B367)*('تشخيص الحالات'!$G$2:$G$1001=1)*ROW('تشخيص الحالات'!$B$2:$B$1001))-1),"")&amp;IF(SUMPRODUCT(('تشخيص الحالات'!$B$2:$B$1001=B367)*('تشخيص الحالات'!$G$2:$G$1001=2))&gt;0,"، "&amp;IFERROR(INDEX('تشخيص الحالات'!$D$2:$D$1001,SUMPRODUCT(('تشخيص الحالات'!$B$2:$B$1001=B367)*('تشخيص الحالات'!$G$2:$G$1001=2)*ROW('تشخيص الحالات'!$B$2:$B$1001))-1),""),"")&amp;IF(SUMPRODUCT(('تشخيص الحالات'!$B$2:$B$1001=B367)*('تشخيص الحالات'!$G$2:$G$1001=3))&gt;0,"، "&amp;IFERROR(INDEX('تشخيص الحالات'!$D$2:$D$1001,SUMPRODUCT(('تشخيص الحالات'!$B$2:$B$1001=B367)*('تشخيص الحالات'!$G$2:$G$1001=3)*ROW('تشخيص الحالات'!$B$2:$B$1001))-1),""),"")&amp;IF(SUMPRODUCT(('تشخيص الحالات'!$B$2:$B$1001=B367)*('تشخيص الحالات'!$G$2:$G$1001=4))&gt;0,"، "&amp;IFERROR(INDEX('تشخيص الحالات'!$D$2:$D$1001,SUMPRODUCT(('تشخيص الحالات'!$B$2:$B$1001=B367)*('تشخيص الحالات'!$G$2:$G$1001=4)*ROW('تشخيص الحالات'!$B$2:$B$1001))-1),""),"")&amp;IF(SUMPRODUCT(('تشخيص الحالات'!$B$2:$B$1001=B367)*('تشخيص الحالات'!$G$2:$G$1001=5))&gt;0,"، "&amp;IFERROR(INDEX('تشخيص الحالات'!$D$2:$D$1001,SUMPRODUCT(('تشخيص الحالات'!$B$2:$B$1001=B367)*('تشخيص الحالات'!$G$2:$G$1001=5)*ROW('تشخيص الحالات'!$B$2:$B$1001))-1),""),"")&amp;IF(SUMPRODUCT(('تشخيص الحالات'!$B$2:$B$1001=B367)*('تشخيص الحالات'!$G$2:$G$1001=6))&gt;0,"، "&amp;IFERROR(INDEX('تشخيص الحالات'!$D$2:$D$1001,SUMPRODUCT(('تشخيص الحالات'!$B$2:$B$1001=B367)*('تشخيص الحالات'!$G$2:$G$1001=6)*ROW('تشخيص الحالات'!$B$2:$B$1001))-1),""),"")&amp;IF(SUMPRODUCT(('تشخيص الحالات'!$B$2:$B$1001=B367)*('تشخيص الحالات'!$G$2:$G$1001=7))&gt;0,"، "&amp;IFERROR(INDEX('تشخيص الحالات'!$D$2:$D$1001,SUMPRODUCT(('تشخيص الحالات'!$B$2:$B$1001=B367)*('تشخيص الحالات'!$G$2:$G$1001=7)*ROW('تشخيص الحالات'!$B$2:$B$1001))-1),""),"")&amp;IF(SUMPRODUCT(('تشخيص الحالات'!$B$2:$B$1001=B367)*('تشخيص الحالات'!$G$2:$G$1001=8))&gt;0,"، "&amp;IFERROR(INDEX('تشخيص الحالات'!$D$2:$D$1001,SUMPRODUCT(('تشخيص الحالات'!$B$2:$B$1001=B367)*('تشخيص الحالات'!$G$2:$G$1001=8)*ROW('تشخيص الحالات'!$B$2:$B$1001))-1),""),"")</f>
        <v/>
      </c>
      <c r="J367" s="1"/>
      <c r="K367" s="1"/>
      <c r="L367" s="1"/>
      <c r="M367" s="1"/>
    </row>
    <row r="368" spans="1:13" x14ac:dyDescent="0.2">
      <c r="A368" s="1"/>
      <c r="B368" s="1"/>
      <c r="C368" s="1"/>
      <c r="D368" s="1"/>
      <c r="E368" s="1"/>
      <c r="F368" s="1"/>
      <c r="G368" s="1"/>
      <c r="H368" s="1"/>
      <c r="I368" t="str">
        <f>IFERROR(INDEX('تشخيص الحالات'!$D$2:$D$1001,SUMPRODUCT(('تشخيص الحالات'!$B$2:$B$1001=B368)*('تشخيص الحالات'!$G$2:$G$1001=1)*ROW('تشخيص الحالات'!$B$2:$B$1001))-1),"")&amp;IF(SUMPRODUCT(('تشخيص الحالات'!$B$2:$B$1001=B368)*('تشخيص الحالات'!$G$2:$G$1001=2))&gt;0,"، "&amp;IFERROR(INDEX('تشخيص الحالات'!$D$2:$D$1001,SUMPRODUCT(('تشخيص الحالات'!$B$2:$B$1001=B368)*('تشخيص الحالات'!$G$2:$G$1001=2)*ROW('تشخيص الحالات'!$B$2:$B$1001))-1),""),"")&amp;IF(SUMPRODUCT(('تشخيص الحالات'!$B$2:$B$1001=B368)*('تشخيص الحالات'!$G$2:$G$1001=3))&gt;0,"، "&amp;IFERROR(INDEX('تشخيص الحالات'!$D$2:$D$1001,SUMPRODUCT(('تشخيص الحالات'!$B$2:$B$1001=B368)*('تشخيص الحالات'!$G$2:$G$1001=3)*ROW('تشخيص الحالات'!$B$2:$B$1001))-1),""),"")&amp;IF(SUMPRODUCT(('تشخيص الحالات'!$B$2:$B$1001=B368)*('تشخيص الحالات'!$G$2:$G$1001=4))&gt;0,"، "&amp;IFERROR(INDEX('تشخيص الحالات'!$D$2:$D$1001,SUMPRODUCT(('تشخيص الحالات'!$B$2:$B$1001=B368)*('تشخيص الحالات'!$G$2:$G$1001=4)*ROW('تشخيص الحالات'!$B$2:$B$1001))-1),""),"")&amp;IF(SUMPRODUCT(('تشخيص الحالات'!$B$2:$B$1001=B368)*('تشخيص الحالات'!$G$2:$G$1001=5))&gt;0,"، "&amp;IFERROR(INDEX('تشخيص الحالات'!$D$2:$D$1001,SUMPRODUCT(('تشخيص الحالات'!$B$2:$B$1001=B368)*('تشخيص الحالات'!$G$2:$G$1001=5)*ROW('تشخيص الحالات'!$B$2:$B$1001))-1),""),"")&amp;IF(SUMPRODUCT(('تشخيص الحالات'!$B$2:$B$1001=B368)*('تشخيص الحالات'!$G$2:$G$1001=6))&gt;0,"، "&amp;IFERROR(INDEX('تشخيص الحالات'!$D$2:$D$1001,SUMPRODUCT(('تشخيص الحالات'!$B$2:$B$1001=B368)*('تشخيص الحالات'!$G$2:$G$1001=6)*ROW('تشخيص الحالات'!$B$2:$B$1001))-1),""),"")&amp;IF(SUMPRODUCT(('تشخيص الحالات'!$B$2:$B$1001=B368)*('تشخيص الحالات'!$G$2:$G$1001=7))&gt;0,"، "&amp;IFERROR(INDEX('تشخيص الحالات'!$D$2:$D$1001,SUMPRODUCT(('تشخيص الحالات'!$B$2:$B$1001=B368)*('تشخيص الحالات'!$G$2:$G$1001=7)*ROW('تشخيص الحالات'!$B$2:$B$1001))-1),""),"")&amp;IF(SUMPRODUCT(('تشخيص الحالات'!$B$2:$B$1001=B368)*('تشخيص الحالات'!$G$2:$G$1001=8))&gt;0,"، "&amp;IFERROR(INDEX('تشخيص الحالات'!$D$2:$D$1001,SUMPRODUCT(('تشخيص الحالات'!$B$2:$B$1001=B368)*('تشخيص الحالات'!$G$2:$G$1001=8)*ROW('تشخيص الحالات'!$B$2:$B$1001))-1),""),"")</f>
        <v/>
      </c>
      <c r="J368" s="1"/>
      <c r="K368" s="1"/>
      <c r="L368" s="1"/>
      <c r="M368" s="1"/>
    </row>
    <row r="369" spans="1:13" x14ac:dyDescent="0.2">
      <c r="A369" s="1"/>
      <c r="B369" s="1"/>
      <c r="C369" s="1"/>
      <c r="D369" s="1"/>
      <c r="E369" s="1"/>
      <c r="F369" s="1"/>
      <c r="G369" s="1"/>
      <c r="H369" s="1"/>
      <c r="I369" t="str">
        <f>IFERROR(INDEX('تشخيص الحالات'!$D$2:$D$1001,SUMPRODUCT(('تشخيص الحالات'!$B$2:$B$1001=B369)*('تشخيص الحالات'!$G$2:$G$1001=1)*ROW('تشخيص الحالات'!$B$2:$B$1001))-1),"")&amp;IF(SUMPRODUCT(('تشخيص الحالات'!$B$2:$B$1001=B369)*('تشخيص الحالات'!$G$2:$G$1001=2))&gt;0,"، "&amp;IFERROR(INDEX('تشخيص الحالات'!$D$2:$D$1001,SUMPRODUCT(('تشخيص الحالات'!$B$2:$B$1001=B369)*('تشخيص الحالات'!$G$2:$G$1001=2)*ROW('تشخيص الحالات'!$B$2:$B$1001))-1),""),"")&amp;IF(SUMPRODUCT(('تشخيص الحالات'!$B$2:$B$1001=B369)*('تشخيص الحالات'!$G$2:$G$1001=3))&gt;0,"، "&amp;IFERROR(INDEX('تشخيص الحالات'!$D$2:$D$1001,SUMPRODUCT(('تشخيص الحالات'!$B$2:$B$1001=B369)*('تشخيص الحالات'!$G$2:$G$1001=3)*ROW('تشخيص الحالات'!$B$2:$B$1001))-1),""),"")&amp;IF(SUMPRODUCT(('تشخيص الحالات'!$B$2:$B$1001=B369)*('تشخيص الحالات'!$G$2:$G$1001=4))&gt;0,"، "&amp;IFERROR(INDEX('تشخيص الحالات'!$D$2:$D$1001,SUMPRODUCT(('تشخيص الحالات'!$B$2:$B$1001=B369)*('تشخيص الحالات'!$G$2:$G$1001=4)*ROW('تشخيص الحالات'!$B$2:$B$1001))-1),""),"")&amp;IF(SUMPRODUCT(('تشخيص الحالات'!$B$2:$B$1001=B369)*('تشخيص الحالات'!$G$2:$G$1001=5))&gt;0,"، "&amp;IFERROR(INDEX('تشخيص الحالات'!$D$2:$D$1001,SUMPRODUCT(('تشخيص الحالات'!$B$2:$B$1001=B369)*('تشخيص الحالات'!$G$2:$G$1001=5)*ROW('تشخيص الحالات'!$B$2:$B$1001))-1),""),"")&amp;IF(SUMPRODUCT(('تشخيص الحالات'!$B$2:$B$1001=B369)*('تشخيص الحالات'!$G$2:$G$1001=6))&gt;0,"، "&amp;IFERROR(INDEX('تشخيص الحالات'!$D$2:$D$1001,SUMPRODUCT(('تشخيص الحالات'!$B$2:$B$1001=B369)*('تشخيص الحالات'!$G$2:$G$1001=6)*ROW('تشخيص الحالات'!$B$2:$B$1001))-1),""),"")&amp;IF(SUMPRODUCT(('تشخيص الحالات'!$B$2:$B$1001=B369)*('تشخيص الحالات'!$G$2:$G$1001=7))&gt;0,"، "&amp;IFERROR(INDEX('تشخيص الحالات'!$D$2:$D$1001,SUMPRODUCT(('تشخيص الحالات'!$B$2:$B$1001=B369)*('تشخيص الحالات'!$G$2:$G$1001=7)*ROW('تشخيص الحالات'!$B$2:$B$1001))-1),""),"")&amp;IF(SUMPRODUCT(('تشخيص الحالات'!$B$2:$B$1001=B369)*('تشخيص الحالات'!$G$2:$G$1001=8))&gt;0,"، "&amp;IFERROR(INDEX('تشخيص الحالات'!$D$2:$D$1001,SUMPRODUCT(('تشخيص الحالات'!$B$2:$B$1001=B369)*('تشخيص الحالات'!$G$2:$G$1001=8)*ROW('تشخيص الحالات'!$B$2:$B$1001))-1),""),"")</f>
        <v/>
      </c>
      <c r="J369" s="1"/>
      <c r="K369" s="1"/>
      <c r="L369" s="1"/>
      <c r="M369" s="1"/>
    </row>
    <row r="370" spans="1:13" x14ac:dyDescent="0.2">
      <c r="A370" s="1"/>
      <c r="B370" s="1"/>
      <c r="C370" s="1"/>
      <c r="D370" s="1"/>
      <c r="E370" s="1"/>
      <c r="F370" s="1"/>
      <c r="G370" s="1"/>
      <c r="H370" s="1"/>
      <c r="I370" t="str">
        <f>IFERROR(INDEX('تشخيص الحالات'!$D$2:$D$1001,SUMPRODUCT(('تشخيص الحالات'!$B$2:$B$1001=B370)*('تشخيص الحالات'!$G$2:$G$1001=1)*ROW('تشخيص الحالات'!$B$2:$B$1001))-1),"")&amp;IF(SUMPRODUCT(('تشخيص الحالات'!$B$2:$B$1001=B370)*('تشخيص الحالات'!$G$2:$G$1001=2))&gt;0,"، "&amp;IFERROR(INDEX('تشخيص الحالات'!$D$2:$D$1001,SUMPRODUCT(('تشخيص الحالات'!$B$2:$B$1001=B370)*('تشخيص الحالات'!$G$2:$G$1001=2)*ROW('تشخيص الحالات'!$B$2:$B$1001))-1),""),"")&amp;IF(SUMPRODUCT(('تشخيص الحالات'!$B$2:$B$1001=B370)*('تشخيص الحالات'!$G$2:$G$1001=3))&gt;0,"، "&amp;IFERROR(INDEX('تشخيص الحالات'!$D$2:$D$1001,SUMPRODUCT(('تشخيص الحالات'!$B$2:$B$1001=B370)*('تشخيص الحالات'!$G$2:$G$1001=3)*ROW('تشخيص الحالات'!$B$2:$B$1001))-1),""),"")&amp;IF(SUMPRODUCT(('تشخيص الحالات'!$B$2:$B$1001=B370)*('تشخيص الحالات'!$G$2:$G$1001=4))&gt;0,"، "&amp;IFERROR(INDEX('تشخيص الحالات'!$D$2:$D$1001,SUMPRODUCT(('تشخيص الحالات'!$B$2:$B$1001=B370)*('تشخيص الحالات'!$G$2:$G$1001=4)*ROW('تشخيص الحالات'!$B$2:$B$1001))-1),""),"")&amp;IF(SUMPRODUCT(('تشخيص الحالات'!$B$2:$B$1001=B370)*('تشخيص الحالات'!$G$2:$G$1001=5))&gt;0,"، "&amp;IFERROR(INDEX('تشخيص الحالات'!$D$2:$D$1001,SUMPRODUCT(('تشخيص الحالات'!$B$2:$B$1001=B370)*('تشخيص الحالات'!$G$2:$G$1001=5)*ROW('تشخيص الحالات'!$B$2:$B$1001))-1),""),"")&amp;IF(SUMPRODUCT(('تشخيص الحالات'!$B$2:$B$1001=B370)*('تشخيص الحالات'!$G$2:$G$1001=6))&gt;0,"، "&amp;IFERROR(INDEX('تشخيص الحالات'!$D$2:$D$1001,SUMPRODUCT(('تشخيص الحالات'!$B$2:$B$1001=B370)*('تشخيص الحالات'!$G$2:$G$1001=6)*ROW('تشخيص الحالات'!$B$2:$B$1001))-1),""),"")&amp;IF(SUMPRODUCT(('تشخيص الحالات'!$B$2:$B$1001=B370)*('تشخيص الحالات'!$G$2:$G$1001=7))&gt;0,"، "&amp;IFERROR(INDEX('تشخيص الحالات'!$D$2:$D$1001,SUMPRODUCT(('تشخيص الحالات'!$B$2:$B$1001=B370)*('تشخيص الحالات'!$G$2:$G$1001=7)*ROW('تشخيص الحالات'!$B$2:$B$1001))-1),""),"")&amp;IF(SUMPRODUCT(('تشخيص الحالات'!$B$2:$B$1001=B370)*('تشخيص الحالات'!$G$2:$G$1001=8))&gt;0,"، "&amp;IFERROR(INDEX('تشخيص الحالات'!$D$2:$D$1001,SUMPRODUCT(('تشخيص الحالات'!$B$2:$B$1001=B370)*('تشخيص الحالات'!$G$2:$G$1001=8)*ROW('تشخيص الحالات'!$B$2:$B$1001))-1),""),"")</f>
        <v/>
      </c>
      <c r="J370" s="1"/>
      <c r="K370" s="1"/>
      <c r="L370" s="1"/>
      <c r="M370" s="1"/>
    </row>
    <row r="371" spans="1:13" x14ac:dyDescent="0.2">
      <c r="A371" s="1"/>
      <c r="B371" s="1"/>
      <c r="C371" s="1"/>
      <c r="D371" s="1"/>
      <c r="E371" s="1"/>
      <c r="F371" s="1"/>
      <c r="G371" s="1"/>
      <c r="H371" s="1"/>
      <c r="I371" t="str">
        <f>IFERROR(INDEX('تشخيص الحالات'!$D$2:$D$1001,SUMPRODUCT(('تشخيص الحالات'!$B$2:$B$1001=B371)*('تشخيص الحالات'!$G$2:$G$1001=1)*ROW('تشخيص الحالات'!$B$2:$B$1001))-1),"")&amp;IF(SUMPRODUCT(('تشخيص الحالات'!$B$2:$B$1001=B371)*('تشخيص الحالات'!$G$2:$G$1001=2))&gt;0,"، "&amp;IFERROR(INDEX('تشخيص الحالات'!$D$2:$D$1001,SUMPRODUCT(('تشخيص الحالات'!$B$2:$B$1001=B371)*('تشخيص الحالات'!$G$2:$G$1001=2)*ROW('تشخيص الحالات'!$B$2:$B$1001))-1),""),"")&amp;IF(SUMPRODUCT(('تشخيص الحالات'!$B$2:$B$1001=B371)*('تشخيص الحالات'!$G$2:$G$1001=3))&gt;0,"، "&amp;IFERROR(INDEX('تشخيص الحالات'!$D$2:$D$1001,SUMPRODUCT(('تشخيص الحالات'!$B$2:$B$1001=B371)*('تشخيص الحالات'!$G$2:$G$1001=3)*ROW('تشخيص الحالات'!$B$2:$B$1001))-1),""),"")&amp;IF(SUMPRODUCT(('تشخيص الحالات'!$B$2:$B$1001=B371)*('تشخيص الحالات'!$G$2:$G$1001=4))&gt;0,"، "&amp;IFERROR(INDEX('تشخيص الحالات'!$D$2:$D$1001,SUMPRODUCT(('تشخيص الحالات'!$B$2:$B$1001=B371)*('تشخيص الحالات'!$G$2:$G$1001=4)*ROW('تشخيص الحالات'!$B$2:$B$1001))-1),""),"")&amp;IF(SUMPRODUCT(('تشخيص الحالات'!$B$2:$B$1001=B371)*('تشخيص الحالات'!$G$2:$G$1001=5))&gt;0,"، "&amp;IFERROR(INDEX('تشخيص الحالات'!$D$2:$D$1001,SUMPRODUCT(('تشخيص الحالات'!$B$2:$B$1001=B371)*('تشخيص الحالات'!$G$2:$G$1001=5)*ROW('تشخيص الحالات'!$B$2:$B$1001))-1),""),"")&amp;IF(SUMPRODUCT(('تشخيص الحالات'!$B$2:$B$1001=B371)*('تشخيص الحالات'!$G$2:$G$1001=6))&gt;0,"، "&amp;IFERROR(INDEX('تشخيص الحالات'!$D$2:$D$1001,SUMPRODUCT(('تشخيص الحالات'!$B$2:$B$1001=B371)*('تشخيص الحالات'!$G$2:$G$1001=6)*ROW('تشخيص الحالات'!$B$2:$B$1001))-1),""),"")&amp;IF(SUMPRODUCT(('تشخيص الحالات'!$B$2:$B$1001=B371)*('تشخيص الحالات'!$G$2:$G$1001=7))&gt;0,"، "&amp;IFERROR(INDEX('تشخيص الحالات'!$D$2:$D$1001,SUMPRODUCT(('تشخيص الحالات'!$B$2:$B$1001=B371)*('تشخيص الحالات'!$G$2:$G$1001=7)*ROW('تشخيص الحالات'!$B$2:$B$1001))-1),""),"")&amp;IF(SUMPRODUCT(('تشخيص الحالات'!$B$2:$B$1001=B371)*('تشخيص الحالات'!$G$2:$G$1001=8))&gt;0,"، "&amp;IFERROR(INDEX('تشخيص الحالات'!$D$2:$D$1001,SUMPRODUCT(('تشخيص الحالات'!$B$2:$B$1001=B371)*('تشخيص الحالات'!$G$2:$G$1001=8)*ROW('تشخيص الحالات'!$B$2:$B$1001))-1),""),"")</f>
        <v/>
      </c>
      <c r="J371" s="1"/>
      <c r="K371" s="1"/>
      <c r="L371" s="1"/>
      <c r="M371" s="1"/>
    </row>
    <row r="372" spans="1:13" x14ac:dyDescent="0.2">
      <c r="A372" s="1"/>
      <c r="B372" s="1"/>
      <c r="C372" s="1"/>
      <c r="D372" s="1"/>
      <c r="E372" s="1"/>
      <c r="F372" s="1"/>
      <c r="G372" s="1"/>
      <c r="H372" s="1"/>
      <c r="I372" t="str">
        <f>IFERROR(INDEX('تشخيص الحالات'!$D$2:$D$1001,SUMPRODUCT(('تشخيص الحالات'!$B$2:$B$1001=B372)*('تشخيص الحالات'!$G$2:$G$1001=1)*ROW('تشخيص الحالات'!$B$2:$B$1001))-1),"")&amp;IF(SUMPRODUCT(('تشخيص الحالات'!$B$2:$B$1001=B372)*('تشخيص الحالات'!$G$2:$G$1001=2))&gt;0,"، "&amp;IFERROR(INDEX('تشخيص الحالات'!$D$2:$D$1001,SUMPRODUCT(('تشخيص الحالات'!$B$2:$B$1001=B372)*('تشخيص الحالات'!$G$2:$G$1001=2)*ROW('تشخيص الحالات'!$B$2:$B$1001))-1),""),"")&amp;IF(SUMPRODUCT(('تشخيص الحالات'!$B$2:$B$1001=B372)*('تشخيص الحالات'!$G$2:$G$1001=3))&gt;0,"، "&amp;IFERROR(INDEX('تشخيص الحالات'!$D$2:$D$1001,SUMPRODUCT(('تشخيص الحالات'!$B$2:$B$1001=B372)*('تشخيص الحالات'!$G$2:$G$1001=3)*ROW('تشخيص الحالات'!$B$2:$B$1001))-1),""),"")&amp;IF(SUMPRODUCT(('تشخيص الحالات'!$B$2:$B$1001=B372)*('تشخيص الحالات'!$G$2:$G$1001=4))&gt;0,"، "&amp;IFERROR(INDEX('تشخيص الحالات'!$D$2:$D$1001,SUMPRODUCT(('تشخيص الحالات'!$B$2:$B$1001=B372)*('تشخيص الحالات'!$G$2:$G$1001=4)*ROW('تشخيص الحالات'!$B$2:$B$1001))-1),""),"")&amp;IF(SUMPRODUCT(('تشخيص الحالات'!$B$2:$B$1001=B372)*('تشخيص الحالات'!$G$2:$G$1001=5))&gt;0,"، "&amp;IFERROR(INDEX('تشخيص الحالات'!$D$2:$D$1001,SUMPRODUCT(('تشخيص الحالات'!$B$2:$B$1001=B372)*('تشخيص الحالات'!$G$2:$G$1001=5)*ROW('تشخيص الحالات'!$B$2:$B$1001))-1),""),"")&amp;IF(SUMPRODUCT(('تشخيص الحالات'!$B$2:$B$1001=B372)*('تشخيص الحالات'!$G$2:$G$1001=6))&gt;0,"، "&amp;IFERROR(INDEX('تشخيص الحالات'!$D$2:$D$1001,SUMPRODUCT(('تشخيص الحالات'!$B$2:$B$1001=B372)*('تشخيص الحالات'!$G$2:$G$1001=6)*ROW('تشخيص الحالات'!$B$2:$B$1001))-1),""),"")&amp;IF(SUMPRODUCT(('تشخيص الحالات'!$B$2:$B$1001=B372)*('تشخيص الحالات'!$G$2:$G$1001=7))&gt;0,"، "&amp;IFERROR(INDEX('تشخيص الحالات'!$D$2:$D$1001,SUMPRODUCT(('تشخيص الحالات'!$B$2:$B$1001=B372)*('تشخيص الحالات'!$G$2:$G$1001=7)*ROW('تشخيص الحالات'!$B$2:$B$1001))-1),""),"")&amp;IF(SUMPRODUCT(('تشخيص الحالات'!$B$2:$B$1001=B372)*('تشخيص الحالات'!$G$2:$G$1001=8))&gt;0,"، "&amp;IFERROR(INDEX('تشخيص الحالات'!$D$2:$D$1001,SUMPRODUCT(('تشخيص الحالات'!$B$2:$B$1001=B372)*('تشخيص الحالات'!$G$2:$G$1001=8)*ROW('تشخيص الحالات'!$B$2:$B$1001))-1),""),"")</f>
        <v/>
      </c>
      <c r="J372" s="1"/>
      <c r="K372" s="1"/>
      <c r="L372" s="1"/>
      <c r="M372" s="1"/>
    </row>
    <row r="373" spans="1:13" x14ac:dyDescent="0.2">
      <c r="A373" s="1"/>
      <c r="B373" s="1"/>
      <c r="C373" s="1"/>
      <c r="D373" s="1"/>
      <c r="E373" s="1"/>
      <c r="F373" s="1"/>
      <c r="G373" s="1"/>
      <c r="H373" s="1"/>
      <c r="I373" t="str">
        <f>IFERROR(INDEX('تشخيص الحالات'!$D$2:$D$1001,SUMPRODUCT(('تشخيص الحالات'!$B$2:$B$1001=B373)*('تشخيص الحالات'!$G$2:$G$1001=1)*ROW('تشخيص الحالات'!$B$2:$B$1001))-1),"")&amp;IF(SUMPRODUCT(('تشخيص الحالات'!$B$2:$B$1001=B373)*('تشخيص الحالات'!$G$2:$G$1001=2))&gt;0,"، "&amp;IFERROR(INDEX('تشخيص الحالات'!$D$2:$D$1001,SUMPRODUCT(('تشخيص الحالات'!$B$2:$B$1001=B373)*('تشخيص الحالات'!$G$2:$G$1001=2)*ROW('تشخيص الحالات'!$B$2:$B$1001))-1),""),"")&amp;IF(SUMPRODUCT(('تشخيص الحالات'!$B$2:$B$1001=B373)*('تشخيص الحالات'!$G$2:$G$1001=3))&gt;0,"، "&amp;IFERROR(INDEX('تشخيص الحالات'!$D$2:$D$1001,SUMPRODUCT(('تشخيص الحالات'!$B$2:$B$1001=B373)*('تشخيص الحالات'!$G$2:$G$1001=3)*ROW('تشخيص الحالات'!$B$2:$B$1001))-1),""),"")&amp;IF(SUMPRODUCT(('تشخيص الحالات'!$B$2:$B$1001=B373)*('تشخيص الحالات'!$G$2:$G$1001=4))&gt;0,"، "&amp;IFERROR(INDEX('تشخيص الحالات'!$D$2:$D$1001,SUMPRODUCT(('تشخيص الحالات'!$B$2:$B$1001=B373)*('تشخيص الحالات'!$G$2:$G$1001=4)*ROW('تشخيص الحالات'!$B$2:$B$1001))-1),""),"")&amp;IF(SUMPRODUCT(('تشخيص الحالات'!$B$2:$B$1001=B373)*('تشخيص الحالات'!$G$2:$G$1001=5))&gt;0,"، "&amp;IFERROR(INDEX('تشخيص الحالات'!$D$2:$D$1001,SUMPRODUCT(('تشخيص الحالات'!$B$2:$B$1001=B373)*('تشخيص الحالات'!$G$2:$G$1001=5)*ROW('تشخيص الحالات'!$B$2:$B$1001))-1),""),"")&amp;IF(SUMPRODUCT(('تشخيص الحالات'!$B$2:$B$1001=B373)*('تشخيص الحالات'!$G$2:$G$1001=6))&gt;0,"، "&amp;IFERROR(INDEX('تشخيص الحالات'!$D$2:$D$1001,SUMPRODUCT(('تشخيص الحالات'!$B$2:$B$1001=B373)*('تشخيص الحالات'!$G$2:$G$1001=6)*ROW('تشخيص الحالات'!$B$2:$B$1001))-1),""),"")&amp;IF(SUMPRODUCT(('تشخيص الحالات'!$B$2:$B$1001=B373)*('تشخيص الحالات'!$G$2:$G$1001=7))&gt;0,"، "&amp;IFERROR(INDEX('تشخيص الحالات'!$D$2:$D$1001,SUMPRODUCT(('تشخيص الحالات'!$B$2:$B$1001=B373)*('تشخيص الحالات'!$G$2:$G$1001=7)*ROW('تشخيص الحالات'!$B$2:$B$1001))-1),""),"")&amp;IF(SUMPRODUCT(('تشخيص الحالات'!$B$2:$B$1001=B373)*('تشخيص الحالات'!$G$2:$G$1001=8))&gt;0,"، "&amp;IFERROR(INDEX('تشخيص الحالات'!$D$2:$D$1001,SUMPRODUCT(('تشخيص الحالات'!$B$2:$B$1001=B373)*('تشخيص الحالات'!$G$2:$G$1001=8)*ROW('تشخيص الحالات'!$B$2:$B$1001))-1),""),"")</f>
        <v/>
      </c>
      <c r="J373" s="1"/>
      <c r="K373" s="1"/>
      <c r="L373" s="1"/>
      <c r="M373" s="1"/>
    </row>
    <row r="374" spans="1:13" x14ac:dyDescent="0.2">
      <c r="A374" s="1"/>
      <c r="B374" s="1"/>
      <c r="C374" s="1"/>
      <c r="D374" s="1"/>
      <c r="E374" s="1"/>
      <c r="F374" s="1"/>
      <c r="G374" s="1"/>
      <c r="H374" s="1"/>
      <c r="I374" t="str">
        <f>IFERROR(INDEX('تشخيص الحالات'!$D$2:$D$1001,SUMPRODUCT(('تشخيص الحالات'!$B$2:$B$1001=B374)*('تشخيص الحالات'!$G$2:$G$1001=1)*ROW('تشخيص الحالات'!$B$2:$B$1001))-1),"")&amp;IF(SUMPRODUCT(('تشخيص الحالات'!$B$2:$B$1001=B374)*('تشخيص الحالات'!$G$2:$G$1001=2))&gt;0,"، "&amp;IFERROR(INDEX('تشخيص الحالات'!$D$2:$D$1001,SUMPRODUCT(('تشخيص الحالات'!$B$2:$B$1001=B374)*('تشخيص الحالات'!$G$2:$G$1001=2)*ROW('تشخيص الحالات'!$B$2:$B$1001))-1),""),"")&amp;IF(SUMPRODUCT(('تشخيص الحالات'!$B$2:$B$1001=B374)*('تشخيص الحالات'!$G$2:$G$1001=3))&gt;0,"، "&amp;IFERROR(INDEX('تشخيص الحالات'!$D$2:$D$1001,SUMPRODUCT(('تشخيص الحالات'!$B$2:$B$1001=B374)*('تشخيص الحالات'!$G$2:$G$1001=3)*ROW('تشخيص الحالات'!$B$2:$B$1001))-1),""),"")&amp;IF(SUMPRODUCT(('تشخيص الحالات'!$B$2:$B$1001=B374)*('تشخيص الحالات'!$G$2:$G$1001=4))&gt;0,"، "&amp;IFERROR(INDEX('تشخيص الحالات'!$D$2:$D$1001,SUMPRODUCT(('تشخيص الحالات'!$B$2:$B$1001=B374)*('تشخيص الحالات'!$G$2:$G$1001=4)*ROW('تشخيص الحالات'!$B$2:$B$1001))-1),""),"")&amp;IF(SUMPRODUCT(('تشخيص الحالات'!$B$2:$B$1001=B374)*('تشخيص الحالات'!$G$2:$G$1001=5))&gt;0,"، "&amp;IFERROR(INDEX('تشخيص الحالات'!$D$2:$D$1001,SUMPRODUCT(('تشخيص الحالات'!$B$2:$B$1001=B374)*('تشخيص الحالات'!$G$2:$G$1001=5)*ROW('تشخيص الحالات'!$B$2:$B$1001))-1),""),"")&amp;IF(SUMPRODUCT(('تشخيص الحالات'!$B$2:$B$1001=B374)*('تشخيص الحالات'!$G$2:$G$1001=6))&gt;0,"، "&amp;IFERROR(INDEX('تشخيص الحالات'!$D$2:$D$1001,SUMPRODUCT(('تشخيص الحالات'!$B$2:$B$1001=B374)*('تشخيص الحالات'!$G$2:$G$1001=6)*ROW('تشخيص الحالات'!$B$2:$B$1001))-1),""),"")&amp;IF(SUMPRODUCT(('تشخيص الحالات'!$B$2:$B$1001=B374)*('تشخيص الحالات'!$G$2:$G$1001=7))&gt;0,"، "&amp;IFERROR(INDEX('تشخيص الحالات'!$D$2:$D$1001,SUMPRODUCT(('تشخيص الحالات'!$B$2:$B$1001=B374)*('تشخيص الحالات'!$G$2:$G$1001=7)*ROW('تشخيص الحالات'!$B$2:$B$1001))-1),""),"")&amp;IF(SUMPRODUCT(('تشخيص الحالات'!$B$2:$B$1001=B374)*('تشخيص الحالات'!$G$2:$G$1001=8))&gt;0,"، "&amp;IFERROR(INDEX('تشخيص الحالات'!$D$2:$D$1001,SUMPRODUCT(('تشخيص الحالات'!$B$2:$B$1001=B374)*('تشخيص الحالات'!$G$2:$G$1001=8)*ROW('تشخيص الحالات'!$B$2:$B$1001))-1),""),"")</f>
        <v/>
      </c>
      <c r="J374" s="1"/>
      <c r="K374" s="1"/>
      <c r="L374" s="1"/>
      <c r="M374" s="1"/>
    </row>
    <row r="375" spans="1:13" x14ac:dyDescent="0.2">
      <c r="A375" s="1"/>
      <c r="B375" s="1"/>
      <c r="C375" s="1"/>
      <c r="D375" s="1"/>
      <c r="E375" s="1"/>
      <c r="F375" s="1"/>
      <c r="G375" s="1"/>
      <c r="H375" s="1"/>
      <c r="I375" t="str">
        <f>IFERROR(INDEX('تشخيص الحالات'!$D$2:$D$1001,SUMPRODUCT(('تشخيص الحالات'!$B$2:$B$1001=B375)*('تشخيص الحالات'!$G$2:$G$1001=1)*ROW('تشخيص الحالات'!$B$2:$B$1001))-1),"")&amp;IF(SUMPRODUCT(('تشخيص الحالات'!$B$2:$B$1001=B375)*('تشخيص الحالات'!$G$2:$G$1001=2))&gt;0,"، "&amp;IFERROR(INDEX('تشخيص الحالات'!$D$2:$D$1001,SUMPRODUCT(('تشخيص الحالات'!$B$2:$B$1001=B375)*('تشخيص الحالات'!$G$2:$G$1001=2)*ROW('تشخيص الحالات'!$B$2:$B$1001))-1),""),"")&amp;IF(SUMPRODUCT(('تشخيص الحالات'!$B$2:$B$1001=B375)*('تشخيص الحالات'!$G$2:$G$1001=3))&gt;0,"، "&amp;IFERROR(INDEX('تشخيص الحالات'!$D$2:$D$1001,SUMPRODUCT(('تشخيص الحالات'!$B$2:$B$1001=B375)*('تشخيص الحالات'!$G$2:$G$1001=3)*ROW('تشخيص الحالات'!$B$2:$B$1001))-1),""),"")&amp;IF(SUMPRODUCT(('تشخيص الحالات'!$B$2:$B$1001=B375)*('تشخيص الحالات'!$G$2:$G$1001=4))&gt;0,"، "&amp;IFERROR(INDEX('تشخيص الحالات'!$D$2:$D$1001,SUMPRODUCT(('تشخيص الحالات'!$B$2:$B$1001=B375)*('تشخيص الحالات'!$G$2:$G$1001=4)*ROW('تشخيص الحالات'!$B$2:$B$1001))-1),""),"")&amp;IF(SUMPRODUCT(('تشخيص الحالات'!$B$2:$B$1001=B375)*('تشخيص الحالات'!$G$2:$G$1001=5))&gt;0,"، "&amp;IFERROR(INDEX('تشخيص الحالات'!$D$2:$D$1001,SUMPRODUCT(('تشخيص الحالات'!$B$2:$B$1001=B375)*('تشخيص الحالات'!$G$2:$G$1001=5)*ROW('تشخيص الحالات'!$B$2:$B$1001))-1),""),"")&amp;IF(SUMPRODUCT(('تشخيص الحالات'!$B$2:$B$1001=B375)*('تشخيص الحالات'!$G$2:$G$1001=6))&gt;0,"، "&amp;IFERROR(INDEX('تشخيص الحالات'!$D$2:$D$1001,SUMPRODUCT(('تشخيص الحالات'!$B$2:$B$1001=B375)*('تشخيص الحالات'!$G$2:$G$1001=6)*ROW('تشخيص الحالات'!$B$2:$B$1001))-1),""),"")&amp;IF(SUMPRODUCT(('تشخيص الحالات'!$B$2:$B$1001=B375)*('تشخيص الحالات'!$G$2:$G$1001=7))&gt;0,"، "&amp;IFERROR(INDEX('تشخيص الحالات'!$D$2:$D$1001,SUMPRODUCT(('تشخيص الحالات'!$B$2:$B$1001=B375)*('تشخيص الحالات'!$G$2:$G$1001=7)*ROW('تشخيص الحالات'!$B$2:$B$1001))-1),""),"")&amp;IF(SUMPRODUCT(('تشخيص الحالات'!$B$2:$B$1001=B375)*('تشخيص الحالات'!$G$2:$G$1001=8))&gt;0,"، "&amp;IFERROR(INDEX('تشخيص الحالات'!$D$2:$D$1001,SUMPRODUCT(('تشخيص الحالات'!$B$2:$B$1001=B375)*('تشخيص الحالات'!$G$2:$G$1001=8)*ROW('تشخيص الحالات'!$B$2:$B$1001))-1),""),"")</f>
        <v/>
      </c>
      <c r="J375" s="1"/>
      <c r="K375" s="1"/>
      <c r="L375" s="1"/>
      <c r="M375" s="1"/>
    </row>
    <row r="376" spans="1:13" x14ac:dyDescent="0.2">
      <c r="A376" s="1"/>
      <c r="B376" s="1"/>
      <c r="C376" s="1"/>
      <c r="D376" s="1"/>
      <c r="E376" s="1"/>
      <c r="F376" s="1"/>
      <c r="G376" s="1"/>
      <c r="H376" s="1"/>
      <c r="I376" t="str">
        <f>IFERROR(INDEX('تشخيص الحالات'!$D$2:$D$1001,SUMPRODUCT(('تشخيص الحالات'!$B$2:$B$1001=B376)*('تشخيص الحالات'!$G$2:$G$1001=1)*ROW('تشخيص الحالات'!$B$2:$B$1001))-1),"")&amp;IF(SUMPRODUCT(('تشخيص الحالات'!$B$2:$B$1001=B376)*('تشخيص الحالات'!$G$2:$G$1001=2))&gt;0,"، "&amp;IFERROR(INDEX('تشخيص الحالات'!$D$2:$D$1001,SUMPRODUCT(('تشخيص الحالات'!$B$2:$B$1001=B376)*('تشخيص الحالات'!$G$2:$G$1001=2)*ROW('تشخيص الحالات'!$B$2:$B$1001))-1),""),"")&amp;IF(SUMPRODUCT(('تشخيص الحالات'!$B$2:$B$1001=B376)*('تشخيص الحالات'!$G$2:$G$1001=3))&gt;0,"، "&amp;IFERROR(INDEX('تشخيص الحالات'!$D$2:$D$1001,SUMPRODUCT(('تشخيص الحالات'!$B$2:$B$1001=B376)*('تشخيص الحالات'!$G$2:$G$1001=3)*ROW('تشخيص الحالات'!$B$2:$B$1001))-1),""),"")&amp;IF(SUMPRODUCT(('تشخيص الحالات'!$B$2:$B$1001=B376)*('تشخيص الحالات'!$G$2:$G$1001=4))&gt;0,"، "&amp;IFERROR(INDEX('تشخيص الحالات'!$D$2:$D$1001,SUMPRODUCT(('تشخيص الحالات'!$B$2:$B$1001=B376)*('تشخيص الحالات'!$G$2:$G$1001=4)*ROW('تشخيص الحالات'!$B$2:$B$1001))-1),""),"")&amp;IF(SUMPRODUCT(('تشخيص الحالات'!$B$2:$B$1001=B376)*('تشخيص الحالات'!$G$2:$G$1001=5))&gt;0,"، "&amp;IFERROR(INDEX('تشخيص الحالات'!$D$2:$D$1001,SUMPRODUCT(('تشخيص الحالات'!$B$2:$B$1001=B376)*('تشخيص الحالات'!$G$2:$G$1001=5)*ROW('تشخيص الحالات'!$B$2:$B$1001))-1),""),"")&amp;IF(SUMPRODUCT(('تشخيص الحالات'!$B$2:$B$1001=B376)*('تشخيص الحالات'!$G$2:$G$1001=6))&gt;0,"، "&amp;IFERROR(INDEX('تشخيص الحالات'!$D$2:$D$1001,SUMPRODUCT(('تشخيص الحالات'!$B$2:$B$1001=B376)*('تشخيص الحالات'!$G$2:$G$1001=6)*ROW('تشخيص الحالات'!$B$2:$B$1001))-1),""),"")&amp;IF(SUMPRODUCT(('تشخيص الحالات'!$B$2:$B$1001=B376)*('تشخيص الحالات'!$G$2:$G$1001=7))&gt;0,"، "&amp;IFERROR(INDEX('تشخيص الحالات'!$D$2:$D$1001,SUMPRODUCT(('تشخيص الحالات'!$B$2:$B$1001=B376)*('تشخيص الحالات'!$G$2:$G$1001=7)*ROW('تشخيص الحالات'!$B$2:$B$1001))-1),""),"")&amp;IF(SUMPRODUCT(('تشخيص الحالات'!$B$2:$B$1001=B376)*('تشخيص الحالات'!$G$2:$G$1001=8))&gt;0,"، "&amp;IFERROR(INDEX('تشخيص الحالات'!$D$2:$D$1001,SUMPRODUCT(('تشخيص الحالات'!$B$2:$B$1001=B376)*('تشخيص الحالات'!$G$2:$G$1001=8)*ROW('تشخيص الحالات'!$B$2:$B$1001))-1),""),"")</f>
        <v/>
      </c>
      <c r="J376" s="1"/>
      <c r="K376" s="1"/>
      <c r="L376" s="1"/>
      <c r="M376" s="1"/>
    </row>
    <row r="377" spans="1:13" x14ac:dyDescent="0.2">
      <c r="A377" s="1"/>
      <c r="B377" s="1"/>
      <c r="C377" s="1"/>
      <c r="D377" s="1"/>
      <c r="E377" s="1"/>
      <c r="F377" s="1"/>
      <c r="G377" s="1"/>
      <c r="H377" s="1"/>
      <c r="I377" t="str">
        <f>IFERROR(INDEX('تشخيص الحالات'!$D$2:$D$1001,SUMPRODUCT(('تشخيص الحالات'!$B$2:$B$1001=B377)*('تشخيص الحالات'!$G$2:$G$1001=1)*ROW('تشخيص الحالات'!$B$2:$B$1001))-1),"")&amp;IF(SUMPRODUCT(('تشخيص الحالات'!$B$2:$B$1001=B377)*('تشخيص الحالات'!$G$2:$G$1001=2))&gt;0,"، "&amp;IFERROR(INDEX('تشخيص الحالات'!$D$2:$D$1001,SUMPRODUCT(('تشخيص الحالات'!$B$2:$B$1001=B377)*('تشخيص الحالات'!$G$2:$G$1001=2)*ROW('تشخيص الحالات'!$B$2:$B$1001))-1),""),"")&amp;IF(SUMPRODUCT(('تشخيص الحالات'!$B$2:$B$1001=B377)*('تشخيص الحالات'!$G$2:$G$1001=3))&gt;0,"، "&amp;IFERROR(INDEX('تشخيص الحالات'!$D$2:$D$1001,SUMPRODUCT(('تشخيص الحالات'!$B$2:$B$1001=B377)*('تشخيص الحالات'!$G$2:$G$1001=3)*ROW('تشخيص الحالات'!$B$2:$B$1001))-1),""),"")&amp;IF(SUMPRODUCT(('تشخيص الحالات'!$B$2:$B$1001=B377)*('تشخيص الحالات'!$G$2:$G$1001=4))&gt;0,"، "&amp;IFERROR(INDEX('تشخيص الحالات'!$D$2:$D$1001,SUMPRODUCT(('تشخيص الحالات'!$B$2:$B$1001=B377)*('تشخيص الحالات'!$G$2:$G$1001=4)*ROW('تشخيص الحالات'!$B$2:$B$1001))-1),""),"")&amp;IF(SUMPRODUCT(('تشخيص الحالات'!$B$2:$B$1001=B377)*('تشخيص الحالات'!$G$2:$G$1001=5))&gt;0,"، "&amp;IFERROR(INDEX('تشخيص الحالات'!$D$2:$D$1001,SUMPRODUCT(('تشخيص الحالات'!$B$2:$B$1001=B377)*('تشخيص الحالات'!$G$2:$G$1001=5)*ROW('تشخيص الحالات'!$B$2:$B$1001))-1),""),"")&amp;IF(SUMPRODUCT(('تشخيص الحالات'!$B$2:$B$1001=B377)*('تشخيص الحالات'!$G$2:$G$1001=6))&gt;0,"، "&amp;IFERROR(INDEX('تشخيص الحالات'!$D$2:$D$1001,SUMPRODUCT(('تشخيص الحالات'!$B$2:$B$1001=B377)*('تشخيص الحالات'!$G$2:$G$1001=6)*ROW('تشخيص الحالات'!$B$2:$B$1001))-1),""),"")&amp;IF(SUMPRODUCT(('تشخيص الحالات'!$B$2:$B$1001=B377)*('تشخيص الحالات'!$G$2:$G$1001=7))&gt;0,"، "&amp;IFERROR(INDEX('تشخيص الحالات'!$D$2:$D$1001,SUMPRODUCT(('تشخيص الحالات'!$B$2:$B$1001=B377)*('تشخيص الحالات'!$G$2:$G$1001=7)*ROW('تشخيص الحالات'!$B$2:$B$1001))-1),""),"")&amp;IF(SUMPRODUCT(('تشخيص الحالات'!$B$2:$B$1001=B377)*('تشخيص الحالات'!$G$2:$G$1001=8))&gt;0,"، "&amp;IFERROR(INDEX('تشخيص الحالات'!$D$2:$D$1001,SUMPRODUCT(('تشخيص الحالات'!$B$2:$B$1001=B377)*('تشخيص الحالات'!$G$2:$G$1001=8)*ROW('تشخيص الحالات'!$B$2:$B$1001))-1),""),"")</f>
        <v/>
      </c>
      <c r="J377" s="1"/>
      <c r="K377" s="1"/>
      <c r="L377" s="1"/>
      <c r="M377" s="1"/>
    </row>
    <row r="378" spans="1:13" x14ac:dyDescent="0.2">
      <c r="A378" s="1"/>
      <c r="B378" s="1"/>
      <c r="C378" s="1"/>
      <c r="D378" s="1"/>
      <c r="E378" s="1"/>
      <c r="F378" s="1"/>
      <c r="G378" s="1"/>
      <c r="H378" s="1"/>
      <c r="I378" t="str">
        <f>IFERROR(INDEX('تشخيص الحالات'!$D$2:$D$1001,SUMPRODUCT(('تشخيص الحالات'!$B$2:$B$1001=B378)*('تشخيص الحالات'!$G$2:$G$1001=1)*ROW('تشخيص الحالات'!$B$2:$B$1001))-1),"")&amp;IF(SUMPRODUCT(('تشخيص الحالات'!$B$2:$B$1001=B378)*('تشخيص الحالات'!$G$2:$G$1001=2))&gt;0,"، "&amp;IFERROR(INDEX('تشخيص الحالات'!$D$2:$D$1001,SUMPRODUCT(('تشخيص الحالات'!$B$2:$B$1001=B378)*('تشخيص الحالات'!$G$2:$G$1001=2)*ROW('تشخيص الحالات'!$B$2:$B$1001))-1),""),"")&amp;IF(SUMPRODUCT(('تشخيص الحالات'!$B$2:$B$1001=B378)*('تشخيص الحالات'!$G$2:$G$1001=3))&gt;0,"، "&amp;IFERROR(INDEX('تشخيص الحالات'!$D$2:$D$1001,SUMPRODUCT(('تشخيص الحالات'!$B$2:$B$1001=B378)*('تشخيص الحالات'!$G$2:$G$1001=3)*ROW('تشخيص الحالات'!$B$2:$B$1001))-1),""),"")&amp;IF(SUMPRODUCT(('تشخيص الحالات'!$B$2:$B$1001=B378)*('تشخيص الحالات'!$G$2:$G$1001=4))&gt;0,"، "&amp;IFERROR(INDEX('تشخيص الحالات'!$D$2:$D$1001,SUMPRODUCT(('تشخيص الحالات'!$B$2:$B$1001=B378)*('تشخيص الحالات'!$G$2:$G$1001=4)*ROW('تشخيص الحالات'!$B$2:$B$1001))-1),""),"")&amp;IF(SUMPRODUCT(('تشخيص الحالات'!$B$2:$B$1001=B378)*('تشخيص الحالات'!$G$2:$G$1001=5))&gt;0,"، "&amp;IFERROR(INDEX('تشخيص الحالات'!$D$2:$D$1001,SUMPRODUCT(('تشخيص الحالات'!$B$2:$B$1001=B378)*('تشخيص الحالات'!$G$2:$G$1001=5)*ROW('تشخيص الحالات'!$B$2:$B$1001))-1),""),"")&amp;IF(SUMPRODUCT(('تشخيص الحالات'!$B$2:$B$1001=B378)*('تشخيص الحالات'!$G$2:$G$1001=6))&gt;0,"، "&amp;IFERROR(INDEX('تشخيص الحالات'!$D$2:$D$1001,SUMPRODUCT(('تشخيص الحالات'!$B$2:$B$1001=B378)*('تشخيص الحالات'!$G$2:$G$1001=6)*ROW('تشخيص الحالات'!$B$2:$B$1001))-1),""),"")&amp;IF(SUMPRODUCT(('تشخيص الحالات'!$B$2:$B$1001=B378)*('تشخيص الحالات'!$G$2:$G$1001=7))&gt;0,"، "&amp;IFERROR(INDEX('تشخيص الحالات'!$D$2:$D$1001,SUMPRODUCT(('تشخيص الحالات'!$B$2:$B$1001=B378)*('تشخيص الحالات'!$G$2:$G$1001=7)*ROW('تشخيص الحالات'!$B$2:$B$1001))-1),""),"")&amp;IF(SUMPRODUCT(('تشخيص الحالات'!$B$2:$B$1001=B378)*('تشخيص الحالات'!$G$2:$G$1001=8))&gt;0,"، "&amp;IFERROR(INDEX('تشخيص الحالات'!$D$2:$D$1001,SUMPRODUCT(('تشخيص الحالات'!$B$2:$B$1001=B378)*('تشخيص الحالات'!$G$2:$G$1001=8)*ROW('تشخيص الحالات'!$B$2:$B$1001))-1),""),"")</f>
        <v/>
      </c>
      <c r="J378" s="1"/>
      <c r="K378" s="1"/>
      <c r="L378" s="1"/>
      <c r="M378" s="1"/>
    </row>
    <row r="379" spans="1:13" x14ac:dyDescent="0.2">
      <c r="A379" s="1"/>
      <c r="B379" s="1"/>
      <c r="C379" s="1"/>
      <c r="D379" s="1"/>
      <c r="E379" s="1"/>
      <c r="F379" s="1"/>
      <c r="G379" s="1"/>
      <c r="H379" s="1"/>
      <c r="I379" t="str">
        <f>IFERROR(INDEX('تشخيص الحالات'!$D$2:$D$1001,SUMPRODUCT(('تشخيص الحالات'!$B$2:$B$1001=B379)*('تشخيص الحالات'!$G$2:$G$1001=1)*ROW('تشخيص الحالات'!$B$2:$B$1001))-1),"")&amp;IF(SUMPRODUCT(('تشخيص الحالات'!$B$2:$B$1001=B379)*('تشخيص الحالات'!$G$2:$G$1001=2))&gt;0,"، "&amp;IFERROR(INDEX('تشخيص الحالات'!$D$2:$D$1001,SUMPRODUCT(('تشخيص الحالات'!$B$2:$B$1001=B379)*('تشخيص الحالات'!$G$2:$G$1001=2)*ROW('تشخيص الحالات'!$B$2:$B$1001))-1),""),"")&amp;IF(SUMPRODUCT(('تشخيص الحالات'!$B$2:$B$1001=B379)*('تشخيص الحالات'!$G$2:$G$1001=3))&gt;0,"، "&amp;IFERROR(INDEX('تشخيص الحالات'!$D$2:$D$1001,SUMPRODUCT(('تشخيص الحالات'!$B$2:$B$1001=B379)*('تشخيص الحالات'!$G$2:$G$1001=3)*ROW('تشخيص الحالات'!$B$2:$B$1001))-1),""),"")&amp;IF(SUMPRODUCT(('تشخيص الحالات'!$B$2:$B$1001=B379)*('تشخيص الحالات'!$G$2:$G$1001=4))&gt;0,"، "&amp;IFERROR(INDEX('تشخيص الحالات'!$D$2:$D$1001,SUMPRODUCT(('تشخيص الحالات'!$B$2:$B$1001=B379)*('تشخيص الحالات'!$G$2:$G$1001=4)*ROW('تشخيص الحالات'!$B$2:$B$1001))-1),""),"")&amp;IF(SUMPRODUCT(('تشخيص الحالات'!$B$2:$B$1001=B379)*('تشخيص الحالات'!$G$2:$G$1001=5))&gt;0,"، "&amp;IFERROR(INDEX('تشخيص الحالات'!$D$2:$D$1001,SUMPRODUCT(('تشخيص الحالات'!$B$2:$B$1001=B379)*('تشخيص الحالات'!$G$2:$G$1001=5)*ROW('تشخيص الحالات'!$B$2:$B$1001))-1),""),"")&amp;IF(SUMPRODUCT(('تشخيص الحالات'!$B$2:$B$1001=B379)*('تشخيص الحالات'!$G$2:$G$1001=6))&gt;0,"، "&amp;IFERROR(INDEX('تشخيص الحالات'!$D$2:$D$1001,SUMPRODUCT(('تشخيص الحالات'!$B$2:$B$1001=B379)*('تشخيص الحالات'!$G$2:$G$1001=6)*ROW('تشخيص الحالات'!$B$2:$B$1001))-1),""),"")&amp;IF(SUMPRODUCT(('تشخيص الحالات'!$B$2:$B$1001=B379)*('تشخيص الحالات'!$G$2:$G$1001=7))&gt;0,"، "&amp;IFERROR(INDEX('تشخيص الحالات'!$D$2:$D$1001,SUMPRODUCT(('تشخيص الحالات'!$B$2:$B$1001=B379)*('تشخيص الحالات'!$G$2:$G$1001=7)*ROW('تشخيص الحالات'!$B$2:$B$1001))-1),""),"")&amp;IF(SUMPRODUCT(('تشخيص الحالات'!$B$2:$B$1001=B379)*('تشخيص الحالات'!$G$2:$G$1001=8))&gt;0,"، "&amp;IFERROR(INDEX('تشخيص الحالات'!$D$2:$D$1001,SUMPRODUCT(('تشخيص الحالات'!$B$2:$B$1001=B379)*('تشخيص الحالات'!$G$2:$G$1001=8)*ROW('تشخيص الحالات'!$B$2:$B$1001))-1),""),"")</f>
        <v/>
      </c>
      <c r="J379" s="1"/>
      <c r="K379" s="1"/>
      <c r="L379" s="1"/>
      <c r="M379" s="1"/>
    </row>
    <row r="380" spans="1:13" x14ac:dyDescent="0.2">
      <c r="A380" s="1"/>
      <c r="B380" s="1"/>
      <c r="C380" s="1"/>
      <c r="D380" s="1"/>
      <c r="E380" s="1"/>
      <c r="F380" s="1"/>
      <c r="G380" s="1"/>
      <c r="H380" s="1"/>
      <c r="I380" t="str">
        <f>IFERROR(INDEX('تشخيص الحالات'!$D$2:$D$1001,SUMPRODUCT(('تشخيص الحالات'!$B$2:$B$1001=B380)*('تشخيص الحالات'!$G$2:$G$1001=1)*ROW('تشخيص الحالات'!$B$2:$B$1001))-1),"")&amp;IF(SUMPRODUCT(('تشخيص الحالات'!$B$2:$B$1001=B380)*('تشخيص الحالات'!$G$2:$G$1001=2))&gt;0,"، "&amp;IFERROR(INDEX('تشخيص الحالات'!$D$2:$D$1001,SUMPRODUCT(('تشخيص الحالات'!$B$2:$B$1001=B380)*('تشخيص الحالات'!$G$2:$G$1001=2)*ROW('تشخيص الحالات'!$B$2:$B$1001))-1),""),"")&amp;IF(SUMPRODUCT(('تشخيص الحالات'!$B$2:$B$1001=B380)*('تشخيص الحالات'!$G$2:$G$1001=3))&gt;0,"، "&amp;IFERROR(INDEX('تشخيص الحالات'!$D$2:$D$1001,SUMPRODUCT(('تشخيص الحالات'!$B$2:$B$1001=B380)*('تشخيص الحالات'!$G$2:$G$1001=3)*ROW('تشخيص الحالات'!$B$2:$B$1001))-1),""),"")&amp;IF(SUMPRODUCT(('تشخيص الحالات'!$B$2:$B$1001=B380)*('تشخيص الحالات'!$G$2:$G$1001=4))&gt;0,"، "&amp;IFERROR(INDEX('تشخيص الحالات'!$D$2:$D$1001,SUMPRODUCT(('تشخيص الحالات'!$B$2:$B$1001=B380)*('تشخيص الحالات'!$G$2:$G$1001=4)*ROW('تشخيص الحالات'!$B$2:$B$1001))-1),""),"")&amp;IF(SUMPRODUCT(('تشخيص الحالات'!$B$2:$B$1001=B380)*('تشخيص الحالات'!$G$2:$G$1001=5))&gt;0,"، "&amp;IFERROR(INDEX('تشخيص الحالات'!$D$2:$D$1001,SUMPRODUCT(('تشخيص الحالات'!$B$2:$B$1001=B380)*('تشخيص الحالات'!$G$2:$G$1001=5)*ROW('تشخيص الحالات'!$B$2:$B$1001))-1),""),"")&amp;IF(SUMPRODUCT(('تشخيص الحالات'!$B$2:$B$1001=B380)*('تشخيص الحالات'!$G$2:$G$1001=6))&gt;0,"، "&amp;IFERROR(INDEX('تشخيص الحالات'!$D$2:$D$1001,SUMPRODUCT(('تشخيص الحالات'!$B$2:$B$1001=B380)*('تشخيص الحالات'!$G$2:$G$1001=6)*ROW('تشخيص الحالات'!$B$2:$B$1001))-1),""),"")&amp;IF(SUMPRODUCT(('تشخيص الحالات'!$B$2:$B$1001=B380)*('تشخيص الحالات'!$G$2:$G$1001=7))&gt;0,"، "&amp;IFERROR(INDEX('تشخيص الحالات'!$D$2:$D$1001,SUMPRODUCT(('تشخيص الحالات'!$B$2:$B$1001=B380)*('تشخيص الحالات'!$G$2:$G$1001=7)*ROW('تشخيص الحالات'!$B$2:$B$1001))-1),""),"")&amp;IF(SUMPRODUCT(('تشخيص الحالات'!$B$2:$B$1001=B380)*('تشخيص الحالات'!$G$2:$G$1001=8))&gt;0,"، "&amp;IFERROR(INDEX('تشخيص الحالات'!$D$2:$D$1001,SUMPRODUCT(('تشخيص الحالات'!$B$2:$B$1001=B380)*('تشخيص الحالات'!$G$2:$G$1001=8)*ROW('تشخيص الحالات'!$B$2:$B$1001))-1),""),"")</f>
        <v/>
      </c>
      <c r="J380" s="1"/>
      <c r="K380" s="1"/>
      <c r="L380" s="1"/>
      <c r="M380" s="1"/>
    </row>
    <row r="381" spans="1:13" x14ac:dyDescent="0.2">
      <c r="A381" s="1"/>
      <c r="B381" s="1"/>
      <c r="C381" s="1"/>
      <c r="D381" s="1"/>
      <c r="E381" s="1"/>
      <c r="F381" s="1"/>
      <c r="G381" s="1"/>
      <c r="H381" s="1"/>
      <c r="I381" t="str">
        <f>IFERROR(INDEX('تشخيص الحالات'!$D$2:$D$1001,SUMPRODUCT(('تشخيص الحالات'!$B$2:$B$1001=B381)*('تشخيص الحالات'!$G$2:$G$1001=1)*ROW('تشخيص الحالات'!$B$2:$B$1001))-1),"")&amp;IF(SUMPRODUCT(('تشخيص الحالات'!$B$2:$B$1001=B381)*('تشخيص الحالات'!$G$2:$G$1001=2))&gt;0,"، "&amp;IFERROR(INDEX('تشخيص الحالات'!$D$2:$D$1001,SUMPRODUCT(('تشخيص الحالات'!$B$2:$B$1001=B381)*('تشخيص الحالات'!$G$2:$G$1001=2)*ROW('تشخيص الحالات'!$B$2:$B$1001))-1),""),"")&amp;IF(SUMPRODUCT(('تشخيص الحالات'!$B$2:$B$1001=B381)*('تشخيص الحالات'!$G$2:$G$1001=3))&gt;0,"، "&amp;IFERROR(INDEX('تشخيص الحالات'!$D$2:$D$1001,SUMPRODUCT(('تشخيص الحالات'!$B$2:$B$1001=B381)*('تشخيص الحالات'!$G$2:$G$1001=3)*ROW('تشخيص الحالات'!$B$2:$B$1001))-1),""),"")&amp;IF(SUMPRODUCT(('تشخيص الحالات'!$B$2:$B$1001=B381)*('تشخيص الحالات'!$G$2:$G$1001=4))&gt;0,"، "&amp;IFERROR(INDEX('تشخيص الحالات'!$D$2:$D$1001,SUMPRODUCT(('تشخيص الحالات'!$B$2:$B$1001=B381)*('تشخيص الحالات'!$G$2:$G$1001=4)*ROW('تشخيص الحالات'!$B$2:$B$1001))-1),""),"")&amp;IF(SUMPRODUCT(('تشخيص الحالات'!$B$2:$B$1001=B381)*('تشخيص الحالات'!$G$2:$G$1001=5))&gt;0,"، "&amp;IFERROR(INDEX('تشخيص الحالات'!$D$2:$D$1001,SUMPRODUCT(('تشخيص الحالات'!$B$2:$B$1001=B381)*('تشخيص الحالات'!$G$2:$G$1001=5)*ROW('تشخيص الحالات'!$B$2:$B$1001))-1),""),"")&amp;IF(SUMPRODUCT(('تشخيص الحالات'!$B$2:$B$1001=B381)*('تشخيص الحالات'!$G$2:$G$1001=6))&gt;0,"، "&amp;IFERROR(INDEX('تشخيص الحالات'!$D$2:$D$1001,SUMPRODUCT(('تشخيص الحالات'!$B$2:$B$1001=B381)*('تشخيص الحالات'!$G$2:$G$1001=6)*ROW('تشخيص الحالات'!$B$2:$B$1001))-1),""),"")&amp;IF(SUMPRODUCT(('تشخيص الحالات'!$B$2:$B$1001=B381)*('تشخيص الحالات'!$G$2:$G$1001=7))&gt;0,"، "&amp;IFERROR(INDEX('تشخيص الحالات'!$D$2:$D$1001,SUMPRODUCT(('تشخيص الحالات'!$B$2:$B$1001=B381)*('تشخيص الحالات'!$G$2:$G$1001=7)*ROW('تشخيص الحالات'!$B$2:$B$1001))-1),""),"")&amp;IF(SUMPRODUCT(('تشخيص الحالات'!$B$2:$B$1001=B381)*('تشخيص الحالات'!$G$2:$G$1001=8))&gt;0,"، "&amp;IFERROR(INDEX('تشخيص الحالات'!$D$2:$D$1001,SUMPRODUCT(('تشخيص الحالات'!$B$2:$B$1001=B381)*('تشخيص الحالات'!$G$2:$G$1001=8)*ROW('تشخيص الحالات'!$B$2:$B$1001))-1),""),"")</f>
        <v/>
      </c>
      <c r="J381" s="1"/>
      <c r="K381" s="1"/>
      <c r="L381" s="1"/>
      <c r="M381" s="1"/>
    </row>
    <row r="382" spans="1:13" x14ac:dyDescent="0.2">
      <c r="A382" s="1"/>
      <c r="B382" s="1"/>
      <c r="C382" s="1"/>
      <c r="D382" s="1"/>
      <c r="E382" s="1"/>
      <c r="F382" s="1"/>
      <c r="G382" s="1"/>
      <c r="H382" s="1"/>
      <c r="I382" t="str">
        <f>IFERROR(INDEX('تشخيص الحالات'!$D$2:$D$1001,SUMPRODUCT(('تشخيص الحالات'!$B$2:$B$1001=B382)*('تشخيص الحالات'!$G$2:$G$1001=1)*ROW('تشخيص الحالات'!$B$2:$B$1001))-1),"")&amp;IF(SUMPRODUCT(('تشخيص الحالات'!$B$2:$B$1001=B382)*('تشخيص الحالات'!$G$2:$G$1001=2))&gt;0,"، "&amp;IFERROR(INDEX('تشخيص الحالات'!$D$2:$D$1001,SUMPRODUCT(('تشخيص الحالات'!$B$2:$B$1001=B382)*('تشخيص الحالات'!$G$2:$G$1001=2)*ROW('تشخيص الحالات'!$B$2:$B$1001))-1),""),"")&amp;IF(SUMPRODUCT(('تشخيص الحالات'!$B$2:$B$1001=B382)*('تشخيص الحالات'!$G$2:$G$1001=3))&gt;0,"، "&amp;IFERROR(INDEX('تشخيص الحالات'!$D$2:$D$1001,SUMPRODUCT(('تشخيص الحالات'!$B$2:$B$1001=B382)*('تشخيص الحالات'!$G$2:$G$1001=3)*ROW('تشخيص الحالات'!$B$2:$B$1001))-1),""),"")&amp;IF(SUMPRODUCT(('تشخيص الحالات'!$B$2:$B$1001=B382)*('تشخيص الحالات'!$G$2:$G$1001=4))&gt;0,"، "&amp;IFERROR(INDEX('تشخيص الحالات'!$D$2:$D$1001,SUMPRODUCT(('تشخيص الحالات'!$B$2:$B$1001=B382)*('تشخيص الحالات'!$G$2:$G$1001=4)*ROW('تشخيص الحالات'!$B$2:$B$1001))-1),""),"")&amp;IF(SUMPRODUCT(('تشخيص الحالات'!$B$2:$B$1001=B382)*('تشخيص الحالات'!$G$2:$G$1001=5))&gt;0,"، "&amp;IFERROR(INDEX('تشخيص الحالات'!$D$2:$D$1001,SUMPRODUCT(('تشخيص الحالات'!$B$2:$B$1001=B382)*('تشخيص الحالات'!$G$2:$G$1001=5)*ROW('تشخيص الحالات'!$B$2:$B$1001))-1),""),"")&amp;IF(SUMPRODUCT(('تشخيص الحالات'!$B$2:$B$1001=B382)*('تشخيص الحالات'!$G$2:$G$1001=6))&gt;0,"، "&amp;IFERROR(INDEX('تشخيص الحالات'!$D$2:$D$1001,SUMPRODUCT(('تشخيص الحالات'!$B$2:$B$1001=B382)*('تشخيص الحالات'!$G$2:$G$1001=6)*ROW('تشخيص الحالات'!$B$2:$B$1001))-1),""),"")&amp;IF(SUMPRODUCT(('تشخيص الحالات'!$B$2:$B$1001=B382)*('تشخيص الحالات'!$G$2:$G$1001=7))&gt;0,"، "&amp;IFERROR(INDEX('تشخيص الحالات'!$D$2:$D$1001,SUMPRODUCT(('تشخيص الحالات'!$B$2:$B$1001=B382)*('تشخيص الحالات'!$G$2:$G$1001=7)*ROW('تشخيص الحالات'!$B$2:$B$1001))-1),""),"")&amp;IF(SUMPRODUCT(('تشخيص الحالات'!$B$2:$B$1001=B382)*('تشخيص الحالات'!$G$2:$G$1001=8))&gt;0,"، "&amp;IFERROR(INDEX('تشخيص الحالات'!$D$2:$D$1001,SUMPRODUCT(('تشخيص الحالات'!$B$2:$B$1001=B382)*('تشخيص الحالات'!$G$2:$G$1001=8)*ROW('تشخيص الحالات'!$B$2:$B$1001))-1),""),"")</f>
        <v/>
      </c>
      <c r="J382" s="1"/>
      <c r="K382" s="1"/>
      <c r="L382" s="1"/>
      <c r="M382" s="1"/>
    </row>
    <row r="383" spans="1:13" x14ac:dyDescent="0.2">
      <c r="A383" s="1"/>
      <c r="B383" s="1"/>
      <c r="C383" s="1"/>
      <c r="D383" s="1"/>
      <c r="E383" s="1"/>
      <c r="F383" s="1"/>
      <c r="G383" s="1"/>
      <c r="H383" s="1"/>
      <c r="I383" t="str">
        <f>IFERROR(INDEX('تشخيص الحالات'!$D$2:$D$1001,SUMPRODUCT(('تشخيص الحالات'!$B$2:$B$1001=B383)*('تشخيص الحالات'!$G$2:$G$1001=1)*ROW('تشخيص الحالات'!$B$2:$B$1001))-1),"")&amp;IF(SUMPRODUCT(('تشخيص الحالات'!$B$2:$B$1001=B383)*('تشخيص الحالات'!$G$2:$G$1001=2))&gt;0,"، "&amp;IFERROR(INDEX('تشخيص الحالات'!$D$2:$D$1001,SUMPRODUCT(('تشخيص الحالات'!$B$2:$B$1001=B383)*('تشخيص الحالات'!$G$2:$G$1001=2)*ROW('تشخيص الحالات'!$B$2:$B$1001))-1),""),"")&amp;IF(SUMPRODUCT(('تشخيص الحالات'!$B$2:$B$1001=B383)*('تشخيص الحالات'!$G$2:$G$1001=3))&gt;0,"، "&amp;IFERROR(INDEX('تشخيص الحالات'!$D$2:$D$1001,SUMPRODUCT(('تشخيص الحالات'!$B$2:$B$1001=B383)*('تشخيص الحالات'!$G$2:$G$1001=3)*ROW('تشخيص الحالات'!$B$2:$B$1001))-1),""),"")&amp;IF(SUMPRODUCT(('تشخيص الحالات'!$B$2:$B$1001=B383)*('تشخيص الحالات'!$G$2:$G$1001=4))&gt;0,"، "&amp;IFERROR(INDEX('تشخيص الحالات'!$D$2:$D$1001,SUMPRODUCT(('تشخيص الحالات'!$B$2:$B$1001=B383)*('تشخيص الحالات'!$G$2:$G$1001=4)*ROW('تشخيص الحالات'!$B$2:$B$1001))-1),""),"")&amp;IF(SUMPRODUCT(('تشخيص الحالات'!$B$2:$B$1001=B383)*('تشخيص الحالات'!$G$2:$G$1001=5))&gt;0,"، "&amp;IFERROR(INDEX('تشخيص الحالات'!$D$2:$D$1001,SUMPRODUCT(('تشخيص الحالات'!$B$2:$B$1001=B383)*('تشخيص الحالات'!$G$2:$G$1001=5)*ROW('تشخيص الحالات'!$B$2:$B$1001))-1),""),"")&amp;IF(SUMPRODUCT(('تشخيص الحالات'!$B$2:$B$1001=B383)*('تشخيص الحالات'!$G$2:$G$1001=6))&gt;0,"، "&amp;IFERROR(INDEX('تشخيص الحالات'!$D$2:$D$1001,SUMPRODUCT(('تشخيص الحالات'!$B$2:$B$1001=B383)*('تشخيص الحالات'!$G$2:$G$1001=6)*ROW('تشخيص الحالات'!$B$2:$B$1001))-1),""),"")&amp;IF(SUMPRODUCT(('تشخيص الحالات'!$B$2:$B$1001=B383)*('تشخيص الحالات'!$G$2:$G$1001=7))&gt;0,"، "&amp;IFERROR(INDEX('تشخيص الحالات'!$D$2:$D$1001,SUMPRODUCT(('تشخيص الحالات'!$B$2:$B$1001=B383)*('تشخيص الحالات'!$G$2:$G$1001=7)*ROW('تشخيص الحالات'!$B$2:$B$1001))-1),""),"")&amp;IF(SUMPRODUCT(('تشخيص الحالات'!$B$2:$B$1001=B383)*('تشخيص الحالات'!$G$2:$G$1001=8))&gt;0,"، "&amp;IFERROR(INDEX('تشخيص الحالات'!$D$2:$D$1001,SUMPRODUCT(('تشخيص الحالات'!$B$2:$B$1001=B383)*('تشخيص الحالات'!$G$2:$G$1001=8)*ROW('تشخيص الحالات'!$B$2:$B$1001))-1),""),"")</f>
        <v/>
      </c>
      <c r="J383" s="1"/>
      <c r="K383" s="1"/>
      <c r="L383" s="1"/>
      <c r="M383" s="1"/>
    </row>
    <row r="384" spans="1:13" x14ac:dyDescent="0.2">
      <c r="A384" s="1"/>
      <c r="B384" s="1"/>
      <c r="C384" s="1"/>
      <c r="D384" s="1"/>
      <c r="E384" s="1"/>
      <c r="F384" s="1"/>
      <c r="G384" s="1"/>
      <c r="H384" s="1"/>
      <c r="I384" t="str">
        <f>IFERROR(INDEX('تشخيص الحالات'!$D$2:$D$1001,SUMPRODUCT(('تشخيص الحالات'!$B$2:$B$1001=B384)*('تشخيص الحالات'!$G$2:$G$1001=1)*ROW('تشخيص الحالات'!$B$2:$B$1001))-1),"")&amp;IF(SUMPRODUCT(('تشخيص الحالات'!$B$2:$B$1001=B384)*('تشخيص الحالات'!$G$2:$G$1001=2))&gt;0,"، "&amp;IFERROR(INDEX('تشخيص الحالات'!$D$2:$D$1001,SUMPRODUCT(('تشخيص الحالات'!$B$2:$B$1001=B384)*('تشخيص الحالات'!$G$2:$G$1001=2)*ROW('تشخيص الحالات'!$B$2:$B$1001))-1),""),"")&amp;IF(SUMPRODUCT(('تشخيص الحالات'!$B$2:$B$1001=B384)*('تشخيص الحالات'!$G$2:$G$1001=3))&gt;0,"، "&amp;IFERROR(INDEX('تشخيص الحالات'!$D$2:$D$1001,SUMPRODUCT(('تشخيص الحالات'!$B$2:$B$1001=B384)*('تشخيص الحالات'!$G$2:$G$1001=3)*ROW('تشخيص الحالات'!$B$2:$B$1001))-1),""),"")&amp;IF(SUMPRODUCT(('تشخيص الحالات'!$B$2:$B$1001=B384)*('تشخيص الحالات'!$G$2:$G$1001=4))&gt;0,"، "&amp;IFERROR(INDEX('تشخيص الحالات'!$D$2:$D$1001,SUMPRODUCT(('تشخيص الحالات'!$B$2:$B$1001=B384)*('تشخيص الحالات'!$G$2:$G$1001=4)*ROW('تشخيص الحالات'!$B$2:$B$1001))-1),""),"")&amp;IF(SUMPRODUCT(('تشخيص الحالات'!$B$2:$B$1001=B384)*('تشخيص الحالات'!$G$2:$G$1001=5))&gt;0,"، "&amp;IFERROR(INDEX('تشخيص الحالات'!$D$2:$D$1001,SUMPRODUCT(('تشخيص الحالات'!$B$2:$B$1001=B384)*('تشخيص الحالات'!$G$2:$G$1001=5)*ROW('تشخيص الحالات'!$B$2:$B$1001))-1),""),"")&amp;IF(SUMPRODUCT(('تشخيص الحالات'!$B$2:$B$1001=B384)*('تشخيص الحالات'!$G$2:$G$1001=6))&gt;0,"، "&amp;IFERROR(INDEX('تشخيص الحالات'!$D$2:$D$1001,SUMPRODUCT(('تشخيص الحالات'!$B$2:$B$1001=B384)*('تشخيص الحالات'!$G$2:$G$1001=6)*ROW('تشخيص الحالات'!$B$2:$B$1001))-1),""),"")&amp;IF(SUMPRODUCT(('تشخيص الحالات'!$B$2:$B$1001=B384)*('تشخيص الحالات'!$G$2:$G$1001=7))&gt;0,"، "&amp;IFERROR(INDEX('تشخيص الحالات'!$D$2:$D$1001,SUMPRODUCT(('تشخيص الحالات'!$B$2:$B$1001=B384)*('تشخيص الحالات'!$G$2:$G$1001=7)*ROW('تشخيص الحالات'!$B$2:$B$1001))-1),""),"")&amp;IF(SUMPRODUCT(('تشخيص الحالات'!$B$2:$B$1001=B384)*('تشخيص الحالات'!$G$2:$G$1001=8))&gt;0,"، "&amp;IFERROR(INDEX('تشخيص الحالات'!$D$2:$D$1001,SUMPRODUCT(('تشخيص الحالات'!$B$2:$B$1001=B384)*('تشخيص الحالات'!$G$2:$G$1001=8)*ROW('تشخيص الحالات'!$B$2:$B$1001))-1),""),"")</f>
        <v/>
      </c>
      <c r="J384" s="1"/>
      <c r="K384" s="1"/>
      <c r="L384" s="1"/>
      <c r="M384" s="1"/>
    </row>
    <row r="385" spans="1:13" x14ac:dyDescent="0.2">
      <c r="A385" s="1"/>
      <c r="B385" s="1"/>
      <c r="C385" s="1"/>
      <c r="D385" s="1"/>
      <c r="E385" s="1"/>
      <c r="F385" s="1"/>
      <c r="G385" s="1"/>
      <c r="H385" s="1"/>
      <c r="I385" t="str">
        <f>IFERROR(INDEX('تشخيص الحالات'!$D$2:$D$1001,SUMPRODUCT(('تشخيص الحالات'!$B$2:$B$1001=B385)*('تشخيص الحالات'!$G$2:$G$1001=1)*ROW('تشخيص الحالات'!$B$2:$B$1001))-1),"")&amp;IF(SUMPRODUCT(('تشخيص الحالات'!$B$2:$B$1001=B385)*('تشخيص الحالات'!$G$2:$G$1001=2))&gt;0,"، "&amp;IFERROR(INDEX('تشخيص الحالات'!$D$2:$D$1001,SUMPRODUCT(('تشخيص الحالات'!$B$2:$B$1001=B385)*('تشخيص الحالات'!$G$2:$G$1001=2)*ROW('تشخيص الحالات'!$B$2:$B$1001))-1),""),"")&amp;IF(SUMPRODUCT(('تشخيص الحالات'!$B$2:$B$1001=B385)*('تشخيص الحالات'!$G$2:$G$1001=3))&gt;0,"، "&amp;IFERROR(INDEX('تشخيص الحالات'!$D$2:$D$1001,SUMPRODUCT(('تشخيص الحالات'!$B$2:$B$1001=B385)*('تشخيص الحالات'!$G$2:$G$1001=3)*ROW('تشخيص الحالات'!$B$2:$B$1001))-1),""),"")&amp;IF(SUMPRODUCT(('تشخيص الحالات'!$B$2:$B$1001=B385)*('تشخيص الحالات'!$G$2:$G$1001=4))&gt;0,"، "&amp;IFERROR(INDEX('تشخيص الحالات'!$D$2:$D$1001,SUMPRODUCT(('تشخيص الحالات'!$B$2:$B$1001=B385)*('تشخيص الحالات'!$G$2:$G$1001=4)*ROW('تشخيص الحالات'!$B$2:$B$1001))-1),""),"")&amp;IF(SUMPRODUCT(('تشخيص الحالات'!$B$2:$B$1001=B385)*('تشخيص الحالات'!$G$2:$G$1001=5))&gt;0,"، "&amp;IFERROR(INDEX('تشخيص الحالات'!$D$2:$D$1001,SUMPRODUCT(('تشخيص الحالات'!$B$2:$B$1001=B385)*('تشخيص الحالات'!$G$2:$G$1001=5)*ROW('تشخيص الحالات'!$B$2:$B$1001))-1),""),"")&amp;IF(SUMPRODUCT(('تشخيص الحالات'!$B$2:$B$1001=B385)*('تشخيص الحالات'!$G$2:$G$1001=6))&gt;0,"، "&amp;IFERROR(INDEX('تشخيص الحالات'!$D$2:$D$1001,SUMPRODUCT(('تشخيص الحالات'!$B$2:$B$1001=B385)*('تشخيص الحالات'!$G$2:$G$1001=6)*ROW('تشخيص الحالات'!$B$2:$B$1001))-1),""),"")&amp;IF(SUMPRODUCT(('تشخيص الحالات'!$B$2:$B$1001=B385)*('تشخيص الحالات'!$G$2:$G$1001=7))&gt;0,"، "&amp;IFERROR(INDEX('تشخيص الحالات'!$D$2:$D$1001,SUMPRODUCT(('تشخيص الحالات'!$B$2:$B$1001=B385)*('تشخيص الحالات'!$G$2:$G$1001=7)*ROW('تشخيص الحالات'!$B$2:$B$1001))-1),""),"")&amp;IF(SUMPRODUCT(('تشخيص الحالات'!$B$2:$B$1001=B385)*('تشخيص الحالات'!$G$2:$G$1001=8))&gt;0,"، "&amp;IFERROR(INDEX('تشخيص الحالات'!$D$2:$D$1001,SUMPRODUCT(('تشخيص الحالات'!$B$2:$B$1001=B385)*('تشخيص الحالات'!$G$2:$G$1001=8)*ROW('تشخيص الحالات'!$B$2:$B$1001))-1),""),"")</f>
        <v/>
      </c>
      <c r="J385" s="1"/>
      <c r="K385" s="1"/>
      <c r="L385" s="1"/>
      <c r="M385" s="1"/>
    </row>
    <row r="386" spans="1:13" x14ac:dyDescent="0.2">
      <c r="A386" s="1"/>
      <c r="B386" s="1"/>
      <c r="C386" s="1"/>
      <c r="D386" s="1"/>
      <c r="E386" s="1"/>
      <c r="F386" s="1"/>
      <c r="G386" s="1"/>
      <c r="H386" s="1"/>
      <c r="I386" t="str">
        <f>IFERROR(INDEX('تشخيص الحالات'!$D$2:$D$1001,SUMPRODUCT(('تشخيص الحالات'!$B$2:$B$1001=B386)*('تشخيص الحالات'!$G$2:$G$1001=1)*ROW('تشخيص الحالات'!$B$2:$B$1001))-1),"")&amp;IF(SUMPRODUCT(('تشخيص الحالات'!$B$2:$B$1001=B386)*('تشخيص الحالات'!$G$2:$G$1001=2))&gt;0,"، "&amp;IFERROR(INDEX('تشخيص الحالات'!$D$2:$D$1001,SUMPRODUCT(('تشخيص الحالات'!$B$2:$B$1001=B386)*('تشخيص الحالات'!$G$2:$G$1001=2)*ROW('تشخيص الحالات'!$B$2:$B$1001))-1),""),"")&amp;IF(SUMPRODUCT(('تشخيص الحالات'!$B$2:$B$1001=B386)*('تشخيص الحالات'!$G$2:$G$1001=3))&gt;0,"، "&amp;IFERROR(INDEX('تشخيص الحالات'!$D$2:$D$1001,SUMPRODUCT(('تشخيص الحالات'!$B$2:$B$1001=B386)*('تشخيص الحالات'!$G$2:$G$1001=3)*ROW('تشخيص الحالات'!$B$2:$B$1001))-1),""),"")&amp;IF(SUMPRODUCT(('تشخيص الحالات'!$B$2:$B$1001=B386)*('تشخيص الحالات'!$G$2:$G$1001=4))&gt;0,"، "&amp;IFERROR(INDEX('تشخيص الحالات'!$D$2:$D$1001,SUMPRODUCT(('تشخيص الحالات'!$B$2:$B$1001=B386)*('تشخيص الحالات'!$G$2:$G$1001=4)*ROW('تشخيص الحالات'!$B$2:$B$1001))-1),""),"")&amp;IF(SUMPRODUCT(('تشخيص الحالات'!$B$2:$B$1001=B386)*('تشخيص الحالات'!$G$2:$G$1001=5))&gt;0,"، "&amp;IFERROR(INDEX('تشخيص الحالات'!$D$2:$D$1001,SUMPRODUCT(('تشخيص الحالات'!$B$2:$B$1001=B386)*('تشخيص الحالات'!$G$2:$G$1001=5)*ROW('تشخيص الحالات'!$B$2:$B$1001))-1),""),"")&amp;IF(SUMPRODUCT(('تشخيص الحالات'!$B$2:$B$1001=B386)*('تشخيص الحالات'!$G$2:$G$1001=6))&gt;0,"، "&amp;IFERROR(INDEX('تشخيص الحالات'!$D$2:$D$1001,SUMPRODUCT(('تشخيص الحالات'!$B$2:$B$1001=B386)*('تشخيص الحالات'!$G$2:$G$1001=6)*ROW('تشخيص الحالات'!$B$2:$B$1001))-1),""),"")&amp;IF(SUMPRODUCT(('تشخيص الحالات'!$B$2:$B$1001=B386)*('تشخيص الحالات'!$G$2:$G$1001=7))&gt;0,"، "&amp;IFERROR(INDEX('تشخيص الحالات'!$D$2:$D$1001,SUMPRODUCT(('تشخيص الحالات'!$B$2:$B$1001=B386)*('تشخيص الحالات'!$G$2:$G$1001=7)*ROW('تشخيص الحالات'!$B$2:$B$1001))-1),""),"")&amp;IF(SUMPRODUCT(('تشخيص الحالات'!$B$2:$B$1001=B386)*('تشخيص الحالات'!$G$2:$G$1001=8))&gt;0,"، "&amp;IFERROR(INDEX('تشخيص الحالات'!$D$2:$D$1001,SUMPRODUCT(('تشخيص الحالات'!$B$2:$B$1001=B386)*('تشخيص الحالات'!$G$2:$G$1001=8)*ROW('تشخيص الحالات'!$B$2:$B$1001))-1),""),"")</f>
        <v/>
      </c>
      <c r="J386" s="1"/>
      <c r="K386" s="1"/>
      <c r="L386" s="1"/>
      <c r="M386" s="1"/>
    </row>
    <row r="387" spans="1:13" x14ac:dyDescent="0.2">
      <c r="A387" s="1"/>
      <c r="B387" s="1"/>
      <c r="C387" s="1"/>
      <c r="D387" s="1"/>
      <c r="E387" s="1"/>
      <c r="F387" s="1"/>
      <c r="G387" s="1"/>
      <c r="H387" s="1"/>
      <c r="I387" t="str">
        <f>IFERROR(INDEX('تشخيص الحالات'!$D$2:$D$1001,SUMPRODUCT(('تشخيص الحالات'!$B$2:$B$1001=B387)*('تشخيص الحالات'!$G$2:$G$1001=1)*ROW('تشخيص الحالات'!$B$2:$B$1001))-1),"")&amp;IF(SUMPRODUCT(('تشخيص الحالات'!$B$2:$B$1001=B387)*('تشخيص الحالات'!$G$2:$G$1001=2))&gt;0,"، "&amp;IFERROR(INDEX('تشخيص الحالات'!$D$2:$D$1001,SUMPRODUCT(('تشخيص الحالات'!$B$2:$B$1001=B387)*('تشخيص الحالات'!$G$2:$G$1001=2)*ROW('تشخيص الحالات'!$B$2:$B$1001))-1),""),"")&amp;IF(SUMPRODUCT(('تشخيص الحالات'!$B$2:$B$1001=B387)*('تشخيص الحالات'!$G$2:$G$1001=3))&gt;0,"، "&amp;IFERROR(INDEX('تشخيص الحالات'!$D$2:$D$1001,SUMPRODUCT(('تشخيص الحالات'!$B$2:$B$1001=B387)*('تشخيص الحالات'!$G$2:$G$1001=3)*ROW('تشخيص الحالات'!$B$2:$B$1001))-1),""),"")&amp;IF(SUMPRODUCT(('تشخيص الحالات'!$B$2:$B$1001=B387)*('تشخيص الحالات'!$G$2:$G$1001=4))&gt;0,"، "&amp;IFERROR(INDEX('تشخيص الحالات'!$D$2:$D$1001,SUMPRODUCT(('تشخيص الحالات'!$B$2:$B$1001=B387)*('تشخيص الحالات'!$G$2:$G$1001=4)*ROW('تشخيص الحالات'!$B$2:$B$1001))-1),""),"")&amp;IF(SUMPRODUCT(('تشخيص الحالات'!$B$2:$B$1001=B387)*('تشخيص الحالات'!$G$2:$G$1001=5))&gt;0,"، "&amp;IFERROR(INDEX('تشخيص الحالات'!$D$2:$D$1001,SUMPRODUCT(('تشخيص الحالات'!$B$2:$B$1001=B387)*('تشخيص الحالات'!$G$2:$G$1001=5)*ROW('تشخيص الحالات'!$B$2:$B$1001))-1),""),"")&amp;IF(SUMPRODUCT(('تشخيص الحالات'!$B$2:$B$1001=B387)*('تشخيص الحالات'!$G$2:$G$1001=6))&gt;0,"، "&amp;IFERROR(INDEX('تشخيص الحالات'!$D$2:$D$1001,SUMPRODUCT(('تشخيص الحالات'!$B$2:$B$1001=B387)*('تشخيص الحالات'!$G$2:$G$1001=6)*ROW('تشخيص الحالات'!$B$2:$B$1001))-1),""),"")&amp;IF(SUMPRODUCT(('تشخيص الحالات'!$B$2:$B$1001=B387)*('تشخيص الحالات'!$G$2:$G$1001=7))&gt;0,"، "&amp;IFERROR(INDEX('تشخيص الحالات'!$D$2:$D$1001,SUMPRODUCT(('تشخيص الحالات'!$B$2:$B$1001=B387)*('تشخيص الحالات'!$G$2:$G$1001=7)*ROW('تشخيص الحالات'!$B$2:$B$1001))-1),""),"")&amp;IF(SUMPRODUCT(('تشخيص الحالات'!$B$2:$B$1001=B387)*('تشخيص الحالات'!$G$2:$G$1001=8))&gt;0,"، "&amp;IFERROR(INDEX('تشخيص الحالات'!$D$2:$D$1001,SUMPRODUCT(('تشخيص الحالات'!$B$2:$B$1001=B387)*('تشخيص الحالات'!$G$2:$G$1001=8)*ROW('تشخيص الحالات'!$B$2:$B$1001))-1),""),"")</f>
        <v/>
      </c>
      <c r="J387" s="1"/>
      <c r="K387" s="1"/>
      <c r="L387" s="1"/>
      <c r="M387" s="1"/>
    </row>
    <row r="388" spans="1:13" x14ac:dyDescent="0.2">
      <c r="A388" s="1"/>
      <c r="B388" s="1"/>
      <c r="C388" s="1"/>
      <c r="D388" s="1"/>
      <c r="E388" s="1"/>
      <c r="F388" s="1"/>
      <c r="G388" s="1"/>
      <c r="H388" s="1"/>
      <c r="I388" t="str">
        <f>IFERROR(INDEX('تشخيص الحالات'!$D$2:$D$1001,SUMPRODUCT(('تشخيص الحالات'!$B$2:$B$1001=B388)*('تشخيص الحالات'!$G$2:$G$1001=1)*ROW('تشخيص الحالات'!$B$2:$B$1001))-1),"")&amp;IF(SUMPRODUCT(('تشخيص الحالات'!$B$2:$B$1001=B388)*('تشخيص الحالات'!$G$2:$G$1001=2))&gt;0,"، "&amp;IFERROR(INDEX('تشخيص الحالات'!$D$2:$D$1001,SUMPRODUCT(('تشخيص الحالات'!$B$2:$B$1001=B388)*('تشخيص الحالات'!$G$2:$G$1001=2)*ROW('تشخيص الحالات'!$B$2:$B$1001))-1),""),"")&amp;IF(SUMPRODUCT(('تشخيص الحالات'!$B$2:$B$1001=B388)*('تشخيص الحالات'!$G$2:$G$1001=3))&gt;0,"، "&amp;IFERROR(INDEX('تشخيص الحالات'!$D$2:$D$1001,SUMPRODUCT(('تشخيص الحالات'!$B$2:$B$1001=B388)*('تشخيص الحالات'!$G$2:$G$1001=3)*ROW('تشخيص الحالات'!$B$2:$B$1001))-1),""),"")&amp;IF(SUMPRODUCT(('تشخيص الحالات'!$B$2:$B$1001=B388)*('تشخيص الحالات'!$G$2:$G$1001=4))&gt;0,"، "&amp;IFERROR(INDEX('تشخيص الحالات'!$D$2:$D$1001,SUMPRODUCT(('تشخيص الحالات'!$B$2:$B$1001=B388)*('تشخيص الحالات'!$G$2:$G$1001=4)*ROW('تشخيص الحالات'!$B$2:$B$1001))-1),""),"")&amp;IF(SUMPRODUCT(('تشخيص الحالات'!$B$2:$B$1001=B388)*('تشخيص الحالات'!$G$2:$G$1001=5))&gt;0,"، "&amp;IFERROR(INDEX('تشخيص الحالات'!$D$2:$D$1001,SUMPRODUCT(('تشخيص الحالات'!$B$2:$B$1001=B388)*('تشخيص الحالات'!$G$2:$G$1001=5)*ROW('تشخيص الحالات'!$B$2:$B$1001))-1),""),"")&amp;IF(SUMPRODUCT(('تشخيص الحالات'!$B$2:$B$1001=B388)*('تشخيص الحالات'!$G$2:$G$1001=6))&gt;0,"، "&amp;IFERROR(INDEX('تشخيص الحالات'!$D$2:$D$1001,SUMPRODUCT(('تشخيص الحالات'!$B$2:$B$1001=B388)*('تشخيص الحالات'!$G$2:$G$1001=6)*ROW('تشخيص الحالات'!$B$2:$B$1001))-1),""),"")&amp;IF(SUMPRODUCT(('تشخيص الحالات'!$B$2:$B$1001=B388)*('تشخيص الحالات'!$G$2:$G$1001=7))&gt;0,"، "&amp;IFERROR(INDEX('تشخيص الحالات'!$D$2:$D$1001,SUMPRODUCT(('تشخيص الحالات'!$B$2:$B$1001=B388)*('تشخيص الحالات'!$G$2:$G$1001=7)*ROW('تشخيص الحالات'!$B$2:$B$1001))-1),""),"")&amp;IF(SUMPRODUCT(('تشخيص الحالات'!$B$2:$B$1001=B388)*('تشخيص الحالات'!$G$2:$G$1001=8))&gt;0,"، "&amp;IFERROR(INDEX('تشخيص الحالات'!$D$2:$D$1001,SUMPRODUCT(('تشخيص الحالات'!$B$2:$B$1001=B388)*('تشخيص الحالات'!$G$2:$G$1001=8)*ROW('تشخيص الحالات'!$B$2:$B$1001))-1),""),"")</f>
        <v/>
      </c>
      <c r="J388" s="1"/>
      <c r="K388" s="1"/>
      <c r="L388" s="1"/>
      <c r="M388" s="1"/>
    </row>
    <row r="389" spans="1:13" x14ac:dyDescent="0.2">
      <c r="A389" s="1"/>
      <c r="B389" s="1"/>
      <c r="C389" s="1"/>
      <c r="D389" s="1"/>
      <c r="E389" s="1"/>
      <c r="F389" s="1"/>
      <c r="G389" s="1"/>
      <c r="H389" s="1"/>
      <c r="I389" t="str">
        <f>IFERROR(INDEX('تشخيص الحالات'!$D$2:$D$1001,SUMPRODUCT(('تشخيص الحالات'!$B$2:$B$1001=B389)*('تشخيص الحالات'!$G$2:$G$1001=1)*ROW('تشخيص الحالات'!$B$2:$B$1001))-1),"")&amp;IF(SUMPRODUCT(('تشخيص الحالات'!$B$2:$B$1001=B389)*('تشخيص الحالات'!$G$2:$G$1001=2))&gt;0,"، "&amp;IFERROR(INDEX('تشخيص الحالات'!$D$2:$D$1001,SUMPRODUCT(('تشخيص الحالات'!$B$2:$B$1001=B389)*('تشخيص الحالات'!$G$2:$G$1001=2)*ROW('تشخيص الحالات'!$B$2:$B$1001))-1),""),"")&amp;IF(SUMPRODUCT(('تشخيص الحالات'!$B$2:$B$1001=B389)*('تشخيص الحالات'!$G$2:$G$1001=3))&gt;0,"، "&amp;IFERROR(INDEX('تشخيص الحالات'!$D$2:$D$1001,SUMPRODUCT(('تشخيص الحالات'!$B$2:$B$1001=B389)*('تشخيص الحالات'!$G$2:$G$1001=3)*ROW('تشخيص الحالات'!$B$2:$B$1001))-1),""),"")&amp;IF(SUMPRODUCT(('تشخيص الحالات'!$B$2:$B$1001=B389)*('تشخيص الحالات'!$G$2:$G$1001=4))&gt;0,"، "&amp;IFERROR(INDEX('تشخيص الحالات'!$D$2:$D$1001,SUMPRODUCT(('تشخيص الحالات'!$B$2:$B$1001=B389)*('تشخيص الحالات'!$G$2:$G$1001=4)*ROW('تشخيص الحالات'!$B$2:$B$1001))-1),""),"")&amp;IF(SUMPRODUCT(('تشخيص الحالات'!$B$2:$B$1001=B389)*('تشخيص الحالات'!$G$2:$G$1001=5))&gt;0,"، "&amp;IFERROR(INDEX('تشخيص الحالات'!$D$2:$D$1001,SUMPRODUCT(('تشخيص الحالات'!$B$2:$B$1001=B389)*('تشخيص الحالات'!$G$2:$G$1001=5)*ROW('تشخيص الحالات'!$B$2:$B$1001))-1),""),"")&amp;IF(SUMPRODUCT(('تشخيص الحالات'!$B$2:$B$1001=B389)*('تشخيص الحالات'!$G$2:$G$1001=6))&gt;0,"، "&amp;IFERROR(INDEX('تشخيص الحالات'!$D$2:$D$1001,SUMPRODUCT(('تشخيص الحالات'!$B$2:$B$1001=B389)*('تشخيص الحالات'!$G$2:$G$1001=6)*ROW('تشخيص الحالات'!$B$2:$B$1001))-1),""),"")&amp;IF(SUMPRODUCT(('تشخيص الحالات'!$B$2:$B$1001=B389)*('تشخيص الحالات'!$G$2:$G$1001=7))&gt;0,"، "&amp;IFERROR(INDEX('تشخيص الحالات'!$D$2:$D$1001,SUMPRODUCT(('تشخيص الحالات'!$B$2:$B$1001=B389)*('تشخيص الحالات'!$G$2:$G$1001=7)*ROW('تشخيص الحالات'!$B$2:$B$1001))-1),""),"")&amp;IF(SUMPRODUCT(('تشخيص الحالات'!$B$2:$B$1001=B389)*('تشخيص الحالات'!$G$2:$G$1001=8))&gt;0,"، "&amp;IFERROR(INDEX('تشخيص الحالات'!$D$2:$D$1001,SUMPRODUCT(('تشخيص الحالات'!$B$2:$B$1001=B389)*('تشخيص الحالات'!$G$2:$G$1001=8)*ROW('تشخيص الحالات'!$B$2:$B$1001))-1),""),"")</f>
        <v/>
      </c>
      <c r="J389" s="1"/>
      <c r="K389" s="1"/>
      <c r="L389" s="1"/>
      <c r="M389" s="1"/>
    </row>
    <row r="390" spans="1:13" x14ac:dyDescent="0.2">
      <c r="A390" s="1"/>
      <c r="B390" s="1"/>
      <c r="C390" s="1"/>
      <c r="D390" s="1"/>
      <c r="E390" s="1"/>
      <c r="F390" s="1"/>
      <c r="G390" s="1"/>
      <c r="H390" s="1"/>
      <c r="I390" t="str">
        <f>IFERROR(INDEX('تشخيص الحالات'!$D$2:$D$1001,SUMPRODUCT(('تشخيص الحالات'!$B$2:$B$1001=B390)*('تشخيص الحالات'!$G$2:$G$1001=1)*ROW('تشخيص الحالات'!$B$2:$B$1001))-1),"")&amp;IF(SUMPRODUCT(('تشخيص الحالات'!$B$2:$B$1001=B390)*('تشخيص الحالات'!$G$2:$G$1001=2))&gt;0,"، "&amp;IFERROR(INDEX('تشخيص الحالات'!$D$2:$D$1001,SUMPRODUCT(('تشخيص الحالات'!$B$2:$B$1001=B390)*('تشخيص الحالات'!$G$2:$G$1001=2)*ROW('تشخيص الحالات'!$B$2:$B$1001))-1),""),"")&amp;IF(SUMPRODUCT(('تشخيص الحالات'!$B$2:$B$1001=B390)*('تشخيص الحالات'!$G$2:$G$1001=3))&gt;0,"، "&amp;IFERROR(INDEX('تشخيص الحالات'!$D$2:$D$1001,SUMPRODUCT(('تشخيص الحالات'!$B$2:$B$1001=B390)*('تشخيص الحالات'!$G$2:$G$1001=3)*ROW('تشخيص الحالات'!$B$2:$B$1001))-1),""),"")&amp;IF(SUMPRODUCT(('تشخيص الحالات'!$B$2:$B$1001=B390)*('تشخيص الحالات'!$G$2:$G$1001=4))&gt;0,"، "&amp;IFERROR(INDEX('تشخيص الحالات'!$D$2:$D$1001,SUMPRODUCT(('تشخيص الحالات'!$B$2:$B$1001=B390)*('تشخيص الحالات'!$G$2:$G$1001=4)*ROW('تشخيص الحالات'!$B$2:$B$1001))-1),""),"")&amp;IF(SUMPRODUCT(('تشخيص الحالات'!$B$2:$B$1001=B390)*('تشخيص الحالات'!$G$2:$G$1001=5))&gt;0,"، "&amp;IFERROR(INDEX('تشخيص الحالات'!$D$2:$D$1001,SUMPRODUCT(('تشخيص الحالات'!$B$2:$B$1001=B390)*('تشخيص الحالات'!$G$2:$G$1001=5)*ROW('تشخيص الحالات'!$B$2:$B$1001))-1),""),"")&amp;IF(SUMPRODUCT(('تشخيص الحالات'!$B$2:$B$1001=B390)*('تشخيص الحالات'!$G$2:$G$1001=6))&gt;0,"، "&amp;IFERROR(INDEX('تشخيص الحالات'!$D$2:$D$1001,SUMPRODUCT(('تشخيص الحالات'!$B$2:$B$1001=B390)*('تشخيص الحالات'!$G$2:$G$1001=6)*ROW('تشخيص الحالات'!$B$2:$B$1001))-1),""),"")&amp;IF(SUMPRODUCT(('تشخيص الحالات'!$B$2:$B$1001=B390)*('تشخيص الحالات'!$G$2:$G$1001=7))&gt;0,"، "&amp;IFERROR(INDEX('تشخيص الحالات'!$D$2:$D$1001,SUMPRODUCT(('تشخيص الحالات'!$B$2:$B$1001=B390)*('تشخيص الحالات'!$G$2:$G$1001=7)*ROW('تشخيص الحالات'!$B$2:$B$1001))-1),""),"")&amp;IF(SUMPRODUCT(('تشخيص الحالات'!$B$2:$B$1001=B390)*('تشخيص الحالات'!$G$2:$G$1001=8))&gt;0,"، "&amp;IFERROR(INDEX('تشخيص الحالات'!$D$2:$D$1001,SUMPRODUCT(('تشخيص الحالات'!$B$2:$B$1001=B390)*('تشخيص الحالات'!$G$2:$G$1001=8)*ROW('تشخيص الحالات'!$B$2:$B$1001))-1),""),"")</f>
        <v/>
      </c>
      <c r="J390" s="1"/>
      <c r="K390" s="1"/>
      <c r="L390" s="1"/>
      <c r="M390" s="1"/>
    </row>
    <row r="391" spans="1:13" x14ac:dyDescent="0.2">
      <c r="A391" s="1"/>
      <c r="B391" s="1"/>
      <c r="C391" s="1"/>
      <c r="D391" s="1"/>
      <c r="E391" s="1"/>
      <c r="F391" s="1"/>
      <c r="G391" s="1"/>
      <c r="H391" s="1"/>
      <c r="I391" t="str">
        <f>IFERROR(INDEX('تشخيص الحالات'!$D$2:$D$1001,SUMPRODUCT(('تشخيص الحالات'!$B$2:$B$1001=B391)*('تشخيص الحالات'!$G$2:$G$1001=1)*ROW('تشخيص الحالات'!$B$2:$B$1001))-1),"")&amp;IF(SUMPRODUCT(('تشخيص الحالات'!$B$2:$B$1001=B391)*('تشخيص الحالات'!$G$2:$G$1001=2))&gt;0,"، "&amp;IFERROR(INDEX('تشخيص الحالات'!$D$2:$D$1001,SUMPRODUCT(('تشخيص الحالات'!$B$2:$B$1001=B391)*('تشخيص الحالات'!$G$2:$G$1001=2)*ROW('تشخيص الحالات'!$B$2:$B$1001))-1),""),"")&amp;IF(SUMPRODUCT(('تشخيص الحالات'!$B$2:$B$1001=B391)*('تشخيص الحالات'!$G$2:$G$1001=3))&gt;0,"، "&amp;IFERROR(INDEX('تشخيص الحالات'!$D$2:$D$1001,SUMPRODUCT(('تشخيص الحالات'!$B$2:$B$1001=B391)*('تشخيص الحالات'!$G$2:$G$1001=3)*ROW('تشخيص الحالات'!$B$2:$B$1001))-1),""),"")&amp;IF(SUMPRODUCT(('تشخيص الحالات'!$B$2:$B$1001=B391)*('تشخيص الحالات'!$G$2:$G$1001=4))&gt;0,"، "&amp;IFERROR(INDEX('تشخيص الحالات'!$D$2:$D$1001,SUMPRODUCT(('تشخيص الحالات'!$B$2:$B$1001=B391)*('تشخيص الحالات'!$G$2:$G$1001=4)*ROW('تشخيص الحالات'!$B$2:$B$1001))-1),""),"")&amp;IF(SUMPRODUCT(('تشخيص الحالات'!$B$2:$B$1001=B391)*('تشخيص الحالات'!$G$2:$G$1001=5))&gt;0,"، "&amp;IFERROR(INDEX('تشخيص الحالات'!$D$2:$D$1001,SUMPRODUCT(('تشخيص الحالات'!$B$2:$B$1001=B391)*('تشخيص الحالات'!$G$2:$G$1001=5)*ROW('تشخيص الحالات'!$B$2:$B$1001))-1),""),"")&amp;IF(SUMPRODUCT(('تشخيص الحالات'!$B$2:$B$1001=B391)*('تشخيص الحالات'!$G$2:$G$1001=6))&gt;0,"، "&amp;IFERROR(INDEX('تشخيص الحالات'!$D$2:$D$1001,SUMPRODUCT(('تشخيص الحالات'!$B$2:$B$1001=B391)*('تشخيص الحالات'!$G$2:$G$1001=6)*ROW('تشخيص الحالات'!$B$2:$B$1001))-1),""),"")&amp;IF(SUMPRODUCT(('تشخيص الحالات'!$B$2:$B$1001=B391)*('تشخيص الحالات'!$G$2:$G$1001=7))&gt;0,"، "&amp;IFERROR(INDEX('تشخيص الحالات'!$D$2:$D$1001,SUMPRODUCT(('تشخيص الحالات'!$B$2:$B$1001=B391)*('تشخيص الحالات'!$G$2:$G$1001=7)*ROW('تشخيص الحالات'!$B$2:$B$1001))-1),""),"")&amp;IF(SUMPRODUCT(('تشخيص الحالات'!$B$2:$B$1001=B391)*('تشخيص الحالات'!$G$2:$G$1001=8))&gt;0,"، "&amp;IFERROR(INDEX('تشخيص الحالات'!$D$2:$D$1001,SUMPRODUCT(('تشخيص الحالات'!$B$2:$B$1001=B391)*('تشخيص الحالات'!$G$2:$G$1001=8)*ROW('تشخيص الحالات'!$B$2:$B$1001))-1),""),"")</f>
        <v/>
      </c>
      <c r="J391" s="1"/>
      <c r="K391" s="1"/>
      <c r="L391" s="1"/>
      <c r="M391" s="1"/>
    </row>
    <row r="392" spans="1:13" x14ac:dyDescent="0.2">
      <c r="A392" s="1"/>
      <c r="B392" s="1"/>
      <c r="C392" s="1"/>
      <c r="D392" s="1"/>
      <c r="E392" s="1"/>
      <c r="F392" s="1"/>
      <c r="G392" s="1"/>
      <c r="H392" s="1"/>
      <c r="I392" t="str">
        <f>IFERROR(INDEX('تشخيص الحالات'!$D$2:$D$1001,SUMPRODUCT(('تشخيص الحالات'!$B$2:$B$1001=B392)*('تشخيص الحالات'!$G$2:$G$1001=1)*ROW('تشخيص الحالات'!$B$2:$B$1001))-1),"")&amp;IF(SUMPRODUCT(('تشخيص الحالات'!$B$2:$B$1001=B392)*('تشخيص الحالات'!$G$2:$G$1001=2))&gt;0,"، "&amp;IFERROR(INDEX('تشخيص الحالات'!$D$2:$D$1001,SUMPRODUCT(('تشخيص الحالات'!$B$2:$B$1001=B392)*('تشخيص الحالات'!$G$2:$G$1001=2)*ROW('تشخيص الحالات'!$B$2:$B$1001))-1),""),"")&amp;IF(SUMPRODUCT(('تشخيص الحالات'!$B$2:$B$1001=B392)*('تشخيص الحالات'!$G$2:$G$1001=3))&gt;0,"، "&amp;IFERROR(INDEX('تشخيص الحالات'!$D$2:$D$1001,SUMPRODUCT(('تشخيص الحالات'!$B$2:$B$1001=B392)*('تشخيص الحالات'!$G$2:$G$1001=3)*ROW('تشخيص الحالات'!$B$2:$B$1001))-1),""),"")&amp;IF(SUMPRODUCT(('تشخيص الحالات'!$B$2:$B$1001=B392)*('تشخيص الحالات'!$G$2:$G$1001=4))&gt;0,"، "&amp;IFERROR(INDEX('تشخيص الحالات'!$D$2:$D$1001,SUMPRODUCT(('تشخيص الحالات'!$B$2:$B$1001=B392)*('تشخيص الحالات'!$G$2:$G$1001=4)*ROW('تشخيص الحالات'!$B$2:$B$1001))-1),""),"")&amp;IF(SUMPRODUCT(('تشخيص الحالات'!$B$2:$B$1001=B392)*('تشخيص الحالات'!$G$2:$G$1001=5))&gt;0,"، "&amp;IFERROR(INDEX('تشخيص الحالات'!$D$2:$D$1001,SUMPRODUCT(('تشخيص الحالات'!$B$2:$B$1001=B392)*('تشخيص الحالات'!$G$2:$G$1001=5)*ROW('تشخيص الحالات'!$B$2:$B$1001))-1),""),"")&amp;IF(SUMPRODUCT(('تشخيص الحالات'!$B$2:$B$1001=B392)*('تشخيص الحالات'!$G$2:$G$1001=6))&gt;0,"، "&amp;IFERROR(INDEX('تشخيص الحالات'!$D$2:$D$1001,SUMPRODUCT(('تشخيص الحالات'!$B$2:$B$1001=B392)*('تشخيص الحالات'!$G$2:$G$1001=6)*ROW('تشخيص الحالات'!$B$2:$B$1001))-1),""),"")&amp;IF(SUMPRODUCT(('تشخيص الحالات'!$B$2:$B$1001=B392)*('تشخيص الحالات'!$G$2:$G$1001=7))&gt;0,"، "&amp;IFERROR(INDEX('تشخيص الحالات'!$D$2:$D$1001,SUMPRODUCT(('تشخيص الحالات'!$B$2:$B$1001=B392)*('تشخيص الحالات'!$G$2:$G$1001=7)*ROW('تشخيص الحالات'!$B$2:$B$1001))-1),""),"")&amp;IF(SUMPRODUCT(('تشخيص الحالات'!$B$2:$B$1001=B392)*('تشخيص الحالات'!$G$2:$G$1001=8))&gt;0,"، "&amp;IFERROR(INDEX('تشخيص الحالات'!$D$2:$D$1001,SUMPRODUCT(('تشخيص الحالات'!$B$2:$B$1001=B392)*('تشخيص الحالات'!$G$2:$G$1001=8)*ROW('تشخيص الحالات'!$B$2:$B$1001))-1),""),"")</f>
        <v/>
      </c>
      <c r="J392" s="1"/>
      <c r="K392" s="1"/>
      <c r="L392" s="1"/>
      <c r="M392" s="1"/>
    </row>
    <row r="393" spans="1:13" x14ac:dyDescent="0.2">
      <c r="A393" s="1"/>
      <c r="B393" s="1"/>
      <c r="C393" s="1"/>
      <c r="D393" s="1"/>
      <c r="E393" s="1"/>
      <c r="F393" s="1"/>
      <c r="G393" s="1"/>
      <c r="H393" s="1"/>
      <c r="I393" t="str">
        <f>IFERROR(INDEX('تشخيص الحالات'!$D$2:$D$1001,SUMPRODUCT(('تشخيص الحالات'!$B$2:$B$1001=B393)*('تشخيص الحالات'!$G$2:$G$1001=1)*ROW('تشخيص الحالات'!$B$2:$B$1001))-1),"")&amp;IF(SUMPRODUCT(('تشخيص الحالات'!$B$2:$B$1001=B393)*('تشخيص الحالات'!$G$2:$G$1001=2))&gt;0,"، "&amp;IFERROR(INDEX('تشخيص الحالات'!$D$2:$D$1001,SUMPRODUCT(('تشخيص الحالات'!$B$2:$B$1001=B393)*('تشخيص الحالات'!$G$2:$G$1001=2)*ROW('تشخيص الحالات'!$B$2:$B$1001))-1),""),"")&amp;IF(SUMPRODUCT(('تشخيص الحالات'!$B$2:$B$1001=B393)*('تشخيص الحالات'!$G$2:$G$1001=3))&gt;0,"، "&amp;IFERROR(INDEX('تشخيص الحالات'!$D$2:$D$1001,SUMPRODUCT(('تشخيص الحالات'!$B$2:$B$1001=B393)*('تشخيص الحالات'!$G$2:$G$1001=3)*ROW('تشخيص الحالات'!$B$2:$B$1001))-1),""),"")&amp;IF(SUMPRODUCT(('تشخيص الحالات'!$B$2:$B$1001=B393)*('تشخيص الحالات'!$G$2:$G$1001=4))&gt;0,"، "&amp;IFERROR(INDEX('تشخيص الحالات'!$D$2:$D$1001,SUMPRODUCT(('تشخيص الحالات'!$B$2:$B$1001=B393)*('تشخيص الحالات'!$G$2:$G$1001=4)*ROW('تشخيص الحالات'!$B$2:$B$1001))-1),""),"")&amp;IF(SUMPRODUCT(('تشخيص الحالات'!$B$2:$B$1001=B393)*('تشخيص الحالات'!$G$2:$G$1001=5))&gt;0,"، "&amp;IFERROR(INDEX('تشخيص الحالات'!$D$2:$D$1001,SUMPRODUCT(('تشخيص الحالات'!$B$2:$B$1001=B393)*('تشخيص الحالات'!$G$2:$G$1001=5)*ROW('تشخيص الحالات'!$B$2:$B$1001))-1),""),"")&amp;IF(SUMPRODUCT(('تشخيص الحالات'!$B$2:$B$1001=B393)*('تشخيص الحالات'!$G$2:$G$1001=6))&gt;0,"، "&amp;IFERROR(INDEX('تشخيص الحالات'!$D$2:$D$1001,SUMPRODUCT(('تشخيص الحالات'!$B$2:$B$1001=B393)*('تشخيص الحالات'!$G$2:$G$1001=6)*ROW('تشخيص الحالات'!$B$2:$B$1001))-1),""),"")&amp;IF(SUMPRODUCT(('تشخيص الحالات'!$B$2:$B$1001=B393)*('تشخيص الحالات'!$G$2:$G$1001=7))&gt;0,"، "&amp;IFERROR(INDEX('تشخيص الحالات'!$D$2:$D$1001,SUMPRODUCT(('تشخيص الحالات'!$B$2:$B$1001=B393)*('تشخيص الحالات'!$G$2:$G$1001=7)*ROW('تشخيص الحالات'!$B$2:$B$1001))-1),""),"")&amp;IF(SUMPRODUCT(('تشخيص الحالات'!$B$2:$B$1001=B393)*('تشخيص الحالات'!$G$2:$G$1001=8))&gt;0,"، "&amp;IFERROR(INDEX('تشخيص الحالات'!$D$2:$D$1001,SUMPRODUCT(('تشخيص الحالات'!$B$2:$B$1001=B393)*('تشخيص الحالات'!$G$2:$G$1001=8)*ROW('تشخيص الحالات'!$B$2:$B$1001))-1),""),"")</f>
        <v/>
      </c>
      <c r="J393" s="1"/>
      <c r="K393" s="1"/>
      <c r="L393" s="1"/>
      <c r="M393" s="1"/>
    </row>
    <row r="394" spans="1:13" x14ac:dyDescent="0.2">
      <c r="A394" s="1"/>
      <c r="B394" s="1"/>
      <c r="C394" s="1"/>
      <c r="D394" s="1"/>
      <c r="E394" s="1"/>
      <c r="F394" s="1"/>
      <c r="G394" s="1"/>
      <c r="H394" s="1"/>
      <c r="I394" t="str">
        <f>IFERROR(INDEX('تشخيص الحالات'!$D$2:$D$1001,SUMPRODUCT(('تشخيص الحالات'!$B$2:$B$1001=B394)*('تشخيص الحالات'!$G$2:$G$1001=1)*ROW('تشخيص الحالات'!$B$2:$B$1001))-1),"")&amp;IF(SUMPRODUCT(('تشخيص الحالات'!$B$2:$B$1001=B394)*('تشخيص الحالات'!$G$2:$G$1001=2))&gt;0,"، "&amp;IFERROR(INDEX('تشخيص الحالات'!$D$2:$D$1001,SUMPRODUCT(('تشخيص الحالات'!$B$2:$B$1001=B394)*('تشخيص الحالات'!$G$2:$G$1001=2)*ROW('تشخيص الحالات'!$B$2:$B$1001))-1),""),"")&amp;IF(SUMPRODUCT(('تشخيص الحالات'!$B$2:$B$1001=B394)*('تشخيص الحالات'!$G$2:$G$1001=3))&gt;0,"، "&amp;IFERROR(INDEX('تشخيص الحالات'!$D$2:$D$1001,SUMPRODUCT(('تشخيص الحالات'!$B$2:$B$1001=B394)*('تشخيص الحالات'!$G$2:$G$1001=3)*ROW('تشخيص الحالات'!$B$2:$B$1001))-1),""),"")&amp;IF(SUMPRODUCT(('تشخيص الحالات'!$B$2:$B$1001=B394)*('تشخيص الحالات'!$G$2:$G$1001=4))&gt;0,"، "&amp;IFERROR(INDEX('تشخيص الحالات'!$D$2:$D$1001,SUMPRODUCT(('تشخيص الحالات'!$B$2:$B$1001=B394)*('تشخيص الحالات'!$G$2:$G$1001=4)*ROW('تشخيص الحالات'!$B$2:$B$1001))-1),""),"")&amp;IF(SUMPRODUCT(('تشخيص الحالات'!$B$2:$B$1001=B394)*('تشخيص الحالات'!$G$2:$G$1001=5))&gt;0,"، "&amp;IFERROR(INDEX('تشخيص الحالات'!$D$2:$D$1001,SUMPRODUCT(('تشخيص الحالات'!$B$2:$B$1001=B394)*('تشخيص الحالات'!$G$2:$G$1001=5)*ROW('تشخيص الحالات'!$B$2:$B$1001))-1),""),"")&amp;IF(SUMPRODUCT(('تشخيص الحالات'!$B$2:$B$1001=B394)*('تشخيص الحالات'!$G$2:$G$1001=6))&gt;0,"، "&amp;IFERROR(INDEX('تشخيص الحالات'!$D$2:$D$1001,SUMPRODUCT(('تشخيص الحالات'!$B$2:$B$1001=B394)*('تشخيص الحالات'!$G$2:$G$1001=6)*ROW('تشخيص الحالات'!$B$2:$B$1001))-1),""),"")&amp;IF(SUMPRODUCT(('تشخيص الحالات'!$B$2:$B$1001=B394)*('تشخيص الحالات'!$G$2:$G$1001=7))&gt;0,"، "&amp;IFERROR(INDEX('تشخيص الحالات'!$D$2:$D$1001,SUMPRODUCT(('تشخيص الحالات'!$B$2:$B$1001=B394)*('تشخيص الحالات'!$G$2:$G$1001=7)*ROW('تشخيص الحالات'!$B$2:$B$1001))-1),""),"")&amp;IF(SUMPRODUCT(('تشخيص الحالات'!$B$2:$B$1001=B394)*('تشخيص الحالات'!$G$2:$G$1001=8))&gt;0,"، "&amp;IFERROR(INDEX('تشخيص الحالات'!$D$2:$D$1001,SUMPRODUCT(('تشخيص الحالات'!$B$2:$B$1001=B394)*('تشخيص الحالات'!$G$2:$G$1001=8)*ROW('تشخيص الحالات'!$B$2:$B$1001))-1),""),"")</f>
        <v/>
      </c>
      <c r="J394" s="1"/>
      <c r="K394" s="1"/>
      <c r="L394" s="1"/>
      <c r="M394" s="1"/>
    </row>
    <row r="395" spans="1:13" x14ac:dyDescent="0.2">
      <c r="A395" s="1"/>
      <c r="B395" s="1"/>
      <c r="C395" s="1"/>
      <c r="D395" s="1"/>
      <c r="E395" s="1"/>
      <c r="F395" s="1"/>
      <c r="G395" s="1"/>
      <c r="H395" s="1"/>
      <c r="I395" t="str">
        <f>IFERROR(INDEX('تشخيص الحالات'!$D$2:$D$1001,SUMPRODUCT(('تشخيص الحالات'!$B$2:$B$1001=B395)*('تشخيص الحالات'!$G$2:$G$1001=1)*ROW('تشخيص الحالات'!$B$2:$B$1001))-1),"")&amp;IF(SUMPRODUCT(('تشخيص الحالات'!$B$2:$B$1001=B395)*('تشخيص الحالات'!$G$2:$G$1001=2))&gt;0,"، "&amp;IFERROR(INDEX('تشخيص الحالات'!$D$2:$D$1001,SUMPRODUCT(('تشخيص الحالات'!$B$2:$B$1001=B395)*('تشخيص الحالات'!$G$2:$G$1001=2)*ROW('تشخيص الحالات'!$B$2:$B$1001))-1),""),"")&amp;IF(SUMPRODUCT(('تشخيص الحالات'!$B$2:$B$1001=B395)*('تشخيص الحالات'!$G$2:$G$1001=3))&gt;0,"، "&amp;IFERROR(INDEX('تشخيص الحالات'!$D$2:$D$1001,SUMPRODUCT(('تشخيص الحالات'!$B$2:$B$1001=B395)*('تشخيص الحالات'!$G$2:$G$1001=3)*ROW('تشخيص الحالات'!$B$2:$B$1001))-1),""),"")&amp;IF(SUMPRODUCT(('تشخيص الحالات'!$B$2:$B$1001=B395)*('تشخيص الحالات'!$G$2:$G$1001=4))&gt;0,"، "&amp;IFERROR(INDEX('تشخيص الحالات'!$D$2:$D$1001,SUMPRODUCT(('تشخيص الحالات'!$B$2:$B$1001=B395)*('تشخيص الحالات'!$G$2:$G$1001=4)*ROW('تشخيص الحالات'!$B$2:$B$1001))-1),""),"")&amp;IF(SUMPRODUCT(('تشخيص الحالات'!$B$2:$B$1001=B395)*('تشخيص الحالات'!$G$2:$G$1001=5))&gt;0,"، "&amp;IFERROR(INDEX('تشخيص الحالات'!$D$2:$D$1001,SUMPRODUCT(('تشخيص الحالات'!$B$2:$B$1001=B395)*('تشخيص الحالات'!$G$2:$G$1001=5)*ROW('تشخيص الحالات'!$B$2:$B$1001))-1),""),"")&amp;IF(SUMPRODUCT(('تشخيص الحالات'!$B$2:$B$1001=B395)*('تشخيص الحالات'!$G$2:$G$1001=6))&gt;0,"، "&amp;IFERROR(INDEX('تشخيص الحالات'!$D$2:$D$1001,SUMPRODUCT(('تشخيص الحالات'!$B$2:$B$1001=B395)*('تشخيص الحالات'!$G$2:$G$1001=6)*ROW('تشخيص الحالات'!$B$2:$B$1001))-1),""),"")&amp;IF(SUMPRODUCT(('تشخيص الحالات'!$B$2:$B$1001=B395)*('تشخيص الحالات'!$G$2:$G$1001=7))&gt;0,"، "&amp;IFERROR(INDEX('تشخيص الحالات'!$D$2:$D$1001,SUMPRODUCT(('تشخيص الحالات'!$B$2:$B$1001=B395)*('تشخيص الحالات'!$G$2:$G$1001=7)*ROW('تشخيص الحالات'!$B$2:$B$1001))-1),""),"")&amp;IF(SUMPRODUCT(('تشخيص الحالات'!$B$2:$B$1001=B395)*('تشخيص الحالات'!$G$2:$G$1001=8))&gt;0,"، "&amp;IFERROR(INDEX('تشخيص الحالات'!$D$2:$D$1001,SUMPRODUCT(('تشخيص الحالات'!$B$2:$B$1001=B395)*('تشخيص الحالات'!$G$2:$G$1001=8)*ROW('تشخيص الحالات'!$B$2:$B$1001))-1),""),"")</f>
        <v/>
      </c>
      <c r="J395" s="1"/>
      <c r="K395" s="1"/>
      <c r="L395" s="1"/>
      <c r="M395" s="1"/>
    </row>
    <row r="396" spans="1:13" x14ac:dyDescent="0.2">
      <c r="A396" s="1"/>
      <c r="B396" s="1"/>
      <c r="C396" s="1"/>
      <c r="D396" s="1"/>
      <c r="E396" s="1"/>
      <c r="F396" s="1"/>
      <c r="G396" s="1"/>
      <c r="H396" s="1"/>
      <c r="I396" t="str">
        <f>IFERROR(INDEX('تشخيص الحالات'!$D$2:$D$1001,SUMPRODUCT(('تشخيص الحالات'!$B$2:$B$1001=B396)*('تشخيص الحالات'!$G$2:$G$1001=1)*ROW('تشخيص الحالات'!$B$2:$B$1001))-1),"")&amp;IF(SUMPRODUCT(('تشخيص الحالات'!$B$2:$B$1001=B396)*('تشخيص الحالات'!$G$2:$G$1001=2))&gt;0,"، "&amp;IFERROR(INDEX('تشخيص الحالات'!$D$2:$D$1001,SUMPRODUCT(('تشخيص الحالات'!$B$2:$B$1001=B396)*('تشخيص الحالات'!$G$2:$G$1001=2)*ROW('تشخيص الحالات'!$B$2:$B$1001))-1),""),"")&amp;IF(SUMPRODUCT(('تشخيص الحالات'!$B$2:$B$1001=B396)*('تشخيص الحالات'!$G$2:$G$1001=3))&gt;0,"، "&amp;IFERROR(INDEX('تشخيص الحالات'!$D$2:$D$1001,SUMPRODUCT(('تشخيص الحالات'!$B$2:$B$1001=B396)*('تشخيص الحالات'!$G$2:$G$1001=3)*ROW('تشخيص الحالات'!$B$2:$B$1001))-1),""),"")&amp;IF(SUMPRODUCT(('تشخيص الحالات'!$B$2:$B$1001=B396)*('تشخيص الحالات'!$G$2:$G$1001=4))&gt;0,"، "&amp;IFERROR(INDEX('تشخيص الحالات'!$D$2:$D$1001,SUMPRODUCT(('تشخيص الحالات'!$B$2:$B$1001=B396)*('تشخيص الحالات'!$G$2:$G$1001=4)*ROW('تشخيص الحالات'!$B$2:$B$1001))-1),""),"")&amp;IF(SUMPRODUCT(('تشخيص الحالات'!$B$2:$B$1001=B396)*('تشخيص الحالات'!$G$2:$G$1001=5))&gt;0,"، "&amp;IFERROR(INDEX('تشخيص الحالات'!$D$2:$D$1001,SUMPRODUCT(('تشخيص الحالات'!$B$2:$B$1001=B396)*('تشخيص الحالات'!$G$2:$G$1001=5)*ROW('تشخيص الحالات'!$B$2:$B$1001))-1),""),"")&amp;IF(SUMPRODUCT(('تشخيص الحالات'!$B$2:$B$1001=B396)*('تشخيص الحالات'!$G$2:$G$1001=6))&gt;0,"، "&amp;IFERROR(INDEX('تشخيص الحالات'!$D$2:$D$1001,SUMPRODUCT(('تشخيص الحالات'!$B$2:$B$1001=B396)*('تشخيص الحالات'!$G$2:$G$1001=6)*ROW('تشخيص الحالات'!$B$2:$B$1001))-1),""),"")&amp;IF(SUMPRODUCT(('تشخيص الحالات'!$B$2:$B$1001=B396)*('تشخيص الحالات'!$G$2:$G$1001=7))&gt;0,"، "&amp;IFERROR(INDEX('تشخيص الحالات'!$D$2:$D$1001,SUMPRODUCT(('تشخيص الحالات'!$B$2:$B$1001=B396)*('تشخيص الحالات'!$G$2:$G$1001=7)*ROW('تشخيص الحالات'!$B$2:$B$1001))-1),""),"")&amp;IF(SUMPRODUCT(('تشخيص الحالات'!$B$2:$B$1001=B396)*('تشخيص الحالات'!$G$2:$G$1001=8))&gt;0,"، "&amp;IFERROR(INDEX('تشخيص الحالات'!$D$2:$D$1001,SUMPRODUCT(('تشخيص الحالات'!$B$2:$B$1001=B396)*('تشخيص الحالات'!$G$2:$G$1001=8)*ROW('تشخيص الحالات'!$B$2:$B$1001))-1),""),"")</f>
        <v/>
      </c>
      <c r="J396" s="1"/>
      <c r="K396" s="1"/>
      <c r="L396" s="1"/>
      <c r="M396" s="1"/>
    </row>
    <row r="397" spans="1:13" x14ac:dyDescent="0.2">
      <c r="A397" s="1"/>
      <c r="B397" s="1"/>
      <c r="C397" s="1"/>
      <c r="D397" s="1"/>
      <c r="E397" s="1"/>
      <c r="F397" s="1"/>
      <c r="G397" s="1"/>
      <c r="H397" s="1"/>
      <c r="I397" t="str">
        <f>IFERROR(INDEX('تشخيص الحالات'!$D$2:$D$1001,SUMPRODUCT(('تشخيص الحالات'!$B$2:$B$1001=B397)*('تشخيص الحالات'!$G$2:$G$1001=1)*ROW('تشخيص الحالات'!$B$2:$B$1001))-1),"")&amp;IF(SUMPRODUCT(('تشخيص الحالات'!$B$2:$B$1001=B397)*('تشخيص الحالات'!$G$2:$G$1001=2))&gt;0,"، "&amp;IFERROR(INDEX('تشخيص الحالات'!$D$2:$D$1001,SUMPRODUCT(('تشخيص الحالات'!$B$2:$B$1001=B397)*('تشخيص الحالات'!$G$2:$G$1001=2)*ROW('تشخيص الحالات'!$B$2:$B$1001))-1),""),"")&amp;IF(SUMPRODUCT(('تشخيص الحالات'!$B$2:$B$1001=B397)*('تشخيص الحالات'!$G$2:$G$1001=3))&gt;0,"، "&amp;IFERROR(INDEX('تشخيص الحالات'!$D$2:$D$1001,SUMPRODUCT(('تشخيص الحالات'!$B$2:$B$1001=B397)*('تشخيص الحالات'!$G$2:$G$1001=3)*ROW('تشخيص الحالات'!$B$2:$B$1001))-1),""),"")&amp;IF(SUMPRODUCT(('تشخيص الحالات'!$B$2:$B$1001=B397)*('تشخيص الحالات'!$G$2:$G$1001=4))&gt;0,"، "&amp;IFERROR(INDEX('تشخيص الحالات'!$D$2:$D$1001,SUMPRODUCT(('تشخيص الحالات'!$B$2:$B$1001=B397)*('تشخيص الحالات'!$G$2:$G$1001=4)*ROW('تشخيص الحالات'!$B$2:$B$1001))-1),""),"")&amp;IF(SUMPRODUCT(('تشخيص الحالات'!$B$2:$B$1001=B397)*('تشخيص الحالات'!$G$2:$G$1001=5))&gt;0,"، "&amp;IFERROR(INDEX('تشخيص الحالات'!$D$2:$D$1001,SUMPRODUCT(('تشخيص الحالات'!$B$2:$B$1001=B397)*('تشخيص الحالات'!$G$2:$G$1001=5)*ROW('تشخيص الحالات'!$B$2:$B$1001))-1),""),"")&amp;IF(SUMPRODUCT(('تشخيص الحالات'!$B$2:$B$1001=B397)*('تشخيص الحالات'!$G$2:$G$1001=6))&gt;0,"، "&amp;IFERROR(INDEX('تشخيص الحالات'!$D$2:$D$1001,SUMPRODUCT(('تشخيص الحالات'!$B$2:$B$1001=B397)*('تشخيص الحالات'!$G$2:$G$1001=6)*ROW('تشخيص الحالات'!$B$2:$B$1001))-1),""),"")&amp;IF(SUMPRODUCT(('تشخيص الحالات'!$B$2:$B$1001=B397)*('تشخيص الحالات'!$G$2:$G$1001=7))&gt;0,"، "&amp;IFERROR(INDEX('تشخيص الحالات'!$D$2:$D$1001,SUMPRODUCT(('تشخيص الحالات'!$B$2:$B$1001=B397)*('تشخيص الحالات'!$G$2:$G$1001=7)*ROW('تشخيص الحالات'!$B$2:$B$1001))-1),""),"")&amp;IF(SUMPRODUCT(('تشخيص الحالات'!$B$2:$B$1001=B397)*('تشخيص الحالات'!$G$2:$G$1001=8))&gt;0,"، "&amp;IFERROR(INDEX('تشخيص الحالات'!$D$2:$D$1001,SUMPRODUCT(('تشخيص الحالات'!$B$2:$B$1001=B397)*('تشخيص الحالات'!$G$2:$G$1001=8)*ROW('تشخيص الحالات'!$B$2:$B$1001))-1),""),"")</f>
        <v/>
      </c>
      <c r="J397" s="1"/>
      <c r="K397" s="1"/>
      <c r="L397" s="1"/>
      <c r="M397" s="1"/>
    </row>
    <row r="398" spans="1:13" x14ac:dyDescent="0.2">
      <c r="A398" s="1"/>
      <c r="B398" s="1"/>
      <c r="C398" s="1"/>
      <c r="D398" s="1"/>
      <c r="E398" s="1"/>
      <c r="F398" s="1"/>
      <c r="G398" s="1"/>
      <c r="H398" s="1"/>
      <c r="I398" t="str">
        <f>IFERROR(INDEX('تشخيص الحالات'!$D$2:$D$1001,SUMPRODUCT(('تشخيص الحالات'!$B$2:$B$1001=B398)*('تشخيص الحالات'!$G$2:$G$1001=1)*ROW('تشخيص الحالات'!$B$2:$B$1001))-1),"")&amp;IF(SUMPRODUCT(('تشخيص الحالات'!$B$2:$B$1001=B398)*('تشخيص الحالات'!$G$2:$G$1001=2))&gt;0,"، "&amp;IFERROR(INDEX('تشخيص الحالات'!$D$2:$D$1001,SUMPRODUCT(('تشخيص الحالات'!$B$2:$B$1001=B398)*('تشخيص الحالات'!$G$2:$G$1001=2)*ROW('تشخيص الحالات'!$B$2:$B$1001))-1),""),"")&amp;IF(SUMPRODUCT(('تشخيص الحالات'!$B$2:$B$1001=B398)*('تشخيص الحالات'!$G$2:$G$1001=3))&gt;0,"، "&amp;IFERROR(INDEX('تشخيص الحالات'!$D$2:$D$1001,SUMPRODUCT(('تشخيص الحالات'!$B$2:$B$1001=B398)*('تشخيص الحالات'!$G$2:$G$1001=3)*ROW('تشخيص الحالات'!$B$2:$B$1001))-1),""),"")&amp;IF(SUMPRODUCT(('تشخيص الحالات'!$B$2:$B$1001=B398)*('تشخيص الحالات'!$G$2:$G$1001=4))&gt;0,"، "&amp;IFERROR(INDEX('تشخيص الحالات'!$D$2:$D$1001,SUMPRODUCT(('تشخيص الحالات'!$B$2:$B$1001=B398)*('تشخيص الحالات'!$G$2:$G$1001=4)*ROW('تشخيص الحالات'!$B$2:$B$1001))-1),""),"")&amp;IF(SUMPRODUCT(('تشخيص الحالات'!$B$2:$B$1001=B398)*('تشخيص الحالات'!$G$2:$G$1001=5))&gt;0,"، "&amp;IFERROR(INDEX('تشخيص الحالات'!$D$2:$D$1001,SUMPRODUCT(('تشخيص الحالات'!$B$2:$B$1001=B398)*('تشخيص الحالات'!$G$2:$G$1001=5)*ROW('تشخيص الحالات'!$B$2:$B$1001))-1),""),"")&amp;IF(SUMPRODUCT(('تشخيص الحالات'!$B$2:$B$1001=B398)*('تشخيص الحالات'!$G$2:$G$1001=6))&gt;0,"، "&amp;IFERROR(INDEX('تشخيص الحالات'!$D$2:$D$1001,SUMPRODUCT(('تشخيص الحالات'!$B$2:$B$1001=B398)*('تشخيص الحالات'!$G$2:$G$1001=6)*ROW('تشخيص الحالات'!$B$2:$B$1001))-1),""),"")&amp;IF(SUMPRODUCT(('تشخيص الحالات'!$B$2:$B$1001=B398)*('تشخيص الحالات'!$G$2:$G$1001=7))&gt;0,"، "&amp;IFERROR(INDEX('تشخيص الحالات'!$D$2:$D$1001,SUMPRODUCT(('تشخيص الحالات'!$B$2:$B$1001=B398)*('تشخيص الحالات'!$G$2:$G$1001=7)*ROW('تشخيص الحالات'!$B$2:$B$1001))-1),""),"")&amp;IF(SUMPRODUCT(('تشخيص الحالات'!$B$2:$B$1001=B398)*('تشخيص الحالات'!$G$2:$G$1001=8))&gt;0,"، "&amp;IFERROR(INDEX('تشخيص الحالات'!$D$2:$D$1001,SUMPRODUCT(('تشخيص الحالات'!$B$2:$B$1001=B398)*('تشخيص الحالات'!$G$2:$G$1001=8)*ROW('تشخيص الحالات'!$B$2:$B$1001))-1),""),"")</f>
        <v/>
      </c>
      <c r="J398" s="1"/>
      <c r="K398" s="1"/>
      <c r="L398" s="1"/>
      <c r="M398" s="1"/>
    </row>
    <row r="399" spans="1:13" x14ac:dyDescent="0.2">
      <c r="A399" s="1"/>
      <c r="B399" s="1"/>
      <c r="C399" s="1"/>
      <c r="D399" s="1"/>
      <c r="E399" s="1"/>
      <c r="F399" s="1"/>
      <c r="G399" s="1"/>
      <c r="H399" s="1"/>
      <c r="I399" t="str">
        <f>IFERROR(INDEX('تشخيص الحالات'!$D$2:$D$1001,SUMPRODUCT(('تشخيص الحالات'!$B$2:$B$1001=B399)*('تشخيص الحالات'!$G$2:$G$1001=1)*ROW('تشخيص الحالات'!$B$2:$B$1001))-1),"")&amp;IF(SUMPRODUCT(('تشخيص الحالات'!$B$2:$B$1001=B399)*('تشخيص الحالات'!$G$2:$G$1001=2))&gt;0,"، "&amp;IFERROR(INDEX('تشخيص الحالات'!$D$2:$D$1001,SUMPRODUCT(('تشخيص الحالات'!$B$2:$B$1001=B399)*('تشخيص الحالات'!$G$2:$G$1001=2)*ROW('تشخيص الحالات'!$B$2:$B$1001))-1),""),"")&amp;IF(SUMPRODUCT(('تشخيص الحالات'!$B$2:$B$1001=B399)*('تشخيص الحالات'!$G$2:$G$1001=3))&gt;0,"، "&amp;IFERROR(INDEX('تشخيص الحالات'!$D$2:$D$1001,SUMPRODUCT(('تشخيص الحالات'!$B$2:$B$1001=B399)*('تشخيص الحالات'!$G$2:$G$1001=3)*ROW('تشخيص الحالات'!$B$2:$B$1001))-1),""),"")&amp;IF(SUMPRODUCT(('تشخيص الحالات'!$B$2:$B$1001=B399)*('تشخيص الحالات'!$G$2:$G$1001=4))&gt;0,"، "&amp;IFERROR(INDEX('تشخيص الحالات'!$D$2:$D$1001,SUMPRODUCT(('تشخيص الحالات'!$B$2:$B$1001=B399)*('تشخيص الحالات'!$G$2:$G$1001=4)*ROW('تشخيص الحالات'!$B$2:$B$1001))-1),""),"")&amp;IF(SUMPRODUCT(('تشخيص الحالات'!$B$2:$B$1001=B399)*('تشخيص الحالات'!$G$2:$G$1001=5))&gt;0,"، "&amp;IFERROR(INDEX('تشخيص الحالات'!$D$2:$D$1001,SUMPRODUCT(('تشخيص الحالات'!$B$2:$B$1001=B399)*('تشخيص الحالات'!$G$2:$G$1001=5)*ROW('تشخيص الحالات'!$B$2:$B$1001))-1),""),"")&amp;IF(SUMPRODUCT(('تشخيص الحالات'!$B$2:$B$1001=B399)*('تشخيص الحالات'!$G$2:$G$1001=6))&gt;0,"، "&amp;IFERROR(INDEX('تشخيص الحالات'!$D$2:$D$1001,SUMPRODUCT(('تشخيص الحالات'!$B$2:$B$1001=B399)*('تشخيص الحالات'!$G$2:$G$1001=6)*ROW('تشخيص الحالات'!$B$2:$B$1001))-1),""),"")&amp;IF(SUMPRODUCT(('تشخيص الحالات'!$B$2:$B$1001=B399)*('تشخيص الحالات'!$G$2:$G$1001=7))&gt;0,"، "&amp;IFERROR(INDEX('تشخيص الحالات'!$D$2:$D$1001,SUMPRODUCT(('تشخيص الحالات'!$B$2:$B$1001=B399)*('تشخيص الحالات'!$G$2:$G$1001=7)*ROW('تشخيص الحالات'!$B$2:$B$1001))-1),""),"")&amp;IF(SUMPRODUCT(('تشخيص الحالات'!$B$2:$B$1001=B399)*('تشخيص الحالات'!$G$2:$G$1001=8))&gt;0,"، "&amp;IFERROR(INDEX('تشخيص الحالات'!$D$2:$D$1001,SUMPRODUCT(('تشخيص الحالات'!$B$2:$B$1001=B399)*('تشخيص الحالات'!$G$2:$G$1001=8)*ROW('تشخيص الحالات'!$B$2:$B$1001))-1),""),"")</f>
        <v/>
      </c>
      <c r="J399" s="1"/>
      <c r="K399" s="1"/>
      <c r="L399" s="1"/>
      <c r="M399" s="1"/>
    </row>
    <row r="400" spans="1:13" x14ac:dyDescent="0.2">
      <c r="A400" s="1"/>
      <c r="B400" s="1"/>
      <c r="C400" s="1"/>
      <c r="D400" s="1"/>
      <c r="E400" s="1"/>
      <c r="F400" s="1"/>
      <c r="G400" s="1"/>
      <c r="H400" s="1"/>
      <c r="I400" t="str">
        <f>IFERROR(INDEX('تشخيص الحالات'!$D$2:$D$1001,SUMPRODUCT(('تشخيص الحالات'!$B$2:$B$1001=B400)*('تشخيص الحالات'!$G$2:$G$1001=1)*ROW('تشخيص الحالات'!$B$2:$B$1001))-1),"")&amp;IF(SUMPRODUCT(('تشخيص الحالات'!$B$2:$B$1001=B400)*('تشخيص الحالات'!$G$2:$G$1001=2))&gt;0,"، "&amp;IFERROR(INDEX('تشخيص الحالات'!$D$2:$D$1001,SUMPRODUCT(('تشخيص الحالات'!$B$2:$B$1001=B400)*('تشخيص الحالات'!$G$2:$G$1001=2)*ROW('تشخيص الحالات'!$B$2:$B$1001))-1),""),"")&amp;IF(SUMPRODUCT(('تشخيص الحالات'!$B$2:$B$1001=B400)*('تشخيص الحالات'!$G$2:$G$1001=3))&gt;0,"، "&amp;IFERROR(INDEX('تشخيص الحالات'!$D$2:$D$1001,SUMPRODUCT(('تشخيص الحالات'!$B$2:$B$1001=B400)*('تشخيص الحالات'!$G$2:$G$1001=3)*ROW('تشخيص الحالات'!$B$2:$B$1001))-1),""),"")&amp;IF(SUMPRODUCT(('تشخيص الحالات'!$B$2:$B$1001=B400)*('تشخيص الحالات'!$G$2:$G$1001=4))&gt;0,"، "&amp;IFERROR(INDEX('تشخيص الحالات'!$D$2:$D$1001,SUMPRODUCT(('تشخيص الحالات'!$B$2:$B$1001=B400)*('تشخيص الحالات'!$G$2:$G$1001=4)*ROW('تشخيص الحالات'!$B$2:$B$1001))-1),""),"")&amp;IF(SUMPRODUCT(('تشخيص الحالات'!$B$2:$B$1001=B400)*('تشخيص الحالات'!$G$2:$G$1001=5))&gt;0,"، "&amp;IFERROR(INDEX('تشخيص الحالات'!$D$2:$D$1001,SUMPRODUCT(('تشخيص الحالات'!$B$2:$B$1001=B400)*('تشخيص الحالات'!$G$2:$G$1001=5)*ROW('تشخيص الحالات'!$B$2:$B$1001))-1),""),"")&amp;IF(SUMPRODUCT(('تشخيص الحالات'!$B$2:$B$1001=B400)*('تشخيص الحالات'!$G$2:$G$1001=6))&gt;0,"، "&amp;IFERROR(INDEX('تشخيص الحالات'!$D$2:$D$1001,SUMPRODUCT(('تشخيص الحالات'!$B$2:$B$1001=B400)*('تشخيص الحالات'!$G$2:$G$1001=6)*ROW('تشخيص الحالات'!$B$2:$B$1001))-1),""),"")&amp;IF(SUMPRODUCT(('تشخيص الحالات'!$B$2:$B$1001=B400)*('تشخيص الحالات'!$G$2:$G$1001=7))&gt;0,"، "&amp;IFERROR(INDEX('تشخيص الحالات'!$D$2:$D$1001,SUMPRODUCT(('تشخيص الحالات'!$B$2:$B$1001=B400)*('تشخيص الحالات'!$G$2:$G$1001=7)*ROW('تشخيص الحالات'!$B$2:$B$1001))-1),""),"")&amp;IF(SUMPRODUCT(('تشخيص الحالات'!$B$2:$B$1001=B400)*('تشخيص الحالات'!$G$2:$G$1001=8))&gt;0,"، "&amp;IFERROR(INDEX('تشخيص الحالات'!$D$2:$D$1001,SUMPRODUCT(('تشخيص الحالات'!$B$2:$B$1001=B400)*('تشخيص الحالات'!$G$2:$G$1001=8)*ROW('تشخيص الحالات'!$B$2:$B$1001))-1),""),"")</f>
        <v/>
      </c>
      <c r="J400" s="1"/>
      <c r="K400" s="1"/>
      <c r="L400" s="1"/>
      <c r="M400" s="1"/>
    </row>
    <row r="401" spans="1:13" x14ac:dyDescent="0.2">
      <c r="A401" s="1"/>
      <c r="B401" s="1"/>
      <c r="C401" s="1"/>
      <c r="D401" s="1"/>
      <c r="E401" s="1"/>
      <c r="F401" s="1"/>
      <c r="G401" s="1"/>
      <c r="H401" s="1"/>
      <c r="I401" t="str">
        <f>IFERROR(INDEX('تشخيص الحالات'!$D$2:$D$1001,SUMPRODUCT(('تشخيص الحالات'!$B$2:$B$1001=B401)*('تشخيص الحالات'!$G$2:$G$1001=1)*ROW('تشخيص الحالات'!$B$2:$B$1001))-1),"")&amp;IF(SUMPRODUCT(('تشخيص الحالات'!$B$2:$B$1001=B401)*('تشخيص الحالات'!$G$2:$G$1001=2))&gt;0,"، "&amp;IFERROR(INDEX('تشخيص الحالات'!$D$2:$D$1001,SUMPRODUCT(('تشخيص الحالات'!$B$2:$B$1001=B401)*('تشخيص الحالات'!$G$2:$G$1001=2)*ROW('تشخيص الحالات'!$B$2:$B$1001))-1),""),"")&amp;IF(SUMPRODUCT(('تشخيص الحالات'!$B$2:$B$1001=B401)*('تشخيص الحالات'!$G$2:$G$1001=3))&gt;0,"، "&amp;IFERROR(INDEX('تشخيص الحالات'!$D$2:$D$1001,SUMPRODUCT(('تشخيص الحالات'!$B$2:$B$1001=B401)*('تشخيص الحالات'!$G$2:$G$1001=3)*ROW('تشخيص الحالات'!$B$2:$B$1001))-1),""),"")&amp;IF(SUMPRODUCT(('تشخيص الحالات'!$B$2:$B$1001=B401)*('تشخيص الحالات'!$G$2:$G$1001=4))&gt;0,"، "&amp;IFERROR(INDEX('تشخيص الحالات'!$D$2:$D$1001,SUMPRODUCT(('تشخيص الحالات'!$B$2:$B$1001=B401)*('تشخيص الحالات'!$G$2:$G$1001=4)*ROW('تشخيص الحالات'!$B$2:$B$1001))-1),""),"")&amp;IF(SUMPRODUCT(('تشخيص الحالات'!$B$2:$B$1001=B401)*('تشخيص الحالات'!$G$2:$G$1001=5))&gt;0,"، "&amp;IFERROR(INDEX('تشخيص الحالات'!$D$2:$D$1001,SUMPRODUCT(('تشخيص الحالات'!$B$2:$B$1001=B401)*('تشخيص الحالات'!$G$2:$G$1001=5)*ROW('تشخيص الحالات'!$B$2:$B$1001))-1),""),"")&amp;IF(SUMPRODUCT(('تشخيص الحالات'!$B$2:$B$1001=B401)*('تشخيص الحالات'!$G$2:$G$1001=6))&gt;0,"، "&amp;IFERROR(INDEX('تشخيص الحالات'!$D$2:$D$1001,SUMPRODUCT(('تشخيص الحالات'!$B$2:$B$1001=B401)*('تشخيص الحالات'!$G$2:$G$1001=6)*ROW('تشخيص الحالات'!$B$2:$B$1001))-1),""),"")&amp;IF(SUMPRODUCT(('تشخيص الحالات'!$B$2:$B$1001=B401)*('تشخيص الحالات'!$G$2:$G$1001=7))&gt;0,"، "&amp;IFERROR(INDEX('تشخيص الحالات'!$D$2:$D$1001,SUMPRODUCT(('تشخيص الحالات'!$B$2:$B$1001=B401)*('تشخيص الحالات'!$G$2:$G$1001=7)*ROW('تشخيص الحالات'!$B$2:$B$1001))-1),""),"")&amp;IF(SUMPRODUCT(('تشخيص الحالات'!$B$2:$B$1001=B401)*('تشخيص الحالات'!$G$2:$G$1001=8))&gt;0,"، "&amp;IFERROR(INDEX('تشخيص الحالات'!$D$2:$D$1001,SUMPRODUCT(('تشخيص الحالات'!$B$2:$B$1001=B401)*('تشخيص الحالات'!$G$2:$G$1001=8)*ROW('تشخيص الحالات'!$B$2:$B$1001))-1),""),"")</f>
        <v/>
      </c>
      <c r="J401" s="1"/>
      <c r="K401" s="1"/>
      <c r="L401" s="1"/>
      <c r="M401" s="1"/>
    </row>
    <row r="402" spans="1:13" x14ac:dyDescent="0.2">
      <c r="A402" s="1"/>
      <c r="B402" s="1"/>
      <c r="C402" s="1"/>
      <c r="D402" s="1"/>
      <c r="E402" s="1"/>
      <c r="F402" s="1"/>
      <c r="G402" s="1"/>
      <c r="H402" s="1"/>
      <c r="I402" t="str">
        <f>IFERROR(INDEX('تشخيص الحالات'!$D$2:$D$1001,SUMPRODUCT(('تشخيص الحالات'!$B$2:$B$1001=B402)*('تشخيص الحالات'!$G$2:$G$1001=1)*ROW('تشخيص الحالات'!$B$2:$B$1001))-1),"")&amp;IF(SUMPRODUCT(('تشخيص الحالات'!$B$2:$B$1001=B402)*('تشخيص الحالات'!$G$2:$G$1001=2))&gt;0,"، "&amp;IFERROR(INDEX('تشخيص الحالات'!$D$2:$D$1001,SUMPRODUCT(('تشخيص الحالات'!$B$2:$B$1001=B402)*('تشخيص الحالات'!$G$2:$G$1001=2)*ROW('تشخيص الحالات'!$B$2:$B$1001))-1),""),"")&amp;IF(SUMPRODUCT(('تشخيص الحالات'!$B$2:$B$1001=B402)*('تشخيص الحالات'!$G$2:$G$1001=3))&gt;0,"، "&amp;IFERROR(INDEX('تشخيص الحالات'!$D$2:$D$1001,SUMPRODUCT(('تشخيص الحالات'!$B$2:$B$1001=B402)*('تشخيص الحالات'!$G$2:$G$1001=3)*ROW('تشخيص الحالات'!$B$2:$B$1001))-1),""),"")&amp;IF(SUMPRODUCT(('تشخيص الحالات'!$B$2:$B$1001=B402)*('تشخيص الحالات'!$G$2:$G$1001=4))&gt;0,"، "&amp;IFERROR(INDEX('تشخيص الحالات'!$D$2:$D$1001,SUMPRODUCT(('تشخيص الحالات'!$B$2:$B$1001=B402)*('تشخيص الحالات'!$G$2:$G$1001=4)*ROW('تشخيص الحالات'!$B$2:$B$1001))-1),""),"")&amp;IF(SUMPRODUCT(('تشخيص الحالات'!$B$2:$B$1001=B402)*('تشخيص الحالات'!$G$2:$G$1001=5))&gt;0,"، "&amp;IFERROR(INDEX('تشخيص الحالات'!$D$2:$D$1001,SUMPRODUCT(('تشخيص الحالات'!$B$2:$B$1001=B402)*('تشخيص الحالات'!$G$2:$G$1001=5)*ROW('تشخيص الحالات'!$B$2:$B$1001))-1),""),"")&amp;IF(SUMPRODUCT(('تشخيص الحالات'!$B$2:$B$1001=B402)*('تشخيص الحالات'!$G$2:$G$1001=6))&gt;0,"، "&amp;IFERROR(INDEX('تشخيص الحالات'!$D$2:$D$1001,SUMPRODUCT(('تشخيص الحالات'!$B$2:$B$1001=B402)*('تشخيص الحالات'!$G$2:$G$1001=6)*ROW('تشخيص الحالات'!$B$2:$B$1001))-1),""),"")&amp;IF(SUMPRODUCT(('تشخيص الحالات'!$B$2:$B$1001=B402)*('تشخيص الحالات'!$G$2:$G$1001=7))&gt;0,"، "&amp;IFERROR(INDEX('تشخيص الحالات'!$D$2:$D$1001,SUMPRODUCT(('تشخيص الحالات'!$B$2:$B$1001=B402)*('تشخيص الحالات'!$G$2:$G$1001=7)*ROW('تشخيص الحالات'!$B$2:$B$1001))-1),""),"")&amp;IF(SUMPRODUCT(('تشخيص الحالات'!$B$2:$B$1001=B402)*('تشخيص الحالات'!$G$2:$G$1001=8))&gt;0,"، "&amp;IFERROR(INDEX('تشخيص الحالات'!$D$2:$D$1001,SUMPRODUCT(('تشخيص الحالات'!$B$2:$B$1001=B402)*('تشخيص الحالات'!$G$2:$G$1001=8)*ROW('تشخيص الحالات'!$B$2:$B$1001))-1),""),"")</f>
        <v/>
      </c>
      <c r="J402" s="1"/>
      <c r="K402" s="1"/>
      <c r="L402" s="1"/>
      <c r="M402" s="1"/>
    </row>
    <row r="403" spans="1:13" x14ac:dyDescent="0.2">
      <c r="A403" s="1"/>
      <c r="B403" s="1"/>
      <c r="C403" s="1"/>
      <c r="D403" s="1"/>
      <c r="E403" s="1"/>
      <c r="F403" s="1"/>
      <c r="G403" s="1"/>
      <c r="H403" s="1"/>
      <c r="I403" t="str">
        <f>IFERROR(INDEX('تشخيص الحالات'!$D$2:$D$1001,SUMPRODUCT(('تشخيص الحالات'!$B$2:$B$1001=B403)*('تشخيص الحالات'!$G$2:$G$1001=1)*ROW('تشخيص الحالات'!$B$2:$B$1001))-1),"")&amp;IF(SUMPRODUCT(('تشخيص الحالات'!$B$2:$B$1001=B403)*('تشخيص الحالات'!$G$2:$G$1001=2))&gt;0,"، "&amp;IFERROR(INDEX('تشخيص الحالات'!$D$2:$D$1001,SUMPRODUCT(('تشخيص الحالات'!$B$2:$B$1001=B403)*('تشخيص الحالات'!$G$2:$G$1001=2)*ROW('تشخيص الحالات'!$B$2:$B$1001))-1),""),"")&amp;IF(SUMPRODUCT(('تشخيص الحالات'!$B$2:$B$1001=B403)*('تشخيص الحالات'!$G$2:$G$1001=3))&gt;0,"، "&amp;IFERROR(INDEX('تشخيص الحالات'!$D$2:$D$1001,SUMPRODUCT(('تشخيص الحالات'!$B$2:$B$1001=B403)*('تشخيص الحالات'!$G$2:$G$1001=3)*ROW('تشخيص الحالات'!$B$2:$B$1001))-1),""),"")&amp;IF(SUMPRODUCT(('تشخيص الحالات'!$B$2:$B$1001=B403)*('تشخيص الحالات'!$G$2:$G$1001=4))&gt;0,"، "&amp;IFERROR(INDEX('تشخيص الحالات'!$D$2:$D$1001,SUMPRODUCT(('تشخيص الحالات'!$B$2:$B$1001=B403)*('تشخيص الحالات'!$G$2:$G$1001=4)*ROW('تشخيص الحالات'!$B$2:$B$1001))-1),""),"")&amp;IF(SUMPRODUCT(('تشخيص الحالات'!$B$2:$B$1001=B403)*('تشخيص الحالات'!$G$2:$G$1001=5))&gt;0,"، "&amp;IFERROR(INDEX('تشخيص الحالات'!$D$2:$D$1001,SUMPRODUCT(('تشخيص الحالات'!$B$2:$B$1001=B403)*('تشخيص الحالات'!$G$2:$G$1001=5)*ROW('تشخيص الحالات'!$B$2:$B$1001))-1),""),"")&amp;IF(SUMPRODUCT(('تشخيص الحالات'!$B$2:$B$1001=B403)*('تشخيص الحالات'!$G$2:$G$1001=6))&gt;0,"، "&amp;IFERROR(INDEX('تشخيص الحالات'!$D$2:$D$1001,SUMPRODUCT(('تشخيص الحالات'!$B$2:$B$1001=B403)*('تشخيص الحالات'!$G$2:$G$1001=6)*ROW('تشخيص الحالات'!$B$2:$B$1001))-1),""),"")&amp;IF(SUMPRODUCT(('تشخيص الحالات'!$B$2:$B$1001=B403)*('تشخيص الحالات'!$G$2:$G$1001=7))&gt;0,"، "&amp;IFERROR(INDEX('تشخيص الحالات'!$D$2:$D$1001,SUMPRODUCT(('تشخيص الحالات'!$B$2:$B$1001=B403)*('تشخيص الحالات'!$G$2:$G$1001=7)*ROW('تشخيص الحالات'!$B$2:$B$1001))-1),""),"")&amp;IF(SUMPRODUCT(('تشخيص الحالات'!$B$2:$B$1001=B403)*('تشخيص الحالات'!$G$2:$G$1001=8))&gt;0,"، "&amp;IFERROR(INDEX('تشخيص الحالات'!$D$2:$D$1001,SUMPRODUCT(('تشخيص الحالات'!$B$2:$B$1001=B403)*('تشخيص الحالات'!$G$2:$G$1001=8)*ROW('تشخيص الحالات'!$B$2:$B$1001))-1),""),"")</f>
        <v/>
      </c>
      <c r="J403" s="1"/>
      <c r="K403" s="1"/>
      <c r="L403" s="1"/>
      <c r="M403" s="1"/>
    </row>
    <row r="404" spans="1:13" x14ac:dyDescent="0.2">
      <c r="A404" s="1"/>
      <c r="B404" s="1"/>
      <c r="C404" s="1"/>
      <c r="D404" s="1"/>
      <c r="E404" s="1"/>
      <c r="F404" s="1"/>
      <c r="G404" s="1"/>
      <c r="H404" s="1"/>
      <c r="I404" t="str">
        <f>IFERROR(INDEX('تشخيص الحالات'!$D$2:$D$1001,SUMPRODUCT(('تشخيص الحالات'!$B$2:$B$1001=B404)*('تشخيص الحالات'!$G$2:$G$1001=1)*ROW('تشخيص الحالات'!$B$2:$B$1001))-1),"")&amp;IF(SUMPRODUCT(('تشخيص الحالات'!$B$2:$B$1001=B404)*('تشخيص الحالات'!$G$2:$G$1001=2))&gt;0,"، "&amp;IFERROR(INDEX('تشخيص الحالات'!$D$2:$D$1001,SUMPRODUCT(('تشخيص الحالات'!$B$2:$B$1001=B404)*('تشخيص الحالات'!$G$2:$G$1001=2)*ROW('تشخيص الحالات'!$B$2:$B$1001))-1),""),"")&amp;IF(SUMPRODUCT(('تشخيص الحالات'!$B$2:$B$1001=B404)*('تشخيص الحالات'!$G$2:$G$1001=3))&gt;0,"، "&amp;IFERROR(INDEX('تشخيص الحالات'!$D$2:$D$1001,SUMPRODUCT(('تشخيص الحالات'!$B$2:$B$1001=B404)*('تشخيص الحالات'!$G$2:$G$1001=3)*ROW('تشخيص الحالات'!$B$2:$B$1001))-1),""),"")&amp;IF(SUMPRODUCT(('تشخيص الحالات'!$B$2:$B$1001=B404)*('تشخيص الحالات'!$G$2:$G$1001=4))&gt;0,"، "&amp;IFERROR(INDEX('تشخيص الحالات'!$D$2:$D$1001,SUMPRODUCT(('تشخيص الحالات'!$B$2:$B$1001=B404)*('تشخيص الحالات'!$G$2:$G$1001=4)*ROW('تشخيص الحالات'!$B$2:$B$1001))-1),""),"")&amp;IF(SUMPRODUCT(('تشخيص الحالات'!$B$2:$B$1001=B404)*('تشخيص الحالات'!$G$2:$G$1001=5))&gt;0,"، "&amp;IFERROR(INDEX('تشخيص الحالات'!$D$2:$D$1001,SUMPRODUCT(('تشخيص الحالات'!$B$2:$B$1001=B404)*('تشخيص الحالات'!$G$2:$G$1001=5)*ROW('تشخيص الحالات'!$B$2:$B$1001))-1),""),"")&amp;IF(SUMPRODUCT(('تشخيص الحالات'!$B$2:$B$1001=B404)*('تشخيص الحالات'!$G$2:$G$1001=6))&gt;0,"، "&amp;IFERROR(INDEX('تشخيص الحالات'!$D$2:$D$1001,SUMPRODUCT(('تشخيص الحالات'!$B$2:$B$1001=B404)*('تشخيص الحالات'!$G$2:$G$1001=6)*ROW('تشخيص الحالات'!$B$2:$B$1001))-1),""),"")&amp;IF(SUMPRODUCT(('تشخيص الحالات'!$B$2:$B$1001=B404)*('تشخيص الحالات'!$G$2:$G$1001=7))&gt;0,"، "&amp;IFERROR(INDEX('تشخيص الحالات'!$D$2:$D$1001,SUMPRODUCT(('تشخيص الحالات'!$B$2:$B$1001=B404)*('تشخيص الحالات'!$G$2:$G$1001=7)*ROW('تشخيص الحالات'!$B$2:$B$1001))-1),""),"")&amp;IF(SUMPRODUCT(('تشخيص الحالات'!$B$2:$B$1001=B404)*('تشخيص الحالات'!$G$2:$G$1001=8))&gt;0,"، "&amp;IFERROR(INDEX('تشخيص الحالات'!$D$2:$D$1001,SUMPRODUCT(('تشخيص الحالات'!$B$2:$B$1001=B404)*('تشخيص الحالات'!$G$2:$G$1001=8)*ROW('تشخيص الحالات'!$B$2:$B$1001))-1),""),"")</f>
        <v/>
      </c>
      <c r="J404" s="1"/>
      <c r="K404" s="1"/>
      <c r="L404" s="1"/>
      <c r="M404" s="1"/>
    </row>
    <row r="405" spans="1:13" x14ac:dyDescent="0.2">
      <c r="A405" s="1"/>
      <c r="B405" s="1"/>
      <c r="C405" s="1"/>
      <c r="D405" s="1"/>
      <c r="E405" s="1"/>
      <c r="F405" s="1"/>
      <c r="G405" s="1"/>
      <c r="H405" s="1"/>
      <c r="I405" t="str">
        <f>IFERROR(INDEX('تشخيص الحالات'!$D$2:$D$1001,SUMPRODUCT(('تشخيص الحالات'!$B$2:$B$1001=B405)*('تشخيص الحالات'!$G$2:$G$1001=1)*ROW('تشخيص الحالات'!$B$2:$B$1001))-1),"")&amp;IF(SUMPRODUCT(('تشخيص الحالات'!$B$2:$B$1001=B405)*('تشخيص الحالات'!$G$2:$G$1001=2))&gt;0,"، "&amp;IFERROR(INDEX('تشخيص الحالات'!$D$2:$D$1001,SUMPRODUCT(('تشخيص الحالات'!$B$2:$B$1001=B405)*('تشخيص الحالات'!$G$2:$G$1001=2)*ROW('تشخيص الحالات'!$B$2:$B$1001))-1),""),"")&amp;IF(SUMPRODUCT(('تشخيص الحالات'!$B$2:$B$1001=B405)*('تشخيص الحالات'!$G$2:$G$1001=3))&gt;0,"، "&amp;IFERROR(INDEX('تشخيص الحالات'!$D$2:$D$1001,SUMPRODUCT(('تشخيص الحالات'!$B$2:$B$1001=B405)*('تشخيص الحالات'!$G$2:$G$1001=3)*ROW('تشخيص الحالات'!$B$2:$B$1001))-1),""),"")&amp;IF(SUMPRODUCT(('تشخيص الحالات'!$B$2:$B$1001=B405)*('تشخيص الحالات'!$G$2:$G$1001=4))&gt;0,"، "&amp;IFERROR(INDEX('تشخيص الحالات'!$D$2:$D$1001,SUMPRODUCT(('تشخيص الحالات'!$B$2:$B$1001=B405)*('تشخيص الحالات'!$G$2:$G$1001=4)*ROW('تشخيص الحالات'!$B$2:$B$1001))-1),""),"")&amp;IF(SUMPRODUCT(('تشخيص الحالات'!$B$2:$B$1001=B405)*('تشخيص الحالات'!$G$2:$G$1001=5))&gt;0,"، "&amp;IFERROR(INDEX('تشخيص الحالات'!$D$2:$D$1001,SUMPRODUCT(('تشخيص الحالات'!$B$2:$B$1001=B405)*('تشخيص الحالات'!$G$2:$G$1001=5)*ROW('تشخيص الحالات'!$B$2:$B$1001))-1),""),"")&amp;IF(SUMPRODUCT(('تشخيص الحالات'!$B$2:$B$1001=B405)*('تشخيص الحالات'!$G$2:$G$1001=6))&gt;0,"، "&amp;IFERROR(INDEX('تشخيص الحالات'!$D$2:$D$1001,SUMPRODUCT(('تشخيص الحالات'!$B$2:$B$1001=B405)*('تشخيص الحالات'!$G$2:$G$1001=6)*ROW('تشخيص الحالات'!$B$2:$B$1001))-1),""),"")&amp;IF(SUMPRODUCT(('تشخيص الحالات'!$B$2:$B$1001=B405)*('تشخيص الحالات'!$G$2:$G$1001=7))&gt;0,"، "&amp;IFERROR(INDEX('تشخيص الحالات'!$D$2:$D$1001,SUMPRODUCT(('تشخيص الحالات'!$B$2:$B$1001=B405)*('تشخيص الحالات'!$G$2:$G$1001=7)*ROW('تشخيص الحالات'!$B$2:$B$1001))-1),""),"")&amp;IF(SUMPRODUCT(('تشخيص الحالات'!$B$2:$B$1001=B405)*('تشخيص الحالات'!$G$2:$G$1001=8))&gt;0,"، "&amp;IFERROR(INDEX('تشخيص الحالات'!$D$2:$D$1001,SUMPRODUCT(('تشخيص الحالات'!$B$2:$B$1001=B405)*('تشخيص الحالات'!$G$2:$G$1001=8)*ROW('تشخيص الحالات'!$B$2:$B$1001))-1),""),"")</f>
        <v/>
      </c>
      <c r="J405" s="1"/>
      <c r="K405" s="1"/>
      <c r="L405" s="1"/>
      <c r="M405" s="1"/>
    </row>
    <row r="406" spans="1:13" x14ac:dyDescent="0.2">
      <c r="A406" s="1"/>
      <c r="B406" s="1"/>
      <c r="C406" s="1"/>
      <c r="D406" s="1"/>
      <c r="E406" s="1"/>
      <c r="F406" s="1"/>
      <c r="G406" s="1"/>
      <c r="H406" s="1"/>
      <c r="I406" t="str">
        <f>IFERROR(INDEX('تشخيص الحالات'!$D$2:$D$1001,SUMPRODUCT(('تشخيص الحالات'!$B$2:$B$1001=B406)*('تشخيص الحالات'!$G$2:$G$1001=1)*ROW('تشخيص الحالات'!$B$2:$B$1001))-1),"")&amp;IF(SUMPRODUCT(('تشخيص الحالات'!$B$2:$B$1001=B406)*('تشخيص الحالات'!$G$2:$G$1001=2))&gt;0,"، "&amp;IFERROR(INDEX('تشخيص الحالات'!$D$2:$D$1001,SUMPRODUCT(('تشخيص الحالات'!$B$2:$B$1001=B406)*('تشخيص الحالات'!$G$2:$G$1001=2)*ROW('تشخيص الحالات'!$B$2:$B$1001))-1),""),"")&amp;IF(SUMPRODUCT(('تشخيص الحالات'!$B$2:$B$1001=B406)*('تشخيص الحالات'!$G$2:$G$1001=3))&gt;0,"، "&amp;IFERROR(INDEX('تشخيص الحالات'!$D$2:$D$1001,SUMPRODUCT(('تشخيص الحالات'!$B$2:$B$1001=B406)*('تشخيص الحالات'!$G$2:$G$1001=3)*ROW('تشخيص الحالات'!$B$2:$B$1001))-1),""),"")&amp;IF(SUMPRODUCT(('تشخيص الحالات'!$B$2:$B$1001=B406)*('تشخيص الحالات'!$G$2:$G$1001=4))&gt;0,"، "&amp;IFERROR(INDEX('تشخيص الحالات'!$D$2:$D$1001,SUMPRODUCT(('تشخيص الحالات'!$B$2:$B$1001=B406)*('تشخيص الحالات'!$G$2:$G$1001=4)*ROW('تشخيص الحالات'!$B$2:$B$1001))-1),""),"")&amp;IF(SUMPRODUCT(('تشخيص الحالات'!$B$2:$B$1001=B406)*('تشخيص الحالات'!$G$2:$G$1001=5))&gt;0,"، "&amp;IFERROR(INDEX('تشخيص الحالات'!$D$2:$D$1001,SUMPRODUCT(('تشخيص الحالات'!$B$2:$B$1001=B406)*('تشخيص الحالات'!$G$2:$G$1001=5)*ROW('تشخيص الحالات'!$B$2:$B$1001))-1),""),"")&amp;IF(SUMPRODUCT(('تشخيص الحالات'!$B$2:$B$1001=B406)*('تشخيص الحالات'!$G$2:$G$1001=6))&gt;0,"، "&amp;IFERROR(INDEX('تشخيص الحالات'!$D$2:$D$1001,SUMPRODUCT(('تشخيص الحالات'!$B$2:$B$1001=B406)*('تشخيص الحالات'!$G$2:$G$1001=6)*ROW('تشخيص الحالات'!$B$2:$B$1001))-1),""),"")&amp;IF(SUMPRODUCT(('تشخيص الحالات'!$B$2:$B$1001=B406)*('تشخيص الحالات'!$G$2:$G$1001=7))&gt;0,"، "&amp;IFERROR(INDEX('تشخيص الحالات'!$D$2:$D$1001,SUMPRODUCT(('تشخيص الحالات'!$B$2:$B$1001=B406)*('تشخيص الحالات'!$G$2:$G$1001=7)*ROW('تشخيص الحالات'!$B$2:$B$1001))-1),""),"")&amp;IF(SUMPRODUCT(('تشخيص الحالات'!$B$2:$B$1001=B406)*('تشخيص الحالات'!$G$2:$G$1001=8))&gt;0,"، "&amp;IFERROR(INDEX('تشخيص الحالات'!$D$2:$D$1001,SUMPRODUCT(('تشخيص الحالات'!$B$2:$B$1001=B406)*('تشخيص الحالات'!$G$2:$G$1001=8)*ROW('تشخيص الحالات'!$B$2:$B$1001))-1),""),"")</f>
        <v/>
      </c>
      <c r="J406" s="1"/>
      <c r="K406" s="1"/>
      <c r="L406" s="1"/>
      <c r="M406" s="1"/>
    </row>
    <row r="407" spans="1:13" x14ac:dyDescent="0.2">
      <c r="A407" s="1"/>
      <c r="B407" s="1"/>
      <c r="C407" s="1"/>
      <c r="D407" s="1"/>
      <c r="E407" s="1"/>
      <c r="F407" s="1"/>
      <c r="G407" s="1"/>
      <c r="H407" s="1"/>
      <c r="I407" t="str">
        <f>IFERROR(INDEX('تشخيص الحالات'!$D$2:$D$1001,SUMPRODUCT(('تشخيص الحالات'!$B$2:$B$1001=B407)*('تشخيص الحالات'!$G$2:$G$1001=1)*ROW('تشخيص الحالات'!$B$2:$B$1001))-1),"")&amp;IF(SUMPRODUCT(('تشخيص الحالات'!$B$2:$B$1001=B407)*('تشخيص الحالات'!$G$2:$G$1001=2))&gt;0,"، "&amp;IFERROR(INDEX('تشخيص الحالات'!$D$2:$D$1001,SUMPRODUCT(('تشخيص الحالات'!$B$2:$B$1001=B407)*('تشخيص الحالات'!$G$2:$G$1001=2)*ROW('تشخيص الحالات'!$B$2:$B$1001))-1),""),"")&amp;IF(SUMPRODUCT(('تشخيص الحالات'!$B$2:$B$1001=B407)*('تشخيص الحالات'!$G$2:$G$1001=3))&gt;0,"، "&amp;IFERROR(INDEX('تشخيص الحالات'!$D$2:$D$1001,SUMPRODUCT(('تشخيص الحالات'!$B$2:$B$1001=B407)*('تشخيص الحالات'!$G$2:$G$1001=3)*ROW('تشخيص الحالات'!$B$2:$B$1001))-1),""),"")&amp;IF(SUMPRODUCT(('تشخيص الحالات'!$B$2:$B$1001=B407)*('تشخيص الحالات'!$G$2:$G$1001=4))&gt;0,"، "&amp;IFERROR(INDEX('تشخيص الحالات'!$D$2:$D$1001,SUMPRODUCT(('تشخيص الحالات'!$B$2:$B$1001=B407)*('تشخيص الحالات'!$G$2:$G$1001=4)*ROW('تشخيص الحالات'!$B$2:$B$1001))-1),""),"")&amp;IF(SUMPRODUCT(('تشخيص الحالات'!$B$2:$B$1001=B407)*('تشخيص الحالات'!$G$2:$G$1001=5))&gt;0,"، "&amp;IFERROR(INDEX('تشخيص الحالات'!$D$2:$D$1001,SUMPRODUCT(('تشخيص الحالات'!$B$2:$B$1001=B407)*('تشخيص الحالات'!$G$2:$G$1001=5)*ROW('تشخيص الحالات'!$B$2:$B$1001))-1),""),"")&amp;IF(SUMPRODUCT(('تشخيص الحالات'!$B$2:$B$1001=B407)*('تشخيص الحالات'!$G$2:$G$1001=6))&gt;0,"، "&amp;IFERROR(INDEX('تشخيص الحالات'!$D$2:$D$1001,SUMPRODUCT(('تشخيص الحالات'!$B$2:$B$1001=B407)*('تشخيص الحالات'!$G$2:$G$1001=6)*ROW('تشخيص الحالات'!$B$2:$B$1001))-1),""),"")&amp;IF(SUMPRODUCT(('تشخيص الحالات'!$B$2:$B$1001=B407)*('تشخيص الحالات'!$G$2:$G$1001=7))&gt;0,"، "&amp;IFERROR(INDEX('تشخيص الحالات'!$D$2:$D$1001,SUMPRODUCT(('تشخيص الحالات'!$B$2:$B$1001=B407)*('تشخيص الحالات'!$G$2:$G$1001=7)*ROW('تشخيص الحالات'!$B$2:$B$1001))-1),""),"")&amp;IF(SUMPRODUCT(('تشخيص الحالات'!$B$2:$B$1001=B407)*('تشخيص الحالات'!$G$2:$G$1001=8))&gt;0,"، "&amp;IFERROR(INDEX('تشخيص الحالات'!$D$2:$D$1001,SUMPRODUCT(('تشخيص الحالات'!$B$2:$B$1001=B407)*('تشخيص الحالات'!$G$2:$G$1001=8)*ROW('تشخيص الحالات'!$B$2:$B$1001))-1),""),"")</f>
        <v/>
      </c>
      <c r="J407" s="1"/>
      <c r="K407" s="1"/>
      <c r="L407" s="1"/>
      <c r="M407" s="1"/>
    </row>
    <row r="408" spans="1:13" x14ac:dyDescent="0.2">
      <c r="A408" s="1"/>
      <c r="B408" s="1"/>
      <c r="C408" s="1"/>
      <c r="D408" s="1"/>
      <c r="E408" s="1"/>
      <c r="F408" s="1"/>
      <c r="G408" s="1"/>
      <c r="H408" s="1"/>
      <c r="I408" t="str">
        <f>IFERROR(INDEX('تشخيص الحالات'!$D$2:$D$1001,SUMPRODUCT(('تشخيص الحالات'!$B$2:$B$1001=B408)*('تشخيص الحالات'!$G$2:$G$1001=1)*ROW('تشخيص الحالات'!$B$2:$B$1001))-1),"")&amp;IF(SUMPRODUCT(('تشخيص الحالات'!$B$2:$B$1001=B408)*('تشخيص الحالات'!$G$2:$G$1001=2))&gt;0,"، "&amp;IFERROR(INDEX('تشخيص الحالات'!$D$2:$D$1001,SUMPRODUCT(('تشخيص الحالات'!$B$2:$B$1001=B408)*('تشخيص الحالات'!$G$2:$G$1001=2)*ROW('تشخيص الحالات'!$B$2:$B$1001))-1),""),"")&amp;IF(SUMPRODUCT(('تشخيص الحالات'!$B$2:$B$1001=B408)*('تشخيص الحالات'!$G$2:$G$1001=3))&gt;0,"، "&amp;IFERROR(INDEX('تشخيص الحالات'!$D$2:$D$1001,SUMPRODUCT(('تشخيص الحالات'!$B$2:$B$1001=B408)*('تشخيص الحالات'!$G$2:$G$1001=3)*ROW('تشخيص الحالات'!$B$2:$B$1001))-1),""),"")&amp;IF(SUMPRODUCT(('تشخيص الحالات'!$B$2:$B$1001=B408)*('تشخيص الحالات'!$G$2:$G$1001=4))&gt;0,"، "&amp;IFERROR(INDEX('تشخيص الحالات'!$D$2:$D$1001,SUMPRODUCT(('تشخيص الحالات'!$B$2:$B$1001=B408)*('تشخيص الحالات'!$G$2:$G$1001=4)*ROW('تشخيص الحالات'!$B$2:$B$1001))-1),""),"")&amp;IF(SUMPRODUCT(('تشخيص الحالات'!$B$2:$B$1001=B408)*('تشخيص الحالات'!$G$2:$G$1001=5))&gt;0,"، "&amp;IFERROR(INDEX('تشخيص الحالات'!$D$2:$D$1001,SUMPRODUCT(('تشخيص الحالات'!$B$2:$B$1001=B408)*('تشخيص الحالات'!$G$2:$G$1001=5)*ROW('تشخيص الحالات'!$B$2:$B$1001))-1),""),"")&amp;IF(SUMPRODUCT(('تشخيص الحالات'!$B$2:$B$1001=B408)*('تشخيص الحالات'!$G$2:$G$1001=6))&gt;0,"، "&amp;IFERROR(INDEX('تشخيص الحالات'!$D$2:$D$1001,SUMPRODUCT(('تشخيص الحالات'!$B$2:$B$1001=B408)*('تشخيص الحالات'!$G$2:$G$1001=6)*ROW('تشخيص الحالات'!$B$2:$B$1001))-1),""),"")&amp;IF(SUMPRODUCT(('تشخيص الحالات'!$B$2:$B$1001=B408)*('تشخيص الحالات'!$G$2:$G$1001=7))&gt;0,"، "&amp;IFERROR(INDEX('تشخيص الحالات'!$D$2:$D$1001,SUMPRODUCT(('تشخيص الحالات'!$B$2:$B$1001=B408)*('تشخيص الحالات'!$G$2:$G$1001=7)*ROW('تشخيص الحالات'!$B$2:$B$1001))-1),""),"")&amp;IF(SUMPRODUCT(('تشخيص الحالات'!$B$2:$B$1001=B408)*('تشخيص الحالات'!$G$2:$G$1001=8))&gt;0,"، "&amp;IFERROR(INDEX('تشخيص الحالات'!$D$2:$D$1001,SUMPRODUCT(('تشخيص الحالات'!$B$2:$B$1001=B408)*('تشخيص الحالات'!$G$2:$G$1001=8)*ROW('تشخيص الحالات'!$B$2:$B$1001))-1),""),"")</f>
        <v/>
      </c>
      <c r="J408" s="1"/>
      <c r="K408" s="1"/>
      <c r="L408" s="1"/>
      <c r="M408" s="1"/>
    </row>
    <row r="409" spans="1:13" x14ac:dyDescent="0.2">
      <c r="A409" s="1"/>
      <c r="B409" s="1"/>
      <c r="C409" s="1"/>
      <c r="D409" s="1"/>
      <c r="E409" s="1"/>
      <c r="F409" s="1"/>
      <c r="G409" s="1"/>
      <c r="H409" s="1"/>
      <c r="I409" t="str">
        <f>IFERROR(INDEX('تشخيص الحالات'!$D$2:$D$1001,SUMPRODUCT(('تشخيص الحالات'!$B$2:$B$1001=B409)*('تشخيص الحالات'!$G$2:$G$1001=1)*ROW('تشخيص الحالات'!$B$2:$B$1001))-1),"")&amp;IF(SUMPRODUCT(('تشخيص الحالات'!$B$2:$B$1001=B409)*('تشخيص الحالات'!$G$2:$G$1001=2))&gt;0,"، "&amp;IFERROR(INDEX('تشخيص الحالات'!$D$2:$D$1001,SUMPRODUCT(('تشخيص الحالات'!$B$2:$B$1001=B409)*('تشخيص الحالات'!$G$2:$G$1001=2)*ROW('تشخيص الحالات'!$B$2:$B$1001))-1),""),"")&amp;IF(SUMPRODUCT(('تشخيص الحالات'!$B$2:$B$1001=B409)*('تشخيص الحالات'!$G$2:$G$1001=3))&gt;0,"، "&amp;IFERROR(INDEX('تشخيص الحالات'!$D$2:$D$1001,SUMPRODUCT(('تشخيص الحالات'!$B$2:$B$1001=B409)*('تشخيص الحالات'!$G$2:$G$1001=3)*ROW('تشخيص الحالات'!$B$2:$B$1001))-1),""),"")&amp;IF(SUMPRODUCT(('تشخيص الحالات'!$B$2:$B$1001=B409)*('تشخيص الحالات'!$G$2:$G$1001=4))&gt;0,"، "&amp;IFERROR(INDEX('تشخيص الحالات'!$D$2:$D$1001,SUMPRODUCT(('تشخيص الحالات'!$B$2:$B$1001=B409)*('تشخيص الحالات'!$G$2:$G$1001=4)*ROW('تشخيص الحالات'!$B$2:$B$1001))-1),""),"")&amp;IF(SUMPRODUCT(('تشخيص الحالات'!$B$2:$B$1001=B409)*('تشخيص الحالات'!$G$2:$G$1001=5))&gt;0,"، "&amp;IFERROR(INDEX('تشخيص الحالات'!$D$2:$D$1001,SUMPRODUCT(('تشخيص الحالات'!$B$2:$B$1001=B409)*('تشخيص الحالات'!$G$2:$G$1001=5)*ROW('تشخيص الحالات'!$B$2:$B$1001))-1),""),"")&amp;IF(SUMPRODUCT(('تشخيص الحالات'!$B$2:$B$1001=B409)*('تشخيص الحالات'!$G$2:$G$1001=6))&gt;0,"، "&amp;IFERROR(INDEX('تشخيص الحالات'!$D$2:$D$1001,SUMPRODUCT(('تشخيص الحالات'!$B$2:$B$1001=B409)*('تشخيص الحالات'!$G$2:$G$1001=6)*ROW('تشخيص الحالات'!$B$2:$B$1001))-1),""),"")&amp;IF(SUMPRODUCT(('تشخيص الحالات'!$B$2:$B$1001=B409)*('تشخيص الحالات'!$G$2:$G$1001=7))&gt;0,"، "&amp;IFERROR(INDEX('تشخيص الحالات'!$D$2:$D$1001,SUMPRODUCT(('تشخيص الحالات'!$B$2:$B$1001=B409)*('تشخيص الحالات'!$G$2:$G$1001=7)*ROW('تشخيص الحالات'!$B$2:$B$1001))-1),""),"")&amp;IF(SUMPRODUCT(('تشخيص الحالات'!$B$2:$B$1001=B409)*('تشخيص الحالات'!$G$2:$G$1001=8))&gt;0,"، "&amp;IFERROR(INDEX('تشخيص الحالات'!$D$2:$D$1001,SUMPRODUCT(('تشخيص الحالات'!$B$2:$B$1001=B409)*('تشخيص الحالات'!$G$2:$G$1001=8)*ROW('تشخيص الحالات'!$B$2:$B$1001))-1),""),"")</f>
        <v/>
      </c>
      <c r="J409" s="1"/>
      <c r="K409" s="1"/>
      <c r="L409" s="1"/>
      <c r="M409" s="1"/>
    </row>
    <row r="410" spans="1:13" x14ac:dyDescent="0.2">
      <c r="A410" s="1"/>
      <c r="B410" s="1"/>
      <c r="C410" s="1"/>
      <c r="D410" s="1"/>
      <c r="E410" s="1"/>
      <c r="F410" s="1"/>
      <c r="G410" s="1"/>
      <c r="H410" s="1"/>
      <c r="I410" t="str">
        <f>IFERROR(INDEX('تشخيص الحالات'!$D$2:$D$1001,SUMPRODUCT(('تشخيص الحالات'!$B$2:$B$1001=B410)*('تشخيص الحالات'!$G$2:$G$1001=1)*ROW('تشخيص الحالات'!$B$2:$B$1001))-1),"")&amp;IF(SUMPRODUCT(('تشخيص الحالات'!$B$2:$B$1001=B410)*('تشخيص الحالات'!$G$2:$G$1001=2))&gt;0,"، "&amp;IFERROR(INDEX('تشخيص الحالات'!$D$2:$D$1001,SUMPRODUCT(('تشخيص الحالات'!$B$2:$B$1001=B410)*('تشخيص الحالات'!$G$2:$G$1001=2)*ROW('تشخيص الحالات'!$B$2:$B$1001))-1),""),"")&amp;IF(SUMPRODUCT(('تشخيص الحالات'!$B$2:$B$1001=B410)*('تشخيص الحالات'!$G$2:$G$1001=3))&gt;0,"، "&amp;IFERROR(INDEX('تشخيص الحالات'!$D$2:$D$1001,SUMPRODUCT(('تشخيص الحالات'!$B$2:$B$1001=B410)*('تشخيص الحالات'!$G$2:$G$1001=3)*ROW('تشخيص الحالات'!$B$2:$B$1001))-1),""),"")&amp;IF(SUMPRODUCT(('تشخيص الحالات'!$B$2:$B$1001=B410)*('تشخيص الحالات'!$G$2:$G$1001=4))&gt;0,"، "&amp;IFERROR(INDEX('تشخيص الحالات'!$D$2:$D$1001,SUMPRODUCT(('تشخيص الحالات'!$B$2:$B$1001=B410)*('تشخيص الحالات'!$G$2:$G$1001=4)*ROW('تشخيص الحالات'!$B$2:$B$1001))-1),""),"")&amp;IF(SUMPRODUCT(('تشخيص الحالات'!$B$2:$B$1001=B410)*('تشخيص الحالات'!$G$2:$G$1001=5))&gt;0,"، "&amp;IFERROR(INDEX('تشخيص الحالات'!$D$2:$D$1001,SUMPRODUCT(('تشخيص الحالات'!$B$2:$B$1001=B410)*('تشخيص الحالات'!$G$2:$G$1001=5)*ROW('تشخيص الحالات'!$B$2:$B$1001))-1),""),"")&amp;IF(SUMPRODUCT(('تشخيص الحالات'!$B$2:$B$1001=B410)*('تشخيص الحالات'!$G$2:$G$1001=6))&gt;0,"، "&amp;IFERROR(INDEX('تشخيص الحالات'!$D$2:$D$1001,SUMPRODUCT(('تشخيص الحالات'!$B$2:$B$1001=B410)*('تشخيص الحالات'!$G$2:$G$1001=6)*ROW('تشخيص الحالات'!$B$2:$B$1001))-1),""),"")&amp;IF(SUMPRODUCT(('تشخيص الحالات'!$B$2:$B$1001=B410)*('تشخيص الحالات'!$G$2:$G$1001=7))&gt;0,"، "&amp;IFERROR(INDEX('تشخيص الحالات'!$D$2:$D$1001,SUMPRODUCT(('تشخيص الحالات'!$B$2:$B$1001=B410)*('تشخيص الحالات'!$G$2:$G$1001=7)*ROW('تشخيص الحالات'!$B$2:$B$1001))-1),""),"")&amp;IF(SUMPRODUCT(('تشخيص الحالات'!$B$2:$B$1001=B410)*('تشخيص الحالات'!$G$2:$G$1001=8))&gt;0,"، "&amp;IFERROR(INDEX('تشخيص الحالات'!$D$2:$D$1001,SUMPRODUCT(('تشخيص الحالات'!$B$2:$B$1001=B410)*('تشخيص الحالات'!$G$2:$G$1001=8)*ROW('تشخيص الحالات'!$B$2:$B$1001))-1),""),"")</f>
        <v/>
      </c>
      <c r="J410" s="1"/>
      <c r="K410" s="1"/>
      <c r="L410" s="1"/>
      <c r="M410" s="1"/>
    </row>
    <row r="411" spans="1:13" x14ac:dyDescent="0.2">
      <c r="A411" s="1"/>
      <c r="B411" s="1"/>
      <c r="C411" s="1"/>
      <c r="D411" s="1"/>
      <c r="E411" s="1"/>
      <c r="F411" s="1"/>
      <c r="G411" s="1"/>
      <c r="H411" s="1"/>
      <c r="I411" t="str">
        <f>IFERROR(INDEX('تشخيص الحالات'!$D$2:$D$1001,SUMPRODUCT(('تشخيص الحالات'!$B$2:$B$1001=B411)*('تشخيص الحالات'!$G$2:$G$1001=1)*ROW('تشخيص الحالات'!$B$2:$B$1001))-1),"")&amp;IF(SUMPRODUCT(('تشخيص الحالات'!$B$2:$B$1001=B411)*('تشخيص الحالات'!$G$2:$G$1001=2))&gt;0,"، "&amp;IFERROR(INDEX('تشخيص الحالات'!$D$2:$D$1001,SUMPRODUCT(('تشخيص الحالات'!$B$2:$B$1001=B411)*('تشخيص الحالات'!$G$2:$G$1001=2)*ROW('تشخيص الحالات'!$B$2:$B$1001))-1),""),"")&amp;IF(SUMPRODUCT(('تشخيص الحالات'!$B$2:$B$1001=B411)*('تشخيص الحالات'!$G$2:$G$1001=3))&gt;0,"، "&amp;IFERROR(INDEX('تشخيص الحالات'!$D$2:$D$1001,SUMPRODUCT(('تشخيص الحالات'!$B$2:$B$1001=B411)*('تشخيص الحالات'!$G$2:$G$1001=3)*ROW('تشخيص الحالات'!$B$2:$B$1001))-1),""),"")&amp;IF(SUMPRODUCT(('تشخيص الحالات'!$B$2:$B$1001=B411)*('تشخيص الحالات'!$G$2:$G$1001=4))&gt;0,"، "&amp;IFERROR(INDEX('تشخيص الحالات'!$D$2:$D$1001,SUMPRODUCT(('تشخيص الحالات'!$B$2:$B$1001=B411)*('تشخيص الحالات'!$G$2:$G$1001=4)*ROW('تشخيص الحالات'!$B$2:$B$1001))-1),""),"")&amp;IF(SUMPRODUCT(('تشخيص الحالات'!$B$2:$B$1001=B411)*('تشخيص الحالات'!$G$2:$G$1001=5))&gt;0,"، "&amp;IFERROR(INDEX('تشخيص الحالات'!$D$2:$D$1001,SUMPRODUCT(('تشخيص الحالات'!$B$2:$B$1001=B411)*('تشخيص الحالات'!$G$2:$G$1001=5)*ROW('تشخيص الحالات'!$B$2:$B$1001))-1),""),"")&amp;IF(SUMPRODUCT(('تشخيص الحالات'!$B$2:$B$1001=B411)*('تشخيص الحالات'!$G$2:$G$1001=6))&gt;0,"، "&amp;IFERROR(INDEX('تشخيص الحالات'!$D$2:$D$1001,SUMPRODUCT(('تشخيص الحالات'!$B$2:$B$1001=B411)*('تشخيص الحالات'!$G$2:$G$1001=6)*ROW('تشخيص الحالات'!$B$2:$B$1001))-1),""),"")&amp;IF(SUMPRODUCT(('تشخيص الحالات'!$B$2:$B$1001=B411)*('تشخيص الحالات'!$G$2:$G$1001=7))&gt;0,"، "&amp;IFERROR(INDEX('تشخيص الحالات'!$D$2:$D$1001,SUMPRODUCT(('تشخيص الحالات'!$B$2:$B$1001=B411)*('تشخيص الحالات'!$G$2:$G$1001=7)*ROW('تشخيص الحالات'!$B$2:$B$1001))-1),""),"")&amp;IF(SUMPRODUCT(('تشخيص الحالات'!$B$2:$B$1001=B411)*('تشخيص الحالات'!$G$2:$G$1001=8))&gt;0,"، "&amp;IFERROR(INDEX('تشخيص الحالات'!$D$2:$D$1001,SUMPRODUCT(('تشخيص الحالات'!$B$2:$B$1001=B411)*('تشخيص الحالات'!$G$2:$G$1001=8)*ROW('تشخيص الحالات'!$B$2:$B$1001))-1),""),"")</f>
        <v/>
      </c>
      <c r="J411" s="1"/>
      <c r="K411" s="1"/>
      <c r="L411" s="1"/>
      <c r="M411" s="1"/>
    </row>
    <row r="412" spans="1:13" x14ac:dyDescent="0.2">
      <c r="A412" s="1"/>
      <c r="B412" s="1"/>
      <c r="C412" s="1"/>
      <c r="D412" s="1"/>
      <c r="E412" s="1"/>
      <c r="F412" s="1"/>
      <c r="G412" s="1"/>
      <c r="H412" s="1"/>
      <c r="I412" t="str">
        <f>IFERROR(INDEX('تشخيص الحالات'!$D$2:$D$1001,SUMPRODUCT(('تشخيص الحالات'!$B$2:$B$1001=B412)*('تشخيص الحالات'!$G$2:$G$1001=1)*ROW('تشخيص الحالات'!$B$2:$B$1001))-1),"")&amp;IF(SUMPRODUCT(('تشخيص الحالات'!$B$2:$B$1001=B412)*('تشخيص الحالات'!$G$2:$G$1001=2))&gt;0,"، "&amp;IFERROR(INDEX('تشخيص الحالات'!$D$2:$D$1001,SUMPRODUCT(('تشخيص الحالات'!$B$2:$B$1001=B412)*('تشخيص الحالات'!$G$2:$G$1001=2)*ROW('تشخيص الحالات'!$B$2:$B$1001))-1),""),"")&amp;IF(SUMPRODUCT(('تشخيص الحالات'!$B$2:$B$1001=B412)*('تشخيص الحالات'!$G$2:$G$1001=3))&gt;0,"، "&amp;IFERROR(INDEX('تشخيص الحالات'!$D$2:$D$1001,SUMPRODUCT(('تشخيص الحالات'!$B$2:$B$1001=B412)*('تشخيص الحالات'!$G$2:$G$1001=3)*ROW('تشخيص الحالات'!$B$2:$B$1001))-1),""),"")&amp;IF(SUMPRODUCT(('تشخيص الحالات'!$B$2:$B$1001=B412)*('تشخيص الحالات'!$G$2:$G$1001=4))&gt;0,"، "&amp;IFERROR(INDEX('تشخيص الحالات'!$D$2:$D$1001,SUMPRODUCT(('تشخيص الحالات'!$B$2:$B$1001=B412)*('تشخيص الحالات'!$G$2:$G$1001=4)*ROW('تشخيص الحالات'!$B$2:$B$1001))-1),""),"")&amp;IF(SUMPRODUCT(('تشخيص الحالات'!$B$2:$B$1001=B412)*('تشخيص الحالات'!$G$2:$G$1001=5))&gt;0,"، "&amp;IFERROR(INDEX('تشخيص الحالات'!$D$2:$D$1001,SUMPRODUCT(('تشخيص الحالات'!$B$2:$B$1001=B412)*('تشخيص الحالات'!$G$2:$G$1001=5)*ROW('تشخيص الحالات'!$B$2:$B$1001))-1),""),"")&amp;IF(SUMPRODUCT(('تشخيص الحالات'!$B$2:$B$1001=B412)*('تشخيص الحالات'!$G$2:$G$1001=6))&gt;0,"، "&amp;IFERROR(INDEX('تشخيص الحالات'!$D$2:$D$1001,SUMPRODUCT(('تشخيص الحالات'!$B$2:$B$1001=B412)*('تشخيص الحالات'!$G$2:$G$1001=6)*ROW('تشخيص الحالات'!$B$2:$B$1001))-1),""),"")&amp;IF(SUMPRODUCT(('تشخيص الحالات'!$B$2:$B$1001=B412)*('تشخيص الحالات'!$G$2:$G$1001=7))&gt;0,"، "&amp;IFERROR(INDEX('تشخيص الحالات'!$D$2:$D$1001,SUMPRODUCT(('تشخيص الحالات'!$B$2:$B$1001=B412)*('تشخيص الحالات'!$G$2:$G$1001=7)*ROW('تشخيص الحالات'!$B$2:$B$1001))-1),""),"")&amp;IF(SUMPRODUCT(('تشخيص الحالات'!$B$2:$B$1001=B412)*('تشخيص الحالات'!$G$2:$G$1001=8))&gt;0,"، "&amp;IFERROR(INDEX('تشخيص الحالات'!$D$2:$D$1001,SUMPRODUCT(('تشخيص الحالات'!$B$2:$B$1001=B412)*('تشخيص الحالات'!$G$2:$G$1001=8)*ROW('تشخيص الحالات'!$B$2:$B$1001))-1),""),"")</f>
        <v/>
      </c>
      <c r="J412" s="1"/>
      <c r="K412" s="1"/>
      <c r="L412" s="1"/>
      <c r="M412" s="1"/>
    </row>
    <row r="413" spans="1:13" x14ac:dyDescent="0.2">
      <c r="A413" s="1"/>
      <c r="B413" s="1"/>
      <c r="C413" s="1"/>
      <c r="D413" s="1"/>
      <c r="E413" s="1"/>
      <c r="F413" s="1"/>
      <c r="G413" s="1"/>
      <c r="H413" s="1"/>
      <c r="I413" t="str">
        <f>IFERROR(INDEX('تشخيص الحالات'!$D$2:$D$1001,SUMPRODUCT(('تشخيص الحالات'!$B$2:$B$1001=B413)*('تشخيص الحالات'!$G$2:$G$1001=1)*ROW('تشخيص الحالات'!$B$2:$B$1001))-1),"")&amp;IF(SUMPRODUCT(('تشخيص الحالات'!$B$2:$B$1001=B413)*('تشخيص الحالات'!$G$2:$G$1001=2))&gt;0,"، "&amp;IFERROR(INDEX('تشخيص الحالات'!$D$2:$D$1001,SUMPRODUCT(('تشخيص الحالات'!$B$2:$B$1001=B413)*('تشخيص الحالات'!$G$2:$G$1001=2)*ROW('تشخيص الحالات'!$B$2:$B$1001))-1),""),"")&amp;IF(SUMPRODUCT(('تشخيص الحالات'!$B$2:$B$1001=B413)*('تشخيص الحالات'!$G$2:$G$1001=3))&gt;0,"، "&amp;IFERROR(INDEX('تشخيص الحالات'!$D$2:$D$1001,SUMPRODUCT(('تشخيص الحالات'!$B$2:$B$1001=B413)*('تشخيص الحالات'!$G$2:$G$1001=3)*ROW('تشخيص الحالات'!$B$2:$B$1001))-1),""),"")&amp;IF(SUMPRODUCT(('تشخيص الحالات'!$B$2:$B$1001=B413)*('تشخيص الحالات'!$G$2:$G$1001=4))&gt;0,"، "&amp;IFERROR(INDEX('تشخيص الحالات'!$D$2:$D$1001,SUMPRODUCT(('تشخيص الحالات'!$B$2:$B$1001=B413)*('تشخيص الحالات'!$G$2:$G$1001=4)*ROW('تشخيص الحالات'!$B$2:$B$1001))-1),""),"")&amp;IF(SUMPRODUCT(('تشخيص الحالات'!$B$2:$B$1001=B413)*('تشخيص الحالات'!$G$2:$G$1001=5))&gt;0,"، "&amp;IFERROR(INDEX('تشخيص الحالات'!$D$2:$D$1001,SUMPRODUCT(('تشخيص الحالات'!$B$2:$B$1001=B413)*('تشخيص الحالات'!$G$2:$G$1001=5)*ROW('تشخيص الحالات'!$B$2:$B$1001))-1),""),"")&amp;IF(SUMPRODUCT(('تشخيص الحالات'!$B$2:$B$1001=B413)*('تشخيص الحالات'!$G$2:$G$1001=6))&gt;0,"، "&amp;IFERROR(INDEX('تشخيص الحالات'!$D$2:$D$1001,SUMPRODUCT(('تشخيص الحالات'!$B$2:$B$1001=B413)*('تشخيص الحالات'!$G$2:$G$1001=6)*ROW('تشخيص الحالات'!$B$2:$B$1001))-1),""),"")&amp;IF(SUMPRODUCT(('تشخيص الحالات'!$B$2:$B$1001=B413)*('تشخيص الحالات'!$G$2:$G$1001=7))&gt;0,"، "&amp;IFERROR(INDEX('تشخيص الحالات'!$D$2:$D$1001,SUMPRODUCT(('تشخيص الحالات'!$B$2:$B$1001=B413)*('تشخيص الحالات'!$G$2:$G$1001=7)*ROW('تشخيص الحالات'!$B$2:$B$1001))-1),""),"")&amp;IF(SUMPRODUCT(('تشخيص الحالات'!$B$2:$B$1001=B413)*('تشخيص الحالات'!$G$2:$G$1001=8))&gt;0,"، "&amp;IFERROR(INDEX('تشخيص الحالات'!$D$2:$D$1001,SUMPRODUCT(('تشخيص الحالات'!$B$2:$B$1001=B413)*('تشخيص الحالات'!$G$2:$G$1001=8)*ROW('تشخيص الحالات'!$B$2:$B$1001))-1),""),"")</f>
        <v/>
      </c>
      <c r="J413" s="1"/>
      <c r="K413" s="1"/>
      <c r="L413" s="1"/>
      <c r="M413" s="1"/>
    </row>
    <row r="414" spans="1:13" x14ac:dyDescent="0.2">
      <c r="A414" s="1"/>
      <c r="B414" s="1"/>
      <c r="C414" s="1"/>
      <c r="D414" s="1"/>
      <c r="E414" s="1"/>
      <c r="F414" s="1"/>
      <c r="G414" s="1"/>
      <c r="H414" s="1"/>
      <c r="I414" t="str">
        <f>IFERROR(INDEX('تشخيص الحالات'!$D$2:$D$1001,SUMPRODUCT(('تشخيص الحالات'!$B$2:$B$1001=B414)*('تشخيص الحالات'!$G$2:$G$1001=1)*ROW('تشخيص الحالات'!$B$2:$B$1001))-1),"")&amp;IF(SUMPRODUCT(('تشخيص الحالات'!$B$2:$B$1001=B414)*('تشخيص الحالات'!$G$2:$G$1001=2))&gt;0,"، "&amp;IFERROR(INDEX('تشخيص الحالات'!$D$2:$D$1001,SUMPRODUCT(('تشخيص الحالات'!$B$2:$B$1001=B414)*('تشخيص الحالات'!$G$2:$G$1001=2)*ROW('تشخيص الحالات'!$B$2:$B$1001))-1),""),"")&amp;IF(SUMPRODUCT(('تشخيص الحالات'!$B$2:$B$1001=B414)*('تشخيص الحالات'!$G$2:$G$1001=3))&gt;0,"، "&amp;IFERROR(INDEX('تشخيص الحالات'!$D$2:$D$1001,SUMPRODUCT(('تشخيص الحالات'!$B$2:$B$1001=B414)*('تشخيص الحالات'!$G$2:$G$1001=3)*ROW('تشخيص الحالات'!$B$2:$B$1001))-1),""),"")&amp;IF(SUMPRODUCT(('تشخيص الحالات'!$B$2:$B$1001=B414)*('تشخيص الحالات'!$G$2:$G$1001=4))&gt;0,"، "&amp;IFERROR(INDEX('تشخيص الحالات'!$D$2:$D$1001,SUMPRODUCT(('تشخيص الحالات'!$B$2:$B$1001=B414)*('تشخيص الحالات'!$G$2:$G$1001=4)*ROW('تشخيص الحالات'!$B$2:$B$1001))-1),""),"")&amp;IF(SUMPRODUCT(('تشخيص الحالات'!$B$2:$B$1001=B414)*('تشخيص الحالات'!$G$2:$G$1001=5))&gt;0,"، "&amp;IFERROR(INDEX('تشخيص الحالات'!$D$2:$D$1001,SUMPRODUCT(('تشخيص الحالات'!$B$2:$B$1001=B414)*('تشخيص الحالات'!$G$2:$G$1001=5)*ROW('تشخيص الحالات'!$B$2:$B$1001))-1),""),"")&amp;IF(SUMPRODUCT(('تشخيص الحالات'!$B$2:$B$1001=B414)*('تشخيص الحالات'!$G$2:$G$1001=6))&gt;0,"، "&amp;IFERROR(INDEX('تشخيص الحالات'!$D$2:$D$1001,SUMPRODUCT(('تشخيص الحالات'!$B$2:$B$1001=B414)*('تشخيص الحالات'!$G$2:$G$1001=6)*ROW('تشخيص الحالات'!$B$2:$B$1001))-1),""),"")&amp;IF(SUMPRODUCT(('تشخيص الحالات'!$B$2:$B$1001=B414)*('تشخيص الحالات'!$G$2:$G$1001=7))&gt;0,"، "&amp;IFERROR(INDEX('تشخيص الحالات'!$D$2:$D$1001,SUMPRODUCT(('تشخيص الحالات'!$B$2:$B$1001=B414)*('تشخيص الحالات'!$G$2:$G$1001=7)*ROW('تشخيص الحالات'!$B$2:$B$1001))-1),""),"")&amp;IF(SUMPRODUCT(('تشخيص الحالات'!$B$2:$B$1001=B414)*('تشخيص الحالات'!$G$2:$G$1001=8))&gt;0,"، "&amp;IFERROR(INDEX('تشخيص الحالات'!$D$2:$D$1001,SUMPRODUCT(('تشخيص الحالات'!$B$2:$B$1001=B414)*('تشخيص الحالات'!$G$2:$G$1001=8)*ROW('تشخيص الحالات'!$B$2:$B$1001))-1),""),"")</f>
        <v/>
      </c>
      <c r="J414" s="1"/>
      <c r="K414" s="1"/>
      <c r="L414" s="1"/>
      <c r="M414" s="1"/>
    </row>
    <row r="415" spans="1:13" x14ac:dyDescent="0.2">
      <c r="A415" s="1"/>
      <c r="B415" s="1"/>
      <c r="C415" s="1"/>
      <c r="D415" s="1"/>
      <c r="E415" s="1"/>
      <c r="F415" s="1"/>
      <c r="G415" s="1"/>
      <c r="H415" s="1"/>
      <c r="I415" t="str">
        <f>IFERROR(INDEX('تشخيص الحالات'!$D$2:$D$1001,SUMPRODUCT(('تشخيص الحالات'!$B$2:$B$1001=B415)*('تشخيص الحالات'!$G$2:$G$1001=1)*ROW('تشخيص الحالات'!$B$2:$B$1001))-1),"")&amp;IF(SUMPRODUCT(('تشخيص الحالات'!$B$2:$B$1001=B415)*('تشخيص الحالات'!$G$2:$G$1001=2))&gt;0,"، "&amp;IFERROR(INDEX('تشخيص الحالات'!$D$2:$D$1001,SUMPRODUCT(('تشخيص الحالات'!$B$2:$B$1001=B415)*('تشخيص الحالات'!$G$2:$G$1001=2)*ROW('تشخيص الحالات'!$B$2:$B$1001))-1),""),"")&amp;IF(SUMPRODUCT(('تشخيص الحالات'!$B$2:$B$1001=B415)*('تشخيص الحالات'!$G$2:$G$1001=3))&gt;0,"، "&amp;IFERROR(INDEX('تشخيص الحالات'!$D$2:$D$1001,SUMPRODUCT(('تشخيص الحالات'!$B$2:$B$1001=B415)*('تشخيص الحالات'!$G$2:$G$1001=3)*ROW('تشخيص الحالات'!$B$2:$B$1001))-1),""),"")&amp;IF(SUMPRODUCT(('تشخيص الحالات'!$B$2:$B$1001=B415)*('تشخيص الحالات'!$G$2:$G$1001=4))&gt;0,"، "&amp;IFERROR(INDEX('تشخيص الحالات'!$D$2:$D$1001,SUMPRODUCT(('تشخيص الحالات'!$B$2:$B$1001=B415)*('تشخيص الحالات'!$G$2:$G$1001=4)*ROW('تشخيص الحالات'!$B$2:$B$1001))-1),""),"")&amp;IF(SUMPRODUCT(('تشخيص الحالات'!$B$2:$B$1001=B415)*('تشخيص الحالات'!$G$2:$G$1001=5))&gt;0,"، "&amp;IFERROR(INDEX('تشخيص الحالات'!$D$2:$D$1001,SUMPRODUCT(('تشخيص الحالات'!$B$2:$B$1001=B415)*('تشخيص الحالات'!$G$2:$G$1001=5)*ROW('تشخيص الحالات'!$B$2:$B$1001))-1),""),"")&amp;IF(SUMPRODUCT(('تشخيص الحالات'!$B$2:$B$1001=B415)*('تشخيص الحالات'!$G$2:$G$1001=6))&gt;0,"، "&amp;IFERROR(INDEX('تشخيص الحالات'!$D$2:$D$1001,SUMPRODUCT(('تشخيص الحالات'!$B$2:$B$1001=B415)*('تشخيص الحالات'!$G$2:$G$1001=6)*ROW('تشخيص الحالات'!$B$2:$B$1001))-1),""),"")&amp;IF(SUMPRODUCT(('تشخيص الحالات'!$B$2:$B$1001=B415)*('تشخيص الحالات'!$G$2:$G$1001=7))&gt;0,"، "&amp;IFERROR(INDEX('تشخيص الحالات'!$D$2:$D$1001,SUMPRODUCT(('تشخيص الحالات'!$B$2:$B$1001=B415)*('تشخيص الحالات'!$G$2:$G$1001=7)*ROW('تشخيص الحالات'!$B$2:$B$1001))-1),""),"")&amp;IF(SUMPRODUCT(('تشخيص الحالات'!$B$2:$B$1001=B415)*('تشخيص الحالات'!$G$2:$G$1001=8))&gt;0,"، "&amp;IFERROR(INDEX('تشخيص الحالات'!$D$2:$D$1001,SUMPRODUCT(('تشخيص الحالات'!$B$2:$B$1001=B415)*('تشخيص الحالات'!$G$2:$G$1001=8)*ROW('تشخيص الحالات'!$B$2:$B$1001))-1),""),"")</f>
        <v/>
      </c>
      <c r="J415" s="1"/>
      <c r="K415" s="1"/>
      <c r="L415" s="1"/>
      <c r="M415" s="1"/>
    </row>
    <row r="416" spans="1:13" x14ac:dyDescent="0.2">
      <c r="A416" s="1"/>
      <c r="B416" s="1"/>
      <c r="C416" s="1"/>
      <c r="D416" s="1"/>
      <c r="E416" s="1"/>
      <c r="F416" s="1"/>
      <c r="G416" s="1"/>
      <c r="H416" s="1"/>
      <c r="I416" t="str">
        <f>IFERROR(INDEX('تشخيص الحالات'!$D$2:$D$1001,SUMPRODUCT(('تشخيص الحالات'!$B$2:$B$1001=B416)*('تشخيص الحالات'!$G$2:$G$1001=1)*ROW('تشخيص الحالات'!$B$2:$B$1001))-1),"")&amp;IF(SUMPRODUCT(('تشخيص الحالات'!$B$2:$B$1001=B416)*('تشخيص الحالات'!$G$2:$G$1001=2))&gt;0,"، "&amp;IFERROR(INDEX('تشخيص الحالات'!$D$2:$D$1001,SUMPRODUCT(('تشخيص الحالات'!$B$2:$B$1001=B416)*('تشخيص الحالات'!$G$2:$G$1001=2)*ROW('تشخيص الحالات'!$B$2:$B$1001))-1),""),"")&amp;IF(SUMPRODUCT(('تشخيص الحالات'!$B$2:$B$1001=B416)*('تشخيص الحالات'!$G$2:$G$1001=3))&gt;0,"، "&amp;IFERROR(INDEX('تشخيص الحالات'!$D$2:$D$1001,SUMPRODUCT(('تشخيص الحالات'!$B$2:$B$1001=B416)*('تشخيص الحالات'!$G$2:$G$1001=3)*ROW('تشخيص الحالات'!$B$2:$B$1001))-1),""),"")&amp;IF(SUMPRODUCT(('تشخيص الحالات'!$B$2:$B$1001=B416)*('تشخيص الحالات'!$G$2:$G$1001=4))&gt;0,"، "&amp;IFERROR(INDEX('تشخيص الحالات'!$D$2:$D$1001,SUMPRODUCT(('تشخيص الحالات'!$B$2:$B$1001=B416)*('تشخيص الحالات'!$G$2:$G$1001=4)*ROW('تشخيص الحالات'!$B$2:$B$1001))-1),""),"")&amp;IF(SUMPRODUCT(('تشخيص الحالات'!$B$2:$B$1001=B416)*('تشخيص الحالات'!$G$2:$G$1001=5))&gt;0,"، "&amp;IFERROR(INDEX('تشخيص الحالات'!$D$2:$D$1001,SUMPRODUCT(('تشخيص الحالات'!$B$2:$B$1001=B416)*('تشخيص الحالات'!$G$2:$G$1001=5)*ROW('تشخيص الحالات'!$B$2:$B$1001))-1),""),"")&amp;IF(SUMPRODUCT(('تشخيص الحالات'!$B$2:$B$1001=B416)*('تشخيص الحالات'!$G$2:$G$1001=6))&gt;0,"، "&amp;IFERROR(INDEX('تشخيص الحالات'!$D$2:$D$1001,SUMPRODUCT(('تشخيص الحالات'!$B$2:$B$1001=B416)*('تشخيص الحالات'!$G$2:$G$1001=6)*ROW('تشخيص الحالات'!$B$2:$B$1001))-1),""),"")&amp;IF(SUMPRODUCT(('تشخيص الحالات'!$B$2:$B$1001=B416)*('تشخيص الحالات'!$G$2:$G$1001=7))&gt;0,"، "&amp;IFERROR(INDEX('تشخيص الحالات'!$D$2:$D$1001,SUMPRODUCT(('تشخيص الحالات'!$B$2:$B$1001=B416)*('تشخيص الحالات'!$G$2:$G$1001=7)*ROW('تشخيص الحالات'!$B$2:$B$1001))-1),""),"")&amp;IF(SUMPRODUCT(('تشخيص الحالات'!$B$2:$B$1001=B416)*('تشخيص الحالات'!$G$2:$G$1001=8))&gt;0,"، "&amp;IFERROR(INDEX('تشخيص الحالات'!$D$2:$D$1001,SUMPRODUCT(('تشخيص الحالات'!$B$2:$B$1001=B416)*('تشخيص الحالات'!$G$2:$G$1001=8)*ROW('تشخيص الحالات'!$B$2:$B$1001))-1),""),"")</f>
        <v/>
      </c>
      <c r="J416" s="1"/>
      <c r="K416" s="1"/>
      <c r="L416" s="1"/>
      <c r="M416" s="1"/>
    </row>
    <row r="417" spans="1:13" x14ac:dyDescent="0.2">
      <c r="A417" s="1"/>
      <c r="B417" s="1"/>
      <c r="C417" s="1"/>
      <c r="D417" s="1"/>
      <c r="E417" s="1"/>
      <c r="F417" s="1"/>
      <c r="G417" s="1"/>
      <c r="H417" s="1"/>
      <c r="I417" t="str">
        <f>IFERROR(INDEX('تشخيص الحالات'!$D$2:$D$1001,SUMPRODUCT(('تشخيص الحالات'!$B$2:$B$1001=B417)*('تشخيص الحالات'!$G$2:$G$1001=1)*ROW('تشخيص الحالات'!$B$2:$B$1001))-1),"")&amp;IF(SUMPRODUCT(('تشخيص الحالات'!$B$2:$B$1001=B417)*('تشخيص الحالات'!$G$2:$G$1001=2))&gt;0,"، "&amp;IFERROR(INDEX('تشخيص الحالات'!$D$2:$D$1001,SUMPRODUCT(('تشخيص الحالات'!$B$2:$B$1001=B417)*('تشخيص الحالات'!$G$2:$G$1001=2)*ROW('تشخيص الحالات'!$B$2:$B$1001))-1),""),"")&amp;IF(SUMPRODUCT(('تشخيص الحالات'!$B$2:$B$1001=B417)*('تشخيص الحالات'!$G$2:$G$1001=3))&gt;0,"، "&amp;IFERROR(INDEX('تشخيص الحالات'!$D$2:$D$1001,SUMPRODUCT(('تشخيص الحالات'!$B$2:$B$1001=B417)*('تشخيص الحالات'!$G$2:$G$1001=3)*ROW('تشخيص الحالات'!$B$2:$B$1001))-1),""),"")&amp;IF(SUMPRODUCT(('تشخيص الحالات'!$B$2:$B$1001=B417)*('تشخيص الحالات'!$G$2:$G$1001=4))&gt;0,"، "&amp;IFERROR(INDEX('تشخيص الحالات'!$D$2:$D$1001,SUMPRODUCT(('تشخيص الحالات'!$B$2:$B$1001=B417)*('تشخيص الحالات'!$G$2:$G$1001=4)*ROW('تشخيص الحالات'!$B$2:$B$1001))-1),""),"")&amp;IF(SUMPRODUCT(('تشخيص الحالات'!$B$2:$B$1001=B417)*('تشخيص الحالات'!$G$2:$G$1001=5))&gt;0,"، "&amp;IFERROR(INDEX('تشخيص الحالات'!$D$2:$D$1001,SUMPRODUCT(('تشخيص الحالات'!$B$2:$B$1001=B417)*('تشخيص الحالات'!$G$2:$G$1001=5)*ROW('تشخيص الحالات'!$B$2:$B$1001))-1),""),"")&amp;IF(SUMPRODUCT(('تشخيص الحالات'!$B$2:$B$1001=B417)*('تشخيص الحالات'!$G$2:$G$1001=6))&gt;0,"، "&amp;IFERROR(INDEX('تشخيص الحالات'!$D$2:$D$1001,SUMPRODUCT(('تشخيص الحالات'!$B$2:$B$1001=B417)*('تشخيص الحالات'!$G$2:$G$1001=6)*ROW('تشخيص الحالات'!$B$2:$B$1001))-1),""),"")&amp;IF(SUMPRODUCT(('تشخيص الحالات'!$B$2:$B$1001=B417)*('تشخيص الحالات'!$G$2:$G$1001=7))&gt;0,"، "&amp;IFERROR(INDEX('تشخيص الحالات'!$D$2:$D$1001,SUMPRODUCT(('تشخيص الحالات'!$B$2:$B$1001=B417)*('تشخيص الحالات'!$G$2:$G$1001=7)*ROW('تشخيص الحالات'!$B$2:$B$1001))-1),""),"")&amp;IF(SUMPRODUCT(('تشخيص الحالات'!$B$2:$B$1001=B417)*('تشخيص الحالات'!$G$2:$G$1001=8))&gt;0,"، "&amp;IFERROR(INDEX('تشخيص الحالات'!$D$2:$D$1001,SUMPRODUCT(('تشخيص الحالات'!$B$2:$B$1001=B417)*('تشخيص الحالات'!$G$2:$G$1001=8)*ROW('تشخيص الحالات'!$B$2:$B$1001))-1),""),"")</f>
        <v/>
      </c>
      <c r="J417" s="1"/>
      <c r="K417" s="1"/>
      <c r="L417" s="1"/>
      <c r="M417" s="1"/>
    </row>
    <row r="418" spans="1:13" x14ac:dyDescent="0.2">
      <c r="A418" s="1"/>
      <c r="B418" s="1"/>
      <c r="C418" s="1"/>
      <c r="D418" s="1"/>
      <c r="E418" s="1"/>
      <c r="F418" s="1"/>
      <c r="G418" s="1"/>
      <c r="H418" s="1"/>
      <c r="I418" t="str">
        <f>IFERROR(INDEX('تشخيص الحالات'!$D$2:$D$1001,SUMPRODUCT(('تشخيص الحالات'!$B$2:$B$1001=B418)*('تشخيص الحالات'!$G$2:$G$1001=1)*ROW('تشخيص الحالات'!$B$2:$B$1001))-1),"")&amp;IF(SUMPRODUCT(('تشخيص الحالات'!$B$2:$B$1001=B418)*('تشخيص الحالات'!$G$2:$G$1001=2))&gt;0,"، "&amp;IFERROR(INDEX('تشخيص الحالات'!$D$2:$D$1001,SUMPRODUCT(('تشخيص الحالات'!$B$2:$B$1001=B418)*('تشخيص الحالات'!$G$2:$G$1001=2)*ROW('تشخيص الحالات'!$B$2:$B$1001))-1),""),"")&amp;IF(SUMPRODUCT(('تشخيص الحالات'!$B$2:$B$1001=B418)*('تشخيص الحالات'!$G$2:$G$1001=3))&gt;0,"، "&amp;IFERROR(INDEX('تشخيص الحالات'!$D$2:$D$1001,SUMPRODUCT(('تشخيص الحالات'!$B$2:$B$1001=B418)*('تشخيص الحالات'!$G$2:$G$1001=3)*ROW('تشخيص الحالات'!$B$2:$B$1001))-1),""),"")&amp;IF(SUMPRODUCT(('تشخيص الحالات'!$B$2:$B$1001=B418)*('تشخيص الحالات'!$G$2:$G$1001=4))&gt;0,"، "&amp;IFERROR(INDEX('تشخيص الحالات'!$D$2:$D$1001,SUMPRODUCT(('تشخيص الحالات'!$B$2:$B$1001=B418)*('تشخيص الحالات'!$G$2:$G$1001=4)*ROW('تشخيص الحالات'!$B$2:$B$1001))-1),""),"")&amp;IF(SUMPRODUCT(('تشخيص الحالات'!$B$2:$B$1001=B418)*('تشخيص الحالات'!$G$2:$G$1001=5))&gt;0,"، "&amp;IFERROR(INDEX('تشخيص الحالات'!$D$2:$D$1001,SUMPRODUCT(('تشخيص الحالات'!$B$2:$B$1001=B418)*('تشخيص الحالات'!$G$2:$G$1001=5)*ROW('تشخيص الحالات'!$B$2:$B$1001))-1),""),"")&amp;IF(SUMPRODUCT(('تشخيص الحالات'!$B$2:$B$1001=B418)*('تشخيص الحالات'!$G$2:$G$1001=6))&gt;0,"، "&amp;IFERROR(INDEX('تشخيص الحالات'!$D$2:$D$1001,SUMPRODUCT(('تشخيص الحالات'!$B$2:$B$1001=B418)*('تشخيص الحالات'!$G$2:$G$1001=6)*ROW('تشخيص الحالات'!$B$2:$B$1001))-1),""),"")&amp;IF(SUMPRODUCT(('تشخيص الحالات'!$B$2:$B$1001=B418)*('تشخيص الحالات'!$G$2:$G$1001=7))&gt;0,"، "&amp;IFERROR(INDEX('تشخيص الحالات'!$D$2:$D$1001,SUMPRODUCT(('تشخيص الحالات'!$B$2:$B$1001=B418)*('تشخيص الحالات'!$G$2:$G$1001=7)*ROW('تشخيص الحالات'!$B$2:$B$1001))-1),""),"")&amp;IF(SUMPRODUCT(('تشخيص الحالات'!$B$2:$B$1001=B418)*('تشخيص الحالات'!$G$2:$G$1001=8))&gt;0,"، "&amp;IFERROR(INDEX('تشخيص الحالات'!$D$2:$D$1001,SUMPRODUCT(('تشخيص الحالات'!$B$2:$B$1001=B418)*('تشخيص الحالات'!$G$2:$G$1001=8)*ROW('تشخيص الحالات'!$B$2:$B$1001))-1),""),"")</f>
        <v/>
      </c>
      <c r="J418" s="1"/>
      <c r="K418" s="1"/>
      <c r="L418" s="1"/>
      <c r="M418" s="1"/>
    </row>
    <row r="419" spans="1:13" x14ac:dyDescent="0.2">
      <c r="A419" s="1"/>
      <c r="B419" s="1"/>
      <c r="C419" s="1"/>
      <c r="D419" s="1"/>
      <c r="E419" s="1"/>
      <c r="F419" s="1"/>
      <c r="G419" s="1"/>
      <c r="H419" s="1"/>
      <c r="I419" t="str">
        <f>IFERROR(INDEX('تشخيص الحالات'!$D$2:$D$1001,SUMPRODUCT(('تشخيص الحالات'!$B$2:$B$1001=B419)*('تشخيص الحالات'!$G$2:$G$1001=1)*ROW('تشخيص الحالات'!$B$2:$B$1001))-1),"")&amp;IF(SUMPRODUCT(('تشخيص الحالات'!$B$2:$B$1001=B419)*('تشخيص الحالات'!$G$2:$G$1001=2))&gt;0,"، "&amp;IFERROR(INDEX('تشخيص الحالات'!$D$2:$D$1001,SUMPRODUCT(('تشخيص الحالات'!$B$2:$B$1001=B419)*('تشخيص الحالات'!$G$2:$G$1001=2)*ROW('تشخيص الحالات'!$B$2:$B$1001))-1),""),"")&amp;IF(SUMPRODUCT(('تشخيص الحالات'!$B$2:$B$1001=B419)*('تشخيص الحالات'!$G$2:$G$1001=3))&gt;0,"، "&amp;IFERROR(INDEX('تشخيص الحالات'!$D$2:$D$1001,SUMPRODUCT(('تشخيص الحالات'!$B$2:$B$1001=B419)*('تشخيص الحالات'!$G$2:$G$1001=3)*ROW('تشخيص الحالات'!$B$2:$B$1001))-1),""),"")&amp;IF(SUMPRODUCT(('تشخيص الحالات'!$B$2:$B$1001=B419)*('تشخيص الحالات'!$G$2:$G$1001=4))&gt;0,"، "&amp;IFERROR(INDEX('تشخيص الحالات'!$D$2:$D$1001,SUMPRODUCT(('تشخيص الحالات'!$B$2:$B$1001=B419)*('تشخيص الحالات'!$G$2:$G$1001=4)*ROW('تشخيص الحالات'!$B$2:$B$1001))-1),""),"")&amp;IF(SUMPRODUCT(('تشخيص الحالات'!$B$2:$B$1001=B419)*('تشخيص الحالات'!$G$2:$G$1001=5))&gt;0,"، "&amp;IFERROR(INDEX('تشخيص الحالات'!$D$2:$D$1001,SUMPRODUCT(('تشخيص الحالات'!$B$2:$B$1001=B419)*('تشخيص الحالات'!$G$2:$G$1001=5)*ROW('تشخيص الحالات'!$B$2:$B$1001))-1),""),"")&amp;IF(SUMPRODUCT(('تشخيص الحالات'!$B$2:$B$1001=B419)*('تشخيص الحالات'!$G$2:$G$1001=6))&gt;0,"، "&amp;IFERROR(INDEX('تشخيص الحالات'!$D$2:$D$1001,SUMPRODUCT(('تشخيص الحالات'!$B$2:$B$1001=B419)*('تشخيص الحالات'!$G$2:$G$1001=6)*ROW('تشخيص الحالات'!$B$2:$B$1001))-1),""),"")&amp;IF(SUMPRODUCT(('تشخيص الحالات'!$B$2:$B$1001=B419)*('تشخيص الحالات'!$G$2:$G$1001=7))&gt;0,"، "&amp;IFERROR(INDEX('تشخيص الحالات'!$D$2:$D$1001,SUMPRODUCT(('تشخيص الحالات'!$B$2:$B$1001=B419)*('تشخيص الحالات'!$G$2:$G$1001=7)*ROW('تشخيص الحالات'!$B$2:$B$1001))-1),""),"")&amp;IF(SUMPRODUCT(('تشخيص الحالات'!$B$2:$B$1001=B419)*('تشخيص الحالات'!$G$2:$G$1001=8))&gt;0,"، "&amp;IFERROR(INDEX('تشخيص الحالات'!$D$2:$D$1001,SUMPRODUCT(('تشخيص الحالات'!$B$2:$B$1001=B419)*('تشخيص الحالات'!$G$2:$G$1001=8)*ROW('تشخيص الحالات'!$B$2:$B$1001))-1),""),"")</f>
        <v/>
      </c>
      <c r="J419" s="1"/>
      <c r="K419" s="1"/>
      <c r="L419" s="1"/>
      <c r="M419" s="1"/>
    </row>
    <row r="420" spans="1:13" x14ac:dyDescent="0.2">
      <c r="A420" s="1"/>
      <c r="B420" s="1"/>
      <c r="C420" s="1"/>
      <c r="D420" s="1"/>
      <c r="E420" s="1"/>
      <c r="F420" s="1"/>
      <c r="G420" s="1"/>
      <c r="H420" s="1"/>
      <c r="I420" t="str">
        <f>IFERROR(INDEX('تشخيص الحالات'!$D$2:$D$1001,SUMPRODUCT(('تشخيص الحالات'!$B$2:$B$1001=B420)*('تشخيص الحالات'!$G$2:$G$1001=1)*ROW('تشخيص الحالات'!$B$2:$B$1001))-1),"")&amp;IF(SUMPRODUCT(('تشخيص الحالات'!$B$2:$B$1001=B420)*('تشخيص الحالات'!$G$2:$G$1001=2))&gt;0,"، "&amp;IFERROR(INDEX('تشخيص الحالات'!$D$2:$D$1001,SUMPRODUCT(('تشخيص الحالات'!$B$2:$B$1001=B420)*('تشخيص الحالات'!$G$2:$G$1001=2)*ROW('تشخيص الحالات'!$B$2:$B$1001))-1),""),"")&amp;IF(SUMPRODUCT(('تشخيص الحالات'!$B$2:$B$1001=B420)*('تشخيص الحالات'!$G$2:$G$1001=3))&gt;0,"، "&amp;IFERROR(INDEX('تشخيص الحالات'!$D$2:$D$1001,SUMPRODUCT(('تشخيص الحالات'!$B$2:$B$1001=B420)*('تشخيص الحالات'!$G$2:$G$1001=3)*ROW('تشخيص الحالات'!$B$2:$B$1001))-1),""),"")&amp;IF(SUMPRODUCT(('تشخيص الحالات'!$B$2:$B$1001=B420)*('تشخيص الحالات'!$G$2:$G$1001=4))&gt;0,"، "&amp;IFERROR(INDEX('تشخيص الحالات'!$D$2:$D$1001,SUMPRODUCT(('تشخيص الحالات'!$B$2:$B$1001=B420)*('تشخيص الحالات'!$G$2:$G$1001=4)*ROW('تشخيص الحالات'!$B$2:$B$1001))-1),""),"")&amp;IF(SUMPRODUCT(('تشخيص الحالات'!$B$2:$B$1001=B420)*('تشخيص الحالات'!$G$2:$G$1001=5))&gt;0,"، "&amp;IFERROR(INDEX('تشخيص الحالات'!$D$2:$D$1001,SUMPRODUCT(('تشخيص الحالات'!$B$2:$B$1001=B420)*('تشخيص الحالات'!$G$2:$G$1001=5)*ROW('تشخيص الحالات'!$B$2:$B$1001))-1),""),"")&amp;IF(SUMPRODUCT(('تشخيص الحالات'!$B$2:$B$1001=B420)*('تشخيص الحالات'!$G$2:$G$1001=6))&gt;0,"، "&amp;IFERROR(INDEX('تشخيص الحالات'!$D$2:$D$1001,SUMPRODUCT(('تشخيص الحالات'!$B$2:$B$1001=B420)*('تشخيص الحالات'!$G$2:$G$1001=6)*ROW('تشخيص الحالات'!$B$2:$B$1001))-1),""),"")&amp;IF(SUMPRODUCT(('تشخيص الحالات'!$B$2:$B$1001=B420)*('تشخيص الحالات'!$G$2:$G$1001=7))&gt;0,"، "&amp;IFERROR(INDEX('تشخيص الحالات'!$D$2:$D$1001,SUMPRODUCT(('تشخيص الحالات'!$B$2:$B$1001=B420)*('تشخيص الحالات'!$G$2:$G$1001=7)*ROW('تشخيص الحالات'!$B$2:$B$1001))-1),""),"")&amp;IF(SUMPRODUCT(('تشخيص الحالات'!$B$2:$B$1001=B420)*('تشخيص الحالات'!$G$2:$G$1001=8))&gt;0,"، "&amp;IFERROR(INDEX('تشخيص الحالات'!$D$2:$D$1001,SUMPRODUCT(('تشخيص الحالات'!$B$2:$B$1001=B420)*('تشخيص الحالات'!$G$2:$G$1001=8)*ROW('تشخيص الحالات'!$B$2:$B$1001))-1),""),"")</f>
        <v/>
      </c>
      <c r="J420" s="1"/>
      <c r="K420" s="1"/>
      <c r="L420" s="1"/>
      <c r="M420" s="1"/>
    </row>
    <row r="421" spans="1:13" x14ac:dyDescent="0.2">
      <c r="A421" s="1"/>
      <c r="B421" s="1"/>
      <c r="C421" s="1"/>
      <c r="D421" s="1"/>
      <c r="E421" s="1"/>
      <c r="F421" s="1"/>
      <c r="G421" s="1"/>
      <c r="H421" s="1"/>
      <c r="I421" t="str">
        <f>IFERROR(INDEX('تشخيص الحالات'!$D$2:$D$1001,SUMPRODUCT(('تشخيص الحالات'!$B$2:$B$1001=B421)*('تشخيص الحالات'!$G$2:$G$1001=1)*ROW('تشخيص الحالات'!$B$2:$B$1001))-1),"")&amp;IF(SUMPRODUCT(('تشخيص الحالات'!$B$2:$B$1001=B421)*('تشخيص الحالات'!$G$2:$G$1001=2))&gt;0,"، "&amp;IFERROR(INDEX('تشخيص الحالات'!$D$2:$D$1001,SUMPRODUCT(('تشخيص الحالات'!$B$2:$B$1001=B421)*('تشخيص الحالات'!$G$2:$G$1001=2)*ROW('تشخيص الحالات'!$B$2:$B$1001))-1),""),"")&amp;IF(SUMPRODUCT(('تشخيص الحالات'!$B$2:$B$1001=B421)*('تشخيص الحالات'!$G$2:$G$1001=3))&gt;0,"، "&amp;IFERROR(INDEX('تشخيص الحالات'!$D$2:$D$1001,SUMPRODUCT(('تشخيص الحالات'!$B$2:$B$1001=B421)*('تشخيص الحالات'!$G$2:$G$1001=3)*ROW('تشخيص الحالات'!$B$2:$B$1001))-1),""),"")&amp;IF(SUMPRODUCT(('تشخيص الحالات'!$B$2:$B$1001=B421)*('تشخيص الحالات'!$G$2:$G$1001=4))&gt;0,"، "&amp;IFERROR(INDEX('تشخيص الحالات'!$D$2:$D$1001,SUMPRODUCT(('تشخيص الحالات'!$B$2:$B$1001=B421)*('تشخيص الحالات'!$G$2:$G$1001=4)*ROW('تشخيص الحالات'!$B$2:$B$1001))-1),""),"")&amp;IF(SUMPRODUCT(('تشخيص الحالات'!$B$2:$B$1001=B421)*('تشخيص الحالات'!$G$2:$G$1001=5))&gt;0,"، "&amp;IFERROR(INDEX('تشخيص الحالات'!$D$2:$D$1001,SUMPRODUCT(('تشخيص الحالات'!$B$2:$B$1001=B421)*('تشخيص الحالات'!$G$2:$G$1001=5)*ROW('تشخيص الحالات'!$B$2:$B$1001))-1),""),"")&amp;IF(SUMPRODUCT(('تشخيص الحالات'!$B$2:$B$1001=B421)*('تشخيص الحالات'!$G$2:$G$1001=6))&gt;0,"، "&amp;IFERROR(INDEX('تشخيص الحالات'!$D$2:$D$1001,SUMPRODUCT(('تشخيص الحالات'!$B$2:$B$1001=B421)*('تشخيص الحالات'!$G$2:$G$1001=6)*ROW('تشخيص الحالات'!$B$2:$B$1001))-1),""),"")&amp;IF(SUMPRODUCT(('تشخيص الحالات'!$B$2:$B$1001=B421)*('تشخيص الحالات'!$G$2:$G$1001=7))&gt;0,"، "&amp;IFERROR(INDEX('تشخيص الحالات'!$D$2:$D$1001,SUMPRODUCT(('تشخيص الحالات'!$B$2:$B$1001=B421)*('تشخيص الحالات'!$G$2:$G$1001=7)*ROW('تشخيص الحالات'!$B$2:$B$1001))-1),""),"")&amp;IF(SUMPRODUCT(('تشخيص الحالات'!$B$2:$B$1001=B421)*('تشخيص الحالات'!$G$2:$G$1001=8))&gt;0,"، "&amp;IFERROR(INDEX('تشخيص الحالات'!$D$2:$D$1001,SUMPRODUCT(('تشخيص الحالات'!$B$2:$B$1001=B421)*('تشخيص الحالات'!$G$2:$G$1001=8)*ROW('تشخيص الحالات'!$B$2:$B$1001))-1),""),"")</f>
        <v/>
      </c>
      <c r="J421" s="1"/>
      <c r="K421" s="1"/>
      <c r="L421" s="1"/>
      <c r="M421" s="1"/>
    </row>
    <row r="422" spans="1:13" x14ac:dyDescent="0.2">
      <c r="A422" s="1"/>
      <c r="B422" s="1"/>
      <c r="C422" s="1"/>
      <c r="D422" s="1"/>
      <c r="E422" s="1"/>
      <c r="F422" s="1"/>
      <c r="G422" s="1"/>
      <c r="H422" s="1"/>
      <c r="I422" t="str">
        <f>IFERROR(INDEX('تشخيص الحالات'!$D$2:$D$1001,SUMPRODUCT(('تشخيص الحالات'!$B$2:$B$1001=B422)*('تشخيص الحالات'!$G$2:$G$1001=1)*ROW('تشخيص الحالات'!$B$2:$B$1001))-1),"")&amp;IF(SUMPRODUCT(('تشخيص الحالات'!$B$2:$B$1001=B422)*('تشخيص الحالات'!$G$2:$G$1001=2))&gt;0,"، "&amp;IFERROR(INDEX('تشخيص الحالات'!$D$2:$D$1001,SUMPRODUCT(('تشخيص الحالات'!$B$2:$B$1001=B422)*('تشخيص الحالات'!$G$2:$G$1001=2)*ROW('تشخيص الحالات'!$B$2:$B$1001))-1),""),"")&amp;IF(SUMPRODUCT(('تشخيص الحالات'!$B$2:$B$1001=B422)*('تشخيص الحالات'!$G$2:$G$1001=3))&gt;0,"، "&amp;IFERROR(INDEX('تشخيص الحالات'!$D$2:$D$1001,SUMPRODUCT(('تشخيص الحالات'!$B$2:$B$1001=B422)*('تشخيص الحالات'!$G$2:$G$1001=3)*ROW('تشخيص الحالات'!$B$2:$B$1001))-1),""),"")&amp;IF(SUMPRODUCT(('تشخيص الحالات'!$B$2:$B$1001=B422)*('تشخيص الحالات'!$G$2:$G$1001=4))&gt;0,"، "&amp;IFERROR(INDEX('تشخيص الحالات'!$D$2:$D$1001,SUMPRODUCT(('تشخيص الحالات'!$B$2:$B$1001=B422)*('تشخيص الحالات'!$G$2:$G$1001=4)*ROW('تشخيص الحالات'!$B$2:$B$1001))-1),""),"")&amp;IF(SUMPRODUCT(('تشخيص الحالات'!$B$2:$B$1001=B422)*('تشخيص الحالات'!$G$2:$G$1001=5))&gt;0,"، "&amp;IFERROR(INDEX('تشخيص الحالات'!$D$2:$D$1001,SUMPRODUCT(('تشخيص الحالات'!$B$2:$B$1001=B422)*('تشخيص الحالات'!$G$2:$G$1001=5)*ROW('تشخيص الحالات'!$B$2:$B$1001))-1),""),"")&amp;IF(SUMPRODUCT(('تشخيص الحالات'!$B$2:$B$1001=B422)*('تشخيص الحالات'!$G$2:$G$1001=6))&gt;0,"، "&amp;IFERROR(INDEX('تشخيص الحالات'!$D$2:$D$1001,SUMPRODUCT(('تشخيص الحالات'!$B$2:$B$1001=B422)*('تشخيص الحالات'!$G$2:$G$1001=6)*ROW('تشخيص الحالات'!$B$2:$B$1001))-1),""),"")&amp;IF(SUMPRODUCT(('تشخيص الحالات'!$B$2:$B$1001=B422)*('تشخيص الحالات'!$G$2:$G$1001=7))&gt;0,"، "&amp;IFERROR(INDEX('تشخيص الحالات'!$D$2:$D$1001,SUMPRODUCT(('تشخيص الحالات'!$B$2:$B$1001=B422)*('تشخيص الحالات'!$G$2:$G$1001=7)*ROW('تشخيص الحالات'!$B$2:$B$1001))-1),""),"")&amp;IF(SUMPRODUCT(('تشخيص الحالات'!$B$2:$B$1001=B422)*('تشخيص الحالات'!$G$2:$G$1001=8))&gt;0,"، "&amp;IFERROR(INDEX('تشخيص الحالات'!$D$2:$D$1001,SUMPRODUCT(('تشخيص الحالات'!$B$2:$B$1001=B422)*('تشخيص الحالات'!$G$2:$G$1001=8)*ROW('تشخيص الحالات'!$B$2:$B$1001))-1),""),"")</f>
        <v/>
      </c>
      <c r="J422" s="1"/>
      <c r="K422" s="1"/>
      <c r="L422" s="1"/>
      <c r="M422" s="1"/>
    </row>
    <row r="423" spans="1:13" x14ac:dyDescent="0.2">
      <c r="A423" s="1"/>
      <c r="B423" s="1"/>
      <c r="C423" s="1"/>
      <c r="D423" s="1"/>
      <c r="E423" s="1"/>
      <c r="F423" s="1"/>
      <c r="G423" s="1"/>
      <c r="H423" s="1"/>
      <c r="I423" t="str">
        <f>IFERROR(INDEX('تشخيص الحالات'!$D$2:$D$1001,SUMPRODUCT(('تشخيص الحالات'!$B$2:$B$1001=B423)*('تشخيص الحالات'!$G$2:$G$1001=1)*ROW('تشخيص الحالات'!$B$2:$B$1001))-1),"")&amp;IF(SUMPRODUCT(('تشخيص الحالات'!$B$2:$B$1001=B423)*('تشخيص الحالات'!$G$2:$G$1001=2))&gt;0,"، "&amp;IFERROR(INDEX('تشخيص الحالات'!$D$2:$D$1001,SUMPRODUCT(('تشخيص الحالات'!$B$2:$B$1001=B423)*('تشخيص الحالات'!$G$2:$G$1001=2)*ROW('تشخيص الحالات'!$B$2:$B$1001))-1),""),"")&amp;IF(SUMPRODUCT(('تشخيص الحالات'!$B$2:$B$1001=B423)*('تشخيص الحالات'!$G$2:$G$1001=3))&gt;0,"، "&amp;IFERROR(INDEX('تشخيص الحالات'!$D$2:$D$1001,SUMPRODUCT(('تشخيص الحالات'!$B$2:$B$1001=B423)*('تشخيص الحالات'!$G$2:$G$1001=3)*ROW('تشخيص الحالات'!$B$2:$B$1001))-1),""),"")&amp;IF(SUMPRODUCT(('تشخيص الحالات'!$B$2:$B$1001=B423)*('تشخيص الحالات'!$G$2:$G$1001=4))&gt;0,"، "&amp;IFERROR(INDEX('تشخيص الحالات'!$D$2:$D$1001,SUMPRODUCT(('تشخيص الحالات'!$B$2:$B$1001=B423)*('تشخيص الحالات'!$G$2:$G$1001=4)*ROW('تشخيص الحالات'!$B$2:$B$1001))-1),""),"")&amp;IF(SUMPRODUCT(('تشخيص الحالات'!$B$2:$B$1001=B423)*('تشخيص الحالات'!$G$2:$G$1001=5))&gt;0,"، "&amp;IFERROR(INDEX('تشخيص الحالات'!$D$2:$D$1001,SUMPRODUCT(('تشخيص الحالات'!$B$2:$B$1001=B423)*('تشخيص الحالات'!$G$2:$G$1001=5)*ROW('تشخيص الحالات'!$B$2:$B$1001))-1),""),"")&amp;IF(SUMPRODUCT(('تشخيص الحالات'!$B$2:$B$1001=B423)*('تشخيص الحالات'!$G$2:$G$1001=6))&gt;0,"، "&amp;IFERROR(INDEX('تشخيص الحالات'!$D$2:$D$1001,SUMPRODUCT(('تشخيص الحالات'!$B$2:$B$1001=B423)*('تشخيص الحالات'!$G$2:$G$1001=6)*ROW('تشخيص الحالات'!$B$2:$B$1001))-1),""),"")&amp;IF(SUMPRODUCT(('تشخيص الحالات'!$B$2:$B$1001=B423)*('تشخيص الحالات'!$G$2:$G$1001=7))&gt;0,"، "&amp;IFERROR(INDEX('تشخيص الحالات'!$D$2:$D$1001,SUMPRODUCT(('تشخيص الحالات'!$B$2:$B$1001=B423)*('تشخيص الحالات'!$G$2:$G$1001=7)*ROW('تشخيص الحالات'!$B$2:$B$1001))-1),""),"")&amp;IF(SUMPRODUCT(('تشخيص الحالات'!$B$2:$B$1001=B423)*('تشخيص الحالات'!$G$2:$G$1001=8))&gt;0,"، "&amp;IFERROR(INDEX('تشخيص الحالات'!$D$2:$D$1001,SUMPRODUCT(('تشخيص الحالات'!$B$2:$B$1001=B423)*('تشخيص الحالات'!$G$2:$G$1001=8)*ROW('تشخيص الحالات'!$B$2:$B$1001))-1),""),"")</f>
        <v/>
      </c>
      <c r="J423" s="1"/>
      <c r="K423" s="1"/>
      <c r="L423" s="1"/>
      <c r="M423" s="1"/>
    </row>
    <row r="424" spans="1:13" x14ac:dyDescent="0.2">
      <c r="A424" s="1"/>
      <c r="B424" s="1"/>
      <c r="C424" s="1"/>
      <c r="D424" s="1"/>
      <c r="E424" s="1"/>
      <c r="F424" s="1"/>
      <c r="G424" s="1"/>
      <c r="H424" s="1"/>
      <c r="I424" t="str">
        <f>IFERROR(INDEX('تشخيص الحالات'!$D$2:$D$1001,SUMPRODUCT(('تشخيص الحالات'!$B$2:$B$1001=B424)*('تشخيص الحالات'!$G$2:$G$1001=1)*ROW('تشخيص الحالات'!$B$2:$B$1001))-1),"")&amp;IF(SUMPRODUCT(('تشخيص الحالات'!$B$2:$B$1001=B424)*('تشخيص الحالات'!$G$2:$G$1001=2))&gt;0,"، "&amp;IFERROR(INDEX('تشخيص الحالات'!$D$2:$D$1001,SUMPRODUCT(('تشخيص الحالات'!$B$2:$B$1001=B424)*('تشخيص الحالات'!$G$2:$G$1001=2)*ROW('تشخيص الحالات'!$B$2:$B$1001))-1),""),"")&amp;IF(SUMPRODUCT(('تشخيص الحالات'!$B$2:$B$1001=B424)*('تشخيص الحالات'!$G$2:$G$1001=3))&gt;0,"، "&amp;IFERROR(INDEX('تشخيص الحالات'!$D$2:$D$1001,SUMPRODUCT(('تشخيص الحالات'!$B$2:$B$1001=B424)*('تشخيص الحالات'!$G$2:$G$1001=3)*ROW('تشخيص الحالات'!$B$2:$B$1001))-1),""),"")&amp;IF(SUMPRODUCT(('تشخيص الحالات'!$B$2:$B$1001=B424)*('تشخيص الحالات'!$G$2:$G$1001=4))&gt;0,"، "&amp;IFERROR(INDEX('تشخيص الحالات'!$D$2:$D$1001,SUMPRODUCT(('تشخيص الحالات'!$B$2:$B$1001=B424)*('تشخيص الحالات'!$G$2:$G$1001=4)*ROW('تشخيص الحالات'!$B$2:$B$1001))-1),""),"")&amp;IF(SUMPRODUCT(('تشخيص الحالات'!$B$2:$B$1001=B424)*('تشخيص الحالات'!$G$2:$G$1001=5))&gt;0,"، "&amp;IFERROR(INDEX('تشخيص الحالات'!$D$2:$D$1001,SUMPRODUCT(('تشخيص الحالات'!$B$2:$B$1001=B424)*('تشخيص الحالات'!$G$2:$G$1001=5)*ROW('تشخيص الحالات'!$B$2:$B$1001))-1),""),"")&amp;IF(SUMPRODUCT(('تشخيص الحالات'!$B$2:$B$1001=B424)*('تشخيص الحالات'!$G$2:$G$1001=6))&gt;0,"، "&amp;IFERROR(INDEX('تشخيص الحالات'!$D$2:$D$1001,SUMPRODUCT(('تشخيص الحالات'!$B$2:$B$1001=B424)*('تشخيص الحالات'!$G$2:$G$1001=6)*ROW('تشخيص الحالات'!$B$2:$B$1001))-1),""),"")&amp;IF(SUMPRODUCT(('تشخيص الحالات'!$B$2:$B$1001=B424)*('تشخيص الحالات'!$G$2:$G$1001=7))&gt;0,"، "&amp;IFERROR(INDEX('تشخيص الحالات'!$D$2:$D$1001,SUMPRODUCT(('تشخيص الحالات'!$B$2:$B$1001=B424)*('تشخيص الحالات'!$G$2:$G$1001=7)*ROW('تشخيص الحالات'!$B$2:$B$1001))-1),""),"")&amp;IF(SUMPRODUCT(('تشخيص الحالات'!$B$2:$B$1001=B424)*('تشخيص الحالات'!$G$2:$G$1001=8))&gt;0,"، "&amp;IFERROR(INDEX('تشخيص الحالات'!$D$2:$D$1001,SUMPRODUCT(('تشخيص الحالات'!$B$2:$B$1001=B424)*('تشخيص الحالات'!$G$2:$G$1001=8)*ROW('تشخيص الحالات'!$B$2:$B$1001))-1),""),"")</f>
        <v/>
      </c>
      <c r="J424" s="1"/>
      <c r="K424" s="1"/>
      <c r="L424" s="1"/>
      <c r="M424" s="1"/>
    </row>
    <row r="425" spans="1:13" x14ac:dyDescent="0.2">
      <c r="A425" s="1"/>
      <c r="B425" s="1"/>
      <c r="C425" s="1"/>
      <c r="D425" s="1"/>
      <c r="E425" s="1"/>
      <c r="F425" s="1"/>
      <c r="G425" s="1"/>
      <c r="H425" s="1"/>
      <c r="I425" t="str">
        <f>IFERROR(INDEX('تشخيص الحالات'!$D$2:$D$1001,SUMPRODUCT(('تشخيص الحالات'!$B$2:$B$1001=B425)*('تشخيص الحالات'!$G$2:$G$1001=1)*ROW('تشخيص الحالات'!$B$2:$B$1001))-1),"")&amp;IF(SUMPRODUCT(('تشخيص الحالات'!$B$2:$B$1001=B425)*('تشخيص الحالات'!$G$2:$G$1001=2))&gt;0,"، "&amp;IFERROR(INDEX('تشخيص الحالات'!$D$2:$D$1001,SUMPRODUCT(('تشخيص الحالات'!$B$2:$B$1001=B425)*('تشخيص الحالات'!$G$2:$G$1001=2)*ROW('تشخيص الحالات'!$B$2:$B$1001))-1),""),"")&amp;IF(SUMPRODUCT(('تشخيص الحالات'!$B$2:$B$1001=B425)*('تشخيص الحالات'!$G$2:$G$1001=3))&gt;0,"، "&amp;IFERROR(INDEX('تشخيص الحالات'!$D$2:$D$1001,SUMPRODUCT(('تشخيص الحالات'!$B$2:$B$1001=B425)*('تشخيص الحالات'!$G$2:$G$1001=3)*ROW('تشخيص الحالات'!$B$2:$B$1001))-1),""),"")&amp;IF(SUMPRODUCT(('تشخيص الحالات'!$B$2:$B$1001=B425)*('تشخيص الحالات'!$G$2:$G$1001=4))&gt;0,"، "&amp;IFERROR(INDEX('تشخيص الحالات'!$D$2:$D$1001,SUMPRODUCT(('تشخيص الحالات'!$B$2:$B$1001=B425)*('تشخيص الحالات'!$G$2:$G$1001=4)*ROW('تشخيص الحالات'!$B$2:$B$1001))-1),""),"")&amp;IF(SUMPRODUCT(('تشخيص الحالات'!$B$2:$B$1001=B425)*('تشخيص الحالات'!$G$2:$G$1001=5))&gt;0,"، "&amp;IFERROR(INDEX('تشخيص الحالات'!$D$2:$D$1001,SUMPRODUCT(('تشخيص الحالات'!$B$2:$B$1001=B425)*('تشخيص الحالات'!$G$2:$G$1001=5)*ROW('تشخيص الحالات'!$B$2:$B$1001))-1),""),"")&amp;IF(SUMPRODUCT(('تشخيص الحالات'!$B$2:$B$1001=B425)*('تشخيص الحالات'!$G$2:$G$1001=6))&gt;0,"، "&amp;IFERROR(INDEX('تشخيص الحالات'!$D$2:$D$1001,SUMPRODUCT(('تشخيص الحالات'!$B$2:$B$1001=B425)*('تشخيص الحالات'!$G$2:$G$1001=6)*ROW('تشخيص الحالات'!$B$2:$B$1001))-1),""),"")&amp;IF(SUMPRODUCT(('تشخيص الحالات'!$B$2:$B$1001=B425)*('تشخيص الحالات'!$G$2:$G$1001=7))&gt;0,"، "&amp;IFERROR(INDEX('تشخيص الحالات'!$D$2:$D$1001,SUMPRODUCT(('تشخيص الحالات'!$B$2:$B$1001=B425)*('تشخيص الحالات'!$G$2:$G$1001=7)*ROW('تشخيص الحالات'!$B$2:$B$1001))-1),""),"")&amp;IF(SUMPRODUCT(('تشخيص الحالات'!$B$2:$B$1001=B425)*('تشخيص الحالات'!$G$2:$G$1001=8))&gt;0,"، "&amp;IFERROR(INDEX('تشخيص الحالات'!$D$2:$D$1001,SUMPRODUCT(('تشخيص الحالات'!$B$2:$B$1001=B425)*('تشخيص الحالات'!$G$2:$G$1001=8)*ROW('تشخيص الحالات'!$B$2:$B$1001))-1),""),"")</f>
        <v/>
      </c>
      <c r="J425" s="1"/>
      <c r="K425" s="1"/>
      <c r="L425" s="1"/>
      <c r="M425" s="1"/>
    </row>
    <row r="426" spans="1:13" x14ac:dyDescent="0.2">
      <c r="A426" s="1"/>
      <c r="B426" s="1"/>
      <c r="C426" s="1"/>
      <c r="D426" s="1"/>
      <c r="E426" s="1"/>
      <c r="F426" s="1"/>
      <c r="G426" s="1"/>
      <c r="H426" s="1"/>
      <c r="I426" t="str">
        <f>IFERROR(INDEX('تشخيص الحالات'!$D$2:$D$1001,SUMPRODUCT(('تشخيص الحالات'!$B$2:$B$1001=B426)*('تشخيص الحالات'!$G$2:$G$1001=1)*ROW('تشخيص الحالات'!$B$2:$B$1001))-1),"")&amp;IF(SUMPRODUCT(('تشخيص الحالات'!$B$2:$B$1001=B426)*('تشخيص الحالات'!$G$2:$G$1001=2))&gt;0,"، "&amp;IFERROR(INDEX('تشخيص الحالات'!$D$2:$D$1001,SUMPRODUCT(('تشخيص الحالات'!$B$2:$B$1001=B426)*('تشخيص الحالات'!$G$2:$G$1001=2)*ROW('تشخيص الحالات'!$B$2:$B$1001))-1),""),"")&amp;IF(SUMPRODUCT(('تشخيص الحالات'!$B$2:$B$1001=B426)*('تشخيص الحالات'!$G$2:$G$1001=3))&gt;0,"، "&amp;IFERROR(INDEX('تشخيص الحالات'!$D$2:$D$1001,SUMPRODUCT(('تشخيص الحالات'!$B$2:$B$1001=B426)*('تشخيص الحالات'!$G$2:$G$1001=3)*ROW('تشخيص الحالات'!$B$2:$B$1001))-1),""),"")&amp;IF(SUMPRODUCT(('تشخيص الحالات'!$B$2:$B$1001=B426)*('تشخيص الحالات'!$G$2:$G$1001=4))&gt;0,"، "&amp;IFERROR(INDEX('تشخيص الحالات'!$D$2:$D$1001,SUMPRODUCT(('تشخيص الحالات'!$B$2:$B$1001=B426)*('تشخيص الحالات'!$G$2:$G$1001=4)*ROW('تشخيص الحالات'!$B$2:$B$1001))-1),""),"")&amp;IF(SUMPRODUCT(('تشخيص الحالات'!$B$2:$B$1001=B426)*('تشخيص الحالات'!$G$2:$G$1001=5))&gt;0,"، "&amp;IFERROR(INDEX('تشخيص الحالات'!$D$2:$D$1001,SUMPRODUCT(('تشخيص الحالات'!$B$2:$B$1001=B426)*('تشخيص الحالات'!$G$2:$G$1001=5)*ROW('تشخيص الحالات'!$B$2:$B$1001))-1),""),"")&amp;IF(SUMPRODUCT(('تشخيص الحالات'!$B$2:$B$1001=B426)*('تشخيص الحالات'!$G$2:$G$1001=6))&gt;0,"، "&amp;IFERROR(INDEX('تشخيص الحالات'!$D$2:$D$1001,SUMPRODUCT(('تشخيص الحالات'!$B$2:$B$1001=B426)*('تشخيص الحالات'!$G$2:$G$1001=6)*ROW('تشخيص الحالات'!$B$2:$B$1001))-1),""),"")&amp;IF(SUMPRODUCT(('تشخيص الحالات'!$B$2:$B$1001=B426)*('تشخيص الحالات'!$G$2:$G$1001=7))&gt;0,"، "&amp;IFERROR(INDEX('تشخيص الحالات'!$D$2:$D$1001,SUMPRODUCT(('تشخيص الحالات'!$B$2:$B$1001=B426)*('تشخيص الحالات'!$G$2:$G$1001=7)*ROW('تشخيص الحالات'!$B$2:$B$1001))-1),""),"")&amp;IF(SUMPRODUCT(('تشخيص الحالات'!$B$2:$B$1001=B426)*('تشخيص الحالات'!$G$2:$G$1001=8))&gt;0,"، "&amp;IFERROR(INDEX('تشخيص الحالات'!$D$2:$D$1001,SUMPRODUCT(('تشخيص الحالات'!$B$2:$B$1001=B426)*('تشخيص الحالات'!$G$2:$G$1001=8)*ROW('تشخيص الحالات'!$B$2:$B$1001))-1),""),"")</f>
        <v/>
      </c>
      <c r="J426" s="1"/>
      <c r="K426" s="1"/>
      <c r="L426" s="1"/>
      <c r="M426" s="1"/>
    </row>
    <row r="427" spans="1:13" x14ac:dyDescent="0.2">
      <c r="A427" s="1"/>
      <c r="B427" s="1"/>
      <c r="C427" s="1"/>
      <c r="D427" s="1"/>
      <c r="E427" s="1"/>
      <c r="F427" s="1"/>
      <c r="G427" s="1"/>
      <c r="H427" s="1"/>
      <c r="I427" t="str">
        <f>IFERROR(INDEX('تشخيص الحالات'!$D$2:$D$1001,SUMPRODUCT(('تشخيص الحالات'!$B$2:$B$1001=B427)*('تشخيص الحالات'!$G$2:$G$1001=1)*ROW('تشخيص الحالات'!$B$2:$B$1001))-1),"")&amp;IF(SUMPRODUCT(('تشخيص الحالات'!$B$2:$B$1001=B427)*('تشخيص الحالات'!$G$2:$G$1001=2))&gt;0,"، "&amp;IFERROR(INDEX('تشخيص الحالات'!$D$2:$D$1001,SUMPRODUCT(('تشخيص الحالات'!$B$2:$B$1001=B427)*('تشخيص الحالات'!$G$2:$G$1001=2)*ROW('تشخيص الحالات'!$B$2:$B$1001))-1),""),"")&amp;IF(SUMPRODUCT(('تشخيص الحالات'!$B$2:$B$1001=B427)*('تشخيص الحالات'!$G$2:$G$1001=3))&gt;0,"، "&amp;IFERROR(INDEX('تشخيص الحالات'!$D$2:$D$1001,SUMPRODUCT(('تشخيص الحالات'!$B$2:$B$1001=B427)*('تشخيص الحالات'!$G$2:$G$1001=3)*ROW('تشخيص الحالات'!$B$2:$B$1001))-1),""),"")&amp;IF(SUMPRODUCT(('تشخيص الحالات'!$B$2:$B$1001=B427)*('تشخيص الحالات'!$G$2:$G$1001=4))&gt;0,"، "&amp;IFERROR(INDEX('تشخيص الحالات'!$D$2:$D$1001,SUMPRODUCT(('تشخيص الحالات'!$B$2:$B$1001=B427)*('تشخيص الحالات'!$G$2:$G$1001=4)*ROW('تشخيص الحالات'!$B$2:$B$1001))-1),""),"")&amp;IF(SUMPRODUCT(('تشخيص الحالات'!$B$2:$B$1001=B427)*('تشخيص الحالات'!$G$2:$G$1001=5))&gt;0,"، "&amp;IFERROR(INDEX('تشخيص الحالات'!$D$2:$D$1001,SUMPRODUCT(('تشخيص الحالات'!$B$2:$B$1001=B427)*('تشخيص الحالات'!$G$2:$G$1001=5)*ROW('تشخيص الحالات'!$B$2:$B$1001))-1),""),"")&amp;IF(SUMPRODUCT(('تشخيص الحالات'!$B$2:$B$1001=B427)*('تشخيص الحالات'!$G$2:$G$1001=6))&gt;0,"، "&amp;IFERROR(INDEX('تشخيص الحالات'!$D$2:$D$1001,SUMPRODUCT(('تشخيص الحالات'!$B$2:$B$1001=B427)*('تشخيص الحالات'!$G$2:$G$1001=6)*ROW('تشخيص الحالات'!$B$2:$B$1001))-1),""),"")&amp;IF(SUMPRODUCT(('تشخيص الحالات'!$B$2:$B$1001=B427)*('تشخيص الحالات'!$G$2:$G$1001=7))&gt;0,"، "&amp;IFERROR(INDEX('تشخيص الحالات'!$D$2:$D$1001,SUMPRODUCT(('تشخيص الحالات'!$B$2:$B$1001=B427)*('تشخيص الحالات'!$G$2:$G$1001=7)*ROW('تشخيص الحالات'!$B$2:$B$1001))-1),""),"")&amp;IF(SUMPRODUCT(('تشخيص الحالات'!$B$2:$B$1001=B427)*('تشخيص الحالات'!$G$2:$G$1001=8))&gt;0,"، "&amp;IFERROR(INDEX('تشخيص الحالات'!$D$2:$D$1001,SUMPRODUCT(('تشخيص الحالات'!$B$2:$B$1001=B427)*('تشخيص الحالات'!$G$2:$G$1001=8)*ROW('تشخيص الحالات'!$B$2:$B$1001))-1),""),"")</f>
        <v/>
      </c>
      <c r="J427" s="1"/>
      <c r="K427" s="1"/>
      <c r="L427" s="1"/>
      <c r="M427" s="1"/>
    </row>
    <row r="428" spans="1:13" x14ac:dyDescent="0.2">
      <c r="A428" s="1"/>
      <c r="B428" s="1"/>
      <c r="C428" s="1"/>
      <c r="D428" s="1"/>
      <c r="E428" s="1"/>
      <c r="F428" s="1"/>
      <c r="G428" s="1"/>
      <c r="H428" s="1"/>
      <c r="I428" t="str">
        <f>IFERROR(INDEX('تشخيص الحالات'!$D$2:$D$1001,SUMPRODUCT(('تشخيص الحالات'!$B$2:$B$1001=B428)*('تشخيص الحالات'!$G$2:$G$1001=1)*ROW('تشخيص الحالات'!$B$2:$B$1001))-1),"")&amp;IF(SUMPRODUCT(('تشخيص الحالات'!$B$2:$B$1001=B428)*('تشخيص الحالات'!$G$2:$G$1001=2))&gt;0,"، "&amp;IFERROR(INDEX('تشخيص الحالات'!$D$2:$D$1001,SUMPRODUCT(('تشخيص الحالات'!$B$2:$B$1001=B428)*('تشخيص الحالات'!$G$2:$G$1001=2)*ROW('تشخيص الحالات'!$B$2:$B$1001))-1),""),"")&amp;IF(SUMPRODUCT(('تشخيص الحالات'!$B$2:$B$1001=B428)*('تشخيص الحالات'!$G$2:$G$1001=3))&gt;0,"، "&amp;IFERROR(INDEX('تشخيص الحالات'!$D$2:$D$1001,SUMPRODUCT(('تشخيص الحالات'!$B$2:$B$1001=B428)*('تشخيص الحالات'!$G$2:$G$1001=3)*ROW('تشخيص الحالات'!$B$2:$B$1001))-1),""),"")&amp;IF(SUMPRODUCT(('تشخيص الحالات'!$B$2:$B$1001=B428)*('تشخيص الحالات'!$G$2:$G$1001=4))&gt;0,"، "&amp;IFERROR(INDEX('تشخيص الحالات'!$D$2:$D$1001,SUMPRODUCT(('تشخيص الحالات'!$B$2:$B$1001=B428)*('تشخيص الحالات'!$G$2:$G$1001=4)*ROW('تشخيص الحالات'!$B$2:$B$1001))-1),""),"")&amp;IF(SUMPRODUCT(('تشخيص الحالات'!$B$2:$B$1001=B428)*('تشخيص الحالات'!$G$2:$G$1001=5))&gt;0,"، "&amp;IFERROR(INDEX('تشخيص الحالات'!$D$2:$D$1001,SUMPRODUCT(('تشخيص الحالات'!$B$2:$B$1001=B428)*('تشخيص الحالات'!$G$2:$G$1001=5)*ROW('تشخيص الحالات'!$B$2:$B$1001))-1),""),"")&amp;IF(SUMPRODUCT(('تشخيص الحالات'!$B$2:$B$1001=B428)*('تشخيص الحالات'!$G$2:$G$1001=6))&gt;0,"، "&amp;IFERROR(INDEX('تشخيص الحالات'!$D$2:$D$1001,SUMPRODUCT(('تشخيص الحالات'!$B$2:$B$1001=B428)*('تشخيص الحالات'!$G$2:$G$1001=6)*ROW('تشخيص الحالات'!$B$2:$B$1001))-1),""),"")&amp;IF(SUMPRODUCT(('تشخيص الحالات'!$B$2:$B$1001=B428)*('تشخيص الحالات'!$G$2:$G$1001=7))&gt;0,"، "&amp;IFERROR(INDEX('تشخيص الحالات'!$D$2:$D$1001,SUMPRODUCT(('تشخيص الحالات'!$B$2:$B$1001=B428)*('تشخيص الحالات'!$G$2:$G$1001=7)*ROW('تشخيص الحالات'!$B$2:$B$1001))-1),""),"")&amp;IF(SUMPRODUCT(('تشخيص الحالات'!$B$2:$B$1001=B428)*('تشخيص الحالات'!$G$2:$G$1001=8))&gt;0,"، "&amp;IFERROR(INDEX('تشخيص الحالات'!$D$2:$D$1001,SUMPRODUCT(('تشخيص الحالات'!$B$2:$B$1001=B428)*('تشخيص الحالات'!$G$2:$G$1001=8)*ROW('تشخيص الحالات'!$B$2:$B$1001))-1),""),"")</f>
        <v/>
      </c>
      <c r="J428" s="1"/>
      <c r="K428" s="1"/>
      <c r="L428" s="1"/>
      <c r="M428" s="1"/>
    </row>
    <row r="429" spans="1:13" x14ac:dyDescent="0.2">
      <c r="A429" s="1"/>
      <c r="B429" s="1"/>
      <c r="C429" s="1"/>
      <c r="D429" s="1"/>
      <c r="E429" s="1"/>
      <c r="F429" s="1"/>
      <c r="G429" s="1"/>
      <c r="H429" s="1"/>
      <c r="I429" t="str">
        <f>IFERROR(INDEX('تشخيص الحالات'!$D$2:$D$1001,SUMPRODUCT(('تشخيص الحالات'!$B$2:$B$1001=B429)*('تشخيص الحالات'!$G$2:$G$1001=1)*ROW('تشخيص الحالات'!$B$2:$B$1001))-1),"")&amp;IF(SUMPRODUCT(('تشخيص الحالات'!$B$2:$B$1001=B429)*('تشخيص الحالات'!$G$2:$G$1001=2))&gt;0,"، "&amp;IFERROR(INDEX('تشخيص الحالات'!$D$2:$D$1001,SUMPRODUCT(('تشخيص الحالات'!$B$2:$B$1001=B429)*('تشخيص الحالات'!$G$2:$G$1001=2)*ROW('تشخيص الحالات'!$B$2:$B$1001))-1),""),"")&amp;IF(SUMPRODUCT(('تشخيص الحالات'!$B$2:$B$1001=B429)*('تشخيص الحالات'!$G$2:$G$1001=3))&gt;0,"، "&amp;IFERROR(INDEX('تشخيص الحالات'!$D$2:$D$1001,SUMPRODUCT(('تشخيص الحالات'!$B$2:$B$1001=B429)*('تشخيص الحالات'!$G$2:$G$1001=3)*ROW('تشخيص الحالات'!$B$2:$B$1001))-1),""),"")&amp;IF(SUMPRODUCT(('تشخيص الحالات'!$B$2:$B$1001=B429)*('تشخيص الحالات'!$G$2:$G$1001=4))&gt;0,"، "&amp;IFERROR(INDEX('تشخيص الحالات'!$D$2:$D$1001,SUMPRODUCT(('تشخيص الحالات'!$B$2:$B$1001=B429)*('تشخيص الحالات'!$G$2:$G$1001=4)*ROW('تشخيص الحالات'!$B$2:$B$1001))-1),""),"")&amp;IF(SUMPRODUCT(('تشخيص الحالات'!$B$2:$B$1001=B429)*('تشخيص الحالات'!$G$2:$G$1001=5))&gt;0,"، "&amp;IFERROR(INDEX('تشخيص الحالات'!$D$2:$D$1001,SUMPRODUCT(('تشخيص الحالات'!$B$2:$B$1001=B429)*('تشخيص الحالات'!$G$2:$G$1001=5)*ROW('تشخيص الحالات'!$B$2:$B$1001))-1),""),"")&amp;IF(SUMPRODUCT(('تشخيص الحالات'!$B$2:$B$1001=B429)*('تشخيص الحالات'!$G$2:$G$1001=6))&gt;0,"، "&amp;IFERROR(INDEX('تشخيص الحالات'!$D$2:$D$1001,SUMPRODUCT(('تشخيص الحالات'!$B$2:$B$1001=B429)*('تشخيص الحالات'!$G$2:$G$1001=6)*ROW('تشخيص الحالات'!$B$2:$B$1001))-1),""),"")&amp;IF(SUMPRODUCT(('تشخيص الحالات'!$B$2:$B$1001=B429)*('تشخيص الحالات'!$G$2:$G$1001=7))&gt;0,"، "&amp;IFERROR(INDEX('تشخيص الحالات'!$D$2:$D$1001,SUMPRODUCT(('تشخيص الحالات'!$B$2:$B$1001=B429)*('تشخيص الحالات'!$G$2:$G$1001=7)*ROW('تشخيص الحالات'!$B$2:$B$1001))-1),""),"")&amp;IF(SUMPRODUCT(('تشخيص الحالات'!$B$2:$B$1001=B429)*('تشخيص الحالات'!$G$2:$G$1001=8))&gt;0,"، "&amp;IFERROR(INDEX('تشخيص الحالات'!$D$2:$D$1001,SUMPRODUCT(('تشخيص الحالات'!$B$2:$B$1001=B429)*('تشخيص الحالات'!$G$2:$G$1001=8)*ROW('تشخيص الحالات'!$B$2:$B$1001))-1),""),"")</f>
        <v/>
      </c>
      <c r="J429" s="1"/>
      <c r="K429" s="1"/>
      <c r="L429" s="1"/>
      <c r="M429" s="1"/>
    </row>
    <row r="430" spans="1:13" x14ac:dyDescent="0.2">
      <c r="A430" s="1"/>
      <c r="B430" s="1"/>
      <c r="C430" s="1"/>
      <c r="D430" s="1"/>
      <c r="E430" s="1"/>
      <c r="F430" s="1"/>
      <c r="G430" s="1"/>
      <c r="H430" s="1"/>
      <c r="I430" t="str">
        <f>IFERROR(INDEX('تشخيص الحالات'!$D$2:$D$1001,SUMPRODUCT(('تشخيص الحالات'!$B$2:$B$1001=B430)*('تشخيص الحالات'!$G$2:$G$1001=1)*ROW('تشخيص الحالات'!$B$2:$B$1001))-1),"")&amp;IF(SUMPRODUCT(('تشخيص الحالات'!$B$2:$B$1001=B430)*('تشخيص الحالات'!$G$2:$G$1001=2))&gt;0,"، "&amp;IFERROR(INDEX('تشخيص الحالات'!$D$2:$D$1001,SUMPRODUCT(('تشخيص الحالات'!$B$2:$B$1001=B430)*('تشخيص الحالات'!$G$2:$G$1001=2)*ROW('تشخيص الحالات'!$B$2:$B$1001))-1),""),"")&amp;IF(SUMPRODUCT(('تشخيص الحالات'!$B$2:$B$1001=B430)*('تشخيص الحالات'!$G$2:$G$1001=3))&gt;0,"، "&amp;IFERROR(INDEX('تشخيص الحالات'!$D$2:$D$1001,SUMPRODUCT(('تشخيص الحالات'!$B$2:$B$1001=B430)*('تشخيص الحالات'!$G$2:$G$1001=3)*ROW('تشخيص الحالات'!$B$2:$B$1001))-1),""),"")&amp;IF(SUMPRODUCT(('تشخيص الحالات'!$B$2:$B$1001=B430)*('تشخيص الحالات'!$G$2:$G$1001=4))&gt;0,"، "&amp;IFERROR(INDEX('تشخيص الحالات'!$D$2:$D$1001,SUMPRODUCT(('تشخيص الحالات'!$B$2:$B$1001=B430)*('تشخيص الحالات'!$G$2:$G$1001=4)*ROW('تشخيص الحالات'!$B$2:$B$1001))-1),""),"")&amp;IF(SUMPRODUCT(('تشخيص الحالات'!$B$2:$B$1001=B430)*('تشخيص الحالات'!$G$2:$G$1001=5))&gt;0,"، "&amp;IFERROR(INDEX('تشخيص الحالات'!$D$2:$D$1001,SUMPRODUCT(('تشخيص الحالات'!$B$2:$B$1001=B430)*('تشخيص الحالات'!$G$2:$G$1001=5)*ROW('تشخيص الحالات'!$B$2:$B$1001))-1),""),"")&amp;IF(SUMPRODUCT(('تشخيص الحالات'!$B$2:$B$1001=B430)*('تشخيص الحالات'!$G$2:$G$1001=6))&gt;0,"، "&amp;IFERROR(INDEX('تشخيص الحالات'!$D$2:$D$1001,SUMPRODUCT(('تشخيص الحالات'!$B$2:$B$1001=B430)*('تشخيص الحالات'!$G$2:$G$1001=6)*ROW('تشخيص الحالات'!$B$2:$B$1001))-1),""),"")&amp;IF(SUMPRODUCT(('تشخيص الحالات'!$B$2:$B$1001=B430)*('تشخيص الحالات'!$G$2:$G$1001=7))&gt;0,"، "&amp;IFERROR(INDEX('تشخيص الحالات'!$D$2:$D$1001,SUMPRODUCT(('تشخيص الحالات'!$B$2:$B$1001=B430)*('تشخيص الحالات'!$G$2:$G$1001=7)*ROW('تشخيص الحالات'!$B$2:$B$1001))-1),""),"")&amp;IF(SUMPRODUCT(('تشخيص الحالات'!$B$2:$B$1001=B430)*('تشخيص الحالات'!$G$2:$G$1001=8))&gt;0,"، "&amp;IFERROR(INDEX('تشخيص الحالات'!$D$2:$D$1001,SUMPRODUCT(('تشخيص الحالات'!$B$2:$B$1001=B430)*('تشخيص الحالات'!$G$2:$G$1001=8)*ROW('تشخيص الحالات'!$B$2:$B$1001))-1),""),"")</f>
        <v/>
      </c>
      <c r="J430" s="1"/>
      <c r="K430" s="1"/>
      <c r="L430" s="1"/>
      <c r="M430" s="1"/>
    </row>
    <row r="431" spans="1:13" x14ac:dyDescent="0.2">
      <c r="A431" s="1"/>
      <c r="B431" s="1"/>
      <c r="C431" s="1"/>
      <c r="D431" s="1"/>
      <c r="E431" s="1"/>
      <c r="F431" s="1"/>
      <c r="G431" s="1"/>
      <c r="H431" s="1"/>
      <c r="I431" t="str">
        <f>IFERROR(INDEX('تشخيص الحالات'!$D$2:$D$1001,SUMPRODUCT(('تشخيص الحالات'!$B$2:$B$1001=B431)*('تشخيص الحالات'!$G$2:$G$1001=1)*ROW('تشخيص الحالات'!$B$2:$B$1001))-1),"")&amp;IF(SUMPRODUCT(('تشخيص الحالات'!$B$2:$B$1001=B431)*('تشخيص الحالات'!$G$2:$G$1001=2))&gt;0,"، "&amp;IFERROR(INDEX('تشخيص الحالات'!$D$2:$D$1001,SUMPRODUCT(('تشخيص الحالات'!$B$2:$B$1001=B431)*('تشخيص الحالات'!$G$2:$G$1001=2)*ROW('تشخيص الحالات'!$B$2:$B$1001))-1),""),"")&amp;IF(SUMPRODUCT(('تشخيص الحالات'!$B$2:$B$1001=B431)*('تشخيص الحالات'!$G$2:$G$1001=3))&gt;0,"، "&amp;IFERROR(INDEX('تشخيص الحالات'!$D$2:$D$1001,SUMPRODUCT(('تشخيص الحالات'!$B$2:$B$1001=B431)*('تشخيص الحالات'!$G$2:$G$1001=3)*ROW('تشخيص الحالات'!$B$2:$B$1001))-1),""),"")&amp;IF(SUMPRODUCT(('تشخيص الحالات'!$B$2:$B$1001=B431)*('تشخيص الحالات'!$G$2:$G$1001=4))&gt;0,"، "&amp;IFERROR(INDEX('تشخيص الحالات'!$D$2:$D$1001,SUMPRODUCT(('تشخيص الحالات'!$B$2:$B$1001=B431)*('تشخيص الحالات'!$G$2:$G$1001=4)*ROW('تشخيص الحالات'!$B$2:$B$1001))-1),""),"")&amp;IF(SUMPRODUCT(('تشخيص الحالات'!$B$2:$B$1001=B431)*('تشخيص الحالات'!$G$2:$G$1001=5))&gt;0,"، "&amp;IFERROR(INDEX('تشخيص الحالات'!$D$2:$D$1001,SUMPRODUCT(('تشخيص الحالات'!$B$2:$B$1001=B431)*('تشخيص الحالات'!$G$2:$G$1001=5)*ROW('تشخيص الحالات'!$B$2:$B$1001))-1),""),"")&amp;IF(SUMPRODUCT(('تشخيص الحالات'!$B$2:$B$1001=B431)*('تشخيص الحالات'!$G$2:$G$1001=6))&gt;0,"، "&amp;IFERROR(INDEX('تشخيص الحالات'!$D$2:$D$1001,SUMPRODUCT(('تشخيص الحالات'!$B$2:$B$1001=B431)*('تشخيص الحالات'!$G$2:$G$1001=6)*ROW('تشخيص الحالات'!$B$2:$B$1001))-1),""),"")&amp;IF(SUMPRODUCT(('تشخيص الحالات'!$B$2:$B$1001=B431)*('تشخيص الحالات'!$G$2:$G$1001=7))&gt;0,"، "&amp;IFERROR(INDEX('تشخيص الحالات'!$D$2:$D$1001,SUMPRODUCT(('تشخيص الحالات'!$B$2:$B$1001=B431)*('تشخيص الحالات'!$G$2:$G$1001=7)*ROW('تشخيص الحالات'!$B$2:$B$1001))-1),""),"")&amp;IF(SUMPRODUCT(('تشخيص الحالات'!$B$2:$B$1001=B431)*('تشخيص الحالات'!$G$2:$G$1001=8))&gt;0,"، "&amp;IFERROR(INDEX('تشخيص الحالات'!$D$2:$D$1001,SUMPRODUCT(('تشخيص الحالات'!$B$2:$B$1001=B431)*('تشخيص الحالات'!$G$2:$G$1001=8)*ROW('تشخيص الحالات'!$B$2:$B$1001))-1),""),"")</f>
        <v/>
      </c>
      <c r="J431" s="1"/>
      <c r="K431" s="1"/>
      <c r="L431" s="1"/>
      <c r="M431" s="1"/>
    </row>
    <row r="432" spans="1:13" x14ac:dyDescent="0.2">
      <c r="A432" s="1"/>
      <c r="B432" s="1"/>
      <c r="C432" s="1"/>
      <c r="D432" s="1"/>
      <c r="E432" s="1"/>
      <c r="F432" s="1"/>
      <c r="G432" s="1"/>
      <c r="H432" s="1"/>
      <c r="I432" t="str">
        <f>IFERROR(INDEX('تشخيص الحالات'!$D$2:$D$1001,SUMPRODUCT(('تشخيص الحالات'!$B$2:$B$1001=B432)*('تشخيص الحالات'!$G$2:$G$1001=1)*ROW('تشخيص الحالات'!$B$2:$B$1001))-1),"")&amp;IF(SUMPRODUCT(('تشخيص الحالات'!$B$2:$B$1001=B432)*('تشخيص الحالات'!$G$2:$G$1001=2))&gt;0,"، "&amp;IFERROR(INDEX('تشخيص الحالات'!$D$2:$D$1001,SUMPRODUCT(('تشخيص الحالات'!$B$2:$B$1001=B432)*('تشخيص الحالات'!$G$2:$G$1001=2)*ROW('تشخيص الحالات'!$B$2:$B$1001))-1),""),"")&amp;IF(SUMPRODUCT(('تشخيص الحالات'!$B$2:$B$1001=B432)*('تشخيص الحالات'!$G$2:$G$1001=3))&gt;0,"، "&amp;IFERROR(INDEX('تشخيص الحالات'!$D$2:$D$1001,SUMPRODUCT(('تشخيص الحالات'!$B$2:$B$1001=B432)*('تشخيص الحالات'!$G$2:$G$1001=3)*ROW('تشخيص الحالات'!$B$2:$B$1001))-1),""),"")&amp;IF(SUMPRODUCT(('تشخيص الحالات'!$B$2:$B$1001=B432)*('تشخيص الحالات'!$G$2:$G$1001=4))&gt;0,"، "&amp;IFERROR(INDEX('تشخيص الحالات'!$D$2:$D$1001,SUMPRODUCT(('تشخيص الحالات'!$B$2:$B$1001=B432)*('تشخيص الحالات'!$G$2:$G$1001=4)*ROW('تشخيص الحالات'!$B$2:$B$1001))-1),""),"")&amp;IF(SUMPRODUCT(('تشخيص الحالات'!$B$2:$B$1001=B432)*('تشخيص الحالات'!$G$2:$G$1001=5))&gt;0,"، "&amp;IFERROR(INDEX('تشخيص الحالات'!$D$2:$D$1001,SUMPRODUCT(('تشخيص الحالات'!$B$2:$B$1001=B432)*('تشخيص الحالات'!$G$2:$G$1001=5)*ROW('تشخيص الحالات'!$B$2:$B$1001))-1),""),"")&amp;IF(SUMPRODUCT(('تشخيص الحالات'!$B$2:$B$1001=B432)*('تشخيص الحالات'!$G$2:$G$1001=6))&gt;0,"، "&amp;IFERROR(INDEX('تشخيص الحالات'!$D$2:$D$1001,SUMPRODUCT(('تشخيص الحالات'!$B$2:$B$1001=B432)*('تشخيص الحالات'!$G$2:$G$1001=6)*ROW('تشخيص الحالات'!$B$2:$B$1001))-1),""),"")&amp;IF(SUMPRODUCT(('تشخيص الحالات'!$B$2:$B$1001=B432)*('تشخيص الحالات'!$G$2:$G$1001=7))&gt;0,"، "&amp;IFERROR(INDEX('تشخيص الحالات'!$D$2:$D$1001,SUMPRODUCT(('تشخيص الحالات'!$B$2:$B$1001=B432)*('تشخيص الحالات'!$G$2:$G$1001=7)*ROW('تشخيص الحالات'!$B$2:$B$1001))-1),""),"")&amp;IF(SUMPRODUCT(('تشخيص الحالات'!$B$2:$B$1001=B432)*('تشخيص الحالات'!$G$2:$G$1001=8))&gt;0,"، "&amp;IFERROR(INDEX('تشخيص الحالات'!$D$2:$D$1001,SUMPRODUCT(('تشخيص الحالات'!$B$2:$B$1001=B432)*('تشخيص الحالات'!$G$2:$G$1001=8)*ROW('تشخيص الحالات'!$B$2:$B$1001))-1),""),"")</f>
        <v/>
      </c>
      <c r="J432" s="1"/>
      <c r="K432" s="1"/>
      <c r="L432" s="1"/>
      <c r="M432" s="1"/>
    </row>
    <row r="433" spans="1:13" x14ac:dyDescent="0.2">
      <c r="A433" s="1"/>
      <c r="B433" s="1"/>
      <c r="C433" s="1"/>
      <c r="D433" s="1"/>
      <c r="E433" s="1"/>
      <c r="F433" s="1"/>
      <c r="G433" s="1"/>
      <c r="H433" s="1"/>
      <c r="I433" t="str">
        <f>IFERROR(INDEX('تشخيص الحالات'!$D$2:$D$1001,SUMPRODUCT(('تشخيص الحالات'!$B$2:$B$1001=B433)*('تشخيص الحالات'!$G$2:$G$1001=1)*ROW('تشخيص الحالات'!$B$2:$B$1001))-1),"")&amp;IF(SUMPRODUCT(('تشخيص الحالات'!$B$2:$B$1001=B433)*('تشخيص الحالات'!$G$2:$G$1001=2))&gt;0,"، "&amp;IFERROR(INDEX('تشخيص الحالات'!$D$2:$D$1001,SUMPRODUCT(('تشخيص الحالات'!$B$2:$B$1001=B433)*('تشخيص الحالات'!$G$2:$G$1001=2)*ROW('تشخيص الحالات'!$B$2:$B$1001))-1),""),"")&amp;IF(SUMPRODUCT(('تشخيص الحالات'!$B$2:$B$1001=B433)*('تشخيص الحالات'!$G$2:$G$1001=3))&gt;0,"، "&amp;IFERROR(INDEX('تشخيص الحالات'!$D$2:$D$1001,SUMPRODUCT(('تشخيص الحالات'!$B$2:$B$1001=B433)*('تشخيص الحالات'!$G$2:$G$1001=3)*ROW('تشخيص الحالات'!$B$2:$B$1001))-1),""),"")&amp;IF(SUMPRODUCT(('تشخيص الحالات'!$B$2:$B$1001=B433)*('تشخيص الحالات'!$G$2:$G$1001=4))&gt;0,"، "&amp;IFERROR(INDEX('تشخيص الحالات'!$D$2:$D$1001,SUMPRODUCT(('تشخيص الحالات'!$B$2:$B$1001=B433)*('تشخيص الحالات'!$G$2:$G$1001=4)*ROW('تشخيص الحالات'!$B$2:$B$1001))-1),""),"")&amp;IF(SUMPRODUCT(('تشخيص الحالات'!$B$2:$B$1001=B433)*('تشخيص الحالات'!$G$2:$G$1001=5))&gt;0,"، "&amp;IFERROR(INDEX('تشخيص الحالات'!$D$2:$D$1001,SUMPRODUCT(('تشخيص الحالات'!$B$2:$B$1001=B433)*('تشخيص الحالات'!$G$2:$G$1001=5)*ROW('تشخيص الحالات'!$B$2:$B$1001))-1),""),"")&amp;IF(SUMPRODUCT(('تشخيص الحالات'!$B$2:$B$1001=B433)*('تشخيص الحالات'!$G$2:$G$1001=6))&gt;0,"، "&amp;IFERROR(INDEX('تشخيص الحالات'!$D$2:$D$1001,SUMPRODUCT(('تشخيص الحالات'!$B$2:$B$1001=B433)*('تشخيص الحالات'!$G$2:$G$1001=6)*ROW('تشخيص الحالات'!$B$2:$B$1001))-1),""),"")&amp;IF(SUMPRODUCT(('تشخيص الحالات'!$B$2:$B$1001=B433)*('تشخيص الحالات'!$G$2:$G$1001=7))&gt;0,"، "&amp;IFERROR(INDEX('تشخيص الحالات'!$D$2:$D$1001,SUMPRODUCT(('تشخيص الحالات'!$B$2:$B$1001=B433)*('تشخيص الحالات'!$G$2:$G$1001=7)*ROW('تشخيص الحالات'!$B$2:$B$1001))-1),""),"")&amp;IF(SUMPRODUCT(('تشخيص الحالات'!$B$2:$B$1001=B433)*('تشخيص الحالات'!$G$2:$G$1001=8))&gt;0,"، "&amp;IFERROR(INDEX('تشخيص الحالات'!$D$2:$D$1001,SUMPRODUCT(('تشخيص الحالات'!$B$2:$B$1001=B433)*('تشخيص الحالات'!$G$2:$G$1001=8)*ROW('تشخيص الحالات'!$B$2:$B$1001))-1),""),"")</f>
        <v/>
      </c>
      <c r="J433" s="1"/>
      <c r="K433" s="1"/>
      <c r="L433" s="1"/>
      <c r="M433" s="1"/>
    </row>
    <row r="434" spans="1:13" x14ac:dyDescent="0.2">
      <c r="A434" s="1"/>
      <c r="B434" s="1"/>
      <c r="C434" s="1"/>
      <c r="D434" s="1"/>
      <c r="E434" s="1"/>
      <c r="F434" s="1"/>
      <c r="G434" s="1"/>
      <c r="H434" s="1"/>
      <c r="I434" t="str">
        <f>IFERROR(INDEX('تشخيص الحالات'!$D$2:$D$1001,SUMPRODUCT(('تشخيص الحالات'!$B$2:$B$1001=B434)*('تشخيص الحالات'!$G$2:$G$1001=1)*ROW('تشخيص الحالات'!$B$2:$B$1001))-1),"")&amp;IF(SUMPRODUCT(('تشخيص الحالات'!$B$2:$B$1001=B434)*('تشخيص الحالات'!$G$2:$G$1001=2))&gt;0,"، "&amp;IFERROR(INDEX('تشخيص الحالات'!$D$2:$D$1001,SUMPRODUCT(('تشخيص الحالات'!$B$2:$B$1001=B434)*('تشخيص الحالات'!$G$2:$G$1001=2)*ROW('تشخيص الحالات'!$B$2:$B$1001))-1),""),"")&amp;IF(SUMPRODUCT(('تشخيص الحالات'!$B$2:$B$1001=B434)*('تشخيص الحالات'!$G$2:$G$1001=3))&gt;0,"، "&amp;IFERROR(INDEX('تشخيص الحالات'!$D$2:$D$1001,SUMPRODUCT(('تشخيص الحالات'!$B$2:$B$1001=B434)*('تشخيص الحالات'!$G$2:$G$1001=3)*ROW('تشخيص الحالات'!$B$2:$B$1001))-1),""),"")&amp;IF(SUMPRODUCT(('تشخيص الحالات'!$B$2:$B$1001=B434)*('تشخيص الحالات'!$G$2:$G$1001=4))&gt;0,"، "&amp;IFERROR(INDEX('تشخيص الحالات'!$D$2:$D$1001,SUMPRODUCT(('تشخيص الحالات'!$B$2:$B$1001=B434)*('تشخيص الحالات'!$G$2:$G$1001=4)*ROW('تشخيص الحالات'!$B$2:$B$1001))-1),""),"")&amp;IF(SUMPRODUCT(('تشخيص الحالات'!$B$2:$B$1001=B434)*('تشخيص الحالات'!$G$2:$G$1001=5))&gt;0,"، "&amp;IFERROR(INDEX('تشخيص الحالات'!$D$2:$D$1001,SUMPRODUCT(('تشخيص الحالات'!$B$2:$B$1001=B434)*('تشخيص الحالات'!$G$2:$G$1001=5)*ROW('تشخيص الحالات'!$B$2:$B$1001))-1),""),"")&amp;IF(SUMPRODUCT(('تشخيص الحالات'!$B$2:$B$1001=B434)*('تشخيص الحالات'!$G$2:$G$1001=6))&gt;0,"، "&amp;IFERROR(INDEX('تشخيص الحالات'!$D$2:$D$1001,SUMPRODUCT(('تشخيص الحالات'!$B$2:$B$1001=B434)*('تشخيص الحالات'!$G$2:$G$1001=6)*ROW('تشخيص الحالات'!$B$2:$B$1001))-1),""),"")&amp;IF(SUMPRODUCT(('تشخيص الحالات'!$B$2:$B$1001=B434)*('تشخيص الحالات'!$G$2:$G$1001=7))&gt;0,"، "&amp;IFERROR(INDEX('تشخيص الحالات'!$D$2:$D$1001,SUMPRODUCT(('تشخيص الحالات'!$B$2:$B$1001=B434)*('تشخيص الحالات'!$G$2:$G$1001=7)*ROW('تشخيص الحالات'!$B$2:$B$1001))-1),""),"")&amp;IF(SUMPRODUCT(('تشخيص الحالات'!$B$2:$B$1001=B434)*('تشخيص الحالات'!$G$2:$G$1001=8))&gt;0,"، "&amp;IFERROR(INDEX('تشخيص الحالات'!$D$2:$D$1001,SUMPRODUCT(('تشخيص الحالات'!$B$2:$B$1001=B434)*('تشخيص الحالات'!$G$2:$G$1001=8)*ROW('تشخيص الحالات'!$B$2:$B$1001))-1),""),"")</f>
        <v/>
      </c>
      <c r="J434" s="1"/>
      <c r="K434" s="1"/>
      <c r="L434" s="1"/>
      <c r="M434" s="1"/>
    </row>
    <row r="435" spans="1:13" x14ac:dyDescent="0.2">
      <c r="A435" s="1"/>
      <c r="B435" s="1"/>
      <c r="C435" s="1"/>
      <c r="D435" s="1"/>
      <c r="E435" s="1"/>
      <c r="F435" s="1"/>
      <c r="G435" s="1"/>
      <c r="H435" s="1"/>
      <c r="I435" t="str">
        <f>IFERROR(INDEX('تشخيص الحالات'!$D$2:$D$1001,SUMPRODUCT(('تشخيص الحالات'!$B$2:$B$1001=B435)*('تشخيص الحالات'!$G$2:$G$1001=1)*ROW('تشخيص الحالات'!$B$2:$B$1001))-1),"")&amp;IF(SUMPRODUCT(('تشخيص الحالات'!$B$2:$B$1001=B435)*('تشخيص الحالات'!$G$2:$G$1001=2))&gt;0,"، "&amp;IFERROR(INDEX('تشخيص الحالات'!$D$2:$D$1001,SUMPRODUCT(('تشخيص الحالات'!$B$2:$B$1001=B435)*('تشخيص الحالات'!$G$2:$G$1001=2)*ROW('تشخيص الحالات'!$B$2:$B$1001))-1),""),"")&amp;IF(SUMPRODUCT(('تشخيص الحالات'!$B$2:$B$1001=B435)*('تشخيص الحالات'!$G$2:$G$1001=3))&gt;0,"، "&amp;IFERROR(INDEX('تشخيص الحالات'!$D$2:$D$1001,SUMPRODUCT(('تشخيص الحالات'!$B$2:$B$1001=B435)*('تشخيص الحالات'!$G$2:$G$1001=3)*ROW('تشخيص الحالات'!$B$2:$B$1001))-1),""),"")&amp;IF(SUMPRODUCT(('تشخيص الحالات'!$B$2:$B$1001=B435)*('تشخيص الحالات'!$G$2:$G$1001=4))&gt;0,"، "&amp;IFERROR(INDEX('تشخيص الحالات'!$D$2:$D$1001,SUMPRODUCT(('تشخيص الحالات'!$B$2:$B$1001=B435)*('تشخيص الحالات'!$G$2:$G$1001=4)*ROW('تشخيص الحالات'!$B$2:$B$1001))-1),""),"")&amp;IF(SUMPRODUCT(('تشخيص الحالات'!$B$2:$B$1001=B435)*('تشخيص الحالات'!$G$2:$G$1001=5))&gt;0,"، "&amp;IFERROR(INDEX('تشخيص الحالات'!$D$2:$D$1001,SUMPRODUCT(('تشخيص الحالات'!$B$2:$B$1001=B435)*('تشخيص الحالات'!$G$2:$G$1001=5)*ROW('تشخيص الحالات'!$B$2:$B$1001))-1),""),"")&amp;IF(SUMPRODUCT(('تشخيص الحالات'!$B$2:$B$1001=B435)*('تشخيص الحالات'!$G$2:$G$1001=6))&gt;0,"، "&amp;IFERROR(INDEX('تشخيص الحالات'!$D$2:$D$1001,SUMPRODUCT(('تشخيص الحالات'!$B$2:$B$1001=B435)*('تشخيص الحالات'!$G$2:$G$1001=6)*ROW('تشخيص الحالات'!$B$2:$B$1001))-1),""),"")&amp;IF(SUMPRODUCT(('تشخيص الحالات'!$B$2:$B$1001=B435)*('تشخيص الحالات'!$G$2:$G$1001=7))&gt;0,"، "&amp;IFERROR(INDEX('تشخيص الحالات'!$D$2:$D$1001,SUMPRODUCT(('تشخيص الحالات'!$B$2:$B$1001=B435)*('تشخيص الحالات'!$G$2:$G$1001=7)*ROW('تشخيص الحالات'!$B$2:$B$1001))-1),""),"")&amp;IF(SUMPRODUCT(('تشخيص الحالات'!$B$2:$B$1001=B435)*('تشخيص الحالات'!$G$2:$G$1001=8))&gt;0,"، "&amp;IFERROR(INDEX('تشخيص الحالات'!$D$2:$D$1001,SUMPRODUCT(('تشخيص الحالات'!$B$2:$B$1001=B435)*('تشخيص الحالات'!$G$2:$G$1001=8)*ROW('تشخيص الحالات'!$B$2:$B$1001))-1),""),"")</f>
        <v/>
      </c>
      <c r="J435" s="1"/>
      <c r="K435" s="1"/>
      <c r="L435" s="1"/>
      <c r="M435" s="1"/>
    </row>
    <row r="436" spans="1:13" x14ac:dyDescent="0.2">
      <c r="A436" s="1"/>
      <c r="B436" s="1"/>
      <c r="C436" s="1"/>
      <c r="D436" s="1"/>
      <c r="E436" s="1"/>
      <c r="F436" s="1"/>
      <c r="G436" s="1"/>
      <c r="H436" s="1"/>
      <c r="I436" t="str">
        <f>IFERROR(INDEX('تشخيص الحالات'!$D$2:$D$1001,SUMPRODUCT(('تشخيص الحالات'!$B$2:$B$1001=B436)*('تشخيص الحالات'!$G$2:$G$1001=1)*ROW('تشخيص الحالات'!$B$2:$B$1001))-1),"")&amp;IF(SUMPRODUCT(('تشخيص الحالات'!$B$2:$B$1001=B436)*('تشخيص الحالات'!$G$2:$G$1001=2))&gt;0,"، "&amp;IFERROR(INDEX('تشخيص الحالات'!$D$2:$D$1001,SUMPRODUCT(('تشخيص الحالات'!$B$2:$B$1001=B436)*('تشخيص الحالات'!$G$2:$G$1001=2)*ROW('تشخيص الحالات'!$B$2:$B$1001))-1),""),"")&amp;IF(SUMPRODUCT(('تشخيص الحالات'!$B$2:$B$1001=B436)*('تشخيص الحالات'!$G$2:$G$1001=3))&gt;0,"، "&amp;IFERROR(INDEX('تشخيص الحالات'!$D$2:$D$1001,SUMPRODUCT(('تشخيص الحالات'!$B$2:$B$1001=B436)*('تشخيص الحالات'!$G$2:$G$1001=3)*ROW('تشخيص الحالات'!$B$2:$B$1001))-1),""),"")&amp;IF(SUMPRODUCT(('تشخيص الحالات'!$B$2:$B$1001=B436)*('تشخيص الحالات'!$G$2:$G$1001=4))&gt;0,"، "&amp;IFERROR(INDEX('تشخيص الحالات'!$D$2:$D$1001,SUMPRODUCT(('تشخيص الحالات'!$B$2:$B$1001=B436)*('تشخيص الحالات'!$G$2:$G$1001=4)*ROW('تشخيص الحالات'!$B$2:$B$1001))-1),""),"")&amp;IF(SUMPRODUCT(('تشخيص الحالات'!$B$2:$B$1001=B436)*('تشخيص الحالات'!$G$2:$G$1001=5))&gt;0,"، "&amp;IFERROR(INDEX('تشخيص الحالات'!$D$2:$D$1001,SUMPRODUCT(('تشخيص الحالات'!$B$2:$B$1001=B436)*('تشخيص الحالات'!$G$2:$G$1001=5)*ROW('تشخيص الحالات'!$B$2:$B$1001))-1),""),"")&amp;IF(SUMPRODUCT(('تشخيص الحالات'!$B$2:$B$1001=B436)*('تشخيص الحالات'!$G$2:$G$1001=6))&gt;0,"، "&amp;IFERROR(INDEX('تشخيص الحالات'!$D$2:$D$1001,SUMPRODUCT(('تشخيص الحالات'!$B$2:$B$1001=B436)*('تشخيص الحالات'!$G$2:$G$1001=6)*ROW('تشخيص الحالات'!$B$2:$B$1001))-1),""),"")&amp;IF(SUMPRODUCT(('تشخيص الحالات'!$B$2:$B$1001=B436)*('تشخيص الحالات'!$G$2:$G$1001=7))&gt;0,"، "&amp;IFERROR(INDEX('تشخيص الحالات'!$D$2:$D$1001,SUMPRODUCT(('تشخيص الحالات'!$B$2:$B$1001=B436)*('تشخيص الحالات'!$G$2:$G$1001=7)*ROW('تشخيص الحالات'!$B$2:$B$1001))-1),""),"")&amp;IF(SUMPRODUCT(('تشخيص الحالات'!$B$2:$B$1001=B436)*('تشخيص الحالات'!$G$2:$G$1001=8))&gt;0,"، "&amp;IFERROR(INDEX('تشخيص الحالات'!$D$2:$D$1001,SUMPRODUCT(('تشخيص الحالات'!$B$2:$B$1001=B436)*('تشخيص الحالات'!$G$2:$G$1001=8)*ROW('تشخيص الحالات'!$B$2:$B$1001))-1),""),"")</f>
        <v/>
      </c>
      <c r="J436" s="1"/>
      <c r="K436" s="1"/>
      <c r="L436" s="1"/>
      <c r="M436" s="1"/>
    </row>
    <row r="437" spans="1:13" x14ac:dyDescent="0.2">
      <c r="A437" s="1"/>
      <c r="B437" s="1"/>
      <c r="C437" s="1"/>
      <c r="D437" s="1"/>
      <c r="E437" s="1"/>
      <c r="F437" s="1"/>
      <c r="G437" s="1"/>
      <c r="H437" s="1"/>
      <c r="I437" t="str">
        <f>IFERROR(INDEX('تشخيص الحالات'!$D$2:$D$1001,SUMPRODUCT(('تشخيص الحالات'!$B$2:$B$1001=B437)*('تشخيص الحالات'!$G$2:$G$1001=1)*ROW('تشخيص الحالات'!$B$2:$B$1001))-1),"")&amp;IF(SUMPRODUCT(('تشخيص الحالات'!$B$2:$B$1001=B437)*('تشخيص الحالات'!$G$2:$G$1001=2))&gt;0,"، "&amp;IFERROR(INDEX('تشخيص الحالات'!$D$2:$D$1001,SUMPRODUCT(('تشخيص الحالات'!$B$2:$B$1001=B437)*('تشخيص الحالات'!$G$2:$G$1001=2)*ROW('تشخيص الحالات'!$B$2:$B$1001))-1),""),"")&amp;IF(SUMPRODUCT(('تشخيص الحالات'!$B$2:$B$1001=B437)*('تشخيص الحالات'!$G$2:$G$1001=3))&gt;0,"، "&amp;IFERROR(INDEX('تشخيص الحالات'!$D$2:$D$1001,SUMPRODUCT(('تشخيص الحالات'!$B$2:$B$1001=B437)*('تشخيص الحالات'!$G$2:$G$1001=3)*ROW('تشخيص الحالات'!$B$2:$B$1001))-1),""),"")&amp;IF(SUMPRODUCT(('تشخيص الحالات'!$B$2:$B$1001=B437)*('تشخيص الحالات'!$G$2:$G$1001=4))&gt;0,"، "&amp;IFERROR(INDEX('تشخيص الحالات'!$D$2:$D$1001,SUMPRODUCT(('تشخيص الحالات'!$B$2:$B$1001=B437)*('تشخيص الحالات'!$G$2:$G$1001=4)*ROW('تشخيص الحالات'!$B$2:$B$1001))-1),""),"")&amp;IF(SUMPRODUCT(('تشخيص الحالات'!$B$2:$B$1001=B437)*('تشخيص الحالات'!$G$2:$G$1001=5))&gt;0,"، "&amp;IFERROR(INDEX('تشخيص الحالات'!$D$2:$D$1001,SUMPRODUCT(('تشخيص الحالات'!$B$2:$B$1001=B437)*('تشخيص الحالات'!$G$2:$G$1001=5)*ROW('تشخيص الحالات'!$B$2:$B$1001))-1),""),"")&amp;IF(SUMPRODUCT(('تشخيص الحالات'!$B$2:$B$1001=B437)*('تشخيص الحالات'!$G$2:$G$1001=6))&gt;0,"، "&amp;IFERROR(INDEX('تشخيص الحالات'!$D$2:$D$1001,SUMPRODUCT(('تشخيص الحالات'!$B$2:$B$1001=B437)*('تشخيص الحالات'!$G$2:$G$1001=6)*ROW('تشخيص الحالات'!$B$2:$B$1001))-1),""),"")&amp;IF(SUMPRODUCT(('تشخيص الحالات'!$B$2:$B$1001=B437)*('تشخيص الحالات'!$G$2:$G$1001=7))&gt;0,"، "&amp;IFERROR(INDEX('تشخيص الحالات'!$D$2:$D$1001,SUMPRODUCT(('تشخيص الحالات'!$B$2:$B$1001=B437)*('تشخيص الحالات'!$G$2:$G$1001=7)*ROW('تشخيص الحالات'!$B$2:$B$1001))-1),""),"")&amp;IF(SUMPRODUCT(('تشخيص الحالات'!$B$2:$B$1001=B437)*('تشخيص الحالات'!$G$2:$G$1001=8))&gt;0,"، "&amp;IFERROR(INDEX('تشخيص الحالات'!$D$2:$D$1001,SUMPRODUCT(('تشخيص الحالات'!$B$2:$B$1001=B437)*('تشخيص الحالات'!$G$2:$G$1001=8)*ROW('تشخيص الحالات'!$B$2:$B$1001))-1),""),"")</f>
        <v/>
      </c>
      <c r="J437" s="1"/>
      <c r="K437" s="1"/>
      <c r="L437" s="1"/>
      <c r="M437" s="1"/>
    </row>
    <row r="438" spans="1:13" x14ac:dyDescent="0.2">
      <c r="A438" s="1"/>
      <c r="B438" s="1"/>
      <c r="C438" s="1"/>
      <c r="D438" s="1"/>
      <c r="E438" s="1"/>
      <c r="F438" s="1"/>
      <c r="G438" s="1"/>
      <c r="H438" s="1"/>
      <c r="I438" t="str">
        <f>IFERROR(INDEX('تشخيص الحالات'!$D$2:$D$1001,SUMPRODUCT(('تشخيص الحالات'!$B$2:$B$1001=B438)*('تشخيص الحالات'!$G$2:$G$1001=1)*ROW('تشخيص الحالات'!$B$2:$B$1001))-1),"")&amp;IF(SUMPRODUCT(('تشخيص الحالات'!$B$2:$B$1001=B438)*('تشخيص الحالات'!$G$2:$G$1001=2))&gt;0,"، "&amp;IFERROR(INDEX('تشخيص الحالات'!$D$2:$D$1001,SUMPRODUCT(('تشخيص الحالات'!$B$2:$B$1001=B438)*('تشخيص الحالات'!$G$2:$G$1001=2)*ROW('تشخيص الحالات'!$B$2:$B$1001))-1),""),"")&amp;IF(SUMPRODUCT(('تشخيص الحالات'!$B$2:$B$1001=B438)*('تشخيص الحالات'!$G$2:$G$1001=3))&gt;0,"، "&amp;IFERROR(INDEX('تشخيص الحالات'!$D$2:$D$1001,SUMPRODUCT(('تشخيص الحالات'!$B$2:$B$1001=B438)*('تشخيص الحالات'!$G$2:$G$1001=3)*ROW('تشخيص الحالات'!$B$2:$B$1001))-1),""),"")&amp;IF(SUMPRODUCT(('تشخيص الحالات'!$B$2:$B$1001=B438)*('تشخيص الحالات'!$G$2:$G$1001=4))&gt;0,"، "&amp;IFERROR(INDEX('تشخيص الحالات'!$D$2:$D$1001,SUMPRODUCT(('تشخيص الحالات'!$B$2:$B$1001=B438)*('تشخيص الحالات'!$G$2:$G$1001=4)*ROW('تشخيص الحالات'!$B$2:$B$1001))-1),""),"")&amp;IF(SUMPRODUCT(('تشخيص الحالات'!$B$2:$B$1001=B438)*('تشخيص الحالات'!$G$2:$G$1001=5))&gt;0,"، "&amp;IFERROR(INDEX('تشخيص الحالات'!$D$2:$D$1001,SUMPRODUCT(('تشخيص الحالات'!$B$2:$B$1001=B438)*('تشخيص الحالات'!$G$2:$G$1001=5)*ROW('تشخيص الحالات'!$B$2:$B$1001))-1),""),"")&amp;IF(SUMPRODUCT(('تشخيص الحالات'!$B$2:$B$1001=B438)*('تشخيص الحالات'!$G$2:$G$1001=6))&gt;0,"، "&amp;IFERROR(INDEX('تشخيص الحالات'!$D$2:$D$1001,SUMPRODUCT(('تشخيص الحالات'!$B$2:$B$1001=B438)*('تشخيص الحالات'!$G$2:$G$1001=6)*ROW('تشخيص الحالات'!$B$2:$B$1001))-1),""),"")&amp;IF(SUMPRODUCT(('تشخيص الحالات'!$B$2:$B$1001=B438)*('تشخيص الحالات'!$G$2:$G$1001=7))&gt;0,"، "&amp;IFERROR(INDEX('تشخيص الحالات'!$D$2:$D$1001,SUMPRODUCT(('تشخيص الحالات'!$B$2:$B$1001=B438)*('تشخيص الحالات'!$G$2:$G$1001=7)*ROW('تشخيص الحالات'!$B$2:$B$1001))-1),""),"")&amp;IF(SUMPRODUCT(('تشخيص الحالات'!$B$2:$B$1001=B438)*('تشخيص الحالات'!$G$2:$G$1001=8))&gt;0,"، "&amp;IFERROR(INDEX('تشخيص الحالات'!$D$2:$D$1001,SUMPRODUCT(('تشخيص الحالات'!$B$2:$B$1001=B438)*('تشخيص الحالات'!$G$2:$G$1001=8)*ROW('تشخيص الحالات'!$B$2:$B$1001))-1),""),"")</f>
        <v/>
      </c>
      <c r="J438" s="1"/>
      <c r="K438" s="1"/>
      <c r="L438" s="1"/>
      <c r="M438" s="1"/>
    </row>
    <row r="439" spans="1:13" x14ac:dyDescent="0.2">
      <c r="A439" s="1"/>
      <c r="B439" s="1"/>
      <c r="C439" s="1"/>
      <c r="D439" s="1"/>
      <c r="E439" s="1"/>
      <c r="F439" s="1"/>
      <c r="G439" s="1"/>
      <c r="H439" s="1"/>
      <c r="I439" t="str">
        <f>IFERROR(INDEX('تشخيص الحالات'!$D$2:$D$1001,SUMPRODUCT(('تشخيص الحالات'!$B$2:$B$1001=B439)*('تشخيص الحالات'!$G$2:$G$1001=1)*ROW('تشخيص الحالات'!$B$2:$B$1001))-1),"")&amp;IF(SUMPRODUCT(('تشخيص الحالات'!$B$2:$B$1001=B439)*('تشخيص الحالات'!$G$2:$G$1001=2))&gt;0,"، "&amp;IFERROR(INDEX('تشخيص الحالات'!$D$2:$D$1001,SUMPRODUCT(('تشخيص الحالات'!$B$2:$B$1001=B439)*('تشخيص الحالات'!$G$2:$G$1001=2)*ROW('تشخيص الحالات'!$B$2:$B$1001))-1),""),"")&amp;IF(SUMPRODUCT(('تشخيص الحالات'!$B$2:$B$1001=B439)*('تشخيص الحالات'!$G$2:$G$1001=3))&gt;0,"، "&amp;IFERROR(INDEX('تشخيص الحالات'!$D$2:$D$1001,SUMPRODUCT(('تشخيص الحالات'!$B$2:$B$1001=B439)*('تشخيص الحالات'!$G$2:$G$1001=3)*ROW('تشخيص الحالات'!$B$2:$B$1001))-1),""),"")&amp;IF(SUMPRODUCT(('تشخيص الحالات'!$B$2:$B$1001=B439)*('تشخيص الحالات'!$G$2:$G$1001=4))&gt;0,"، "&amp;IFERROR(INDEX('تشخيص الحالات'!$D$2:$D$1001,SUMPRODUCT(('تشخيص الحالات'!$B$2:$B$1001=B439)*('تشخيص الحالات'!$G$2:$G$1001=4)*ROW('تشخيص الحالات'!$B$2:$B$1001))-1),""),"")&amp;IF(SUMPRODUCT(('تشخيص الحالات'!$B$2:$B$1001=B439)*('تشخيص الحالات'!$G$2:$G$1001=5))&gt;0,"، "&amp;IFERROR(INDEX('تشخيص الحالات'!$D$2:$D$1001,SUMPRODUCT(('تشخيص الحالات'!$B$2:$B$1001=B439)*('تشخيص الحالات'!$G$2:$G$1001=5)*ROW('تشخيص الحالات'!$B$2:$B$1001))-1),""),"")&amp;IF(SUMPRODUCT(('تشخيص الحالات'!$B$2:$B$1001=B439)*('تشخيص الحالات'!$G$2:$G$1001=6))&gt;0,"، "&amp;IFERROR(INDEX('تشخيص الحالات'!$D$2:$D$1001,SUMPRODUCT(('تشخيص الحالات'!$B$2:$B$1001=B439)*('تشخيص الحالات'!$G$2:$G$1001=6)*ROW('تشخيص الحالات'!$B$2:$B$1001))-1),""),"")&amp;IF(SUMPRODUCT(('تشخيص الحالات'!$B$2:$B$1001=B439)*('تشخيص الحالات'!$G$2:$G$1001=7))&gt;0,"، "&amp;IFERROR(INDEX('تشخيص الحالات'!$D$2:$D$1001,SUMPRODUCT(('تشخيص الحالات'!$B$2:$B$1001=B439)*('تشخيص الحالات'!$G$2:$G$1001=7)*ROW('تشخيص الحالات'!$B$2:$B$1001))-1),""),"")&amp;IF(SUMPRODUCT(('تشخيص الحالات'!$B$2:$B$1001=B439)*('تشخيص الحالات'!$G$2:$G$1001=8))&gt;0,"، "&amp;IFERROR(INDEX('تشخيص الحالات'!$D$2:$D$1001,SUMPRODUCT(('تشخيص الحالات'!$B$2:$B$1001=B439)*('تشخيص الحالات'!$G$2:$G$1001=8)*ROW('تشخيص الحالات'!$B$2:$B$1001))-1),""),"")</f>
        <v/>
      </c>
      <c r="J439" s="1"/>
      <c r="K439" s="1"/>
      <c r="L439" s="1"/>
      <c r="M439" s="1"/>
    </row>
    <row r="440" spans="1:13" x14ac:dyDescent="0.2">
      <c r="A440" s="1"/>
      <c r="B440" s="1"/>
      <c r="C440" s="1"/>
      <c r="D440" s="1"/>
      <c r="E440" s="1"/>
      <c r="F440" s="1"/>
      <c r="G440" s="1"/>
      <c r="H440" s="1"/>
      <c r="I440" t="str">
        <f>IFERROR(INDEX('تشخيص الحالات'!$D$2:$D$1001,SUMPRODUCT(('تشخيص الحالات'!$B$2:$B$1001=B440)*('تشخيص الحالات'!$G$2:$G$1001=1)*ROW('تشخيص الحالات'!$B$2:$B$1001))-1),"")&amp;IF(SUMPRODUCT(('تشخيص الحالات'!$B$2:$B$1001=B440)*('تشخيص الحالات'!$G$2:$G$1001=2))&gt;0,"، "&amp;IFERROR(INDEX('تشخيص الحالات'!$D$2:$D$1001,SUMPRODUCT(('تشخيص الحالات'!$B$2:$B$1001=B440)*('تشخيص الحالات'!$G$2:$G$1001=2)*ROW('تشخيص الحالات'!$B$2:$B$1001))-1),""),"")&amp;IF(SUMPRODUCT(('تشخيص الحالات'!$B$2:$B$1001=B440)*('تشخيص الحالات'!$G$2:$G$1001=3))&gt;0,"، "&amp;IFERROR(INDEX('تشخيص الحالات'!$D$2:$D$1001,SUMPRODUCT(('تشخيص الحالات'!$B$2:$B$1001=B440)*('تشخيص الحالات'!$G$2:$G$1001=3)*ROW('تشخيص الحالات'!$B$2:$B$1001))-1),""),"")&amp;IF(SUMPRODUCT(('تشخيص الحالات'!$B$2:$B$1001=B440)*('تشخيص الحالات'!$G$2:$G$1001=4))&gt;0,"، "&amp;IFERROR(INDEX('تشخيص الحالات'!$D$2:$D$1001,SUMPRODUCT(('تشخيص الحالات'!$B$2:$B$1001=B440)*('تشخيص الحالات'!$G$2:$G$1001=4)*ROW('تشخيص الحالات'!$B$2:$B$1001))-1),""),"")&amp;IF(SUMPRODUCT(('تشخيص الحالات'!$B$2:$B$1001=B440)*('تشخيص الحالات'!$G$2:$G$1001=5))&gt;0,"، "&amp;IFERROR(INDEX('تشخيص الحالات'!$D$2:$D$1001,SUMPRODUCT(('تشخيص الحالات'!$B$2:$B$1001=B440)*('تشخيص الحالات'!$G$2:$G$1001=5)*ROW('تشخيص الحالات'!$B$2:$B$1001))-1),""),"")&amp;IF(SUMPRODUCT(('تشخيص الحالات'!$B$2:$B$1001=B440)*('تشخيص الحالات'!$G$2:$G$1001=6))&gt;0,"، "&amp;IFERROR(INDEX('تشخيص الحالات'!$D$2:$D$1001,SUMPRODUCT(('تشخيص الحالات'!$B$2:$B$1001=B440)*('تشخيص الحالات'!$G$2:$G$1001=6)*ROW('تشخيص الحالات'!$B$2:$B$1001))-1),""),"")&amp;IF(SUMPRODUCT(('تشخيص الحالات'!$B$2:$B$1001=B440)*('تشخيص الحالات'!$G$2:$G$1001=7))&gt;0,"، "&amp;IFERROR(INDEX('تشخيص الحالات'!$D$2:$D$1001,SUMPRODUCT(('تشخيص الحالات'!$B$2:$B$1001=B440)*('تشخيص الحالات'!$G$2:$G$1001=7)*ROW('تشخيص الحالات'!$B$2:$B$1001))-1),""),"")&amp;IF(SUMPRODUCT(('تشخيص الحالات'!$B$2:$B$1001=B440)*('تشخيص الحالات'!$G$2:$G$1001=8))&gt;0,"، "&amp;IFERROR(INDEX('تشخيص الحالات'!$D$2:$D$1001,SUMPRODUCT(('تشخيص الحالات'!$B$2:$B$1001=B440)*('تشخيص الحالات'!$G$2:$G$1001=8)*ROW('تشخيص الحالات'!$B$2:$B$1001))-1),""),"")</f>
        <v/>
      </c>
      <c r="J440" s="1"/>
      <c r="K440" s="1"/>
      <c r="L440" s="1"/>
      <c r="M440" s="1"/>
    </row>
    <row r="441" spans="1:13" x14ac:dyDescent="0.2">
      <c r="A441" s="1"/>
      <c r="B441" s="1"/>
      <c r="C441" s="1"/>
      <c r="D441" s="1"/>
      <c r="E441" s="1"/>
      <c r="F441" s="1"/>
      <c r="G441" s="1"/>
      <c r="H441" s="1"/>
      <c r="I441" t="str">
        <f>IFERROR(INDEX('تشخيص الحالات'!$D$2:$D$1001,SUMPRODUCT(('تشخيص الحالات'!$B$2:$B$1001=B441)*('تشخيص الحالات'!$G$2:$G$1001=1)*ROW('تشخيص الحالات'!$B$2:$B$1001))-1),"")&amp;IF(SUMPRODUCT(('تشخيص الحالات'!$B$2:$B$1001=B441)*('تشخيص الحالات'!$G$2:$G$1001=2))&gt;0,"، "&amp;IFERROR(INDEX('تشخيص الحالات'!$D$2:$D$1001,SUMPRODUCT(('تشخيص الحالات'!$B$2:$B$1001=B441)*('تشخيص الحالات'!$G$2:$G$1001=2)*ROW('تشخيص الحالات'!$B$2:$B$1001))-1),""),"")&amp;IF(SUMPRODUCT(('تشخيص الحالات'!$B$2:$B$1001=B441)*('تشخيص الحالات'!$G$2:$G$1001=3))&gt;0,"، "&amp;IFERROR(INDEX('تشخيص الحالات'!$D$2:$D$1001,SUMPRODUCT(('تشخيص الحالات'!$B$2:$B$1001=B441)*('تشخيص الحالات'!$G$2:$G$1001=3)*ROW('تشخيص الحالات'!$B$2:$B$1001))-1),""),"")&amp;IF(SUMPRODUCT(('تشخيص الحالات'!$B$2:$B$1001=B441)*('تشخيص الحالات'!$G$2:$G$1001=4))&gt;0,"، "&amp;IFERROR(INDEX('تشخيص الحالات'!$D$2:$D$1001,SUMPRODUCT(('تشخيص الحالات'!$B$2:$B$1001=B441)*('تشخيص الحالات'!$G$2:$G$1001=4)*ROW('تشخيص الحالات'!$B$2:$B$1001))-1),""),"")&amp;IF(SUMPRODUCT(('تشخيص الحالات'!$B$2:$B$1001=B441)*('تشخيص الحالات'!$G$2:$G$1001=5))&gt;0,"، "&amp;IFERROR(INDEX('تشخيص الحالات'!$D$2:$D$1001,SUMPRODUCT(('تشخيص الحالات'!$B$2:$B$1001=B441)*('تشخيص الحالات'!$G$2:$G$1001=5)*ROW('تشخيص الحالات'!$B$2:$B$1001))-1),""),"")&amp;IF(SUMPRODUCT(('تشخيص الحالات'!$B$2:$B$1001=B441)*('تشخيص الحالات'!$G$2:$G$1001=6))&gt;0,"، "&amp;IFERROR(INDEX('تشخيص الحالات'!$D$2:$D$1001,SUMPRODUCT(('تشخيص الحالات'!$B$2:$B$1001=B441)*('تشخيص الحالات'!$G$2:$G$1001=6)*ROW('تشخيص الحالات'!$B$2:$B$1001))-1),""),"")&amp;IF(SUMPRODUCT(('تشخيص الحالات'!$B$2:$B$1001=B441)*('تشخيص الحالات'!$G$2:$G$1001=7))&gt;0,"، "&amp;IFERROR(INDEX('تشخيص الحالات'!$D$2:$D$1001,SUMPRODUCT(('تشخيص الحالات'!$B$2:$B$1001=B441)*('تشخيص الحالات'!$G$2:$G$1001=7)*ROW('تشخيص الحالات'!$B$2:$B$1001))-1),""),"")&amp;IF(SUMPRODUCT(('تشخيص الحالات'!$B$2:$B$1001=B441)*('تشخيص الحالات'!$G$2:$G$1001=8))&gt;0,"، "&amp;IFERROR(INDEX('تشخيص الحالات'!$D$2:$D$1001,SUMPRODUCT(('تشخيص الحالات'!$B$2:$B$1001=B441)*('تشخيص الحالات'!$G$2:$G$1001=8)*ROW('تشخيص الحالات'!$B$2:$B$1001))-1),""),"")</f>
        <v/>
      </c>
      <c r="J441" s="1"/>
      <c r="K441" s="1"/>
      <c r="L441" s="1"/>
      <c r="M441" s="1"/>
    </row>
    <row r="442" spans="1:13" x14ac:dyDescent="0.2">
      <c r="A442" s="1"/>
      <c r="B442" s="1"/>
      <c r="C442" s="1"/>
      <c r="D442" s="1"/>
      <c r="E442" s="1"/>
      <c r="F442" s="1"/>
      <c r="G442" s="1"/>
      <c r="H442" s="1"/>
      <c r="I442" t="str">
        <f>IFERROR(INDEX('تشخيص الحالات'!$D$2:$D$1001,SUMPRODUCT(('تشخيص الحالات'!$B$2:$B$1001=B442)*('تشخيص الحالات'!$G$2:$G$1001=1)*ROW('تشخيص الحالات'!$B$2:$B$1001))-1),"")&amp;IF(SUMPRODUCT(('تشخيص الحالات'!$B$2:$B$1001=B442)*('تشخيص الحالات'!$G$2:$G$1001=2))&gt;0,"، "&amp;IFERROR(INDEX('تشخيص الحالات'!$D$2:$D$1001,SUMPRODUCT(('تشخيص الحالات'!$B$2:$B$1001=B442)*('تشخيص الحالات'!$G$2:$G$1001=2)*ROW('تشخيص الحالات'!$B$2:$B$1001))-1),""),"")&amp;IF(SUMPRODUCT(('تشخيص الحالات'!$B$2:$B$1001=B442)*('تشخيص الحالات'!$G$2:$G$1001=3))&gt;0,"، "&amp;IFERROR(INDEX('تشخيص الحالات'!$D$2:$D$1001,SUMPRODUCT(('تشخيص الحالات'!$B$2:$B$1001=B442)*('تشخيص الحالات'!$G$2:$G$1001=3)*ROW('تشخيص الحالات'!$B$2:$B$1001))-1),""),"")&amp;IF(SUMPRODUCT(('تشخيص الحالات'!$B$2:$B$1001=B442)*('تشخيص الحالات'!$G$2:$G$1001=4))&gt;0,"، "&amp;IFERROR(INDEX('تشخيص الحالات'!$D$2:$D$1001,SUMPRODUCT(('تشخيص الحالات'!$B$2:$B$1001=B442)*('تشخيص الحالات'!$G$2:$G$1001=4)*ROW('تشخيص الحالات'!$B$2:$B$1001))-1),""),"")&amp;IF(SUMPRODUCT(('تشخيص الحالات'!$B$2:$B$1001=B442)*('تشخيص الحالات'!$G$2:$G$1001=5))&gt;0,"، "&amp;IFERROR(INDEX('تشخيص الحالات'!$D$2:$D$1001,SUMPRODUCT(('تشخيص الحالات'!$B$2:$B$1001=B442)*('تشخيص الحالات'!$G$2:$G$1001=5)*ROW('تشخيص الحالات'!$B$2:$B$1001))-1),""),"")&amp;IF(SUMPRODUCT(('تشخيص الحالات'!$B$2:$B$1001=B442)*('تشخيص الحالات'!$G$2:$G$1001=6))&gt;0,"، "&amp;IFERROR(INDEX('تشخيص الحالات'!$D$2:$D$1001,SUMPRODUCT(('تشخيص الحالات'!$B$2:$B$1001=B442)*('تشخيص الحالات'!$G$2:$G$1001=6)*ROW('تشخيص الحالات'!$B$2:$B$1001))-1),""),"")&amp;IF(SUMPRODUCT(('تشخيص الحالات'!$B$2:$B$1001=B442)*('تشخيص الحالات'!$G$2:$G$1001=7))&gt;0,"، "&amp;IFERROR(INDEX('تشخيص الحالات'!$D$2:$D$1001,SUMPRODUCT(('تشخيص الحالات'!$B$2:$B$1001=B442)*('تشخيص الحالات'!$G$2:$G$1001=7)*ROW('تشخيص الحالات'!$B$2:$B$1001))-1),""),"")&amp;IF(SUMPRODUCT(('تشخيص الحالات'!$B$2:$B$1001=B442)*('تشخيص الحالات'!$G$2:$G$1001=8))&gt;0,"، "&amp;IFERROR(INDEX('تشخيص الحالات'!$D$2:$D$1001,SUMPRODUCT(('تشخيص الحالات'!$B$2:$B$1001=B442)*('تشخيص الحالات'!$G$2:$G$1001=8)*ROW('تشخيص الحالات'!$B$2:$B$1001))-1),""),"")</f>
        <v/>
      </c>
      <c r="J442" s="1"/>
      <c r="K442" s="1"/>
      <c r="L442" s="1"/>
      <c r="M442" s="1"/>
    </row>
    <row r="443" spans="1:13" x14ac:dyDescent="0.2">
      <c r="A443" s="1"/>
      <c r="B443" s="1"/>
      <c r="C443" s="1"/>
      <c r="D443" s="1"/>
      <c r="E443" s="1"/>
      <c r="F443" s="1"/>
      <c r="G443" s="1"/>
      <c r="H443" s="1"/>
      <c r="I443" t="str">
        <f>IFERROR(INDEX('تشخيص الحالات'!$D$2:$D$1001,SUMPRODUCT(('تشخيص الحالات'!$B$2:$B$1001=B443)*('تشخيص الحالات'!$G$2:$G$1001=1)*ROW('تشخيص الحالات'!$B$2:$B$1001))-1),"")&amp;IF(SUMPRODUCT(('تشخيص الحالات'!$B$2:$B$1001=B443)*('تشخيص الحالات'!$G$2:$G$1001=2))&gt;0,"، "&amp;IFERROR(INDEX('تشخيص الحالات'!$D$2:$D$1001,SUMPRODUCT(('تشخيص الحالات'!$B$2:$B$1001=B443)*('تشخيص الحالات'!$G$2:$G$1001=2)*ROW('تشخيص الحالات'!$B$2:$B$1001))-1),""),"")&amp;IF(SUMPRODUCT(('تشخيص الحالات'!$B$2:$B$1001=B443)*('تشخيص الحالات'!$G$2:$G$1001=3))&gt;0,"، "&amp;IFERROR(INDEX('تشخيص الحالات'!$D$2:$D$1001,SUMPRODUCT(('تشخيص الحالات'!$B$2:$B$1001=B443)*('تشخيص الحالات'!$G$2:$G$1001=3)*ROW('تشخيص الحالات'!$B$2:$B$1001))-1),""),"")&amp;IF(SUMPRODUCT(('تشخيص الحالات'!$B$2:$B$1001=B443)*('تشخيص الحالات'!$G$2:$G$1001=4))&gt;0,"، "&amp;IFERROR(INDEX('تشخيص الحالات'!$D$2:$D$1001,SUMPRODUCT(('تشخيص الحالات'!$B$2:$B$1001=B443)*('تشخيص الحالات'!$G$2:$G$1001=4)*ROW('تشخيص الحالات'!$B$2:$B$1001))-1),""),"")&amp;IF(SUMPRODUCT(('تشخيص الحالات'!$B$2:$B$1001=B443)*('تشخيص الحالات'!$G$2:$G$1001=5))&gt;0,"، "&amp;IFERROR(INDEX('تشخيص الحالات'!$D$2:$D$1001,SUMPRODUCT(('تشخيص الحالات'!$B$2:$B$1001=B443)*('تشخيص الحالات'!$G$2:$G$1001=5)*ROW('تشخيص الحالات'!$B$2:$B$1001))-1),""),"")&amp;IF(SUMPRODUCT(('تشخيص الحالات'!$B$2:$B$1001=B443)*('تشخيص الحالات'!$G$2:$G$1001=6))&gt;0,"، "&amp;IFERROR(INDEX('تشخيص الحالات'!$D$2:$D$1001,SUMPRODUCT(('تشخيص الحالات'!$B$2:$B$1001=B443)*('تشخيص الحالات'!$G$2:$G$1001=6)*ROW('تشخيص الحالات'!$B$2:$B$1001))-1),""),"")&amp;IF(SUMPRODUCT(('تشخيص الحالات'!$B$2:$B$1001=B443)*('تشخيص الحالات'!$G$2:$G$1001=7))&gt;0,"، "&amp;IFERROR(INDEX('تشخيص الحالات'!$D$2:$D$1001,SUMPRODUCT(('تشخيص الحالات'!$B$2:$B$1001=B443)*('تشخيص الحالات'!$G$2:$G$1001=7)*ROW('تشخيص الحالات'!$B$2:$B$1001))-1),""),"")&amp;IF(SUMPRODUCT(('تشخيص الحالات'!$B$2:$B$1001=B443)*('تشخيص الحالات'!$G$2:$G$1001=8))&gt;0,"، "&amp;IFERROR(INDEX('تشخيص الحالات'!$D$2:$D$1001,SUMPRODUCT(('تشخيص الحالات'!$B$2:$B$1001=B443)*('تشخيص الحالات'!$G$2:$G$1001=8)*ROW('تشخيص الحالات'!$B$2:$B$1001))-1),""),"")</f>
        <v/>
      </c>
      <c r="J443" s="1"/>
      <c r="K443" s="1"/>
      <c r="L443" s="1"/>
      <c r="M443" s="1"/>
    </row>
    <row r="444" spans="1:13" x14ac:dyDescent="0.2">
      <c r="A444" s="1"/>
      <c r="B444" s="1"/>
      <c r="C444" s="1"/>
      <c r="D444" s="1"/>
      <c r="E444" s="1"/>
      <c r="F444" s="1"/>
      <c r="G444" s="1"/>
      <c r="H444" s="1"/>
      <c r="I444" t="str">
        <f>IFERROR(INDEX('تشخيص الحالات'!$D$2:$D$1001,SUMPRODUCT(('تشخيص الحالات'!$B$2:$B$1001=B444)*('تشخيص الحالات'!$G$2:$G$1001=1)*ROW('تشخيص الحالات'!$B$2:$B$1001))-1),"")&amp;IF(SUMPRODUCT(('تشخيص الحالات'!$B$2:$B$1001=B444)*('تشخيص الحالات'!$G$2:$G$1001=2))&gt;0,"، "&amp;IFERROR(INDEX('تشخيص الحالات'!$D$2:$D$1001,SUMPRODUCT(('تشخيص الحالات'!$B$2:$B$1001=B444)*('تشخيص الحالات'!$G$2:$G$1001=2)*ROW('تشخيص الحالات'!$B$2:$B$1001))-1),""),"")&amp;IF(SUMPRODUCT(('تشخيص الحالات'!$B$2:$B$1001=B444)*('تشخيص الحالات'!$G$2:$G$1001=3))&gt;0,"، "&amp;IFERROR(INDEX('تشخيص الحالات'!$D$2:$D$1001,SUMPRODUCT(('تشخيص الحالات'!$B$2:$B$1001=B444)*('تشخيص الحالات'!$G$2:$G$1001=3)*ROW('تشخيص الحالات'!$B$2:$B$1001))-1),""),"")&amp;IF(SUMPRODUCT(('تشخيص الحالات'!$B$2:$B$1001=B444)*('تشخيص الحالات'!$G$2:$G$1001=4))&gt;0,"، "&amp;IFERROR(INDEX('تشخيص الحالات'!$D$2:$D$1001,SUMPRODUCT(('تشخيص الحالات'!$B$2:$B$1001=B444)*('تشخيص الحالات'!$G$2:$G$1001=4)*ROW('تشخيص الحالات'!$B$2:$B$1001))-1),""),"")&amp;IF(SUMPRODUCT(('تشخيص الحالات'!$B$2:$B$1001=B444)*('تشخيص الحالات'!$G$2:$G$1001=5))&gt;0,"، "&amp;IFERROR(INDEX('تشخيص الحالات'!$D$2:$D$1001,SUMPRODUCT(('تشخيص الحالات'!$B$2:$B$1001=B444)*('تشخيص الحالات'!$G$2:$G$1001=5)*ROW('تشخيص الحالات'!$B$2:$B$1001))-1),""),"")&amp;IF(SUMPRODUCT(('تشخيص الحالات'!$B$2:$B$1001=B444)*('تشخيص الحالات'!$G$2:$G$1001=6))&gt;0,"، "&amp;IFERROR(INDEX('تشخيص الحالات'!$D$2:$D$1001,SUMPRODUCT(('تشخيص الحالات'!$B$2:$B$1001=B444)*('تشخيص الحالات'!$G$2:$G$1001=6)*ROW('تشخيص الحالات'!$B$2:$B$1001))-1),""),"")&amp;IF(SUMPRODUCT(('تشخيص الحالات'!$B$2:$B$1001=B444)*('تشخيص الحالات'!$G$2:$G$1001=7))&gt;0,"، "&amp;IFERROR(INDEX('تشخيص الحالات'!$D$2:$D$1001,SUMPRODUCT(('تشخيص الحالات'!$B$2:$B$1001=B444)*('تشخيص الحالات'!$G$2:$G$1001=7)*ROW('تشخيص الحالات'!$B$2:$B$1001))-1),""),"")&amp;IF(SUMPRODUCT(('تشخيص الحالات'!$B$2:$B$1001=B444)*('تشخيص الحالات'!$G$2:$G$1001=8))&gt;0,"، "&amp;IFERROR(INDEX('تشخيص الحالات'!$D$2:$D$1001,SUMPRODUCT(('تشخيص الحالات'!$B$2:$B$1001=B444)*('تشخيص الحالات'!$G$2:$G$1001=8)*ROW('تشخيص الحالات'!$B$2:$B$1001))-1),""),"")</f>
        <v/>
      </c>
      <c r="J444" s="1"/>
      <c r="K444" s="1"/>
      <c r="L444" s="1"/>
      <c r="M444" s="1"/>
    </row>
    <row r="445" spans="1:13" x14ac:dyDescent="0.2">
      <c r="A445" s="1"/>
      <c r="B445" s="1"/>
      <c r="C445" s="1"/>
      <c r="D445" s="1"/>
      <c r="E445" s="1"/>
      <c r="F445" s="1"/>
      <c r="G445" s="1"/>
      <c r="H445" s="1"/>
      <c r="I445" t="str">
        <f>IFERROR(INDEX('تشخيص الحالات'!$D$2:$D$1001,SUMPRODUCT(('تشخيص الحالات'!$B$2:$B$1001=B445)*('تشخيص الحالات'!$G$2:$G$1001=1)*ROW('تشخيص الحالات'!$B$2:$B$1001))-1),"")&amp;IF(SUMPRODUCT(('تشخيص الحالات'!$B$2:$B$1001=B445)*('تشخيص الحالات'!$G$2:$G$1001=2))&gt;0,"، "&amp;IFERROR(INDEX('تشخيص الحالات'!$D$2:$D$1001,SUMPRODUCT(('تشخيص الحالات'!$B$2:$B$1001=B445)*('تشخيص الحالات'!$G$2:$G$1001=2)*ROW('تشخيص الحالات'!$B$2:$B$1001))-1),""),"")&amp;IF(SUMPRODUCT(('تشخيص الحالات'!$B$2:$B$1001=B445)*('تشخيص الحالات'!$G$2:$G$1001=3))&gt;0,"، "&amp;IFERROR(INDEX('تشخيص الحالات'!$D$2:$D$1001,SUMPRODUCT(('تشخيص الحالات'!$B$2:$B$1001=B445)*('تشخيص الحالات'!$G$2:$G$1001=3)*ROW('تشخيص الحالات'!$B$2:$B$1001))-1),""),"")&amp;IF(SUMPRODUCT(('تشخيص الحالات'!$B$2:$B$1001=B445)*('تشخيص الحالات'!$G$2:$G$1001=4))&gt;0,"، "&amp;IFERROR(INDEX('تشخيص الحالات'!$D$2:$D$1001,SUMPRODUCT(('تشخيص الحالات'!$B$2:$B$1001=B445)*('تشخيص الحالات'!$G$2:$G$1001=4)*ROW('تشخيص الحالات'!$B$2:$B$1001))-1),""),"")&amp;IF(SUMPRODUCT(('تشخيص الحالات'!$B$2:$B$1001=B445)*('تشخيص الحالات'!$G$2:$G$1001=5))&gt;0,"، "&amp;IFERROR(INDEX('تشخيص الحالات'!$D$2:$D$1001,SUMPRODUCT(('تشخيص الحالات'!$B$2:$B$1001=B445)*('تشخيص الحالات'!$G$2:$G$1001=5)*ROW('تشخيص الحالات'!$B$2:$B$1001))-1),""),"")&amp;IF(SUMPRODUCT(('تشخيص الحالات'!$B$2:$B$1001=B445)*('تشخيص الحالات'!$G$2:$G$1001=6))&gt;0,"، "&amp;IFERROR(INDEX('تشخيص الحالات'!$D$2:$D$1001,SUMPRODUCT(('تشخيص الحالات'!$B$2:$B$1001=B445)*('تشخيص الحالات'!$G$2:$G$1001=6)*ROW('تشخيص الحالات'!$B$2:$B$1001))-1),""),"")&amp;IF(SUMPRODUCT(('تشخيص الحالات'!$B$2:$B$1001=B445)*('تشخيص الحالات'!$G$2:$G$1001=7))&gt;0,"، "&amp;IFERROR(INDEX('تشخيص الحالات'!$D$2:$D$1001,SUMPRODUCT(('تشخيص الحالات'!$B$2:$B$1001=B445)*('تشخيص الحالات'!$G$2:$G$1001=7)*ROW('تشخيص الحالات'!$B$2:$B$1001))-1),""),"")&amp;IF(SUMPRODUCT(('تشخيص الحالات'!$B$2:$B$1001=B445)*('تشخيص الحالات'!$G$2:$G$1001=8))&gt;0,"، "&amp;IFERROR(INDEX('تشخيص الحالات'!$D$2:$D$1001,SUMPRODUCT(('تشخيص الحالات'!$B$2:$B$1001=B445)*('تشخيص الحالات'!$G$2:$G$1001=8)*ROW('تشخيص الحالات'!$B$2:$B$1001))-1),""),"")</f>
        <v/>
      </c>
      <c r="J445" s="1"/>
      <c r="K445" s="1"/>
      <c r="L445" s="1"/>
      <c r="M445" s="1"/>
    </row>
    <row r="446" spans="1:13" x14ac:dyDescent="0.2">
      <c r="A446" s="1"/>
      <c r="B446" s="1"/>
      <c r="C446" s="1"/>
      <c r="D446" s="1"/>
      <c r="E446" s="1"/>
      <c r="F446" s="1"/>
      <c r="G446" s="1"/>
      <c r="H446" s="1"/>
      <c r="I446" t="str">
        <f>IFERROR(INDEX('تشخيص الحالات'!$D$2:$D$1001,SUMPRODUCT(('تشخيص الحالات'!$B$2:$B$1001=B446)*('تشخيص الحالات'!$G$2:$G$1001=1)*ROW('تشخيص الحالات'!$B$2:$B$1001))-1),"")&amp;IF(SUMPRODUCT(('تشخيص الحالات'!$B$2:$B$1001=B446)*('تشخيص الحالات'!$G$2:$G$1001=2))&gt;0,"، "&amp;IFERROR(INDEX('تشخيص الحالات'!$D$2:$D$1001,SUMPRODUCT(('تشخيص الحالات'!$B$2:$B$1001=B446)*('تشخيص الحالات'!$G$2:$G$1001=2)*ROW('تشخيص الحالات'!$B$2:$B$1001))-1),""),"")&amp;IF(SUMPRODUCT(('تشخيص الحالات'!$B$2:$B$1001=B446)*('تشخيص الحالات'!$G$2:$G$1001=3))&gt;0,"، "&amp;IFERROR(INDEX('تشخيص الحالات'!$D$2:$D$1001,SUMPRODUCT(('تشخيص الحالات'!$B$2:$B$1001=B446)*('تشخيص الحالات'!$G$2:$G$1001=3)*ROW('تشخيص الحالات'!$B$2:$B$1001))-1),""),"")&amp;IF(SUMPRODUCT(('تشخيص الحالات'!$B$2:$B$1001=B446)*('تشخيص الحالات'!$G$2:$G$1001=4))&gt;0,"، "&amp;IFERROR(INDEX('تشخيص الحالات'!$D$2:$D$1001,SUMPRODUCT(('تشخيص الحالات'!$B$2:$B$1001=B446)*('تشخيص الحالات'!$G$2:$G$1001=4)*ROW('تشخيص الحالات'!$B$2:$B$1001))-1),""),"")&amp;IF(SUMPRODUCT(('تشخيص الحالات'!$B$2:$B$1001=B446)*('تشخيص الحالات'!$G$2:$G$1001=5))&gt;0,"، "&amp;IFERROR(INDEX('تشخيص الحالات'!$D$2:$D$1001,SUMPRODUCT(('تشخيص الحالات'!$B$2:$B$1001=B446)*('تشخيص الحالات'!$G$2:$G$1001=5)*ROW('تشخيص الحالات'!$B$2:$B$1001))-1),""),"")&amp;IF(SUMPRODUCT(('تشخيص الحالات'!$B$2:$B$1001=B446)*('تشخيص الحالات'!$G$2:$G$1001=6))&gt;0,"، "&amp;IFERROR(INDEX('تشخيص الحالات'!$D$2:$D$1001,SUMPRODUCT(('تشخيص الحالات'!$B$2:$B$1001=B446)*('تشخيص الحالات'!$G$2:$G$1001=6)*ROW('تشخيص الحالات'!$B$2:$B$1001))-1),""),"")&amp;IF(SUMPRODUCT(('تشخيص الحالات'!$B$2:$B$1001=B446)*('تشخيص الحالات'!$G$2:$G$1001=7))&gt;0,"، "&amp;IFERROR(INDEX('تشخيص الحالات'!$D$2:$D$1001,SUMPRODUCT(('تشخيص الحالات'!$B$2:$B$1001=B446)*('تشخيص الحالات'!$G$2:$G$1001=7)*ROW('تشخيص الحالات'!$B$2:$B$1001))-1),""),"")&amp;IF(SUMPRODUCT(('تشخيص الحالات'!$B$2:$B$1001=B446)*('تشخيص الحالات'!$G$2:$G$1001=8))&gt;0,"، "&amp;IFERROR(INDEX('تشخيص الحالات'!$D$2:$D$1001,SUMPRODUCT(('تشخيص الحالات'!$B$2:$B$1001=B446)*('تشخيص الحالات'!$G$2:$G$1001=8)*ROW('تشخيص الحالات'!$B$2:$B$1001))-1),""),"")</f>
        <v/>
      </c>
      <c r="J446" s="1"/>
      <c r="K446" s="1"/>
      <c r="L446" s="1"/>
      <c r="M446" s="1"/>
    </row>
    <row r="447" spans="1:13" x14ac:dyDescent="0.2">
      <c r="A447" s="1"/>
      <c r="B447" s="1"/>
      <c r="C447" s="1"/>
      <c r="D447" s="1"/>
      <c r="E447" s="1"/>
      <c r="F447" s="1"/>
      <c r="G447" s="1"/>
      <c r="H447" s="1"/>
      <c r="I447" t="str">
        <f>IFERROR(INDEX('تشخيص الحالات'!$D$2:$D$1001,SUMPRODUCT(('تشخيص الحالات'!$B$2:$B$1001=B447)*('تشخيص الحالات'!$G$2:$G$1001=1)*ROW('تشخيص الحالات'!$B$2:$B$1001))-1),"")&amp;IF(SUMPRODUCT(('تشخيص الحالات'!$B$2:$B$1001=B447)*('تشخيص الحالات'!$G$2:$G$1001=2))&gt;0,"، "&amp;IFERROR(INDEX('تشخيص الحالات'!$D$2:$D$1001,SUMPRODUCT(('تشخيص الحالات'!$B$2:$B$1001=B447)*('تشخيص الحالات'!$G$2:$G$1001=2)*ROW('تشخيص الحالات'!$B$2:$B$1001))-1),""),"")&amp;IF(SUMPRODUCT(('تشخيص الحالات'!$B$2:$B$1001=B447)*('تشخيص الحالات'!$G$2:$G$1001=3))&gt;0,"، "&amp;IFERROR(INDEX('تشخيص الحالات'!$D$2:$D$1001,SUMPRODUCT(('تشخيص الحالات'!$B$2:$B$1001=B447)*('تشخيص الحالات'!$G$2:$G$1001=3)*ROW('تشخيص الحالات'!$B$2:$B$1001))-1),""),"")&amp;IF(SUMPRODUCT(('تشخيص الحالات'!$B$2:$B$1001=B447)*('تشخيص الحالات'!$G$2:$G$1001=4))&gt;0,"، "&amp;IFERROR(INDEX('تشخيص الحالات'!$D$2:$D$1001,SUMPRODUCT(('تشخيص الحالات'!$B$2:$B$1001=B447)*('تشخيص الحالات'!$G$2:$G$1001=4)*ROW('تشخيص الحالات'!$B$2:$B$1001))-1),""),"")&amp;IF(SUMPRODUCT(('تشخيص الحالات'!$B$2:$B$1001=B447)*('تشخيص الحالات'!$G$2:$G$1001=5))&gt;0,"، "&amp;IFERROR(INDEX('تشخيص الحالات'!$D$2:$D$1001,SUMPRODUCT(('تشخيص الحالات'!$B$2:$B$1001=B447)*('تشخيص الحالات'!$G$2:$G$1001=5)*ROW('تشخيص الحالات'!$B$2:$B$1001))-1),""),"")&amp;IF(SUMPRODUCT(('تشخيص الحالات'!$B$2:$B$1001=B447)*('تشخيص الحالات'!$G$2:$G$1001=6))&gt;0,"، "&amp;IFERROR(INDEX('تشخيص الحالات'!$D$2:$D$1001,SUMPRODUCT(('تشخيص الحالات'!$B$2:$B$1001=B447)*('تشخيص الحالات'!$G$2:$G$1001=6)*ROW('تشخيص الحالات'!$B$2:$B$1001))-1),""),"")&amp;IF(SUMPRODUCT(('تشخيص الحالات'!$B$2:$B$1001=B447)*('تشخيص الحالات'!$G$2:$G$1001=7))&gt;0,"، "&amp;IFERROR(INDEX('تشخيص الحالات'!$D$2:$D$1001,SUMPRODUCT(('تشخيص الحالات'!$B$2:$B$1001=B447)*('تشخيص الحالات'!$G$2:$G$1001=7)*ROW('تشخيص الحالات'!$B$2:$B$1001))-1),""),"")&amp;IF(SUMPRODUCT(('تشخيص الحالات'!$B$2:$B$1001=B447)*('تشخيص الحالات'!$G$2:$G$1001=8))&gt;0,"، "&amp;IFERROR(INDEX('تشخيص الحالات'!$D$2:$D$1001,SUMPRODUCT(('تشخيص الحالات'!$B$2:$B$1001=B447)*('تشخيص الحالات'!$G$2:$G$1001=8)*ROW('تشخيص الحالات'!$B$2:$B$1001))-1),""),"")</f>
        <v/>
      </c>
      <c r="J447" s="1"/>
      <c r="K447" s="1"/>
      <c r="L447" s="1"/>
      <c r="M447" s="1"/>
    </row>
    <row r="448" spans="1:13" x14ac:dyDescent="0.2">
      <c r="A448" s="1"/>
      <c r="B448" s="1"/>
      <c r="C448" s="1"/>
      <c r="D448" s="1"/>
      <c r="E448" s="1"/>
      <c r="F448" s="1"/>
      <c r="G448" s="1"/>
      <c r="H448" s="1"/>
      <c r="I448" t="str">
        <f>IFERROR(INDEX('تشخيص الحالات'!$D$2:$D$1001,SUMPRODUCT(('تشخيص الحالات'!$B$2:$B$1001=B448)*('تشخيص الحالات'!$G$2:$G$1001=1)*ROW('تشخيص الحالات'!$B$2:$B$1001))-1),"")&amp;IF(SUMPRODUCT(('تشخيص الحالات'!$B$2:$B$1001=B448)*('تشخيص الحالات'!$G$2:$G$1001=2))&gt;0,"، "&amp;IFERROR(INDEX('تشخيص الحالات'!$D$2:$D$1001,SUMPRODUCT(('تشخيص الحالات'!$B$2:$B$1001=B448)*('تشخيص الحالات'!$G$2:$G$1001=2)*ROW('تشخيص الحالات'!$B$2:$B$1001))-1),""),"")&amp;IF(SUMPRODUCT(('تشخيص الحالات'!$B$2:$B$1001=B448)*('تشخيص الحالات'!$G$2:$G$1001=3))&gt;0,"، "&amp;IFERROR(INDEX('تشخيص الحالات'!$D$2:$D$1001,SUMPRODUCT(('تشخيص الحالات'!$B$2:$B$1001=B448)*('تشخيص الحالات'!$G$2:$G$1001=3)*ROW('تشخيص الحالات'!$B$2:$B$1001))-1),""),"")&amp;IF(SUMPRODUCT(('تشخيص الحالات'!$B$2:$B$1001=B448)*('تشخيص الحالات'!$G$2:$G$1001=4))&gt;0,"، "&amp;IFERROR(INDEX('تشخيص الحالات'!$D$2:$D$1001,SUMPRODUCT(('تشخيص الحالات'!$B$2:$B$1001=B448)*('تشخيص الحالات'!$G$2:$G$1001=4)*ROW('تشخيص الحالات'!$B$2:$B$1001))-1),""),"")&amp;IF(SUMPRODUCT(('تشخيص الحالات'!$B$2:$B$1001=B448)*('تشخيص الحالات'!$G$2:$G$1001=5))&gt;0,"، "&amp;IFERROR(INDEX('تشخيص الحالات'!$D$2:$D$1001,SUMPRODUCT(('تشخيص الحالات'!$B$2:$B$1001=B448)*('تشخيص الحالات'!$G$2:$G$1001=5)*ROW('تشخيص الحالات'!$B$2:$B$1001))-1),""),"")&amp;IF(SUMPRODUCT(('تشخيص الحالات'!$B$2:$B$1001=B448)*('تشخيص الحالات'!$G$2:$G$1001=6))&gt;0,"، "&amp;IFERROR(INDEX('تشخيص الحالات'!$D$2:$D$1001,SUMPRODUCT(('تشخيص الحالات'!$B$2:$B$1001=B448)*('تشخيص الحالات'!$G$2:$G$1001=6)*ROW('تشخيص الحالات'!$B$2:$B$1001))-1),""),"")&amp;IF(SUMPRODUCT(('تشخيص الحالات'!$B$2:$B$1001=B448)*('تشخيص الحالات'!$G$2:$G$1001=7))&gt;0,"، "&amp;IFERROR(INDEX('تشخيص الحالات'!$D$2:$D$1001,SUMPRODUCT(('تشخيص الحالات'!$B$2:$B$1001=B448)*('تشخيص الحالات'!$G$2:$G$1001=7)*ROW('تشخيص الحالات'!$B$2:$B$1001))-1),""),"")&amp;IF(SUMPRODUCT(('تشخيص الحالات'!$B$2:$B$1001=B448)*('تشخيص الحالات'!$G$2:$G$1001=8))&gt;0,"، "&amp;IFERROR(INDEX('تشخيص الحالات'!$D$2:$D$1001,SUMPRODUCT(('تشخيص الحالات'!$B$2:$B$1001=B448)*('تشخيص الحالات'!$G$2:$G$1001=8)*ROW('تشخيص الحالات'!$B$2:$B$1001))-1),""),"")</f>
        <v/>
      </c>
      <c r="J448" s="1"/>
      <c r="K448" s="1"/>
      <c r="L448" s="1"/>
      <c r="M448" s="1"/>
    </row>
    <row r="449" spans="1:13" x14ac:dyDescent="0.2">
      <c r="A449" s="1"/>
      <c r="B449" s="1"/>
      <c r="C449" s="1"/>
      <c r="D449" s="1"/>
      <c r="E449" s="1"/>
      <c r="F449" s="1"/>
      <c r="G449" s="1"/>
      <c r="H449" s="1"/>
      <c r="I449" t="str">
        <f>IFERROR(INDEX('تشخيص الحالات'!$D$2:$D$1001,SUMPRODUCT(('تشخيص الحالات'!$B$2:$B$1001=B449)*('تشخيص الحالات'!$G$2:$G$1001=1)*ROW('تشخيص الحالات'!$B$2:$B$1001))-1),"")&amp;IF(SUMPRODUCT(('تشخيص الحالات'!$B$2:$B$1001=B449)*('تشخيص الحالات'!$G$2:$G$1001=2))&gt;0,"، "&amp;IFERROR(INDEX('تشخيص الحالات'!$D$2:$D$1001,SUMPRODUCT(('تشخيص الحالات'!$B$2:$B$1001=B449)*('تشخيص الحالات'!$G$2:$G$1001=2)*ROW('تشخيص الحالات'!$B$2:$B$1001))-1),""),"")&amp;IF(SUMPRODUCT(('تشخيص الحالات'!$B$2:$B$1001=B449)*('تشخيص الحالات'!$G$2:$G$1001=3))&gt;0,"، "&amp;IFERROR(INDEX('تشخيص الحالات'!$D$2:$D$1001,SUMPRODUCT(('تشخيص الحالات'!$B$2:$B$1001=B449)*('تشخيص الحالات'!$G$2:$G$1001=3)*ROW('تشخيص الحالات'!$B$2:$B$1001))-1),""),"")&amp;IF(SUMPRODUCT(('تشخيص الحالات'!$B$2:$B$1001=B449)*('تشخيص الحالات'!$G$2:$G$1001=4))&gt;0,"، "&amp;IFERROR(INDEX('تشخيص الحالات'!$D$2:$D$1001,SUMPRODUCT(('تشخيص الحالات'!$B$2:$B$1001=B449)*('تشخيص الحالات'!$G$2:$G$1001=4)*ROW('تشخيص الحالات'!$B$2:$B$1001))-1),""),"")&amp;IF(SUMPRODUCT(('تشخيص الحالات'!$B$2:$B$1001=B449)*('تشخيص الحالات'!$G$2:$G$1001=5))&gt;0,"، "&amp;IFERROR(INDEX('تشخيص الحالات'!$D$2:$D$1001,SUMPRODUCT(('تشخيص الحالات'!$B$2:$B$1001=B449)*('تشخيص الحالات'!$G$2:$G$1001=5)*ROW('تشخيص الحالات'!$B$2:$B$1001))-1),""),"")&amp;IF(SUMPRODUCT(('تشخيص الحالات'!$B$2:$B$1001=B449)*('تشخيص الحالات'!$G$2:$G$1001=6))&gt;0,"، "&amp;IFERROR(INDEX('تشخيص الحالات'!$D$2:$D$1001,SUMPRODUCT(('تشخيص الحالات'!$B$2:$B$1001=B449)*('تشخيص الحالات'!$G$2:$G$1001=6)*ROW('تشخيص الحالات'!$B$2:$B$1001))-1),""),"")&amp;IF(SUMPRODUCT(('تشخيص الحالات'!$B$2:$B$1001=B449)*('تشخيص الحالات'!$G$2:$G$1001=7))&gt;0,"، "&amp;IFERROR(INDEX('تشخيص الحالات'!$D$2:$D$1001,SUMPRODUCT(('تشخيص الحالات'!$B$2:$B$1001=B449)*('تشخيص الحالات'!$G$2:$G$1001=7)*ROW('تشخيص الحالات'!$B$2:$B$1001))-1),""),"")&amp;IF(SUMPRODUCT(('تشخيص الحالات'!$B$2:$B$1001=B449)*('تشخيص الحالات'!$G$2:$G$1001=8))&gt;0,"، "&amp;IFERROR(INDEX('تشخيص الحالات'!$D$2:$D$1001,SUMPRODUCT(('تشخيص الحالات'!$B$2:$B$1001=B449)*('تشخيص الحالات'!$G$2:$G$1001=8)*ROW('تشخيص الحالات'!$B$2:$B$1001))-1),""),"")</f>
        <v/>
      </c>
      <c r="J449" s="1"/>
      <c r="K449" s="1"/>
      <c r="L449" s="1"/>
      <c r="M449" s="1"/>
    </row>
    <row r="450" spans="1:13" x14ac:dyDescent="0.2">
      <c r="A450" s="1"/>
      <c r="B450" s="1"/>
      <c r="C450" s="1"/>
      <c r="D450" s="1"/>
      <c r="E450" s="1"/>
      <c r="F450" s="1"/>
      <c r="G450" s="1"/>
      <c r="H450" s="1"/>
      <c r="I450" t="str">
        <f>IFERROR(INDEX('تشخيص الحالات'!$D$2:$D$1001,SUMPRODUCT(('تشخيص الحالات'!$B$2:$B$1001=B450)*('تشخيص الحالات'!$G$2:$G$1001=1)*ROW('تشخيص الحالات'!$B$2:$B$1001))-1),"")&amp;IF(SUMPRODUCT(('تشخيص الحالات'!$B$2:$B$1001=B450)*('تشخيص الحالات'!$G$2:$G$1001=2))&gt;0,"، "&amp;IFERROR(INDEX('تشخيص الحالات'!$D$2:$D$1001,SUMPRODUCT(('تشخيص الحالات'!$B$2:$B$1001=B450)*('تشخيص الحالات'!$G$2:$G$1001=2)*ROW('تشخيص الحالات'!$B$2:$B$1001))-1),""),"")&amp;IF(SUMPRODUCT(('تشخيص الحالات'!$B$2:$B$1001=B450)*('تشخيص الحالات'!$G$2:$G$1001=3))&gt;0,"، "&amp;IFERROR(INDEX('تشخيص الحالات'!$D$2:$D$1001,SUMPRODUCT(('تشخيص الحالات'!$B$2:$B$1001=B450)*('تشخيص الحالات'!$G$2:$G$1001=3)*ROW('تشخيص الحالات'!$B$2:$B$1001))-1),""),"")&amp;IF(SUMPRODUCT(('تشخيص الحالات'!$B$2:$B$1001=B450)*('تشخيص الحالات'!$G$2:$G$1001=4))&gt;0,"، "&amp;IFERROR(INDEX('تشخيص الحالات'!$D$2:$D$1001,SUMPRODUCT(('تشخيص الحالات'!$B$2:$B$1001=B450)*('تشخيص الحالات'!$G$2:$G$1001=4)*ROW('تشخيص الحالات'!$B$2:$B$1001))-1),""),"")&amp;IF(SUMPRODUCT(('تشخيص الحالات'!$B$2:$B$1001=B450)*('تشخيص الحالات'!$G$2:$G$1001=5))&gt;0,"، "&amp;IFERROR(INDEX('تشخيص الحالات'!$D$2:$D$1001,SUMPRODUCT(('تشخيص الحالات'!$B$2:$B$1001=B450)*('تشخيص الحالات'!$G$2:$G$1001=5)*ROW('تشخيص الحالات'!$B$2:$B$1001))-1),""),"")&amp;IF(SUMPRODUCT(('تشخيص الحالات'!$B$2:$B$1001=B450)*('تشخيص الحالات'!$G$2:$G$1001=6))&gt;0,"، "&amp;IFERROR(INDEX('تشخيص الحالات'!$D$2:$D$1001,SUMPRODUCT(('تشخيص الحالات'!$B$2:$B$1001=B450)*('تشخيص الحالات'!$G$2:$G$1001=6)*ROW('تشخيص الحالات'!$B$2:$B$1001))-1),""),"")&amp;IF(SUMPRODUCT(('تشخيص الحالات'!$B$2:$B$1001=B450)*('تشخيص الحالات'!$G$2:$G$1001=7))&gt;0,"، "&amp;IFERROR(INDEX('تشخيص الحالات'!$D$2:$D$1001,SUMPRODUCT(('تشخيص الحالات'!$B$2:$B$1001=B450)*('تشخيص الحالات'!$G$2:$G$1001=7)*ROW('تشخيص الحالات'!$B$2:$B$1001))-1),""),"")&amp;IF(SUMPRODUCT(('تشخيص الحالات'!$B$2:$B$1001=B450)*('تشخيص الحالات'!$G$2:$G$1001=8))&gt;0,"، "&amp;IFERROR(INDEX('تشخيص الحالات'!$D$2:$D$1001,SUMPRODUCT(('تشخيص الحالات'!$B$2:$B$1001=B450)*('تشخيص الحالات'!$G$2:$G$1001=8)*ROW('تشخيص الحالات'!$B$2:$B$1001))-1),""),"")</f>
        <v/>
      </c>
      <c r="J450" s="1"/>
      <c r="K450" s="1"/>
      <c r="L450" s="1"/>
      <c r="M450" s="1"/>
    </row>
    <row r="451" spans="1:13" x14ac:dyDescent="0.2">
      <c r="A451" s="1"/>
      <c r="B451" s="1"/>
      <c r="C451" s="1"/>
      <c r="D451" s="1"/>
      <c r="E451" s="1"/>
      <c r="F451" s="1"/>
      <c r="G451" s="1"/>
      <c r="H451" s="1"/>
      <c r="I451" t="str">
        <f>IFERROR(INDEX('تشخيص الحالات'!$D$2:$D$1001,SUMPRODUCT(('تشخيص الحالات'!$B$2:$B$1001=B451)*('تشخيص الحالات'!$G$2:$G$1001=1)*ROW('تشخيص الحالات'!$B$2:$B$1001))-1),"")&amp;IF(SUMPRODUCT(('تشخيص الحالات'!$B$2:$B$1001=B451)*('تشخيص الحالات'!$G$2:$G$1001=2))&gt;0,"، "&amp;IFERROR(INDEX('تشخيص الحالات'!$D$2:$D$1001,SUMPRODUCT(('تشخيص الحالات'!$B$2:$B$1001=B451)*('تشخيص الحالات'!$G$2:$G$1001=2)*ROW('تشخيص الحالات'!$B$2:$B$1001))-1),""),"")&amp;IF(SUMPRODUCT(('تشخيص الحالات'!$B$2:$B$1001=B451)*('تشخيص الحالات'!$G$2:$G$1001=3))&gt;0,"، "&amp;IFERROR(INDEX('تشخيص الحالات'!$D$2:$D$1001,SUMPRODUCT(('تشخيص الحالات'!$B$2:$B$1001=B451)*('تشخيص الحالات'!$G$2:$G$1001=3)*ROW('تشخيص الحالات'!$B$2:$B$1001))-1),""),"")&amp;IF(SUMPRODUCT(('تشخيص الحالات'!$B$2:$B$1001=B451)*('تشخيص الحالات'!$G$2:$G$1001=4))&gt;0,"، "&amp;IFERROR(INDEX('تشخيص الحالات'!$D$2:$D$1001,SUMPRODUCT(('تشخيص الحالات'!$B$2:$B$1001=B451)*('تشخيص الحالات'!$G$2:$G$1001=4)*ROW('تشخيص الحالات'!$B$2:$B$1001))-1),""),"")&amp;IF(SUMPRODUCT(('تشخيص الحالات'!$B$2:$B$1001=B451)*('تشخيص الحالات'!$G$2:$G$1001=5))&gt;0,"، "&amp;IFERROR(INDEX('تشخيص الحالات'!$D$2:$D$1001,SUMPRODUCT(('تشخيص الحالات'!$B$2:$B$1001=B451)*('تشخيص الحالات'!$G$2:$G$1001=5)*ROW('تشخيص الحالات'!$B$2:$B$1001))-1),""),"")&amp;IF(SUMPRODUCT(('تشخيص الحالات'!$B$2:$B$1001=B451)*('تشخيص الحالات'!$G$2:$G$1001=6))&gt;0,"، "&amp;IFERROR(INDEX('تشخيص الحالات'!$D$2:$D$1001,SUMPRODUCT(('تشخيص الحالات'!$B$2:$B$1001=B451)*('تشخيص الحالات'!$G$2:$G$1001=6)*ROW('تشخيص الحالات'!$B$2:$B$1001))-1),""),"")&amp;IF(SUMPRODUCT(('تشخيص الحالات'!$B$2:$B$1001=B451)*('تشخيص الحالات'!$G$2:$G$1001=7))&gt;0,"، "&amp;IFERROR(INDEX('تشخيص الحالات'!$D$2:$D$1001,SUMPRODUCT(('تشخيص الحالات'!$B$2:$B$1001=B451)*('تشخيص الحالات'!$G$2:$G$1001=7)*ROW('تشخيص الحالات'!$B$2:$B$1001))-1),""),"")&amp;IF(SUMPRODUCT(('تشخيص الحالات'!$B$2:$B$1001=B451)*('تشخيص الحالات'!$G$2:$G$1001=8))&gt;0,"، "&amp;IFERROR(INDEX('تشخيص الحالات'!$D$2:$D$1001,SUMPRODUCT(('تشخيص الحالات'!$B$2:$B$1001=B451)*('تشخيص الحالات'!$G$2:$G$1001=8)*ROW('تشخيص الحالات'!$B$2:$B$1001))-1),""),"")</f>
        <v/>
      </c>
      <c r="J451" s="1"/>
      <c r="K451" s="1"/>
      <c r="L451" s="1"/>
      <c r="M451" s="1"/>
    </row>
    <row r="452" spans="1:13" x14ac:dyDescent="0.2">
      <c r="A452" s="1"/>
      <c r="B452" s="1"/>
      <c r="C452" s="1"/>
      <c r="D452" s="1"/>
      <c r="E452" s="1"/>
      <c r="F452" s="1"/>
      <c r="G452" s="1"/>
      <c r="H452" s="1"/>
      <c r="I452" t="str">
        <f>IFERROR(INDEX('تشخيص الحالات'!$D$2:$D$1001,SUMPRODUCT(('تشخيص الحالات'!$B$2:$B$1001=B452)*('تشخيص الحالات'!$G$2:$G$1001=1)*ROW('تشخيص الحالات'!$B$2:$B$1001))-1),"")&amp;IF(SUMPRODUCT(('تشخيص الحالات'!$B$2:$B$1001=B452)*('تشخيص الحالات'!$G$2:$G$1001=2))&gt;0,"، "&amp;IFERROR(INDEX('تشخيص الحالات'!$D$2:$D$1001,SUMPRODUCT(('تشخيص الحالات'!$B$2:$B$1001=B452)*('تشخيص الحالات'!$G$2:$G$1001=2)*ROW('تشخيص الحالات'!$B$2:$B$1001))-1),""),"")&amp;IF(SUMPRODUCT(('تشخيص الحالات'!$B$2:$B$1001=B452)*('تشخيص الحالات'!$G$2:$G$1001=3))&gt;0,"، "&amp;IFERROR(INDEX('تشخيص الحالات'!$D$2:$D$1001,SUMPRODUCT(('تشخيص الحالات'!$B$2:$B$1001=B452)*('تشخيص الحالات'!$G$2:$G$1001=3)*ROW('تشخيص الحالات'!$B$2:$B$1001))-1),""),"")&amp;IF(SUMPRODUCT(('تشخيص الحالات'!$B$2:$B$1001=B452)*('تشخيص الحالات'!$G$2:$G$1001=4))&gt;0,"، "&amp;IFERROR(INDEX('تشخيص الحالات'!$D$2:$D$1001,SUMPRODUCT(('تشخيص الحالات'!$B$2:$B$1001=B452)*('تشخيص الحالات'!$G$2:$G$1001=4)*ROW('تشخيص الحالات'!$B$2:$B$1001))-1),""),"")&amp;IF(SUMPRODUCT(('تشخيص الحالات'!$B$2:$B$1001=B452)*('تشخيص الحالات'!$G$2:$G$1001=5))&gt;0,"، "&amp;IFERROR(INDEX('تشخيص الحالات'!$D$2:$D$1001,SUMPRODUCT(('تشخيص الحالات'!$B$2:$B$1001=B452)*('تشخيص الحالات'!$G$2:$G$1001=5)*ROW('تشخيص الحالات'!$B$2:$B$1001))-1),""),"")&amp;IF(SUMPRODUCT(('تشخيص الحالات'!$B$2:$B$1001=B452)*('تشخيص الحالات'!$G$2:$G$1001=6))&gt;0,"، "&amp;IFERROR(INDEX('تشخيص الحالات'!$D$2:$D$1001,SUMPRODUCT(('تشخيص الحالات'!$B$2:$B$1001=B452)*('تشخيص الحالات'!$G$2:$G$1001=6)*ROW('تشخيص الحالات'!$B$2:$B$1001))-1),""),"")&amp;IF(SUMPRODUCT(('تشخيص الحالات'!$B$2:$B$1001=B452)*('تشخيص الحالات'!$G$2:$G$1001=7))&gt;0,"، "&amp;IFERROR(INDEX('تشخيص الحالات'!$D$2:$D$1001,SUMPRODUCT(('تشخيص الحالات'!$B$2:$B$1001=B452)*('تشخيص الحالات'!$G$2:$G$1001=7)*ROW('تشخيص الحالات'!$B$2:$B$1001))-1),""),"")&amp;IF(SUMPRODUCT(('تشخيص الحالات'!$B$2:$B$1001=B452)*('تشخيص الحالات'!$G$2:$G$1001=8))&gt;0,"، "&amp;IFERROR(INDEX('تشخيص الحالات'!$D$2:$D$1001,SUMPRODUCT(('تشخيص الحالات'!$B$2:$B$1001=B452)*('تشخيص الحالات'!$G$2:$G$1001=8)*ROW('تشخيص الحالات'!$B$2:$B$1001))-1),""),"")</f>
        <v/>
      </c>
      <c r="J452" s="1"/>
      <c r="K452" s="1"/>
      <c r="L452" s="1"/>
      <c r="M452" s="1"/>
    </row>
    <row r="453" spans="1:13" x14ac:dyDescent="0.2">
      <c r="A453" s="1"/>
      <c r="B453" s="1"/>
      <c r="C453" s="1"/>
      <c r="D453" s="1"/>
      <c r="E453" s="1"/>
      <c r="F453" s="1"/>
      <c r="G453" s="1"/>
      <c r="H453" s="1"/>
      <c r="I453" t="str">
        <f>IFERROR(INDEX('تشخيص الحالات'!$D$2:$D$1001,SUMPRODUCT(('تشخيص الحالات'!$B$2:$B$1001=B453)*('تشخيص الحالات'!$G$2:$G$1001=1)*ROW('تشخيص الحالات'!$B$2:$B$1001))-1),"")&amp;IF(SUMPRODUCT(('تشخيص الحالات'!$B$2:$B$1001=B453)*('تشخيص الحالات'!$G$2:$G$1001=2))&gt;0,"، "&amp;IFERROR(INDEX('تشخيص الحالات'!$D$2:$D$1001,SUMPRODUCT(('تشخيص الحالات'!$B$2:$B$1001=B453)*('تشخيص الحالات'!$G$2:$G$1001=2)*ROW('تشخيص الحالات'!$B$2:$B$1001))-1),""),"")&amp;IF(SUMPRODUCT(('تشخيص الحالات'!$B$2:$B$1001=B453)*('تشخيص الحالات'!$G$2:$G$1001=3))&gt;0,"، "&amp;IFERROR(INDEX('تشخيص الحالات'!$D$2:$D$1001,SUMPRODUCT(('تشخيص الحالات'!$B$2:$B$1001=B453)*('تشخيص الحالات'!$G$2:$G$1001=3)*ROW('تشخيص الحالات'!$B$2:$B$1001))-1),""),"")&amp;IF(SUMPRODUCT(('تشخيص الحالات'!$B$2:$B$1001=B453)*('تشخيص الحالات'!$G$2:$G$1001=4))&gt;0,"، "&amp;IFERROR(INDEX('تشخيص الحالات'!$D$2:$D$1001,SUMPRODUCT(('تشخيص الحالات'!$B$2:$B$1001=B453)*('تشخيص الحالات'!$G$2:$G$1001=4)*ROW('تشخيص الحالات'!$B$2:$B$1001))-1),""),"")&amp;IF(SUMPRODUCT(('تشخيص الحالات'!$B$2:$B$1001=B453)*('تشخيص الحالات'!$G$2:$G$1001=5))&gt;0,"، "&amp;IFERROR(INDEX('تشخيص الحالات'!$D$2:$D$1001,SUMPRODUCT(('تشخيص الحالات'!$B$2:$B$1001=B453)*('تشخيص الحالات'!$G$2:$G$1001=5)*ROW('تشخيص الحالات'!$B$2:$B$1001))-1),""),"")&amp;IF(SUMPRODUCT(('تشخيص الحالات'!$B$2:$B$1001=B453)*('تشخيص الحالات'!$G$2:$G$1001=6))&gt;0,"، "&amp;IFERROR(INDEX('تشخيص الحالات'!$D$2:$D$1001,SUMPRODUCT(('تشخيص الحالات'!$B$2:$B$1001=B453)*('تشخيص الحالات'!$G$2:$G$1001=6)*ROW('تشخيص الحالات'!$B$2:$B$1001))-1),""),"")&amp;IF(SUMPRODUCT(('تشخيص الحالات'!$B$2:$B$1001=B453)*('تشخيص الحالات'!$G$2:$G$1001=7))&gt;0,"، "&amp;IFERROR(INDEX('تشخيص الحالات'!$D$2:$D$1001,SUMPRODUCT(('تشخيص الحالات'!$B$2:$B$1001=B453)*('تشخيص الحالات'!$G$2:$G$1001=7)*ROW('تشخيص الحالات'!$B$2:$B$1001))-1),""),"")&amp;IF(SUMPRODUCT(('تشخيص الحالات'!$B$2:$B$1001=B453)*('تشخيص الحالات'!$G$2:$G$1001=8))&gt;0,"، "&amp;IFERROR(INDEX('تشخيص الحالات'!$D$2:$D$1001,SUMPRODUCT(('تشخيص الحالات'!$B$2:$B$1001=B453)*('تشخيص الحالات'!$G$2:$G$1001=8)*ROW('تشخيص الحالات'!$B$2:$B$1001))-1),""),"")</f>
        <v/>
      </c>
      <c r="J453" s="1"/>
      <c r="K453" s="1"/>
      <c r="L453" s="1"/>
      <c r="M453" s="1"/>
    </row>
    <row r="454" spans="1:13" x14ac:dyDescent="0.2">
      <c r="A454" s="1"/>
      <c r="B454" s="1"/>
      <c r="C454" s="1"/>
      <c r="D454" s="1"/>
      <c r="E454" s="1"/>
      <c r="F454" s="1"/>
      <c r="G454" s="1"/>
      <c r="H454" s="1"/>
      <c r="I454" t="str">
        <f>IFERROR(INDEX('تشخيص الحالات'!$D$2:$D$1001,SUMPRODUCT(('تشخيص الحالات'!$B$2:$B$1001=B454)*('تشخيص الحالات'!$G$2:$G$1001=1)*ROW('تشخيص الحالات'!$B$2:$B$1001))-1),"")&amp;IF(SUMPRODUCT(('تشخيص الحالات'!$B$2:$B$1001=B454)*('تشخيص الحالات'!$G$2:$G$1001=2))&gt;0,"، "&amp;IFERROR(INDEX('تشخيص الحالات'!$D$2:$D$1001,SUMPRODUCT(('تشخيص الحالات'!$B$2:$B$1001=B454)*('تشخيص الحالات'!$G$2:$G$1001=2)*ROW('تشخيص الحالات'!$B$2:$B$1001))-1),""),"")&amp;IF(SUMPRODUCT(('تشخيص الحالات'!$B$2:$B$1001=B454)*('تشخيص الحالات'!$G$2:$G$1001=3))&gt;0,"، "&amp;IFERROR(INDEX('تشخيص الحالات'!$D$2:$D$1001,SUMPRODUCT(('تشخيص الحالات'!$B$2:$B$1001=B454)*('تشخيص الحالات'!$G$2:$G$1001=3)*ROW('تشخيص الحالات'!$B$2:$B$1001))-1),""),"")&amp;IF(SUMPRODUCT(('تشخيص الحالات'!$B$2:$B$1001=B454)*('تشخيص الحالات'!$G$2:$G$1001=4))&gt;0,"، "&amp;IFERROR(INDEX('تشخيص الحالات'!$D$2:$D$1001,SUMPRODUCT(('تشخيص الحالات'!$B$2:$B$1001=B454)*('تشخيص الحالات'!$G$2:$G$1001=4)*ROW('تشخيص الحالات'!$B$2:$B$1001))-1),""),"")&amp;IF(SUMPRODUCT(('تشخيص الحالات'!$B$2:$B$1001=B454)*('تشخيص الحالات'!$G$2:$G$1001=5))&gt;0,"، "&amp;IFERROR(INDEX('تشخيص الحالات'!$D$2:$D$1001,SUMPRODUCT(('تشخيص الحالات'!$B$2:$B$1001=B454)*('تشخيص الحالات'!$G$2:$G$1001=5)*ROW('تشخيص الحالات'!$B$2:$B$1001))-1),""),"")&amp;IF(SUMPRODUCT(('تشخيص الحالات'!$B$2:$B$1001=B454)*('تشخيص الحالات'!$G$2:$G$1001=6))&gt;0,"، "&amp;IFERROR(INDEX('تشخيص الحالات'!$D$2:$D$1001,SUMPRODUCT(('تشخيص الحالات'!$B$2:$B$1001=B454)*('تشخيص الحالات'!$G$2:$G$1001=6)*ROW('تشخيص الحالات'!$B$2:$B$1001))-1),""),"")&amp;IF(SUMPRODUCT(('تشخيص الحالات'!$B$2:$B$1001=B454)*('تشخيص الحالات'!$G$2:$G$1001=7))&gt;0,"، "&amp;IFERROR(INDEX('تشخيص الحالات'!$D$2:$D$1001,SUMPRODUCT(('تشخيص الحالات'!$B$2:$B$1001=B454)*('تشخيص الحالات'!$G$2:$G$1001=7)*ROW('تشخيص الحالات'!$B$2:$B$1001))-1),""),"")&amp;IF(SUMPRODUCT(('تشخيص الحالات'!$B$2:$B$1001=B454)*('تشخيص الحالات'!$G$2:$G$1001=8))&gt;0,"، "&amp;IFERROR(INDEX('تشخيص الحالات'!$D$2:$D$1001,SUMPRODUCT(('تشخيص الحالات'!$B$2:$B$1001=B454)*('تشخيص الحالات'!$G$2:$G$1001=8)*ROW('تشخيص الحالات'!$B$2:$B$1001))-1),""),"")</f>
        <v/>
      </c>
      <c r="J454" s="1"/>
      <c r="K454" s="1"/>
      <c r="L454" s="1"/>
      <c r="M454" s="1"/>
    </row>
    <row r="455" spans="1:13" x14ac:dyDescent="0.2">
      <c r="A455" s="1"/>
      <c r="B455" s="1"/>
      <c r="C455" s="1"/>
      <c r="D455" s="1"/>
      <c r="E455" s="1"/>
      <c r="F455" s="1"/>
      <c r="G455" s="1"/>
      <c r="H455" s="1"/>
      <c r="I455" t="str">
        <f>IFERROR(INDEX('تشخيص الحالات'!$D$2:$D$1001,SUMPRODUCT(('تشخيص الحالات'!$B$2:$B$1001=B455)*('تشخيص الحالات'!$G$2:$G$1001=1)*ROW('تشخيص الحالات'!$B$2:$B$1001))-1),"")&amp;IF(SUMPRODUCT(('تشخيص الحالات'!$B$2:$B$1001=B455)*('تشخيص الحالات'!$G$2:$G$1001=2))&gt;0,"، "&amp;IFERROR(INDEX('تشخيص الحالات'!$D$2:$D$1001,SUMPRODUCT(('تشخيص الحالات'!$B$2:$B$1001=B455)*('تشخيص الحالات'!$G$2:$G$1001=2)*ROW('تشخيص الحالات'!$B$2:$B$1001))-1),""),"")&amp;IF(SUMPRODUCT(('تشخيص الحالات'!$B$2:$B$1001=B455)*('تشخيص الحالات'!$G$2:$G$1001=3))&gt;0,"، "&amp;IFERROR(INDEX('تشخيص الحالات'!$D$2:$D$1001,SUMPRODUCT(('تشخيص الحالات'!$B$2:$B$1001=B455)*('تشخيص الحالات'!$G$2:$G$1001=3)*ROW('تشخيص الحالات'!$B$2:$B$1001))-1),""),"")&amp;IF(SUMPRODUCT(('تشخيص الحالات'!$B$2:$B$1001=B455)*('تشخيص الحالات'!$G$2:$G$1001=4))&gt;0,"، "&amp;IFERROR(INDEX('تشخيص الحالات'!$D$2:$D$1001,SUMPRODUCT(('تشخيص الحالات'!$B$2:$B$1001=B455)*('تشخيص الحالات'!$G$2:$G$1001=4)*ROW('تشخيص الحالات'!$B$2:$B$1001))-1),""),"")&amp;IF(SUMPRODUCT(('تشخيص الحالات'!$B$2:$B$1001=B455)*('تشخيص الحالات'!$G$2:$G$1001=5))&gt;0,"، "&amp;IFERROR(INDEX('تشخيص الحالات'!$D$2:$D$1001,SUMPRODUCT(('تشخيص الحالات'!$B$2:$B$1001=B455)*('تشخيص الحالات'!$G$2:$G$1001=5)*ROW('تشخيص الحالات'!$B$2:$B$1001))-1),""),"")&amp;IF(SUMPRODUCT(('تشخيص الحالات'!$B$2:$B$1001=B455)*('تشخيص الحالات'!$G$2:$G$1001=6))&gt;0,"، "&amp;IFERROR(INDEX('تشخيص الحالات'!$D$2:$D$1001,SUMPRODUCT(('تشخيص الحالات'!$B$2:$B$1001=B455)*('تشخيص الحالات'!$G$2:$G$1001=6)*ROW('تشخيص الحالات'!$B$2:$B$1001))-1),""),"")&amp;IF(SUMPRODUCT(('تشخيص الحالات'!$B$2:$B$1001=B455)*('تشخيص الحالات'!$G$2:$G$1001=7))&gt;0,"، "&amp;IFERROR(INDEX('تشخيص الحالات'!$D$2:$D$1001,SUMPRODUCT(('تشخيص الحالات'!$B$2:$B$1001=B455)*('تشخيص الحالات'!$G$2:$G$1001=7)*ROW('تشخيص الحالات'!$B$2:$B$1001))-1),""),"")&amp;IF(SUMPRODUCT(('تشخيص الحالات'!$B$2:$B$1001=B455)*('تشخيص الحالات'!$G$2:$G$1001=8))&gt;0,"، "&amp;IFERROR(INDEX('تشخيص الحالات'!$D$2:$D$1001,SUMPRODUCT(('تشخيص الحالات'!$B$2:$B$1001=B455)*('تشخيص الحالات'!$G$2:$G$1001=8)*ROW('تشخيص الحالات'!$B$2:$B$1001))-1),""),"")</f>
        <v/>
      </c>
      <c r="J455" s="1"/>
      <c r="K455" s="1"/>
      <c r="L455" s="1"/>
      <c r="M455" s="1"/>
    </row>
    <row r="456" spans="1:13" x14ac:dyDescent="0.2">
      <c r="A456" s="1"/>
      <c r="B456" s="1"/>
      <c r="C456" s="1"/>
      <c r="D456" s="1"/>
      <c r="E456" s="1"/>
      <c r="F456" s="1"/>
      <c r="G456" s="1"/>
      <c r="H456" s="1"/>
      <c r="I456" t="str">
        <f>IFERROR(INDEX('تشخيص الحالات'!$D$2:$D$1001,SUMPRODUCT(('تشخيص الحالات'!$B$2:$B$1001=B456)*('تشخيص الحالات'!$G$2:$G$1001=1)*ROW('تشخيص الحالات'!$B$2:$B$1001))-1),"")&amp;IF(SUMPRODUCT(('تشخيص الحالات'!$B$2:$B$1001=B456)*('تشخيص الحالات'!$G$2:$G$1001=2))&gt;0,"، "&amp;IFERROR(INDEX('تشخيص الحالات'!$D$2:$D$1001,SUMPRODUCT(('تشخيص الحالات'!$B$2:$B$1001=B456)*('تشخيص الحالات'!$G$2:$G$1001=2)*ROW('تشخيص الحالات'!$B$2:$B$1001))-1),""),"")&amp;IF(SUMPRODUCT(('تشخيص الحالات'!$B$2:$B$1001=B456)*('تشخيص الحالات'!$G$2:$G$1001=3))&gt;0,"، "&amp;IFERROR(INDEX('تشخيص الحالات'!$D$2:$D$1001,SUMPRODUCT(('تشخيص الحالات'!$B$2:$B$1001=B456)*('تشخيص الحالات'!$G$2:$G$1001=3)*ROW('تشخيص الحالات'!$B$2:$B$1001))-1),""),"")&amp;IF(SUMPRODUCT(('تشخيص الحالات'!$B$2:$B$1001=B456)*('تشخيص الحالات'!$G$2:$G$1001=4))&gt;0,"، "&amp;IFERROR(INDEX('تشخيص الحالات'!$D$2:$D$1001,SUMPRODUCT(('تشخيص الحالات'!$B$2:$B$1001=B456)*('تشخيص الحالات'!$G$2:$G$1001=4)*ROW('تشخيص الحالات'!$B$2:$B$1001))-1),""),"")&amp;IF(SUMPRODUCT(('تشخيص الحالات'!$B$2:$B$1001=B456)*('تشخيص الحالات'!$G$2:$G$1001=5))&gt;0,"، "&amp;IFERROR(INDEX('تشخيص الحالات'!$D$2:$D$1001,SUMPRODUCT(('تشخيص الحالات'!$B$2:$B$1001=B456)*('تشخيص الحالات'!$G$2:$G$1001=5)*ROW('تشخيص الحالات'!$B$2:$B$1001))-1),""),"")&amp;IF(SUMPRODUCT(('تشخيص الحالات'!$B$2:$B$1001=B456)*('تشخيص الحالات'!$G$2:$G$1001=6))&gt;0,"، "&amp;IFERROR(INDEX('تشخيص الحالات'!$D$2:$D$1001,SUMPRODUCT(('تشخيص الحالات'!$B$2:$B$1001=B456)*('تشخيص الحالات'!$G$2:$G$1001=6)*ROW('تشخيص الحالات'!$B$2:$B$1001))-1),""),"")&amp;IF(SUMPRODUCT(('تشخيص الحالات'!$B$2:$B$1001=B456)*('تشخيص الحالات'!$G$2:$G$1001=7))&gt;0,"، "&amp;IFERROR(INDEX('تشخيص الحالات'!$D$2:$D$1001,SUMPRODUCT(('تشخيص الحالات'!$B$2:$B$1001=B456)*('تشخيص الحالات'!$G$2:$G$1001=7)*ROW('تشخيص الحالات'!$B$2:$B$1001))-1),""),"")&amp;IF(SUMPRODUCT(('تشخيص الحالات'!$B$2:$B$1001=B456)*('تشخيص الحالات'!$G$2:$G$1001=8))&gt;0,"، "&amp;IFERROR(INDEX('تشخيص الحالات'!$D$2:$D$1001,SUMPRODUCT(('تشخيص الحالات'!$B$2:$B$1001=B456)*('تشخيص الحالات'!$G$2:$G$1001=8)*ROW('تشخيص الحالات'!$B$2:$B$1001))-1),""),"")</f>
        <v/>
      </c>
      <c r="J456" s="1"/>
      <c r="K456" s="1"/>
      <c r="L456" s="1"/>
      <c r="M456" s="1"/>
    </row>
    <row r="457" spans="1:13" x14ac:dyDescent="0.2">
      <c r="A457" s="1"/>
      <c r="B457" s="1"/>
      <c r="C457" s="1"/>
      <c r="D457" s="1"/>
      <c r="E457" s="1"/>
      <c r="F457" s="1"/>
      <c r="G457" s="1"/>
      <c r="H457" s="1"/>
      <c r="I457" t="str">
        <f>IFERROR(INDEX('تشخيص الحالات'!$D$2:$D$1001,SUMPRODUCT(('تشخيص الحالات'!$B$2:$B$1001=B457)*('تشخيص الحالات'!$G$2:$G$1001=1)*ROW('تشخيص الحالات'!$B$2:$B$1001))-1),"")&amp;IF(SUMPRODUCT(('تشخيص الحالات'!$B$2:$B$1001=B457)*('تشخيص الحالات'!$G$2:$G$1001=2))&gt;0,"، "&amp;IFERROR(INDEX('تشخيص الحالات'!$D$2:$D$1001,SUMPRODUCT(('تشخيص الحالات'!$B$2:$B$1001=B457)*('تشخيص الحالات'!$G$2:$G$1001=2)*ROW('تشخيص الحالات'!$B$2:$B$1001))-1),""),"")&amp;IF(SUMPRODUCT(('تشخيص الحالات'!$B$2:$B$1001=B457)*('تشخيص الحالات'!$G$2:$G$1001=3))&gt;0,"، "&amp;IFERROR(INDEX('تشخيص الحالات'!$D$2:$D$1001,SUMPRODUCT(('تشخيص الحالات'!$B$2:$B$1001=B457)*('تشخيص الحالات'!$G$2:$G$1001=3)*ROW('تشخيص الحالات'!$B$2:$B$1001))-1),""),"")&amp;IF(SUMPRODUCT(('تشخيص الحالات'!$B$2:$B$1001=B457)*('تشخيص الحالات'!$G$2:$G$1001=4))&gt;0,"، "&amp;IFERROR(INDEX('تشخيص الحالات'!$D$2:$D$1001,SUMPRODUCT(('تشخيص الحالات'!$B$2:$B$1001=B457)*('تشخيص الحالات'!$G$2:$G$1001=4)*ROW('تشخيص الحالات'!$B$2:$B$1001))-1),""),"")&amp;IF(SUMPRODUCT(('تشخيص الحالات'!$B$2:$B$1001=B457)*('تشخيص الحالات'!$G$2:$G$1001=5))&gt;0,"، "&amp;IFERROR(INDEX('تشخيص الحالات'!$D$2:$D$1001,SUMPRODUCT(('تشخيص الحالات'!$B$2:$B$1001=B457)*('تشخيص الحالات'!$G$2:$G$1001=5)*ROW('تشخيص الحالات'!$B$2:$B$1001))-1),""),"")&amp;IF(SUMPRODUCT(('تشخيص الحالات'!$B$2:$B$1001=B457)*('تشخيص الحالات'!$G$2:$G$1001=6))&gt;0,"، "&amp;IFERROR(INDEX('تشخيص الحالات'!$D$2:$D$1001,SUMPRODUCT(('تشخيص الحالات'!$B$2:$B$1001=B457)*('تشخيص الحالات'!$G$2:$G$1001=6)*ROW('تشخيص الحالات'!$B$2:$B$1001))-1),""),"")&amp;IF(SUMPRODUCT(('تشخيص الحالات'!$B$2:$B$1001=B457)*('تشخيص الحالات'!$G$2:$G$1001=7))&gt;0,"، "&amp;IFERROR(INDEX('تشخيص الحالات'!$D$2:$D$1001,SUMPRODUCT(('تشخيص الحالات'!$B$2:$B$1001=B457)*('تشخيص الحالات'!$G$2:$G$1001=7)*ROW('تشخيص الحالات'!$B$2:$B$1001))-1),""),"")&amp;IF(SUMPRODUCT(('تشخيص الحالات'!$B$2:$B$1001=B457)*('تشخيص الحالات'!$G$2:$G$1001=8))&gt;0,"، "&amp;IFERROR(INDEX('تشخيص الحالات'!$D$2:$D$1001,SUMPRODUCT(('تشخيص الحالات'!$B$2:$B$1001=B457)*('تشخيص الحالات'!$G$2:$G$1001=8)*ROW('تشخيص الحالات'!$B$2:$B$1001))-1),""),"")</f>
        <v/>
      </c>
      <c r="J457" s="1"/>
      <c r="K457" s="1"/>
      <c r="L457" s="1"/>
      <c r="M457" s="1"/>
    </row>
    <row r="458" spans="1:13" x14ac:dyDescent="0.2">
      <c r="A458" s="1"/>
      <c r="B458" s="1"/>
      <c r="C458" s="1"/>
      <c r="D458" s="1"/>
      <c r="E458" s="1"/>
      <c r="F458" s="1"/>
      <c r="G458" s="1"/>
      <c r="H458" s="1"/>
      <c r="I458" t="str">
        <f>IFERROR(INDEX('تشخيص الحالات'!$D$2:$D$1001,SUMPRODUCT(('تشخيص الحالات'!$B$2:$B$1001=B458)*('تشخيص الحالات'!$G$2:$G$1001=1)*ROW('تشخيص الحالات'!$B$2:$B$1001))-1),"")&amp;IF(SUMPRODUCT(('تشخيص الحالات'!$B$2:$B$1001=B458)*('تشخيص الحالات'!$G$2:$G$1001=2))&gt;0,"، "&amp;IFERROR(INDEX('تشخيص الحالات'!$D$2:$D$1001,SUMPRODUCT(('تشخيص الحالات'!$B$2:$B$1001=B458)*('تشخيص الحالات'!$G$2:$G$1001=2)*ROW('تشخيص الحالات'!$B$2:$B$1001))-1),""),"")&amp;IF(SUMPRODUCT(('تشخيص الحالات'!$B$2:$B$1001=B458)*('تشخيص الحالات'!$G$2:$G$1001=3))&gt;0,"، "&amp;IFERROR(INDEX('تشخيص الحالات'!$D$2:$D$1001,SUMPRODUCT(('تشخيص الحالات'!$B$2:$B$1001=B458)*('تشخيص الحالات'!$G$2:$G$1001=3)*ROW('تشخيص الحالات'!$B$2:$B$1001))-1),""),"")&amp;IF(SUMPRODUCT(('تشخيص الحالات'!$B$2:$B$1001=B458)*('تشخيص الحالات'!$G$2:$G$1001=4))&gt;0,"، "&amp;IFERROR(INDEX('تشخيص الحالات'!$D$2:$D$1001,SUMPRODUCT(('تشخيص الحالات'!$B$2:$B$1001=B458)*('تشخيص الحالات'!$G$2:$G$1001=4)*ROW('تشخيص الحالات'!$B$2:$B$1001))-1),""),"")&amp;IF(SUMPRODUCT(('تشخيص الحالات'!$B$2:$B$1001=B458)*('تشخيص الحالات'!$G$2:$G$1001=5))&gt;0,"، "&amp;IFERROR(INDEX('تشخيص الحالات'!$D$2:$D$1001,SUMPRODUCT(('تشخيص الحالات'!$B$2:$B$1001=B458)*('تشخيص الحالات'!$G$2:$G$1001=5)*ROW('تشخيص الحالات'!$B$2:$B$1001))-1),""),"")&amp;IF(SUMPRODUCT(('تشخيص الحالات'!$B$2:$B$1001=B458)*('تشخيص الحالات'!$G$2:$G$1001=6))&gt;0,"، "&amp;IFERROR(INDEX('تشخيص الحالات'!$D$2:$D$1001,SUMPRODUCT(('تشخيص الحالات'!$B$2:$B$1001=B458)*('تشخيص الحالات'!$G$2:$G$1001=6)*ROW('تشخيص الحالات'!$B$2:$B$1001))-1),""),"")&amp;IF(SUMPRODUCT(('تشخيص الحالات'!$B$2:$B$1001=B458)*('تشخيص الحالات'!$G$2:$G$1001=7))&gt;0,"، "&amp;IFERROR(INDEX('تشخيص الحالات'!$D$2:$D$1001,SUMPRODUCT(('تشخيص الحالات'!$B$2:$B$1001=B458)*('تشخيص الحالات'!$G$2:$G$1001=7)*ROW('تشخيص الحالات'!$B$2:$B$1001))-1),""),"")&amp;IF(SUMPRODUCT(('تشخيص الحالات'!$B$2:$B$1001=B458)*('تشخيص الحالات'!$G$2:$G$1001=8))&gt;0,"، "&amp;IFERROR(INDEX('تشخيص الحالات'!$D$2:$D$1001,SUMPRODUCT(('تشخيص الحالات'!$B$2:$B$1001=B458)*('تشخيص الحالات'!$G$2:$G$1001=8)*ROW('تشخيص الحالات'!$B$2:$B$1001))-1),""),"")</f>
        <v/>
      </c>
      <c r="J458" s="1"/>
      <c r="K458" s="1"/>
      <c r="L458" s="1"/>
      <c r="M458" s="1"/>
    </row>
    <row r="459" spans="1:13" x14ac:dyDescent="0.2">
      <c r="A459" s="1"/>
      <c r="B459" s="1"/>
      <c r="C459" s="1"/>
      <c r="D459" s="1"/>
      <c r="E459" s="1"/>
      <c r="F459" s="1"/>
      <c r="G459" s="1"/>
      <c r="H459" s="1"/>
      <c r="I459" t="str">
        <f>IFERROR(INDEX('تشخيص الحالات'!$D$2:$D$1001,SUMPRODUCT(('تشخيص الحالات'!$B$2:$B$1001=B459)*('تشخيص الحالات'!$G$2:$G$1001=1)*ROW('تشخيص الحالات'!$B$2:$B$1001))-1),"")&amp;IF(SUMPRODUCT(('تشخيص الحالات'!$B$2:$B$1001=B459)*('تشخيص الحالات'!$G$2:$G$1001=2))&gt;0,"، "&amp;IFERROR(INDEX('تشخيص الحالات'!$D$2:$D$1001,SUMPRODUCT(('تشخيص الحالات'!$B$2:$B$1001=B459)*('تشخيص الحالات'!$G$2:$G$1001=2)*ROW('تشخيص الحالات'!$B$2:$B$1001))-1),""),"")&amp;IF(SUMPRODUCT(('تشخيص الحالات'!$B$2:$B$1001=B459)*('تشخيص الحالات'!$G$2:$G$1001=3))&gt;0,"، "&amp;IFERROR(INDEX('تشخيص الحالات'!$D$2:$D$1001,SUMPRODUCT(('تشخيص الحالات'!$B$2:$B$1001=B459)*('تشخيص الحالات'!$G$2:$G$1001=3)*ROW('تشخيص الحالات'!$B$2:$B$1001))-1),""),"")&amp;IF(SUMPRODUCT(('تشخيص الحالات'!$B$2:$B$1001=B459)*('تشخيص الحالات'!$G$2:$G$1001=4))&gt;0,"، "&amp;IFERROR(INDEX('تشخيص الحالات'!$D$2:$D$1001,SUMPRODUCT(('تشخيص الحالات'!$B$2:$B$1001=B459)*('تشخيص الحالات'!$G$2:$G$1001=4)*ROW('تشخيص الحالات'!$B$2:$B$1001))-1),""),"")&amp;IF(SUMPRODUCT(('تشخيص الحالات'!$B$2:$B$1001=B459)*('تشخيص الحالات'!$G$2:$G$1001=5))&gt;0,"، "&amp;IFERROR(INDEX('تشخيص الحالات'!$D$2:$D$1001,SUMPRODUCT(('تشخيص الحالات'!$B$2:$B$1001=B459)*('تشخيص الحالات'!$G$2:$G$1001=5)*ROW('تشخيص الحالات'!$B$2:$B$1001))-1),""),"")&amp;IF(SUMPRODUCT(('تشخيص الحالات'!$B$2:$B$1001=B459)*('تشخيص الحالات'!$G$2:$G$1001=6))&gt;0,"، "&amp;IFERROR(INDEX('تشخيص الحالات'!$D$2:$D$1001,SUMPRODUCT(('تشخيص الحالات'!$B$2:$B$1001=B459)*('تشخيص الحالات'!$G$2:$G$1001=6)*ROW('تشخيص الحالات'!$B$2:$B$1001))-1),""),"")&amp;IF(SUMPRODUCT(('تشخيص الحالات'!$B$2:$B$1001=B459)*('تشخيص الحالات'!$G$2:$G$1001=7))&gt;0,"، "&amp;IFERROR(INDEX('تشخيص الحالات'!$D$2:$D$1001,SUMPRODUCT(('تشخيص الحالات'!$B$2:$B$1001=B459)*('تشخيص الحالات'!$G$2:$G$1001=7)*ROW('تشخيص الحالات'!$B$2:$B$1001))-1),""),"")&amp;IF(SUMPRODUCT(('تشخيص الحالات'!$B$2:$B$1001=B459)*('تشخيص الحالات'!$G$2:$G$1001=8))&gt;0,"، "&amp;IFERROR(INDEX('تشخيص الحالات'!$D$2:$D$1001,SUMPRODUCT(('تشخيص الحالات'!$B$2:$B$1001=B459)*('تشخيص الحالات'!$G$2:$G$1001=8)*ROW('تشخيص الحالات'!$B$2:$B$1001))-1),""),"")</f>
        <v/>
      </c>
      <c r="J459" s="1"/>
      <c r="K459" s="1"/>
      <c r="L459" s="1"/>
      <c r="M459" s="1"/>
    </row>
    <row r="460" spans="1:13" x14ac:dyDescent="0.2">
      <c r="A460" s="1"/>
      <c r="B460" s="1"/>
      <c r="C460" s="1"/>
      <c r="D460" s="1"/>
      <c r="E460" s="1"/>
      <c r="F460" s="1"/>
      <c r="G460" s="1"/>
      <c r="H460" s="1"/>
      <c r="I460" t="str">
        <f>IFERROR(INDEX('تشخيص الحالات'!$D$2:$D$1001,SUMPRODUCT(('تشخيص الحالات'!$B$2:$B$1001=B460)*('تشخيص الحالات'!$G$2:$G$1001=1)*ROW('تشخيص الحالات'!$B$2:$B$1001))-1),"")&amp;IF(SUMPRODUCT(('تشخيص الحالات'!$B$2:$B$1001=B460)*('تشخيص الحالات'!$G$2:$G$1001=2))&gt;0,"، "&amp;IFERROR(INDEX('تشخيص الحالات'!$D$2:$D$1001,SUMPRODUCT(('تشخيص الحالات'!$B$2:$B$1001=B460)*('تشخيص الحالات'!$G$2:$G$1001=2)*ROW('تشخيص الحالات'!$B$2:$B$1001))-1),""),"")&amp;IF(SUMPRODUCT(('تشخيص الحالات'!$B$2:$B$1001=B460)*('تشخيص الحالات'!$G$2:$G$1001=3))&gt;0,"، "&amp;IFERROR(INDEX('تشخيص الحالات'!$D$2:$D$1001,SUMPRODUCT(('تشخيص الحالات'!$B$2:$B$1001=B460)*('تشخيص الحالات'!$G$2:$G$1001=3)*ROW('تشخيص الحالات'!$B$2:$B$1001))-1),""),"")&amp;IF(SUMPRODUCT(('تشخيص الحالات'!$B$2:$B$1001=B460)*('تشخيص الحالات'!$G$2:$G$1001=4))&gt;0,"، "&amp;IFERROR(INDEX('تشخيص الحالات'!$D$2:$D$1001,SUMPRODUCT(('تشخيص الحالات'!$B$2:$B$1001=B460)*('تشخيص الحالات'!$G$2:$G$1001=4)*ROW('تشخيص الحالات'!$B$2:$B$1001))-1),""),"")&amp;IF(SUMPRODUCT(('تشخيص الحالات'!$B$2:$B$1001=B460)*('تشخيص الحالات'!$G$2:$G$1001=5))&gt;0,"، "&amp;IFERROR(INDEX('تشخيص الحالات'!$D$2:$D$1001,SUMPRODUCT(('تشخيص الحالات'!$B$2:$B$1001=B460)*('تشخيص الحالات'!$G$2:$G$1001=5)*ROW('تشخيص الحالات'!$B$2:$B$1001))-1),""),"")&amp;IF(SUMPRODUCT(('تشخيص الحالات'!$B$2:$B$1001=B460)*('تشخيص الحالات'!$G$2:$G$1001=6))&gt;0,"، "&amp;IFERROR(INDEX('تشخيص الحالات'!$D$2:$D$1001,SUMPRODUCT(('تشخيص الحالات'!$B$2:$B$1001=B460)*('تشخيص الحالات'!$G$2:$G$1001=6)*ROW('تشخيص الحالات'!$B$2:$B$1001))-1),""),"")&amp;IF(SUMPRODUCT(('تشخيص الحالات'!$B$2:$B$1001=B460)*('تشخيص الحالات'!$G$2:$G$1001=7))&gt;0,"، "&amp;IFERROR(INDEX('تشخيص الحالات'!$D$2:$D$1001,SUMPRODUCT(('تشخيص الحالات'!$B$2:$B$1001=B460)*('تشخيص الحالات'!$G$2:$G$1001=7)*ROW('تشخيص الحالات'!$B$2:$B$1001))-1),""),"")&amp;IF(SUMPRODUCT(('تشخيص الحالات'!$B$2:$B$1001=B460)*('تشخيص الحالات'!$G$2:$G$1001=8))&gt;0,"، "&amp;IFERROR(INDEX('تشخيص الحالات'!$D$2:$D$1001,SUMPRODUCT(('تشخيص الحالات'!$B$2:$B$1001=B460)*('تشخيص الحالات'!$G$2:$G$1001=8)*ROW('تشخيص الحالات'!$B$2:$B$1001))-1),""),"")</f>
        <v/>
      </c>
      <c r="J460" s="1"/>
      <c r="K460" s="1"/>
      <c r="L460" s="1"/>
      <c r="M460" s="1"/>
    </row>
    <row r="461" spans="1:13" x14ac:dyDescent="0.2">
      <c r="A461" s="1"/>
      <c r="B461" s="1"/>
      <c r="C461" s="1"/>
      <c r="D461" s="1"/>
      <c r="E461" s="1"/>
      <c r="F461" s="1"/>
      <c r="G461" s="1"/>
      <c r="H461" s="1"/>
      <c r="I461" t="str">
        <f>IFERROR(INDEX('تشخيص الحالات'!$D$2:$D$1001,SUMPRODUCT(('تشخيص الحالات'!$B$2:$B$1001=B461)*('تشخيص الحالات'!$G$2:$G$1001=1)*ROW('تشخيص الحالات'!$B$2:$B$1001))-1),"")&amp;IF(SUMPRODUCT(('تشخيص الحالات'!$B$2:$B$1001=B461)*('تشخيص الحالات'!$G$2:$G$1001=2))&gt;0,"، "&amp;IFERROR(INDEX('تشخيص الحالات'!$D$2:$D$1001,SUMPRODUCT(('تشخيص الحالات'!$B$2:$B$1001=B461)*('تشخيص الحالات'!$G$2:$G$1001=2)*ROW('تشخيص الحالات'!$B$2:$B$1001))-1),""),"")&amp;IF(SUMPRODUCT(('تشخيص الحالات'!$B$2:$B$1001=B461)*('تشخيص الحالات'!$G$2:$G$1001=3))&gt;0,"، "&amp;IFERROR(INDEX('تشخيص الحالات'!$D$2:$D$1001,SUMPRODUCT(('تشخيص الحالات'!$B$2:$B$1001=B461)*('تشخيص الحالات'!$G$2:$G$1001=3)*ROW('تشخيص الحالات'!$B$2:$B$1001))-1),""),"")&amp;IF(SUMPRODUCT(('تشخيص الحالات'!$B$2:$B$1001=B461)*('تشخيص الحالات'!$G$2:$G$1001=4))&gt;0,"، "&amp;IFERROR(INDEX('تشخيص الحالات'!$D$2:$D$1001,SUMPRODUCT(('تشخيص الحالات'!$B$2:$B$1001=B461)*('تشخيص الحالات'!$G$2:$G$1001=4)*ROW('تشخيص الحالات'!$B$2:$B$1001))-1),""),"")&amp;IF(SUMPRODUCT(('تشخيص الحالات'!$B$2:$B$1001=B461)*('تشخيص الحالات'!$G$2:$G$1001=5))&gt;0,"، "&amp;IFERROR(INDEX('تشخيص الحالات'!$D$2:$D$1001,SUMPRODUCT(('تشخيص الحالات'!$B$2:$B$1001=B461)*('تشخيص الحالات'!$G$2:$G$1001=5)*ROW('تشخيص الحالات'!$B$2:$B$1001))-1),""),"")&amp;IF(SUMPRODUCT(('تشخيص الحالات'!$B$2:$B$1001=B461)*('تشخيص الحالات'!$G$2:$G$1001=6))&gt;0,"، "&amp;IFERROR(INDEX('تشخيص الحالات'!$D$2:$D$1001,SUMPRODUCT(('تشخيص الحالات'!$B$2:$B$1001=B461)*('تشخيص الحالات'!$G$2:$G$1001=6)*ROW('تشخيص الحالات'!$B$2:$B$1001))-1),""),"")&amp;IF(SUMPRODUCT(('تشخيص الحالات'!$B$2:$B$1001=B461)*('تشخيص الحالات'!$G$2:$G$1001=7))&gt;0,"، "&amp;IFERROR(INDEX('تشخيص الحالات'!$D$2:$D$1001,SUMPRODUCT(('تشخيص الحالات'!$B$2:$B$1001=B461)*('تشخيص الحالات'!$G$2:$G$1001=7)*ROW('تشخيص الحالات'!$B$2:$B$1001))-1),""),"")&amp;IF(SUMPRODUCT(('تشخيص الحالات'!$B$2:$B$1001=B461)*('تشخيص الحالات'!$G$2:$G$1001=8))&gt;0,"، "&amp;IFERROR(INDEX('تشخيص الحالات'!$D$2:$D$1001,SUMPRODUCT(('تشخيص الحالات'!$B$2:$B$1001=B461)*('تشخيص الحالات'!$G$2:$G$1001=8)*ROW('تشخيص الحالات'!$B$2:$B$1001))-1),""),"")</f>
        <v/>
      </c>
      <c r="J461" s="1"/>
      <c r="K461" s="1"/>
      <c r="L461" s="1"/>
      <c r="M461" s="1"/>
    </row>
    <row r="462" spans="1:13" x14ac:dyDescent="0.2">
      <c r="A462" s="1"/>
      <c r="B462" s="1"/>
      <c r="C462" s="1"/>
      <c r="D462" s="1"/>
      <c r="E462" s="1"/>
      <c r="F462" s="1"/>
      <c r="G462" s="1"/>
      <c r="H462" s="1"/>
      <c r="I462" t="str">
        <f>IFERROR(INDEX('تشخيص الحالات'!$D$2:$D$1001,SUMPRODUCT(('تشخيص الحالات'!$B$2:$B$1001=B462)*('تشخيص الحالات'!$G$2:$G$1001=1)*ROW('تشخيص الحالات'!$B$2:$B$1001))-1),"")&amp;IF(SUMPRODUCT(('تشخيص الحالات'!$B$2:$B$1001=B462)*('تشخيص الحالات'!$G$2:$G$1001=2))&gt;0,"، "&amp;IFERROR(INDEX('تشخيص الحالات'!$D$2:$D$1001,SUMPRODUCT(('تشخيص الحالات'!$B$2:$B$1001=B462)*('تشخيص الحالات'!$G$2:$G$1001=2)*ROW('تشخيص الحالات'!$B$2:$B$1001))-1),""),"")&amp;IF(SUMPRODUCT(('تشخيص الحالات'!$B$2:$B$1001=B462)*('تشخيص الحالات'!$G$2:$G$1001=3))&gt;0,"، "&amp;IFERROR(INDEX('تشخيص الحالات'!$D$2:$D$1001,SUMPRODUCT(('تشخيص الحالات'!$B$2:$B$1001=B462)*('تشخيص الحالات'!$G$2:$G$1001=3)*ROW('تشخيص الحالات'!$B$2:$B$1001))-1),""),"")&amp;IF(SUMPRODUCT(('تشخيص الحالات'!$B$2:$B$1001=B462)*('تشخيص الحالات'!$G$2:$G$1001=4))&gt;0,"، "&amp;IFERROR(INDEX('تشخيص الحالات'!$D$2:$D$1001,SUMPRODUCT(('تشخيص الحالات'!$B$2:$B$1001=B462)*('تشخيص الحالات'!$G$2:$G$1001=4)*ROW('تشخيص الحالات'!$B$2:$B$1001))-1),""),"")&amp;IF(SUMPRODUCT(('تشخيص الحالات'!$B$2:$B$1001=B462)*('تشخيص الحالات'!$G$2:$G$1001=5))&gt;0,"، "&amp;IFERROR(INDEX('تشخيص الحالات'!$D$2:$D$1001,SUMPRODUCT(('تشخيص الحالات'!$B$2:$B$1001=B462)*('تشخيص الحالات'!$G$2:$G$1001=5)*ROW('تشخيص الحالات'!$B$2:$B$1001))-1),""),"")&amp;IF(SUMPRODUCT(('تشخيص الحالات'!$B$2:$B$1001=B462)*('تشخيص الحالات'!$G$2:$G$1001=6))&gt;0,"، "&amp;IFERROR(INDEX('تشخيص الحالات'!$D$2:$D$1001,SUMPRODUCT(('تشخيص الحالات'!$B$2:$B$1001=B462)*('تشخيص الحالات'!$G$2:$G$1001=6)*ROW('تشخيص الحالات'!$B$2:$B$1001))-1),""),"")&amp;IF(SUMPRODUCT(('تشخيص الحالات'!$B$2:$B$1001=B462)*('تشخيص الحالات'!$G$2:$G$1001=7))&gt;0,"، "&amp;IFERROR(INDEX('تشخيص الحالات'!$D$2:$D$1001,SUMPRODUCT(('تشخيص الحالات'!$B$2:$B$1001=B462)*('تشخيص الحالات'!$G$2:$G$1001=7)*ROW('تشخيص الحالات'!$B$2:$B$1001))-1),""),"")&amp;IF(SUMPRODUCT(('تشخيص الحالات'!$B$2:$B$1001=B462)*('تشخيص الحالات'!$G$2:$G$1001=8))&gt;0,"، "&amp;IFERROR(INDEX('تشخيص الحالات'!$D$2:$D$1001,SUMPRODUCT(('تشخيص الحالات'!$B$2:$B$1001=B462)*('تشخيص الحالات'!$G$2:$G$1001=8)*ROW('تشخيص الحالات'!$B$2:$B$1001))-1),""),"")</f>
        <v/>
      </c>
      <c r="J462" s="1"/>
      <c r="K462" s="1"/>
      <c r="L462" s="1"/>
      <c r="M462" s="1"/>
    </row>
    <row r="463" spans="1:13" x14ac:dyDescent="0.2">
      <c r="A463" s="1"/>
      <c r="B463" s="1"/>
      <c r="C463" s="1"/>
      <c r="D463" s="1"/>
      <c r="E463" s="1"/>
      <c r="F463" s="1"/>
      <c r="G463" s="1"/>
      <c r="H463" s="1"/>
      <c r="I463" t="str">
        <f>IFERROR(INDEX('تشخيص الحالات'!$D$2:$D$1001,SUMPRODUCT(('تشخيص الحالات'!$B$2:$B$1001=B463)*('تشخيص الحالات'!$G$2:$G$1001=1)*ROW('تشخيص الحالات'!$B$2:$B$1001))-1),"")&amp;IF(SUMPRODUCT(('تشخيص الحالات'!$B$2:$B$1001=B463)*('تشخيص الحالات'!$G$2:$G$1001=2))&gt;0,"، "&amp;IFERROR(INDEX('تشخيص الحالات'!$D$2:$D$1001,SUMPRODUCT(('تشخيص الحالات'!$B$2:$B$1001=B463)*('تشخيص الحالات'!$G$2:$G$1001=2)*ROW('تشخيص الحالات'!$B$2:$B$1001))-1),""),"")&amp;IF(SUMPRODUCT(('تشخيص الحالات'!$B$2:$B$1001=B463)*('تشخيص الحالات'!$G$2:$G$1001=3))&gt;0,"، "&amp;IFERROR(INDEX('تشخيص الحالات'!$D$2:$D$1001,SUMPRODUCT(('تشخيص الحالات'!$B$2:$B$1001=B463)*('تشخيص الحالات'!$G$2:$G$1001=3)*ROW('تشخيص الحالات'!$B$2:$B$1001))-1),""),"")&amp;IF(SUMPRODUCT(('تشخيص الحالات'!$B$2:$B$1001=B463)*('تشخيص الحالات'!$G$2:$G$1001=4))&gt;0,"، "&amp;IFERROR(INDEX('تشخيص الحالات'!$D$2:$D$1001,SUMPRODUCT(('تشخيص الحالات'!$B$2:$B$1001=B463)*('تشخيص الحالات'!$G$2:$G$1001=4)*ROW('تشخيص الحالات'!$B$2:$B$1001))-1),""),"")&amp;IF(SUMPRODUCT(('تشخيص الحالات'!$B$2:$B$1001=B463)*('تشخيص الحالات'!$G$2:$G$1001=5))&gt;0,"، "&amp;IFERROR(INDEX('تشخيص الحالات'!$D$2:$D$1001,SUMPRODUCT(('تشخيص الحالات'!$B$2:$B$1001=B463)*('تشخيص الحالات'!$G$2:$G$1001=5)*ROW('تشخيص الحالات'!$B$2:$B$1001))-1),""),"")&amp;IF(SUMPRODUCT(('تشخيص الحالات'!$B$2:$B$1001=B463)*('تشخيص الحالات'!$G$2:$G$1001=6))&gt;0,"، "&amp;IFERROR(INDEX('تشخيص الحالات'!$D$2:$D$1001,SUMPRODUCT(('تشخيص الحالات'!$B$2:$B$1001=B463)*('تشخيص الحالات'!$G$2:$G$1001=6)*ROW('تشخيص الحالات'!$B$2:$B$1001))-1),""),"")&amp;IF(SUMPRODUCT(('تشخيص الحالات'!$B$2:$B$1001=B463)*('تشخيص الحالات'!$G$2:$G$1001=7))&gt;0,"، "&amp;IFERROR(INDEX('تشخيص الحالات'!$D$2:$D$1001,SUMPRODUCT(('تشخيص الحالات'!$B$2:$B$1001=B463)*('تشخيص الحالات'!$G$2:$G$1001=7)*ROW('تشخيص الحالات'!$B$2:$B$1001))-1),""),"")&amp;IF(SUMPRODUCT(('تشخيص الحالات'!$B$2:$B$1001=B463)*('تشخيص الحالات'!$G$2:$G$1001=8))&gt;0,"، "&amp;IFERROR(INDEX('تشخيص الحالات'!$D$2:$D$1001,SUMPRODUCT(('تشخيص الحالات'!$B$2:$B$1001=B463)*('تشخيص الحالات'!$G$2:$G$1001=8)*ROW('تشخيص الحالات'!$B$2:$B$1001))-1),""),"")</f>
        <v/>
      </c>
      <c r="J463" s="1"/>
      <c r="K463" s="1"/>
      <c r="L463" s="1"/>
      <c r="M463" s="1"/>
    </row>
    <row r="464" spans="1:13" x14ac:dyDescent="0.2">
      <c r="A464" s="1"/>
      <c r="B464" s="1"/>
      <c r="C464" s="1"/>
      <c r="D464" s="1"/>
      <c r="E464" s="1"/>
      <c r="F464" s="1"/>
      <c r="G464" s="1"/>
      <c r="H464" s="1"/>
      <c r="I464" t="str">
        <f>IFERROR(INDEX('تشخيص الحالات'!$D$2:$D$1001,SUMPRODUCT(('تشخيص الحالات'!$B$2:$B$1001=B464)*('تشخيص الحالات'!$G$2:$G$1001=1)*ROW('تشخيص الحالات'!$B$2:$B$1001))-1),"")&amp;IF(SUMPRODUCT(('تشخيص الحالات'!$B$2:$B$1001=B464)*('تشخيص الحالات'!$G$2:$G$1001=2))&gt;0,"، "&amp;IFERROR(INDEX('تشخيص الحالات'!$D$2:$D$1001,SUMPRODUCT(('تشخيص الحالات'!$B$2:$B$1001=B464)*('تشخيص الحالات'!$G$2:$G$1001=2)*ROW('تشخيص الحالات'!$B$2:$B$1001))-1),""),"")&amp;IF(SUMPRODUCT(('تشخيص الحالات'!$B$2:$B$1001=B464)*('تشخيص الحالات'!$G$2:$G$1001=3))&gt;0,"، "&amp;IFERROR(INDEX('تشخيص الحالات'!$D$2:$D$1001,SUMPRODUCT(('تشخيص الحالات'!$B$2:$B$1001=B464)*('تشخيص الحالات'!$G$2:$G$1001=3)*ROW('تشخيص الحالات'!$B$2:$B$1001))-1),""),"")&amp;IF(SUMPRODUCT(('تشخيص الحالات'!$B$2:$B$1001=B464)*('تشخيص الحالات'!$G$2:$G$1001=4))&gt;0,"، "&amp;IFERROR(INDEX('تشخيص الحالات'!$D$2:$D$1001,SUMPRODUCT(('تشخيص الحالات'!$B$2:$B$1001=B464)*('تشخيص الحالات'!$G$2:$G$1001=4)*ROW('تشخيص الحالات'!$B$2:$B$1001))-1),""),"")&amp;IF(SUMPRODUCT(('تشخيص الحالات'!$B$2:$B$1001=B464)*('تشخيص الحالات'!$G$2:$G$1001=5))&gt;0,"، "&amp;IFERROR(INDEX('تشخيص الحالات'!$D$2:$D$1001,SUMPRODUCT(('تشخيص الحالات'!$B$2:$B$1001=B464)*('تشخيص الحالات'!$G$2:$G$1001=5)*ROW('تشخيص الحالات'!$B$2:$B$1001))-1),""),"")&amp;IF(SUMPRODUCT(('تشخيص الحالات'!$B$2:$B$1001=B464)*('تشخيص الحالات'!$G$2:$G$1001=6))&gt;0,"، "&amp;IFERROR(INDEX('تشخيص الحالات'!$D$2:$D$1001,SUMPRODUCT(('تشخيص الحالات'!$B$2:$B$1001=B464)*('تشخيص الحالات'!$G$2:$G$1001=6)*ROW('تشخيص الحالات'!$B$2:$B$1001))-1),""),"")&amp;IF(SUMPRODUCT(('تشخيص الحالات'!$B$2:$B$1001=B464)*('تشخيص الحالات'!$G$2:$G$1001=7))&gt;0,"، "&amp;IFERROR(INDEX('تشخيص الحالات'!$D$2:$D$1001,SUMPRODUCT(('تشخيص الحالات'!$B$2:$B$1001=B464)*('تشخيص الحالات'!$G$2:$G$1001=7)*ROW('تشخيص الحالات'!$B$2:$B$1001))-1),""),"")&amp;IF(SUMPRODUCT(('تشخيص الحالات'!$B$2:$B$1001=B464)*('تشخيص الحالات'!$G$2:$G$1001=8))&gt;0,"، "&amp;IFERROR(INDEX('تشخيص الحالات'!$D$2:$D$1001,SUMPRODUCT(('تشخيص الحالات'!$B$2:$B$1001=B464)*('تشخيص الحالات'!$G$2:$G$1001=8)*ROW('تشخيص الحالات'!$B$2:$B$1001))-1),""),"")</f>
        <v/>
      </c>
      <c r="J464" s="1"/>
      <c r="K464" s="1"/>
      <c r="L464" s="1"/>
      <c r="M464" s="1"/>
    </row>
    <row r="465" spans="1:13" x14ac:dyDescent="0.2">
      <c r="A465" s="1"/>
      <c r="B465" s="1"/>
      <c r="C465" s="1"/>
      <c r="D465" s="1"/>
      <c r="E465" s="1"/>
      <c r="F465" s="1"/>
      <c r="G465" s="1"/>
      <c r="H465" s="1"/>
      <c r="I465" t="str">
        <f>IFERROR(INDEX('تشخيص الحالات'!$D$2:$D$1001,SUMPRODUCT(('تشخيص الحالات'!$B$2:$B$1001=B465)*('تشخيص الحالات'!$G$2:$G$1001=1)*ROW('تشخيص الحالات'!$B$2:$B$1001))-1),"")&amp;IF(SUMPRODUCT(('تشخيص الحالات'!$B$2:$B$1001=B465)*('تشخيص الحالات'!$G$2:$G$1001=2))&gt;0,"، "&amp;IFERROR(INDEX('تشخيص الحالات'!$D$2:$D$1001,SUMPRODUCT(('تشخيص الحالات'!$B$2:$B$1001=B465)*('تشخيص الحالات'!$G$2:$G$1001=2)*ROW('تشخيص الحالات'!$B$2:$B$1001))-1),""),"")&amp;IF(SUMPRODUCT(('تشخيص الحالات'!$B$2:$B$1001=B465)*('تشخيص الحالات'!$G$2:$G$1001=3))&gt;0,"، "&amp;IFERROR(INDEX('تشخيص الحالات'!$D$2:$D$1001,SUMPRODUCT(('تشخيص الحالات'!$B$2:$B$1001=B465)*('تشخيص الحالات'!$G$2:$G$1001=3)*ROW('تشخيص الحالات'!$B$2:$B$1001))-1),""),"")&amp;IF(SUMPRODUCT(('تشخيص الحالات'!$B$2:$B$1001=B465)*('تشخيص الحالات'!$G$2:$G$1001=4))&gt;0,"، "&amp;IFERROR(INDEX('تشخيص الحالات'!$D$2:$D$1001,SUMPRODUCT(('تشخيص الحالات'!$B$2:$B$1001=B465)*('تشخيص الحالات'!$G$2:$G$1001=4)*ROW('تشخيص الحالات'!$B$2:$B$1001))-1),""),"")&amp;IF(SUMPRODUCT(('تشخيص الحالات'!$B$2:$B$1001=B465)*('تشخيص الحالات'!$G$2:$G$1001=5))&gt;0,"، "&amp;IFERROR(INDEX('تشخيص الحالات'!$D$2:$D$1001,SUMPRODUCT(('تشخيص الحالات'!$B$2:$B$1001=B465)*('تشخيص الحالات'!$G$2:$G$1001=5)*ROW('تشخيص الحالات'!$B$2:$B$1001))-1),""),"")&amp;IF(SUMPRODUCT(('تشخيص الحالات'!$B$2:$B$1001=B465)*('تشخيص الحالات'!$G$2:$G$1001=6))&gt;0,"، "&amp;IFERROR(INDEX('تشخيص الحالات'!$D$2:$D$1001,SUMPRODUCT(('تشخيص الحالات'!$B$2:$B$1001=B465)*('تشخيص الحالات'!$G$2:$G$1001=6)*ROW('تشخيص الحالات'!$B$2:$B$1001))-1),""),"")&amp;IF(SUMPRODUCT(('تشخيص الحالات'!$B$2:$B$1001=B465)*('تشخيص الحالات'!$G$2:$G$1001=7))&gt;0,"، "&amp;IFERROR(INDEX('تشخيص الحالات'!$D$2:$D$1001,SUMPRODUCT(('تشخيص الحالات'!$B$2:$B$1001=B465)*('تشخيص الحالات'!$G$2:$G$1001=7)*ROW('تشخيص الحالات'!$B$2:$B$1001))-1),""),"")&amp;IF(SUMPRODUCT(('تشخيص الحالات'!$B$2:$B$1001=B465)*('تشخيص الحالات'!$G$2:$G$1001=8))&gt;0,"، "&amp;IFERROR(INDEX('تشخيص الحالات'!$D$2:$D$1001,SUMPRODUCT(('تشخيص الحالات'!$B$2:$B$1001=B465)*('تشخيص الحالات'!$G$2:$G$1001=8)*ROW('تشخيص الحالات'!$B$2:$B$1001))-1),""),"")</f>
        <v/>
      </c>
      <c r="J465" s="1"/>
      <c r="K465" s="1"/>
      <c r="L465" s="1"/>
      <c r="M465" s="1"/>
    </row>
    <row r="466" spans="1:13" x14ac:dyDescent="0.2">
      <c r="A466" s="1"/>
      <c r="B466" s="1"/>
      <c r="C466" s="1"/>
      <c r="D466" s="1"/>
      <c r="E466" s="1"/>
      <c r="F466" s="1"/>
      <c r="G466" s="1"/>
      <c r="H466" s="1"/>
      <c r="I466" t="str">
        <f>IFERROR(INDEX('تشخيص الحالات'!$D$2:$D$1001,SUMPRODUCT(('تشخيص الحالات'!$B$2:$B$1001=B466)*('تشخيص الحالات'!$G$2:$G$1001=1)*ROW('تشخيص الحالات'!$B$2:$B$1001))-1),"")&amp;IF(SUMPRODUCT(('تشخيص الحالات'!$B$2:$B$1001=B466)*('تشخيص الحالات'!$G$2:$G$1001=2))&gt;0,"، "&amp;IFERROR(INDEX('تشخيص الحالات'!$D$2:$D$1001,SUMPRODUCT(('تشخيص الحالات'!$B$2:$B$1001=B466)*('تشخيص الحالات'!$G$2:$G$1001=2)*ROW('تشخيص الحالات'!$B$2:$B$1001))-1),""),"")&amp;IF(SUMPRODUCT(('تشخيص الحالات'!$B$2:$B$1001=B466)*('تشخيص الحالات'!$G$2:$G$1001=3))&gt;0,"، "&amp;IFERROR(INDEX('تشخيص الحالات'!$D$2:$D$1001,SUMPRODUCT(('تشخيص الحالات'!$B$2:$B$1001=B466)*('تشخيص الحالات'!$G$2:$G$1001=3)*ROW('تشخيص الحالات'!$B$2:$B$1001))-1),""),"")&amp;IF(SUMPRODUCT(('تشخيص الحالات'!$B$2:$B$1001=B466)*('تشخيص الحالات'!$G$2:$G$1001=4))&gt;0,"، "&amp;IFERROR(INDEX('تشخيص الحالات'!$D$2:$D$1001,SUMPRODUCT(('تشخيص الحالات'!$B$2:$B$1001=B466)*('تشخيص الحالات'!$G$2:$G$1001=4)*ROW('تشخيص الحالات'!$B$2:$B$1001))-1),""),"")&amp;IF(SUMPRODUCT(('تشخيص الحالات'!$B$2:$B$1001=B466)*('تشخيص الحالات'!$G$2:$G$1001=5))&gt;0,"، "&amp;IFERROR(INDEX('تشخيص الحالات'!$D$2:$D$1001,SUMPRODUCT(('تشخيص الحالات'!$B$2:$B$1001=B466)*('تشخيص الحالات'!$G$2:$G$1001=5)*ROW('تشخيص الحالات'!$B$2:$B$1001))-1),""),"")&amp;IF(SUMPRODUCT(('تشخيص الحالات'!$B$2:$B$1001=B466)*('تشخيص الحالات'!$G$2:$G$1001=6))&gt;0,"، "&amp;IFERROR(INDEX('تشخيص الحالات'!$D$2:$D$1001,SUMPRODUCT(('تشخيص الحالات'!$B$2:$B$1001=B466)*('تشخيص الحالات'!$G$2:$G$1001=6)*ROW('تشخيص الحالات'!$B$2:$B$1001))-1),""),"")&amp;IF(SUMPRODUCT(('تشخيص الحالات'!$B$2:$B$1001=B466)*('تشخيص الحالات'!$G$2:$G$1001=7))&gt;0,"، "&amp;IFERROR(INDEX('تشخيص الحالات'!$D$2:$D$1001,SUMPRODUCT(('تشخيص الحالات'!$B$2:$B$1001=B466)*('تشخيص الحالات'!$G$2:$G$1001=7)*ROW('تشخيص الحالات'!$B$2:$B$1001))-1),""),"")&amp;IF(SUMPRODUCT(('تشخيص الحالات'!$B$2:$B$1001=B466)*('تشخيص الحالات'!$G$2:$G$1001=8))&gt;0,"، "&amp;IFERROR(INDEX('تشخيص الحالات'!$D$2:$D$1001,SUMPRODUCT(('تشخيص الحالات'!$B$2:$B$1001=B466)*('تشخيص الحالات'!$G$2:$G$1001=8)*ROW('تشخيص الحالات'!$B$2:$B$1001))-1),""),"")</f>
        <v/>
      </c>
      <c r="J466" s="1"/>
      <c r="K466" s="1"/>
      <c r="L466" s="1"/>
      <c r="M466" s="1"/>
    </row>
    <row r="467" spans="1:13" x14ac:dyDescent="0.2">
      <c r="A467" s="1"/>
      <c r="B467" s="1"/>
      <c r="C467" s="1"/>
      <c r="D467" s="1"/>
      <c r="E467" s="1"/>
      <c r="F467" s="1"/>
      <c r="G467" s="1"/>
      <c r="H467" s="1"/>
      <c r="I467" t="str">
        <f>IFERROR(INDEX('تشخيص الحالات'!$D$2:$D$1001,SUMPRODUCT(('تشخيص الحالات'!$B$2:$B$1001=B467)*('تشخيص الحالات'!$G$2:$G$1001=1)*ROW('تشخيص الحالات'!$B$2:$B$1001))-1),"")&amp;IF(SUMPRODUCT(('تشخيص الحالات'!$B$2:$B$1001=B467)*('تشخيص الحالات'!$G$2:$G$1001=2))&gt;0,"، "&amp;IFERROR(INDEX('تشخيص الحالات'!$D$2:$D$1001,SUMPRODUCT(('تشخيص الحالات'!$B$2:$B$1001=B467)*('تشخيص الحالات'!$G$2:$G$1001=2)*ROW('تشخيص الحالات'!$B$2:$B$1001))-1),""),"")&amp;IF(SUMPRODUCT(('تشخيص الحالات'!$B$2:$B$1001=B467)*('تشخيص الحالات'!$G$2:$G$1001=3))&gt;0,"، "&amp;IFERROR(INDEX('تشخيص الحالات'!$D$2:$D$1001,SUMPRODUCT(('تشخيص الحالات'!$B$2:$B$1001=B467)*('تشخيص الحالات'!$G$2:$G$1001=3)*ROW('تشخيص الحالات'!$B$2:$B$1001))-1),""),"")&amp;IF(SUMPRODUCT(('تشخيص الحالات'!$B$2:$B$1001=B467)*('تشخيص الحالات'!$G$2:$G$1001=4))&gt;0,"، "&amp;IFERROR(INDEX('تشخيص الحالات'!$D$2:$D$1001,SUMPRODUCT(('تشخيص الحالات'!$B$2:$B$1001=B467)*('تشخيص الحالات'!$G$2:$G$1001=4)*ROW('تشخيص الحالات'!$B$2:$B$1001))-1),""),"")&amp;IF(SUMPRODUCT(('تشخيص الحالات'!$B$2:$B$1001=B467)*('تشخيص الحالات'!$G$2:$G$1001=5))&gt;0,"، "&amp;IFERROR(INDEX('تشخيص الحالات'!$D$2:$D$1001,SUMPRODUCT(('تشخيص الحالات'!$B$2:$B$1001=B467)*('تشخيص الحالات'!$G$2:$G$1001=5)*ROW('تشخيص الحالات'!$B$2:$B$1001))-1),""),"")&amp;IF(SUMPRODUCT(('تشخيص الحالات'!$B$2:$B$1001=B467)*('تشخيص الحالات'!$G$2:$G$1001=6))&gt;0,"، "&amp;IFERROR(INDEX('تشخيص الحالات'!$D$2:$D$1001,SUMPRODUCT(('تشخيص الحالات'!$B$2:$B$1001=B467)*('تشخيص الحالات'!$G$2:$G$1001=6)*ROW('تشخيص الحالات'!$B$2:$B$1001))-1),""),"")&amp;IF(SUMPRODUCT(('تشخيص الحالات'!$B$2:$B$1001=B467)*('تشخيص الحالات'!$G$2:$G$1001=7))&gt;0,"، "&amp;IFERROR(INDEX('تشخيص الحالات'!$D$2:$D$1001,SUMPRODUCT(('تشخيص الحالات'!$B$2:$B$1001=B467)*('تشخيص الحالات'!$G$2:$G$1001=7)*ROW('تشخيص الحالات'!$B$2:$B$1001))-1),""),"")&amp;IF(SUMPRODUCT(('تشخيص الحالات'!$B$2:$B$1001=B467)*('تشخيص الحالات'!$G$2:$G$1001=8))&gt;0,"، "&amp;IFERROR(INDEX('تشخيص الحالات'!$D$2:$D$1001,SUMPRODUCT(('تشخيص الحالات'!$B$2:$B$1001=B467)*('تشخيص الحالات'!$G$2:$G$1001=8)*ROW('تشخيص الحالات'!$B$2:$B$1001))-1),""),"")</f>
        <v/>
      </c>
      <c r="J467" s="1"/>
      <c r="K467" s="1"/>
      <c r="L467" s="1"/>
      <c r="M467" s="1"/>
    </row>
    <row r="468" spans="1:13" x14ac:dyDescent="0.2">
      <c r="A468" s="1"/>
      <c r="B468" s="1"/>
      <c r="C468" s="1"/>
      <c r="D468" s="1"/>
      <c r="E468" s="1"/>
      <c r="F468" s="1"/>
      <c r="G468" s="1"/>
      <c r="H468" s="1"/>
      <c r="I468" t="str">
        <f>IFERROR(INDEX('تشخيص الحالات'!$D$2:$D$1001,SUMPRODUCT(('تشخيص الحالات'!$B$2:$B$1001=B468)*('تشخيص الحالات'!$G$2:$G$1001=1)*ROW('تشخيص الحالات'!$B$2:$B$1001))-1),"")&amp;IF(SUMPRODUCT(('تشخيص الحالات'!$B$2:$B$1001=B468)*('تشخيص الحالات'!$G$2:$G$1001=2))&gt;0,"، "&amp;IFERROR(INDEX('تشخيص الحالات'!$D$2:$D$1001,SUMPRODUCT(('تشخيص الحالات'!$B$2:$B$1001=B468)*('تشخيص الحالات'!$G$2:$G$1001=2)*ROW('تشخيص الحالات'!$B$2:$B$1001))-1),""),"")&amp;IF(SUMPRODUCT(('تشخيص الحالات'!$B$2:$B$1001=B468)*('تشخيص الحالات'!$G$2:$G$1001=3))&gt;0,"، "&amp;IFERROR(INDEX('تشخيص الحالات'!$D$2:$D$1001,SUMPRODUCT(('تشخيص الحالات'!$B$2:$B$1001=B468)*('تشخيص الحالات'!$G$2:$G$1001=3)*ROW('تشخيص الحالات'!$B$2:$B$1001))-1),""),"")&amp;IF(SUMPRODUCT(('تشخيص الحالات'!$B$2:$B$1001=B468)*('تشخيص الحالات'!$G$2:$G$1001=4))&gt;0,"، "&amp;IFERROR(INDEX('تشخيص الحالات'!$D$2:$D$1001,SUMPRODUCT(('تشخيص الحالات'!$B$2:$B$1001=B468)*('تشخيص الحالات'!$G$2:$G$1001=4)*ROW('تشخيص الحالات'!$B$2:$B$1001))-1),""),"")&amp;IF(SUMPRODUCT(('تشخيص الحالات'!$B$2:$B$1001=B468)*('تشخيص الحالات'!$G$2:$G$1001=5))&gt;0,"، "&amp;IFERROR(INDEX('تشخيص الحالات'!$D$2:$D$1001,SUMPRODUCT(('تشخيص الحالات'!$B$2:$B$1001=B468)*('تشخيص الحالات'!$G$2:$G$1001=5)*ROW('تشخيص الحالات'!$B$2:$B$1001))-1),""),"")&amp;IF(SUMPRODUCT(('تشخيص الحالات'!$B$2:$B$1001=B468)*('تشخيص الحالات'!$G$2:$G$1001=6))&gt;0,"، "&amp;IFERROR(INDEX('تشخيص الحالات'!$D$2:$D$1001,SUMPRODUCT(('تشخيص الحالات'!$B$2:$B$1001=B468)*('تشخيص الحالات'!$G$2:$G$1001=6)*ROW('تشخيص الحالات'!$B$2:$B$1001))-1),""),"")&amp;IF(SUMPRODUCT(('تشخيص الحالات'!$B$2:$B$1001=B468)*('تشخيص الحالات'!$G$2:$G$1001=7))&gt;0,"، "&amp;IFERROR(INDEX('تشخيص الحالات'!$D$2:$D$1001,SUMPRODUCT(('تشخيص الحالات'!$B$2:$B$1001=B468)*('تشخيص الحالات'!$G$2:$G$1001=7)*ROW('تشخيص الحالات'!$B$2:$B$1001))-1),""),"")&amp;IF(SUMPRODUCT(('تشخيص الحالات'!$B$2:$B$1001=B468)*('تشخيص الحالات'!$G$2:$G$1001=8))&gt;0,"، "&amp;IFERROR(INDEX('تشخيص الحالات'!$D$2:$D$1001,SUMPRODUCT(('تشخيص الحالات'!$B$2:$B$1001=B468)*('تشخيص الحالات'!$G$2:$G$1001=8)*ROW('تشخيص الحالات'!$B$2:$B$1001))-1),""),"")</f>
        <v/>
      </c>
      <c r="J468" s="1"/>
      <c r="K468" s="1"/>
      <c r="L468" s="1"/>
      <c r="M468" s="1"/>
    </row>
    <row r="469" spans="1:13" x14ac:dyDescent="0.2">
      <c r="A469" s="1"/>
      <c r="B469" s="1"/>
      <c r="C469" s="1"/>
      <c r="D469" s="1"/>
      <c r="E469" s="1"/>
      <c r="F469" s="1"/>
      <c r="G469" s="1"/>
      <c r="H469" s="1"/>
      <c r="I469" t="str">
        <f>IFERROR(INDEX('تشخيص الحالات'!$D$2:$D$1001,SUMPRODUCT(('تشخيص الحالات'!$B$2:$B$1001=B469)*('تشخيص الحالات'!$G$2:$G$1001=1)*ROW('تشخيص الحالات'!$B$2:$B$1001))-1),"")&amp;IF(SUMPRODUCT(('تشخيص الحالات'!$B$2:$B$1001=B469)*('تشخيص الحالات'!$G$2:$G$1001=2))&gt;0,"، "&amp;IFERROR(INDEX('تشخيص الحالات'!$D$2:$D$1001,SUMPRODUCT(('تشخيص الحالات'!$B$2:$B$1001=B469)*('تشخيص الحالات'!$G$2:$G$1001=2)*ROW('تشخيص الحالات'!$B$2:$B$1001))-1),""),"")&amp;IF(SUMPRODUCT(('تشخيص الحالات'!$B$2:$B$1001=B469)*('تشخيص الحالات'!$G$2:$G$1001=3))&gt;0,"، "&amp;IFERROR(INDEX('تشخيص الحالات'!$D$2:$D$1001,SUMPRODUCT(('تشخيص الحالات'!$B$2:$B$1001=B469)*('تشخيص الحالات'!$G$2:$G$1001=3)*ROW('تشخيص الحالات'!$B$2:$B$1001))-1),""),"")&amp;IF(SUMPRODUCT(('تشخيص الحالات'!$B$2:$B$1001=B469)*('تشخيص الحالات'!$G$2:$G$1001=4))&gt;0,"، "&amp;IFERROR(INDEX('تشخيص الحالات'!$D$2:$D$1001,SUMPRODUCT(('تشخيص الحالات'!$B$2:$B$1001=B469)*('تشخيص الحالات'!$G$2:$G$1001=4)*ROW('تشخيص الحالات'!$B$2:$B$1001))-1),""),"")&amp;IF(SUMPRODUCT(('تشخيص الحالات'!$B$2:$B$1001=B469)*('تشخيص الحالات'!$G$2:$G$1001=5))&gt;0,"، "&amp;IFERROR(INDEX('تشخيص الحالات'!$D$2:$D$1001,SUMPRODUCT(('تشخيص الحالات'!$B$2:$B$1001=B469)*('تشخيص الحالات'!$G$2:$G$1001=5)*ROW('تشخيص الحالات'!$B$2:$B$1001))-1),""),"")&amp;IF(SUMPRODUCT(('تشخيص الحالات'!$B$2:$B$1001=B469)*('تشخيص الحالات'!$G$2:$G$1001=6))&gt;0,"، "&amp;IFERROR(INDEX('تشخيص الحالات'!$D$2:$D$1001,SUMPRODUCT(('تشخيص الحالات'!$B$2:$B$1001=B469)*('تشخيص الحالات'!$G$2:$G$1001=6)*ROW('تشخيص الحالات'!$B$2:$B$1001))-1),""),"")&amp;IF(SUMPRODUCT(('تشخيص الحالات'!$B$2:$B$1001=B469)*('تشخيص الحالات'!$G$2:$G$1001=7))&gt;0,"، "&amp;IFERROR(INDEX('تشخيص الحالات'!$D$2:$D$1001,SUMPRODUCT(('تشخيص الحالات'!$B$2:$B$1001=B469)*('تشخيص الحالات'!$G$2:$G$1001=7)*ROW('تشخيص الحالات'!$B$2:$B$1001))-1),""),"")&amp;IF(SUMPRODUCT(('تشخيص الحالات'!$B$2:$B$1001=B469)*('تشخيص الحالات'!$G$2:$G$1001=8))&gt;0,"، "&amp;IFERROR(INDEX('تشخيص الحالات'!$D$2:$D$1001,SUMPRODUCT(('تشخيص الحالات'!$B$2:$B$1001=B469)*('تشخيص الحالات'!$G$2:$G$1001=8)*ROW('تشخيص الحالات'!$B$2:$B$1001))-1),""),"")</f>
        <v/>
      </c>
      <c r="J469" s="1"/>
      <c r="K469" s="1"/>
      <c r="L469" s="1"/>
      <c r="M469" s="1"/>
    </row>
    <row r="470" spans="1:13" x14ac:dyDescent="0.2">
      <c r="A470" s="1"/>
      <c r="B470" s="1"/>
      <c r="C470" s="1"/>
      <c r="D470" s="1"/>
      <c r="E470" s="1"/>
      <c r="F470" s="1"/>
      <c r="G470" s="1"/>
      <c r="H470" s="1"/>
      <c r="I470" t="str">
        <f>IFERROR(INDEX('تشخيص الحالات'!$D$2:$D$1001,SUMPRODUCT(('تشخيص الحالات'!$B$2:$B$1001=B470)*('تشخيص الحالات'!$G$2:$G$1001=1)*ROW('تشخيص الحالات'!$B$2:$B$1001))-1),"")&amp;IF(SUMPRODUCT(('تشخيص الحالات'!$B$2:$B$1001=B470)*('تشخيص الحالات'!$G$2:$G$1001=2))&gt;0,"، "&amp;IFERROR(INDEX('تشخيص الحالات'!$D$2:$D$1001,SUMPRODUCT(('تشخيص الحالات'!$B$2:$B$1001=B470)*('تشخيص الحالات'!$G$2:$G$1001=2)*ROW('تشخيص الحالات'!$B$2:$B$1001))-1),""),"")&amp;IF(SUMPRODUCT(('تشخيص الحالات'!$B$2:$B$1001=B470)*('تشخيص الحالات'!$G$2:$G$1001=3))&gt;0,"، "&amp;IFERROR(INDEX('تشخيص الحالات'!$D$2:$D$1001,SUMPRODUCT(('تشخيص الحالات'!$B$2:$B$1001=B470)*('تشخيص الحالات'!$G$2:$G$1001=3)*ROW('تشخيص الحالات'!$B$2:$B$1001))-1),""),"")&amp;IF(SUMPRODUCT(('تشخيص الحالات'!$B$2:$B$1001=B470)*('تشخيص الحالات'!$G$2:$G$1001=4))&gt;0,"، "&amp;IFERROR(INDEX('تشخيص الحالات'!$D$2:$D$1001,SUMPRODUCT(('تشخيص الحالات'!$B$2:$B$1001=B470)*('تشخيص الحالات'!$G$2:$G$1001=4)*ROW('تشخيص الحالات'!$B$2:$B$1001))-1),""),"")&amp;IF(SUMPRODUCT(('تشخيص الحالات'!$B$2:$B$1001=B470)*('تشخيص الحالات'!$G$2:$G$1001=5))&gt;0,"، "&amp;IFERROR(INDEX('تشخيص الحالات'!$D$2:$D$1001,SUMPRODUCT(('تشخيص الحالات'!$B$2:$B$1001=B470)*('تشخيص الحالات'!$G$2:$G$1001=5)*ROW('تشخيص الحالات'!$B$2:$B$1001))-1),""),"")&amp;IF(SUMPRODUCT(('تشخيص الحالات'!$B$2:$B$1001=B470)*('تشخيص الحالات'!$G$2:$G$1001=6))&gt;0,"، "&amp;IFERROR(INDEX('تشخيص الحالات'!$D$2:$D$1001,SUMPRODUCT(('تشخيص الحالات'!$B$2:$B$1001=B470)*('تشخيص الحالات'!$G$2:$G$1001=6)*ROW('تشخيص الحالات'!$B$2:$B$1001))-1),""),"")&amp;IF(SUMPRODUCT(('تشخيص الحالات'!$B$2:$B$1001=B470)*('تشخيص الحالات'!$G$2:$G$1001=7))&gt;0,"، "&amp;IFERROR(INDEX('تشخيص الحالات'!$D$2:$D$1001,SUMPRODUCT(('تشخيص الحالات'!$B$2:$B$1001=B470)*('تشخيص الحالات'!$G$2:$G$1001=7)*ROW('تشخيص الحالات'!$B$2:$B$1001))-1),""),"")&amp;IF(SUMPRODUCT(('تشخيص الحالات'!$B$2:$B$1001=B470)*('تشخيص الحالات'!$G$2:$G$1001=8))&gt;0,"، "&amp;IFERROR(INDEX('تشخيص الحالات'!$D$2:$D$1001,SUMPRODUCT(('تشخيص الحالات'!$B$2:$B$1001=B470)*('تشخيص الحالات'!$G$2:$G$1001=8)*ROW('تشخيص الحالات'!$B$2:$B$1001))-1),""),"")</f>
        <v/>
      </c>
      <c r="J470" s="1"/>
      <c r="K470" s="1"/>
      <c r="L470" s="1"/>
      <c r="M470" s="1"/>
    </row>
    <row r="471" spans="1:13" x14ac:dyDescent="0.2">
      <c r="A471" s="1"/>
      <c r="B471" s="1"/>
      <c r="C471" s="1"/>
      <c r="D471" s="1"/>
      <c r="E471" s="1"/>
      <c r="F471" s="1"/>
      <c r="G471" s="1"/>
      <c r="H471" s="1"/>
      <c r="I471" t="str">
        <f>IFERROR(INDEX('تشخيص الحالات'!$D$2:$D$1001,SUMPRODUCT(('تشخيص الحالات'!$B$2:$B$1001=B471)*('تشخيص الحالات'!$G$2:$G$1001=1)*ROW('تشخيص الحالات'!$B$2:$B$1001))-1),"")&amp;IF(SUMPRODUCT(('تشخيص الحالات'!$B$2:$B$1001=B471)*('تشخيص الحالات'!$G$2:$G$1001=2))&gt;0,"، "&amp;IFERROR(INDEX('تشخيص الحالات'!$D$2:$D$1001,SUMPRODUCT(('تشخيص الحالات'!$B$2:$B$1001=B471)*('تشخيص الحالات'!$G$2:$G$1001=2)*ROW('تشخيص الحالات'!$B$2:$B$1001))-1),""),"")&amp;IF(SUMPRODUCT(('تشخيص الحالات'!$B$2:$B$1001=B471)*('تشخيص الحالات'!$G$2:$G$1001=3))&gt;0,"، "&amp;IFERROR(INDEX('تشخيص الحالات'!$D$2:$D$1001,SUMPRODUCT(('تشخيص الحالات'!$B$2:$B$1001=B471)*('تشخيص الحالات'!$G$2:$G$1001=3)*ROW('تشخيص الحالات'!$B$2:$B$1001))-1),""),"")&amp;IF(SUMPRODUCT(('تشخيص الحالات'!$B$2:$B$1001=B471)*('تشخيص الحالات'!$G$2:$G$1001=4))&gt;0,"، "&amp;IFERROR(INDEX('تشخيص الحالات'!$D$2:$D$1001,SUMPRODUCT(('تشخيص الحالات'!$B$2:$B$1001=B471)*('تشخيص الحالات'!$G$2:$G$1001=4)*ROW('تشخيص الحالات'!$B$2:$B$1001))-1),""),"")&amp;IF(SUMPRODUCT(('تشخيص الحالات'!$B$2:$B$1001=B471)*('تشخيص الحالات'!$G$2:$G$1001=5))&gt;0,"، "&amp;IFERROR(INDEX('تشخيص الحالات'!$D$2:$D$1001,SUMPRODUCT(('تشخيص الحالات'!$B$2:$B$1001=B471)*('تشخيص الحالات'!$G$2:$G$1001=5)*ROW('تشخيص الحالات'!$B$2:$B$1001))-1),""),"")&amp;IF(SUMPRODUCT(('تشخيص الحالات'!$B$2:$B$1001=B471)*('تشخيص الحالات'!$G$2:$G$1001=6))&gt;0,"، "&amp;IFERROR(INDEX('تشخيص الحالات'!$D$2:$D$1001,SUMPRODUCT(('تشخيص الحالات'!$B$2:$B$1001=B471)*('تشخيص الحالات'!$G$2:$G$1001=6)*ROW('تشخيص الحالات'!$B$2:$B$1001))-1),""),"")&amp;IF(SUMPRODUCT(('تشخيص الحالات'!$B$2:$B$1001=B471)*('تشخيص الحالات'!$G$2:$G$1001=7))&gt;0,"، "&amp;IFERROR(INDEX('تشخيص الحالات'!$D$2:$D$1001,SUMPRODUCT(('تشخيص الحالات'!$B$2:$B$1001=B471)*('تشخيص الحالات'!$G$2:$G$1001=7)*ROW('تشخيص الحالات'!$B$2:$B$1001))-1),""),"")&amp;IF(SUMPRODUCT(('تشخيص الحالات'!$B$2:$B$1001=B471)*('تشخيص الحالات'!$G$2:$G$1001=8))&gt;0,"، "&amp;IFERROR(INDEX('تشخيص الحالات'!$D$2:$D$1001,SUMPRODUCT(('تشخيص الحالات'!$B$2:$B$1001=B471)*('تشخيص الحالات'!$G$2:$G$1001=8)*ROW('تشخيص الحالات'!$B$2:$B$1001))-1),""),"")</f>
        <v/>
      </c>
      <c r="J471" s="1"/>
      <c r="K471" s="1"/>
      <c r="L471" s="1"/>
      <c r="M471" s="1"/>
    </row>
    <row r="472" spans="1:13" x14ac:dyDescent="0.2">
      <c r="A472" s="1"/>
      <c r="B472" s="1"/>
      <c r="C472" s="1"/>
      <c r="D472" s="1"/>
      <c r="E472" s="1"/>
      <c r="F472" s="1"/>
      <c r="G472" s="1"/>
      <c r="H472" s="1"/>
      <c r="I472" t="str">
        <f>IFERROR(INDEX('تشخيص الحالات'!$D$2:$D$1001,SUMPRODUCT(('تشخيص الحالات'!$B$2:$B$1001=B472)*('تشخيص الحالات'!$G$2:$G$1001=1)*ROW('تشخيص الحالات'!$B$2:$B$1001))-1),"")&amp;IF(SUMPRODUCT(('تشخيص الحالات'!$B$2:$B$1001=B472)*('تشخيص الحالات'!$G$2:$G$1001=2))&gt;0,"، "&amp;IFERROR(INDEX('تشخيص الحالات'!$D$2:$D$1001,SUMPRODUCT(('تشخيص الحالات'!$B$2:$B$1001=B472)*('تشخيص الحالات'!$G$2:$G$1001=2)*ROW('تشخيص الحالات'!$B$2:$B$1001))-1),""),"")&amp;IF(SUMPRODUCT(('تشخيص الحالات'!$B$2:$B$1001=B472)*('تشخيص الحالات'!$G$2:$G$1001=3))&gt;0,"، "&amp;IFERROR(INDEX('تشخيص الحالات'!$D$2:$D$1001,SUMPRODUCT(('تشخيص الحالات'!$B$2:$B$1001=B472)*('تشخيص الحالات'!$G$2:$G$1001=3)*ROW('تشخيص الحالات'!$B$2:$B$1001))-1),""),"")&amp;IF(SUMPRODUCT(('تشخيص الحالات'!$B$2:$B$1001=B472)*('تشخيص الحالات'!$G$2:$G$1001=4))&gt;0,"، "&amp;IFERROR(INDEX('تشخيص الحالات'!$D$2:$D$1001,SUMPRODUCT(('تشخيص الحالات'!$B$2:$B$1001=B472)*('تشخيص الحالات'!$G$2:$G$1001=4)*ROW('تشخيص الحالات'!$B$2:$B$1001))-1),""),"")&amp;IF(SUMPRODUCT(('تشخيص الحالات'!$B$2:$B$1001=B472)*('تشخيص الحالات'!$G$2:$G$1001=5))&gt;0,"، "&amp;IFERROR(INDEX('تشخيص الحالات'!$D$2:$D$1001,SUMPRODUCT(('تشخيص الحالات'!$B$2:$B$1001=B472)*('تشخيص الحالات'!$G$2:$G$1001=5)*ROW('تشخيص الحالات'!$B$2:$B$1001))-1),""),"")&amp;IF(SUMPRODUCT(('تشخيص الحالات'!$B$2:$B$1001=B472)*('تشخيص الحالات'!$G$2:$G$1001=6))&gt;0,"، "&amp;IFERROR(INDEX('تشخيص الحالات'!$D$2:$D$1001,SUMPRODUCT(('تشخيص الحالات'!$B$2:$B$1001=B472)*('تشخيص الحالات'!$G$2:$G$1001=6)*ROW('تشخيص الحالات'!$B$2:$B$1001))-1),""),"")&amp;IF(SUMPRODUCT(('تشخيص الحالات'!$B$2:$B$1001=B472)*('تشخيص الحالات'!$G$2:$G$1001=7))&gt;0,"، "&amp;IFERROR(INDEX('تشخيص الحالات'!$D$2:$D$1001,SUMPRODUCT(('تشخيص الحالات'!$B$2:$B$1001=B472)*('تشخيص الحالات'!$G$2:$G$1001=7)*ROW('تشخيص الحالات'!$B$2:$B$1001))-1),""),"")&amp;IF(SUMPRODUCT(('تشخيص الحالات'!$B$2:$B$1001=B472)*('تشخيص الحالات'!$G$2:$G$1001=8))&gt;0,"، "&amp;IFERROR(INDEX('تشخيص الحالات'!$D$2:$D$1001,SUMPRODUCT(('تشخيص الحالات'!$B$2:$B$1001=B472)*('تشخيص الحالات'!$G$2:$G$1001=8)*ROW('تشخيص الحالات'!$B$2:$B$1001))-1),""),"")</f>
        <v/>
      </c>
      <c r="J472" s="1"/>
      <c r="K472" s="1"/>
      <c r="L472" s="1"/>
      <c r="M472" s="1"/>
    </row>
    <row r="473" spans="1:13" x14ac:dyDescent="0.2">
      <c r="A473" s="1"/>
      <c r="B473" s="1"/>
      <c r="C473" s="1"/>
      <c r="D473" s="1"/>
      <c r="E473" s="1"/>
      <c r="F473" s="1"/>
      <c r="G473" s="1"/>
      <c r="H473" s="1"/>
      <c r="I473" t="str">
        <f>IFERROR(INDEX('تشخيص الحالات'!$D$2:$D$1001,SUMPRODUCT(('تشخيص الحالات'!$B$2:$B$1001=B473)*('تشخيص الحالات'!$G$2:$G$1001=1)*ROW('تشخيص الحالات'!$B$2:$B$1001))-1),"")&amp;IF(SUMPRODUCT(('تشخيص الحالات'!$B$2:$B$1001=B473)*('تشخيص الحالات'!$G$2:$G$1001=2))&gt;0,"، "&amp;IFERROR(INDEX('تشخيص الحالات'!$D$2:$D$1001,SUMPRODUCT(('تشخيص الحالات'!$B$2:$B$1001=B473)*('تشخيص الحالات'!$G$2:$G$1001=2)*ROW('تشخيص الحالات'!$B$2:$B$1001))-1),""),"")&amp;IF(SUMPRODUCT(('تشخيص الحالات'!$B$2:$B$1001=B473)*('تشخيص الحالات'!$G$2:$G$1001=3))&gt;0,"، "&amp;IFERROR(INDEX('تشخيص الحالات'!$D$2:$D$1001,SUMPRODUCT(('تشخيص الحالات'!$B$2:$B$1001=B473)*('تشخيص الحالات'!$G$2:$G$1001=3)*ROW('تشخيص الحالات'!$B$2:$B$1001))-1),""),"")&amp;IF(SUMPRODUCT(('تشخيص الحالات'!$B$2:$B$1001=B473)*('تشخيص الحالات'!$G$2:$G$1001=4))&gt;0,"، "&amp;IFERROR(INDEX('تشخيص الحالات'!$D$2:$D$1001,SUMPRODUCT(('تشخيص الحالات'!$B$2:$B$1001=B473)*('تشخيص الحالات'!$G$2:$G$1001=4)*ROW('تشخيص الحالات'!$B$2:$B$1001))-1),""),"")&amp;IF(SUMPRODUCT(('تشخيص الحالات'!$B$2:$B$1001=B473)*('تشخيص الحالات'!$G$2:$G$1001=5))&gt;0,"، "&amp;IFERROR(INDEX('تشخيص الحالات'!$D$2:$D$1001,SUMPRODUCT(('تشخيص الحالات'!$B$2:$B$1001=B473)*('تشخيص الحالات'!$G$2:$G$1001=5)*ROW('تشخيص الحالات'!$B$2:$B$1001))-1),""),"")&amp;IF(SUMPRODUCT(('تشخيص الحالات'!$B$2:$B$1001=B473)*('تشخيص الحالات'!$G$2:$G$1001=6))&gt;0,"، "&amp;IFERROR(INDEX('تشخيص الحالات'!$D$2:$D$1001,SUMPRODUCT(('تشخيص الحالات'!$B$2:$B$1001=B473)*('تشخيص الحالات'!$G$2:$G$1001=6)*ROW('تشخيص الحالات'!$B$2:$B$1001))-1),""),"")&amp;IF(SUMPRODUCT(('تشخيص الحالات'!$B$2:$B$1001=B473)*('تشخيص الحالات'!$G$2:$G$1001=7))&gt;0,"، "&amp;IFERROR(INDEX('تشخيص الحالات'!$D$2:$D$1001,SUMPRODUCT(('تشخيص الحالات'!$B$2:$B$1001=B473)*('تشخيص الحالات'!$G$2:$G$1001=7)*ROW('تشخيص الحالات'!$B$2:$B$1001))-1),""),"")&amp;IF(SUMPRODUCT(('تشخيص الحالات'!$B$2:$B$1001=B473)*('تشخيص الحالات'!$G$2:$G$1001=8))&gt;0,"، "&amp;IFERROR(INDEX('تشخيص الحالات'!$D$2:$D$1001,SUMPRODUCT(('تشخيص الحالات'!$B$2:$B$1001=B473)*('تشخيص الحالات'!$G$2:$G$1001=8)*ROW('تشخيص الحالات'!$B$2:$B$1001))-1),""),"")</f>
        <v/>
      </c>
      <c r="J473" s="1"/>
      <c r="K473" s="1"/>
      <c r="L473" s="1"/>
      <c r="M473" s="1"/>
    </row>
    <row r="474" spans="1:13" x14ac:dyDescent="0.2">
      <c r="A474" s="1"/>
      <c r="B474" s="1"/>
      <c r="C474" s="1"/>
      <c r="D474" s="1"/>
      <c r="E474" s="1"/>
      <c r="F474" s="1"/>
      <c r="G474" s="1"/>
      <c r="H474" s="1"/>
      <c r="I474" t="str">
        <f>IFERROR(INDEX('تشخيص الحالات'!$D$2:$D$1001,SUMPRODUCT(('تشخيص الحالات'!$B$2:$B$1001=B474)*('تشخيص الحالات'!$G$2:$G$1001=1)*ROW('تشخيص الحالات'!$B$2:$B$1001))-1),"")&amp;IF(SUMPRODUCT(('تشخيص الحالات'!$B$2:$B$1001=B474)*('تشخيص الحالات'!$G$2:$G$1001=2))&gt;0,"، "&amp;IFERROR(INDEX('تشخيص الحالات'!$D$2:$D$1001,SUMPRODUCT(('تشخيص الحالات'!$B$2:$B$1001=B474)*('تشخيص الحالات'!$G$2:$G$1001=2)*ROW('تشخيص الحالات'!$B$2:$B$1001))-1),""),"")&amp;IF(SUMPRODUCT(('تشخيص الحالات'!$B$2:$B$1001=B474)*('تشخيص الحالات'!$G$2:$G$1001=3))&gt;0,"، "&amp;IFERROR(INDEX('تشخيص الحالات'!$D$2:$D$1001,SUMPRODUCT(('تشخيص الحالات'!$B$2:$B$1001=B474)*('تشخيص الحالات'!$G$2:$G$1001=3)*ROW('تشخيص الحالات'!$B$2:$B$1001))-1),""),"")&amp;IF(SUMPRODUCT(('تشخيص الحالات'!$B$2:$B$1001=B474)*('تشخيص الحالات'!$G$2:$G$1001=4))&gt;0,"، "&amp;IFERROR(INDEX('تشخيص الحالات'!$D$2:$D$1001,SUMPRODUCT(('تشخيص الحالات'!$B$2:$B$1001=B474)*('تشخيص الحالات'!$G$2:$G$1001=4)*ROW('تشخيص الحالات'!$B$2:$B$1001))-1),""),"")&amp;IF(SUMPRODUCT(('تشخيص الحالات'!$B$2:$B$1001=B474)*('تشخيص الحالات'!$G$2:$G$1001=5))&gt;0,"، "&amp;IFERROR(INDEX('تشخيص الحالات'!$D$2:$D$1001,SUMPRODUCT(('تشخيص الحالات'!$B$2:$B$1001=B474)*('تشخيص الحالات'!$G$2:$G$1001=5)*ROW('تشخيص الحالات'!$B$2:$B$1001))-1),""),"")&amp;IF(SUMPRODUCT(('تشخيص الحالات'!$B$2:$B$1001=B474)*('تشخيص الحالات'!$G$2:$G$1001=6))&gt;0,"، "&amp;IFERROR(INDEX('تشخيص الحالات'!$D$2:$D$1001,SUMPRODUCT(('تشخيص الحالات'!$B$2:$B$1001=B474)*('تشخيص الحالات'!$G$2:$G$1001=6)*ROW('تشخيص الحالات'!$B$2:$B$1001))-1),""),"")&amp;IF(SUMPRODUCT(('تشخيص الحالات'!$B$2:$B$1001=B474)*('تشخيص الحالات'!$G$2:$G$1001=7))&gt;0,"، "&amp;IFERROR(INDEX('تشخيص الحالات'!$D$2:$D$1001,SUMPRODUCT(('تشخيص الحالات'!$B$2:$B$1001=B474)*('تشخيص الحالات'!$G$2:$G$1001=7)*ROW('تشخيص الحالات'!$B$2:$B$1001))-1),""),"")&amp;IF(SUMPRODUCT(('تشخيص الحالات'!$B$2:$B$1001=B474)*('تشخيص الحالات'!$G$2:$G$1001=8))&gt;0,"، "&amp;IFERROR(INDEX('تشخيص الحالات'!$D$2:$D$1001,SUMPRODUCT(('تشخيص الحالات'!$B$2:$B$1001=B474)*('تشخيص الحالات'!$G$2:$G$1001=8)*ROW('تشخيص الحالات'!$B$2:$B$1001))-1),""),"")</f>
        <v/>
      </c>
      <c r="J474" s="1"/>
      <c r="K474" s="1"/>
      <c r="L474" s="1"/>
      <c r="M474" s="1"/>
    </row>
    <row r="475" spans="1:13" x14ac:dyDescent="0.2">
      <c r="A475" s="1"/>
      <c r="B475" s="1"/>
      <c r="C475" s="1"/>
      <c r="D475" s="1"/>
      <c r="E475" s="1"/>
      <c r="F475" s="1"/>
      <c r="G475" s="1"/>
      <c r="H475" s="1"/>
      <c r="I475" t="str">
        <f>IFERROR(INDEX('تشخيص الحالات'!$D$2:$D$1001,SUMPRODUCT(('تشخيص الحالات'!$B$2:$B$1001=B475)*('تشخيص الحالات'!$G$2:$G$1001=1)*ROW('تشخيص الحالات'!$B$2:$B$1001))-1),"")&amp;IF(SUMPRODUCT(('تشخيص الحالات'!$B$2:$B$1001=B475)*('تشخيص الحالات'!$G$2:$G$1001=2))&gt;0,"، "&amp;IFERROR(INDEX('تشخيص الحالات'!$D$2:$D$1001,SUMPRODUCT(('تشخيص الحالات'!$B$2:$B$1001=B475)*('تشخيص الحالات'!$G$2:$G$1001=2)*ROW('تشخيص الحالات'!$B$2:$B$1001))-1),""),"")&amp;IF(SUMPRODUCT(('تشخيص الحالات'!$B$2:$B$1001=B475)*('تشخيص الحالات'!$G$2:$G$1001=3))&gt;0,"، "&amp;IFERROR(INDEX('تشخيص الحالات'!$D$2:$D$1001,SUMPRODUCT(('تشخيص الحالات'!$B$2:$B$1001=B475)*('تشخيص الحالات'!$G$2:$G$1001=3)*ROW('تشخيص الحالات'!$B$2:$B$1001))-1),""),"")&amp;IF(SUMPRODUCT(('تشخيص الحالات'!$B$2:$B$1001=B475)*('تشخيص الحالات'!$G$2:$G$1001=4))&gt;0,"، "&amp;IFERROR(INDEX('تشخيص الحالات'!$D$2:$D$1001,SUMPRODUCT(('تشخيص الحالات'!$B$2:$B$1001=B475)*('تشخيص الحالات'!$G$2:$G$1001=4)*ROW('تشخيص الحالات'!$B$2:$B$1001))-1),""),"")&amp;IF(SUMPRODUCT(('تشخيص الحالات'!$B$2:$B$1001=B475)*('تشخيص الحالات'!$G$2:$G$1001=5))&gt;0,"، "&amp;IFERROR(INDEX('تشخيص الحالات'!$D$2:$D$1001,SUMPRODUCT(('تشخيص الحالات'!$B$2:$B$1001=B475)*('تشخيص الحالات'!$G$2:$G$1001=5)*ROW('تشخيص الحالات'!$B$2:$B$1001))-1),""),"")&amp;IF(SUMPRODUCT(('تشخيص الحالات'!$B$2:$B$1001=B475)*('تشخيص الحالات'!$G$2:$G$1001=6))&gt;0,"، "&amp;IFERROR(INDEX('تشخيص الحالات'!$D$2:$D$1001,SUMPRODUCT(('تشخيص الحالات'!$B$2:$B$1001=B475)*('تشخيص الحالات'!$G$2:$G$1001=6)*ROW('تشخيص الحالات'!$B$2:$B$1001))-1),""),"")&amp;IF(SUMPRODUCT(('تشخيص الحالات'!$B$2:$B$1001=B475)*('تشخيص الحالات'!$G$2:$G$1001=7))&gt;0,"، "&amp;IFERROR(INDEX('تشخيص الحالات'!$D$2:$D$1001,SUMPRODUCT(('تشخيص الحالات'!$B$2:$B$1001=B475)*('تشخيص الحالات'!$G$2:$G$1001=7)*ROW('تشخيص الحالات'!$B$2:$B$1001))-1),""),"")&amp;IF(SUMPRODUCT(('تشخيص الحالات'!$B$2:$B$1001=B475)*('تشخيص الحالات'!$G$2:$G$1001=8))&gt;0,"، "&amp;IFERROR(INDEX('تشخيص الحالات'!$D$2:$D$1001,SUMPRODUCT(('تشخيص الحالات'!$B$2:$B$1001=B475)*('تشخيص الحالات'!$G$2:$G$1001=8)*ROW('تشخيص الحالات'!$B$2:$B$1001))-1),""),"")</f>
        <v/>
      </c>
      <c r="J475" s="1"/>
      <c r="K475" s="1"/>
      <c r="L475" s="1"/>
      <c r="M475" s="1"/>
    </row>
    <row r="476" spans="1:13" x14ac:dyDescent="0.2">
      <c r="A476" s="1"/>
      <c r="B476" s="1"/>
      <c r="C476" s="1"/>
      <c r="D476" s="1"/>
      <c r="E476" s="1"/>
      <c r="F476" s="1"/>
      <c r="G476" s="1"/>
      <c r="H476" s="1"/>
      <c r="I476" t="str">
        <f>IFERROR(INDEX('تشخيص الحالات'!$D$2:$D$1001,SUMPRODUCT(('تشخيص الحالات'!$B$2:$B$1001=B476)*('تشخيص الحالات'!$G$2:$G$1001=1)*ROW('تشخيص الحالات'!$B$2:$B$1001))-1),"")&amp;IF(SUMPRODUCT(('تشخيص الحالات'!$B$2:$B$1001=B476)*('تشخيص الحالات'!$G$2:$G$1001=2))&gt;0,"، "&amp;IFERROR(INDEX('تشخيص الحالات'!$D$2:$D$1001,SUMPRODUCT(('تشخيص الحالات'!$B$2:$B$1001=B476)*('تشخيص الحالات'!$G$2:$G$1001=2)*ROW('تشخيص الحالات'!$B$2:$B$1001))-1),""),"")&amp;IF(SUMPRODUCT(('تشخيص الحالات'!$B$2:$B$1001=B476)*('تشخيص الحالات'!$G$2:$G$1001=3))&gt;0,"، "&amp;IFERROR(INDEX('تشخيص الحالات'!$D$2:$D$1001,SUMPRODUCT(('تشخيص الحالات'!$B$2:$B$1001=B476)*('تشخيص الحالات'!$G$2:$G$1001=3)*ROW('تشخيص الحالات'!$B$2:$B$1001))-1),""),"")&amp;IF(SUMPRODUCT(('تشخيص الحالات'!$B$2:$B$1001=B476)*('تشخيص الحالات'!$G$2:$G$1001=4))&gt;0,"، "&amp;IFERROR(INDEX('تشخيص الحالات'!$D$2:$D$1001,SUMPRODUCT(('تشخيص الحالات'!$B$2:$B$1001=B476)*('تشخيص الحالات'!$G$2:$G$1001=4)*ROW('تشخيص الحالات'!$B$2:$B$1001))-1),""),"")&amp;IF(SUMPRODUCT(('تشخيص الحالات'!$B$2:$B$1001=B476)*('تشخيص الحالات'!$G$2:$G$1001=5))&gt;0,"، "&amp;IFERROR(INDEX('تشخيص الحالات'!$D$2:$D$1001,SUMPRODUCT(('تشخيص الحالات'!$B$2:$B$1001=B476)*('تشخيص الحالات'!$G$2:$G$1001=5)*ROW('تشخيص الحالات'!$B$2:$B$1001))-1),""),"")&amp;IF(SUMPRODUCT(('تشخيص الحالات'!$B$2:$B$1001=B476)*('تشخيص الحالات'!$G$2:$G$1001=6))&gt;0,"، "&amp;IFERROR(INDEX('تشخيص الحالات'!$D$2:$D$1001,SUMPRODUCT(('تشخيص الحالات'!$B$2:$B$1001=B476)*('تشخيص الحالات'!$G$2:$G$1001=6)*ROW('تشخيص الحالات'!$B$2:$B$1001))-1),""),"")&amp;IF(SUMPRODUCT(('تشخيص الحالات'!$B$2:$B$1001=B476)*('تشخيص الحالات'!$G$2:$G$1001=7))&gt;0,"، "&amp;IFERROR(INDEX('تشخيص الحالات'!$D$2:$D$1001,SUMPRODUCT(('تشخيص الحالات'!$B$2:$B$1001=B476)*('تشخيص الحالات'!$G$2:$G$1001=7)*ROW('تشخيص الحالات'!$B$2:$B$1001))-1),""),"")&amp;IF(SUMPRODUCT(('تشخيص الحالات'!$B$2:$B$1001=B476)*('تشخيص الحالات'!$G$2:$G$1001=8))&gt;0,"، "&amp;IFERROR(INDEX('تشخيص الحالات'!$D$2:$D$1001,SUMPRODUCT(('تشخيص الحالات'!$B$2:$B$1001=B476)*('تشخيص الحالات'!$G$2:$G$1001=8)*ROW('تشخيص الحالات'!$B$2:$B$1001))-1),""),"")</f>
        <v/>
      </c>
      <c r="J476" s="1"/>
      <c r="K476" s="1"/>
      <c r="L476" s="1"/>
      <c r="M476" s="1"/>
    </row>
    <row r="477" spans="1:13" x14ac:dyDescent="0.2">
      <c r="A477" s="1"/>
      <c r="B477" s="1"/>
      <c r="C477" s="1"/>
      <c r="D477" s="1"/>
      <c r="E477" s="1"/>
      <c r="F477" s="1"/>
      <c r="G477" s="1"/>
      <c r="H477" s="1"/>
      <c r="I477" t="str">
        <f>IFERROR(INDEX('تشخيص الحالات'!$D$2:$D$1001,SUMPRODUCT(('تشخيص الحالات'!$B$2:$B$1001=B477)*('تشخيص الحالات'!$G$2:$G$1001=1)*ROW('تشخيص الحالات'!$B$2:$B$1001))-1),"")&amp;IF(SUMPRODUCT(('تشخيص الحالات'!$B$2:$B$1001=B477)*('تشخيص الحالات'!$G$2:$G$1001=2))&gt;0,"، "&amp;IFERROR(INDEX('تشخيص الحالات'!$D$2:$D$1001,SUMPRODUCT(('تشخيص الحالات'!$B$2:$B$1001=B477)*('تشخيص الحالات'!$G$2:$G$1001=2)*ROW('تشخيص الحالات'!$B$2:$B$1001))-1),""),"")&amp;IF(SUMPRODUCT(('تشخيص الحالات'!$B$2:$B$1001=B477)*('تشخيص الحالات'!$G$2:$G$1001=3))&gt;0,"، "&amp;IFERROR(INDEX('تشخيص الحالات'!$D$2:$D$1001,SUMPRODUCT(('تشخيص الحالات'!$B$2:$B$1001=B477)*('تشخيص الحالات'!$G$2:$G$1001=3)*ROW('تشخيص الحالات'!$B$2:$B$1001))-1),""),"")&amp;IF(SUMPRODUCT(('تشخيص الحالات'!$B$2:$B$1001=B477)*('تشخيص الحالات'!$G$2:$G$1001=4))&gt;0,"، "&amp;IFERROR(INDEX('تشخيص الحالات'!$D$2:$D$1001,SUMPRODUCT(('تشخيص الحالات'!$B$2:$B$1001=B477)*('تشخيص الحالات'!$G$2:$G$1001=4)*ROW('تشخيص الحالات'!$B$2:$B$1001))-1),""),"")&amp;IF(SUMPRODUCT(('تشخيص الحالات'!$B$2:$B$1001=B477)*('تشخيص الحالات'!$G$2:$G$1001=5))&gt;0,"، "&amp;IFERROR(INDEX('تشخيص الحالات'!$D$2:$D$1001,SUMPRODUCT(('تشخيص الحالات'!$B$2:$B$1001=B477)*('تشخيص الحالات'!$G$2:$G$1001=5)*ROW('تشخيص الحالات'!$B$2:$B$1001))-1),""),"")&amp;IF(SUMPRODUCT(('تشخيص الحالات'!$B$2:$B$1001=B477)*('تشخيص الحالات'!$G$2:$G$1001=6))&gt;0,"، "&amp;IFERROR(INDEX('تشخيص الحالات'!$D$2:$D$1001,SUMPRODUCT(('تشخيص الحالات'!$B$2:$B$1001=B477)*('تشخيص الحالات'!$G$2:$G$1001=6)*ROW('تشخيص الحالات'!$B$2:$B$1001))-1),""),"")&amp;IF(SUMPRODUCT(('تشخيص الحالات'!$B$2:$B$1001=B477)*('تشخيص الحالات'!$G$2:$G$1001=7))&gt;0,"، "&amp;IFERROR(INDEX('تشخيص الحالات'!$D$2:$D$1001,SUMPRODUCT(('تشخيص الحالات'!$B$2:$B$1001=B477)*('تشخيص الحالات'!$G$2:$G$1001=7)*ROW('تشخيص الحالات'!$B$2:$B$1001))-1),""),"")&amp;IF(SUMPRODUCT(('تشخيص الحالات'!$B$2:$B$1001=B477)*('تشخيص الحالات'!$G$2:$G$1001=8))&gt;0,"، "&amp;IFERROR(INDEX('تشخيص الحالات'!$D$2:$D$1001,SUMPRODUCT(('تشخيص الحالات'!$B$2:$B$1001=B477)*('تشخيص الحالات'!$G$2:$G$1001=8)*ROW('تشخيص الحالات'!$B$2:$B$1001))-1),""),"")</f>
        <v/>
      </c>
      <c r="J477" s="1"/>
      <c r="K477" s="1"/>
      <c r="L477" s="1"/>
      <c r="M477" s="1"/>
    </row>
    <row r="478" spans="1:13" x14ac:dyDescent="0.2">
      <c r="A478" s="1"/>
      <c r="B478" s="1"/>
      <c r="C478" s="1"/>
      <c r="D478" s="1"/>
      <c r="E478" s="1"/>
      <c r="F478" s="1"/>
      <c r="G478" s="1"/>
      <c r="H478" s="1"/>
      <c r="I478" t="str">
        <f>IFERROR(INDEX('تشخيص الحالات'!$D$2:$D$1001,SUMPRODUCT(('تشخيص الحالات'!$B$2:$B$1001=B478)*('تشخيص الحالات'!$G$2:$G$1001=1)*ROW('تشخيص الحالات'!$B$2:$B$1001))-1),"")&amp;IF(SUMPRODUCT(('تشخيص الحالات'!$B$2:$B$1001=B478)*('تشخيص الحالات'!$G$2:$G$1001=2))&gt;0,"، "&amp;IFERROR(INDEX('تشخيص الحالات'!$D$2:$D$1001,SUMPRODUCT(('تشخيص الحالات'!$B$2:$B$1001=B478)*('تشخيص الحالات'!$G$2:$G$1001=2)*ROW('تشخيص الحالات'!$B$2:$B$1001))-1),""),"")&amp;IF(SUMPRODUCT(('تشخيص الحالات'!$B$2:$B$1001=B478)*('تشخيص الحالات'!$G$2:$G$1001=3))&gt;0,"، "&amp;IFERROR(INDEX('تشخيص الحالات'!$D$2:$D$1001,SUMPRODUCT(('تشخيص الحالات'!$B$2:$B$1001=B478)*('تشخيص الحالات'!$G$2:$G$1001=3)*ROW('تشخيص الحالات'!$B$2:$B$1001))-1),""),"")&amp;IF(SUMPRODUCT(('تشخيص الحالات'!$B$2:$B$1001=B478)*('تشخيص الحالات'!$G$2:$G$1001=4))&gt;0,"، "&amp;IFERROR(INDEX('تشخيص الحالات'!$D$2:$D$1001,SUMPRODUCT(('تشخيص الحالات'!$B$2:$B$1001=B478)*('تشخيص الحالات'!$G$2:$G$1001=4)*ROW('تشخيص الحالات'!$B$2:$B$1001))-1),""),"")&amp;IF(SUMPRODUCT(('تشخيص الحالات'!$B$2:$B$1001=B478)*('تشخيص الحالات'!$G$2:$G$1001=5))&gt;0,"، "&amp;IFERROR(INDEX('تشخيص الحالات'!$D$2:$D$1001,SUMPRODUCT(('تشخيص الحالات'!$B$2:$B$1001=B478)*('تشخيص الحالات'!$G$2:$G$1001=5)*ROW('تشخيص الحالات'!$B$2:$B$1001))-1),""),"")&amp;IF(SUMPRODUCT(('تشخيص الحالات'!$B$2:$B$1001=B478)*('تشخيص الحالات'!$G$2:$G$1001=6))&gt;0,"، "&amp;IFERROR(INDEX('تشخيص الحالات'!$D$2:$D$1001,SUMPRODUCT(('تشخيص الحالات'!$B$2:$B$1001=B478)*('تشخيص الحالات'!$G$2:$G$1001=6)*ROW('تشخيص الحالات'!$B$2:$B$1001))-1),""),"")&amp;IF(SUMPRODUCT(('تشخيص الحالات'!$B$2:$B$1001=B478)*('تشخيص الحالات'!$G$2:$G$1001=7))&gt;0,"، "&amp;IFERROR(INDEX('تشخيص الحالات'!$D$2:$D$1001,SUMPRODUCT(('تشخيص الحالات'!$B$2:$B$1001=B478)*('تشخيص الحالات'!$G$2:$G$1001=7)*ROW('تشخيص الحالات'!$B$2:$B$1001))-1),""),"")&amp;IF(SUMPRODUCT(('تشخيص الحالات'!$B$2:$B$1001=B478)*('تشخيص الحالات'!$G$2:$G$1001=8))&gt;0,"، "&amp;IFERROR(INDEX('تشخيص الحالات'!$D$2:$D$1001,SUMPRODUCT(('تشخيص الحالات'!$B$2:$B$1001=B478)*('تشخيص الحالات'!$G$2:$G$1001=8)*ROW('تشخيص الحالات'!$B$2:$B$1001))-1),""),"")</f>
        <v/>
      </c>
      <c r="J478" s="1"/>
      <c r="K478" s="1"/>
      <c r="L478" s="1"/>
      <c r="M478" s="1"/>
    </row>
    <row r="479" spans="1:13" x14ac:dyDescent="0.2">
      <c r="A479" s="1"/>
      <c r="B479" s="1"/>
      <c r="C479" s="1"/>
      <c r="D479" s="1"/>
      <c r="E479" s="1"/>
      <c r="F479" s="1"/>
      <c r="G479" s="1"/>
      <c r="H479" s="1"/>
      <c r="I479" t="str">
        <f>IFERROR(INDEX('تشخيص الحالات'!$D$2:$D$1001,SUMPRODUCT(('تشخيص الحالات'!$B$2:$B$1001=B479)*('تشخيص الحالات'!$G$2:$G$1001=1)*ROW('تشخيص الحالات'!$B$2:$B$1001))-1),"")&amp;IF(SUMPRODUCT(('تشخيص الحالات'!$B$2:$B$1001=B479)*('تشخيص الحالات'!$G$2:$G$1001=2))&gt;0,"، "&amp;IFERROR(INDEX('تشخيص الحالات'!$D$2:$D$1001,SUMPRODUCT(('تشخيص الحالات'!$B$2:$B$1001=B479)*('تشخيص الحالات'!$G$2:$G$1001=2)*ROW('تشخيص الحالات'!$B$2:$B$1001))-1),""),"")&amp;IF(SUMPRODUCT(('تشخيص الحالات'!$B$2:$B$1001=B479)*('تشخيص الحالات'!$G$2:$G$1001=3))&gt;0,"، "&amp;IFERROR(INDEX('تشخيص الحالات'!$D$2:$D$1001,SUMPRODUCT(('تشخيص الحالات'!$B$2:$B$1001=B479)*('تشخيص الحالات'!$G$2:$G$1001=3)*ROW('تشخيص الحالات'!$B$2:$B$1001))-1),""),"")&amp;IF(SUMPRODUCT(('تشخيص الحالات'!$B$2:$B$1001=B479)*('تشخيص الحالات'!$G$2:$G$1001=4))&gt;0,"، "&amp;IFERROR(INDEX('تشخيص الحالات'!$D$2:$D$1001,SUMPRODUCT(('تشخيص الحالات'!$B$2:$B$1001=B479)*('تشخيص الحالات'!$G$2:$G$1001=4)*ROW('تشخيص الحالات'!$B$2:$B$1001))-1),""),"")&amp;IF(SUMPRODUCT(('تشخيص الحالات'!$B$2:$B$1001=B479)*('تشخيص الحالات'!$G$2:$G$1001=5))&gt;0,"، "&amp;IFERROR(INDEX('تشخيص الحالات'!$D$2:$D$1001,SUMPRODUCT(('تشخيص الحالات'!$B$2:$B$1001=B479)*('تشخيص الحالات'!$G$2:$G$1001=5)*ROW('تشخيص الحالات'!$B$2:$B$1001))-1),""),"")&amp;IF(SUMPRODUCT(('تشخيص الحالات'!$B$2:$B$1001=B479)*('تشخيص الحالات'!$G$2:$G$1001=6))&gt;0,"، "&amp;IFERROR(INDEX('تشخيص الحالات'!$D$2:$D$1001,SUMPRODUCT(('تشخيص الحالات'!$B$2:$B$1001=B479)*('تشخيص الحالات'!$G$2:$G$1001=6)*ROW('تشخيص الحالات'!$B$2:$B$1001))-1),""),"")&amp;IF(SUMPRODUCT(('تشخيص الحالات'!$B$2:$B$1001=B479)*('تشخيص الحالات'!$G$2:$G$1001=7))&gt;0,"، "&amp;IFERROR(INDEX('تشخيص الحالات'!$D$2:$D$1001,SUMPRODUCT(('تشخيص الحالات'!$B$2:$B$1001=B479)*('تشخيص الحالات'!$G$2:$G$1001=7)*ROW('تشخيص الحالات'!$B$2:$B$1001))-1),""),"")&amp;IF(SUMPRODUCT(('تشخيص الحالات'!$B$2:$B$1001=B479)*('تشخيص الحالات'!$G$2:$G$1001=8))&gt;0,"، "&amp;IFERROR(INDEX('تشخيص الحالات'!$D$2:$D$1001,SUMPRODUCT(('تشخيص الحالات'!$B$2:$B$1001=B479)*('تشخيص الحالات'!$G$2:$G$1001=8)*ROW('تشخيص الحالات'!$B$2:$B$1001))-1),""),"")</f>
        <v/>
      </c>
      <c r="J479" s="1"/>
      <c r="K479" s="1"/>
      <c r="L479" s="1"/>
      <c r="M479" s="1"/>
    </row>
    <row r="480" spans="1:13" x14ac:dyDescent="0.2">
      <c r="A480" s="1"/>
      <c r="B480" s="1"/>
      <c r="C480" s="1"/>
      <c r="D480" s="1"/>
      <c r="E480" s="1"/>
      <c r="F480" s="1"/>
      <c r="G480" s="1"/>
      <c r="H480" s="1"/>
      <c r="I480" t="str">
        <f>IFERROR(INDEX('تشخيص الحالات'!$D$2:$D$1001,SUMPRODUCT(('تشخيص الحالات'!$B$2:$B$1001=B480)*('تشخيص الحالات'!$G$2:$G$1001=1)*ROW('تشخيص الحالات'!$B$2:$B$1001))-1),"")&amp;IF(SUMPRODUCT(('تشخيص الحالات'!$B$2:$B$1001=B480)*('تشخيص الحالات'!$G$2:$G$1001=2))&gt;0,"، "&amp;IFERROR(INDEX('تشخيص الحالات'!$D$2:$D$1001,SUMPRODUCT(('تشخيص الحالات'!$B$2:$B$1001=B480)*('تشخيص الحالات'!$G$2:$G$1001=2)*ROW('تشخيص الحالات'!$B$2:$B$1001))-1),""),"")&amp;IF(SUMPRODUCT(('تشخيص الحالات'!$B$2:$B$1001=B480)*('تشخيص الحالات'!$G$2:$G$1001=3))&gt;0,"، "&amp;IFERROR(INDEX('تشخيص الحالات'!$D$2:$D$1001,SUMPRODUCT(('تشخيص الحالات'!$B$2:$B$1001=B480)*('تشخيص الحالات'!$G$2:$G$1001=3)*ROW('تشخيص الحالات'!$B$2:$B$1001))-1),""),"")&amp;IF(SUMPRODUCT(('تشخيص الحالات'!$B$2:$B$1001=B480)*('تشخيص الحالات'!$G$2:$G$1001=4))&gt;0,"، "&amp;IFERROR(INDEX('تشخيص الحالات'!$D$2:$D$1001,SUMPRODUCT(('تشخيص الحالات'!$B$2:$B$1001=B480)*('تشخيص الحالات'!$G$2:$G$1001=4)*ROW('تشخيص الحالات'!$B$2:$B$1001))-1),""),"")&amp;IF(SUMPRODUCT(('تشخيص الحالات'!$B$2:$B$1001=B480)*('تشخيص الحالات'!$G$2:$G$1001=5))&gt;0,"، "&amp;IFERROR(INDEX('تشخيص الحالات'!$D$2:$D$1001,SUMPRODUCT(('تشخيص الحالات'!$B$2:$B$1001=B480)*('تشخيص الحالات'!$G$2:$G$1001=5)*ROW('تشخيص الحالات'!$B$2:$B$1001))-1),""),"")&amp;IF(SUMPRODUCT(('تشخيص الحالات'!$B$2:$B$1001=B480)*('تشخيص الحالات'!$G$2:$G$1001=6))&gt;0,"، "&amp;IFERROR(INDEX('تشخيص الحالات'!$D$2:$D$1001,SUMPRODUCT(('تشخيص الحالات'!$B$2:$B$1001=B480)*('تشخيص الحالات'!$G$2:$G$1001=6)*ROW('تشخيص الحالات'!$B$2:$B$1001))-1),""),"")&amp;IF(SUMPRODUCT(('تشخيص الحالات'!$B$2:$B$1001=B480)*('تشخيص الحالات'!$G$2:$G$1001=7))&gt;0,"، "&amp;IFERROR(INDEX('تشخيص الحالات'!$D$2:$D$1001,SUMPRODUCT(('تشخيص الحالات'!$B$2:$B$1001=B480)*('تشخيص الحالات'!$G$2:$G$1001=7)*ROW('تشخيص الحالات'!$B$2:$B$1001))-1),""),"")&amp;IF(SUMPRODUCT(('تشخيص الحالات'!$B$2:$B$1001=B480)*('تشخيص الحالات'!$G$2:$G$1001=8))&gt;0,"، "&amp;IFERROR(INDEX('تشخيص الحالات'!$D$2:$D$1001,SUMPRODUCT(('تشخيص الحالات'!$B$2:$B$1001=B480)*('تشخيص الحالات'!$G$2:$G$1001=8)*ROW('تشخيص الحالات'!$B$2:$B$1001))-1),""),"")</f>
        <v/>
      </c>
      <c r="J480" s="1"/>
      <c r="K480" s="1"/>
      <c r="L480" s="1"/>
      <c r="M480" s="1"/>
    </row>
    <row r="481" spans="1:13" x14ac:dyDescent="0.2">
      <c r="A481" s="1"/>
      <c r="B481" s="1"/>
      <c r="C481" s="1"/>
      <c r="D481" s="1"/>
      <c r="E481" s="1"/>
      <c r="F481" s="1"/>
      <c r="G481" s="1"/>
      <c r="H481" s="1"/>
      <c r="I481" t="str">
        <f>IFERROR(INDEX('تشخيص الحالات'!$D$2:$D$1001,SUMPRODUCT(('تشخيص الحالات'!$B$2:$B$1001=B481)*('تشخيص الحالات'!$G$2:$G$1001=1)*ROW('تشخيص الحالات'!$B$2:$B$1001))-1),"")&amp;IF(SUMPRODUCT(('تشخيص الحالات'!$B$2:$B$1001=B481)*('تشخيص الحالات'!$G$2:$G$1001=2))&gt;0,"، "&amp;IFERROR(INDEX('تشخيص الحالات'!$D$2:$D$1001,SUMPRODUCT(('تشخيص الحالات'!$B$2:$B$1001=B481)*('تشخيص الحالات'!$G$2:$G$1001=2)*ROW('تشخيص الحالات'!$B$2:$B$1001))-1),""),"")&amp;IF(SUMPRODUCT(('تشخيص الحالات'!$B$2:$B$1001=B481)*('تشخيص الحالات'!$G$2:$G$1001=3))&gt;0,"، "&amp;IFERROR(INDEX('تشخيص الحالات'!$D$2:$D$1001,SUMPRODUCT(('تشخيص الحالات'!$B$2:$B$1001=B481)*('تشخيص الحالات'!$G$2:$G$1001=3)*ROW('تشخيص الحالات'!$B$2:$B$1001))-1),""),"")&amp;IF(SUMPRODUCT(('تشخيص الحالات'!$B$2:$B$1001=B481)*('تشخيص الحالات'!$G$2:$G$1001=4))&gt;0,"، "&amp;IFERROR(INDEX('تشخيص الحالات'!$D$2:$D$1001,SUMPRODUCT(('تشخيص الحالات'!$B$2:$B$1001=B481)*('تشخيص الحالات'!$G$2:$G$1001=4)*ROW('تشخيص الحالات'!$B$2:$B$1001))-1),""),"")&amp;IF(SUMPRODUCT(('تشخيص الحالات'!$B$2:$B$1001=B481)*('تشخيص الحالات'!$G$2:$G$1001=5))&gt;0,"، "&amp;IFERROR(INDEX('تشخيص الحالات'!$D$2:$D$1001,SUMPRODUCT(('تشخيص الحالات'!$B$2:$B$1001=B481)*('تشخيص الحالات'!$G$2:$G$1001=5)*ROW('تشخيص الحالات'!$B$2:$B$1001))-1),""),"")&amp;IF(SUMPRODUCT(('تشخيص الحالات'!$B$2:$B$1001=B481)*('تشخيص الحالات'!$G$2:$G$1001=6))&gt;0,"، "&amp;IFERROR(INDEX('تشخيص الحالات'!$D$2:$D$1001,SUMPRODUCT(('تشخيص الحالات'!$B$2:$B$1001=B481)*('تشخيص الحالات'!$G$2:$G$1001=6)*ROW('تشخيص الحالات'!$B$2:$B$1001))-1),""),"")&amp;IF(SUMPRODUCT(('تشخيص الحالات'!$B$2:$B$1001=B481)*('تشخيص الحالات'!$G$2:$G$1001=7))&gt;0,"، "&amp;IFERROR(INDEX('تشخيص الحالات'!$D$2:$D$1001,SUMPRODUCT(('تشخيص الحالات'!$B$2:$B$1001=B481)*('تشخيص الحالات'!$G$2:$G$1001=7)*ROW('تشخيص الحالات'!$B$2:$B$1001))-1),""),"")&amp;IF(SUMPRODUCT(('تشخيص الحالات'!$B$2:$B$1001=B481)*('تشخيص الحالات'!$G$2:$G$1001=8))&gt;0,"، "&amp;IFERROR(INDEX('تشخيص الحالات'!$D$2:$D$1001,SUMPRODUCT(('تشخيص الحالات'!$B$2:$B$1001=B481)*('تشخيص الحالات'!$G$2:$G$1001=8)*ROW('تشخيص الحالات'!$B$2:$B$1001))-1),""),"")</f>
        <v/>
      </c>
      <c r="J481" s="1"/>
      <c r="K481" s="1"/>
      <c r="L481" s="1"/>
      <c r="M481" s="1"/>
    </row>
    <row r="482" spans="1:13" x14ac:dyDescent="0.2">
      <c r="A482" s="1"/>
      <c r="B482" s="1"/>
      <c r="C482" s="1"/>
      <c r="D482" s="1"/>
      <c r="E482" s="1"/>
      <c r="F482" s="1"/>
      <c r="G482" s="1"/>
      <c r="H482" s="1"/>
      <c r="I482" t="str">
        <f>IFERROR(INDEX('تشخيص الحالات'!$D$2:$D$1001,SUMPRODUCT(('تشخيص الحالات'!$B$2:$B$1001=B482)*('تشخيص الحالات'!$G$2:$G$1001=1)*ROW('تشخيص الحالات'!$B$2:$B$1001))-1),"")&amp;IF(SUMPRODUCT(('تشخيص الحالات'!$B$2:$B$1001=B482)*('تشخيص الحالات'!$G$2:$G$1001=2))&gt;0,"، "&amp;IFERROR(INDEX('تشخيص الحالات'!$D$2:$D$1001,SUMPRODUCT(('تشخيص الحالات'!$B$2:$B$1001=B482)*('تشخيص الحالات'!$G$2:$G$1001=2)*ROW('تشخيص الحالات'!$B$2:$B$1001))-1),""),"")&amp;IF(SUMPRODUCT(('تشخيص الحالات'!$B$2:$B$1001=B482)*('تشخيص الحالات'!$G$2:$G$1001=3))&gt;0,"، "&amp;IFERROR(INDEX('تشخيص الحالات'!$D$2:$D$1001,SUMPRODUCT(('تشخيص الحالات'!$B$2:$B$1001=B482)*('تشخيص الحالات'!$G$2:$G$1001=3)*ROW('تشخيص الحالات'!$B$2:$B$1001))-1),""),"")&amp;IF(SUMPRODUCT(('تشخيص الحالات'!$B$2:$B$1001=B482)*('تشخيص الحالات'!$G$2:$G$1001=4))&gt;0,"، "&amp;IFERROR(INDEX('تشخيص الحالات'!$D$2:$D$1001,SUMPRODUCT(('تشخيص الحالات'!$B$2:$B$1001=B482)*('تشخيص الحالات'!$G$2:$G$1001=4)*ROW('تشخيص الحالات'!$B$2:$B$1001))-1),""),"")&amp;IF(SUMPRODUCT(('تشخيص الحالات'!$B$2:$B$1001=B482)*('تشخيص الحالات'!$G$2:$G$1001=5))&gt;0,"، "&amp;IFERROR(INDEX('تشخيص الحالات'!$D$2:$D$1001,SUMPRODUCT(('تشخيص الحالات'!$B$2:$B$1001=B482)*('تشخيص الحالات'!$G$2:$G$1001=5)*ROW('تشخيص الحالات'!$B$2:$B$1001))-1),""),"")&amp;IF(SUMPRODUCT(('تشخيص الحالات'!$B$2:$B$1001=B482)*('تشخيص الحالات'!$G$2:$G$1001=6))&gt;0,"، "&amp;IFERROR(INDEX('تشخيص الحالات'!$D$2:$D$1001,SUMPRODUCT(('تشخيص الحالات'!$B$2:$B$1001=B482)*('تشخيص الحالات'!$G$2:$G$1001=6)*ROW('تشخيص الحالات'!$B$2:$B$1001))-1),""),"")&amp;IF(SUMPRODUCT(('تشخيص الحالات'!$B$2:$B$1001=B482)*('تشخيص الحالات'!$G$2:$G$1001=7))&gt;0,"، "&amp;IFERROR(INDEX('تشخيص الحالات'!$D$2:$D$1001,SUMPRODUCT(('تشخيص الحالات'!$B$2:$B$1001=B482)*('تشخيص الحالات'!$G$2:$G$1001=7)*ROW('تشخيص الحالات'!$B$2:$B$1001))-1),""),"")&amp;IF(SUMPRODUCT(('تشخيص الحالات'!$B$2:$B$1001=B482)*('تشخيص الحالات'!$G$2:$G$1001=8))&gt;0,"، "&amp;IFERROR(INDEX('تشخيص الحالات'!$D$2:$D$1001,SUMPRODUCT(('تشخيص الحالات'!$B$2:$B$1001=B482)*('تشخيص الحالات'!$G$2:$G$1001=8)*ROW('تشخيص الحالات'!$B$2:$B$1001))-1),""),"")</f>
        <v/>
      </c>
      <c r="J482" s="1"/>
      <c r="K482" s="1"/>
      <c r="L482" s="1"/>
      <c r="M482" s="1"/>
    </row>
    <row r="483" spans="1:13" x14ac:dyDescent="0.2">
      <c r="A483" s="1"/>
      <c r="B483" s="1"/>
      <c r="C483" s="1"/>
      <c r="D483" s="1"/>
      <c r="E483" s="1"/>
      <c r="F483" s="1"/>
      <c r="G483" s="1"/>
      <c r="H483" s="1"/>
      <c r="I483" t="str">
        <f>IFERROR(INDEX('تشخيص الحالات'!$D$2:$D$1001,SUMPRODUCT(('تشخيص الحالات'!$B$2:$B$1001=B483)*('تشخيص الحالات'!$G$2:$G$1001=1)*ROW('تشخيص الحالات'!$B$2:$B$1001))-1),"")&amp;IF(SUMPRODUCT(('تشخيص الحالات'!$B$2:$B$1001=B483)*('تشخيص الحالات'!$G$2:$G$1001=2))&gt;0,"، "&amp;IFERROR(INDEX('تشخيص الحالات'!$D$2:$D$1001,SUMPRODUCT(('تشخيص الحالات'!$B$2:$B$1001=B483)*('تشخيص الحالات'!$G$2:$G$1001=2)*ROW('تشخيص الحالات'!$B$2:$B$1001))-1),""),"")&amp;IF(SUMPRODUCT(('تشخيص الحالات'!$B$2:$B$1001=B483)*('تشخيص الحالات'!$G$2:$G$1001=3))&gt;0,"، "&amp;IFERROR(INDEX('تشخيص الحالات'!$D$2:$D$1001,SUMPRODUCT(('تشخيص الحالات'!$B$2:$B$1001=B483)*('تشخيص الحالات'!$G$2:$G$1001=3)*ROW('تشخيص الحالات'!$B$2:$B$1001))-1),""),"")&amp;IF(SUMPRODUCT(('تشخيص الحالات'!$B$2:$B$1001=B483)*('تشخيص الحالات'!$G$2:$G$1001=4))&gt;0,"، "&amp;IFERROR(INDEX('تشخيص الحالات'!$D$2:$D$1001,SUMPRODUCT(('تشخيص الحالات'!$B$2:$B$1001=B483)*('تشخيص الحالات'!$G$2:$G$1001=4)*ROW('تشخيص الحالات'!$B$2:$B$1001))-1),""),"")&amp;IF(SUMPRODUCT(('تشخيص الحالات'!$B$2:$B$1001=B483)*('تشخيص الحالات'!$G$2:$G$1001=5))&gt;0,"، "&amp;IFERROR(INDEX('تشخيص الحالات'!$D$2:$D$1001,SUMPRODUCT(('تشخيص الحالات'!$B$2:$B$1001=B483)*('تشخيص الحالات'!$G$2:$G$1001=5)*ROW('تشخيص الحالات'!$B$2:$B$1001))-1),""),"")&amp;IF(SUMPRODUCT(('تشخيص الحالات'!$B$2:$B$1001=B483)*('تشخيص الحالات'!$G$2:$G$1001=6))&gt;0,"، "&amp;IFERROR(INDEX('تشخيص الحالات'!$D$2:$D$1001,SUMPRODUCT(('تشخيص الحالات'!$B$2:$B$1001=B483)*('تشخيص الحالات'!$G$2:$G$1001=6)*ROW('تشخيص الحالات'!$B$2:$B$1001))-1),""),"")&amp;IF(SUMPRODUCT(('تشخيص الحالات'!$B$2:$B$1001=B483)*('تشخيص الحالات'!$G$2:$G$1001=7))&gt;0,"، "&amp;IFERROR(INDEX('تشخيص الحالات'!$D$2:$D$1001,SUMPRODUCT(('تشخيص الحالات'!$B$2:$B$1001=B483)*('تشخيص الحالات'!$G$2:$G$1001=7)*ROW('تشخيص الحالات'!$B$2:$B$1001))-1),""),"")&amp;IF(SUMPRODUCT(('تشخيص الحالات'!$B$2:$B$1001=B483)*('تشخيص الحالات'!$G$2:$G$1001=8))&gt;0,"، "&amp;IFERROR(INDEX('تشخيص الحالات'!$D$2:$D$1001,SUMPRODUCT(('تشخيص الحالات'!$B$2:$B$1001=B483)*('تشخيص الحالات'!$G$2:$G$1001=8)*ROW('تشخيص الحالات'!$B$2:$B$1001))-1),""),"")</f>
        <v/>
      </c>
      <c r="J483" s="1"/>
      <c r="K483" s="1"/>
      <c r="L483" s="1"/>
      <c r="M483" s="1"/>
    </row>
    <row r="484" spans="1:13" x14ac:dyDescent="0.2">
      <c r="A484" s="1"/>
      <c r="B484" s="1"/>
      <c r="C484" s="1"/>
      <c r="D484" s="1"/>
      <c r="E484" s="1"/>
      <c r="F484" s="1"/>
      <c r="G484" s="1"/>
      <c r="H484" s="1"/>
      <c r="I484" t="str">
        <f>IFERROR(INDEX('تشخيص الحالات'!$D$2:$D$1001,SUMPRODUCT(('تشخيص الحالات'!$B$2:$B$1001=B484)*('تشخيص الحالات'!$G$2:$G$1001=1)*ROW('تشخيص الحالات'!$B$2:$B$1001))-1),"")&amp;IF(SUMPRODUCT(('تشخيص الحالات'!$B$2:$B$1001=B484)*('تشخيص الحالات'!$G$2:$G$1001=2))&gt;0,"، "&amp;IFERROR(INDEX('تشخيص الحالات'!$D$2:$D$1001,SUMPRODUCT(('تشخيص الحالات'!$B$2:$B$1001=B484)*('تشخيص الحالات'!$G$2:$G$1001=2)*ROW('تشخيص الحالات'!$B$2:$B$1001))-1),""),"")&amp;IF(SUMPRODUCT(('تشخيص الحالات'!$B$2:$B$1001=B484)*('تشخيص الحالات'!$G$2:$G$1001=3))&gt;0,"، "&amp;IFERROR(INDEX('تشخيص الحالات'!$D$2:$D$1001,SUMPRODUCT(('تشخيص الحالات'!$B$2:$B$1001=B484)*('تشخيص الحالات'!$G$2:$G$1001=3)*ROW('تشخيص الحالات'!$B$2:$B$1001))-1),""),"")&amp;IF(SUMPRODUCT(('تشخيص الحالات'!$B$2:$B$1001=B484)*('تشخيص الحالات'!$G$2:$G$1001=4))&gt;0,"، "&amp;IFERROR(INDEX('تشخيص الحالات'!$D$2:$D$1001,SUMPRODUCT(('تشخيص الحالات'!$B$2:$B$1001=B484)*('تشخيص الحالات'!$G$2:$G$1001=4)*ROW('تشخيص الحالات'!$B$2:$B$1001))-1),""),"")&amp;IF(SUMPRODUCT(('تشخيص الحالات'!$B$2:$B$1001=B484)*('تشخيص الحالات'!$G$2:$G$1001=5))&gt;0,"، "&amp;IFERROR(INDEX('تشخيص الحالات'!$D$2:$D$1001,SUMPRODUCT(('تشخيص الحالات'!$B$2:$B$1001=B484)*('تشخيص الحالات'!$G$2:$G$1001=5)*ROW('تشخيص الحالات'!$B$2:$B$1001))-1),""),"")&amp;IF(SUMPRODUCT(('تشخيص الحالات'!$B$2:$B$1001=B484)*('تشخيص الحالات'!$G$2:$G$1001=6))&gt;0,"، "&amp;IFERROR(INDEX('تشخيص الحالات'!$D$2:$D$1001,SUMPRODUCT(('تشخيص الحالات'!$B$2:$B$1001=B484)*('تشخيص الحالات'!$G$2:$G$1001=6)*ROW('تشخيص الحالات'!$B$2:$B$1001))-1),""),"")&amp;IF(SUMPRODUCT(('تشخيص الحالات'!$B$2:$B$1001=B484)*('تشخيص الحالات'!$G$2:$G$1001=7))&gt;0,"، "&amp;IFERROR(INDEX('تشخيص الحالات'!$D$2:$D$1001,SUMPRODUCT(('تشخيص الحالات'!$B$2:$B$1001=B484)*('تشخيص الحالات'!$G$2:$G$1001=7)*ROW('تشخيص الحالات'!$B$2:$B$1001))-1),""),"")&amp;IF(SUMPRODUCT(('تشخيص الحالات'!$B$2:$B$1001=B484)*('تشخيص الحالات'!$G$2:$G$1001=8))&gt;0,"، "&amp;IFERROR(INDEX('تشخيص الحالات'!$D$2:$D$1001,SUMPRODUCT(('تشخيص الحالات'!$B$2:$B$1001=B484)*('تشخيص الحالات'!$G$2:$G$1001=8)*ROW('تشخيص الحالات'!$B$2:$B$1001))-1),""),"")</f>
        <v/>
      </c>
      <c r="J484" s="1"/>
      <c r="K484" s="1"/>
      <c r="L484" s="1"/>
      <c r="M484" s="1"/>
    </row>
    <row r="485" spans="1:13" x14ac:dyDescent="0.2">
      <c r="A485" s="1"/>
      <c r="B485" s="1"/>
      <c r="C485" s="1"/>
      <c r="D485" s="1"/>
      <c r="E485" s="1"/>
      <c r="F485" s="1"/>
      <c r="G485" s="1"/>
      <c r="H485" s="1"/>
      <c r="I485" t="str">
        <f>IFERROR(INDEX('تشخيص الحالات'!$D$2:$D$1001,SUMPRODUCT(('تشخيص الحالات'!$B$2:$B$1001=B485)*('تشخيص الحالات'!$G$2:$G$1001=1)*ROW('تشخيص الحالات'!$B$2:$B$1001))-1),"")&amp;IF(SUMPRODUCT(('تشخيص الحالات'!$B$2:$B$1001=B485)*('تشخيص الحالات'!$G$2:$G$1001=2))&gt;0,"، "&amp;IFERROR(INDEX('تشخيص الحالات'!$D$2:$D$1001,SUMPRODUCT(('تشخيص الحالات'!$B$2:$B$1001=B485)*('تشخيص الحالات'!$G$2:$G$1001=2)*ROW('تشخيص الحالات'!$B$2:$B$1001))-1),""),"")&amp;IF(SUMPRODUCT(('تشخيص الحالات'!$B$2:$B$1001=B485)*('تشخيص الحالات'!$G$2:$G$1001=3))&gt;0,"، "&amp;IFERROR(INDEX('تشخيص الحالات'!$D$2:$D$1001,SUMPRODUCT(('تشخيص الحالات'!$B$2:$B$1001=B485)*('تشخيص الحالات'!$G$2:$G$1001=3)*ROW('تشخيص الحالات'!$B$2:$B$1001))-1),""),"")&amp;IF(SUMPRODUCT(('تشخيص الحالات'!$B$2:$B$1001=B485)*('تشخيص الحالات'!$G$2:$G$1001=4))&gt;0,"، "&amp;IFERROR(INDEX('تشخيص الحالات'!$D$2:$D$1001,SUMPRODUCT(('تشخيص الحالات'!$B$2:$B$1001=B485)*('تشخيص الحالات'!$G$2:$G$1001=4)*ROW('تشخيص الحالات'!$B$2:$B$1001))-1),""),"")&amp;IF(SUMPRODUCT(('تشخيص الحالات'!$B$2:$B$1001=B485)*('تشخيص الحالات'!$G$2:$G$1001=5))&gt;0,"، "&amp;IFERROR(INDEX('تشخيص الحالات'!$D$2:$D$1001,SUMPRODUCT(('تشخيص الحالات'!$B$2:$B$1001=B485)*('تشخيص الحالات'!$G$2:$G$1001=5)*ROW('تشخيص الحالات'!$B$2:$B$1001))-1),""),"")&amp;IF(SUMPRODUCT(('تشخيص الحالات'!$B$2:$B$1001=B485)*('تشخيص الحالات'!$G$2:$G$1001=6))&gt;0,"، "&amp;IFERROR(INDEX('تشخيص الحالات'!$D$2:$D$1001,SUMPRODUCT(('تشخيص الحالات'!$B$2:$B$1001=B485)*('تشخيص الحالات'!$G$2:$G$1001=6)*ROW('تشخيص الحالات'!$B$2:$B$1001))-1),""),"")&amp;IF(SUMPRODUCT(('تشخيص الحالات'!$B$2:$B$1001=B485)*('تشخيص الحالات'!$G$2:$G$1001=7))&gt;0,"، "&amp;IFERROR(INDEX('تشخيص الحالات'!$D$2:$D$1001,SUMPRODUCT(('تشخيص الحالات'!$B$2:$B$1001=B485)*('تشخيص الحالات'!$G$2:$G$1001=7)*ROW('تشخيص الحالات'!$B$2:$B$1001))-1),""),"")&amp;IF(SUMPRODUCT(('تشخيص الحالات'!$B$2:$B$1001=B485)*('تشخيص الحالات'!$G$2:$G$1001=8))&gt;0,"، "&amp;IFERROR(INDEX('تشخيص الحالات'!$D$2:$D$1001,SUMPRODUCT(('تشخيص الحالات'!$B$2:$B$1001=B485)*('تشخيص الحالات'!$G$2:$G$1001=8)*ROW('تشخيص الحالات'!$B$2:$B$1001))-1),""),"")</f>
        <v/>
      </c>
      <c r="J485" s="1"/>
      <c r="K485" s="1"/>
      <c r="L485" s="1"/>
      <c r="M485" s="1"/>
    </row>
    <row r="486" spans="1:13" x14ac:dyDescent="0.2">
      <c r="A486" s="1"/>
      <c r="B486" s="1"/>
      <c r="C486" s="1"/>
      <c r="D486" s="1"/>
      <c r="E486" s="1"/>
      <c r="F486" s="1"/>
      <c r="G486" s="1"/>
      <c r="H486" s="1"/>
      <c r="I486" t="str">
        <f>IFERROR(INDEX('تشخيص الحالات'!$D$2:$D$1001,SUMPRODUCT(('تشخيص الحالات'!$B$2:$B$1001=B486)*('تشخيص الحالات'!$G$2:$G$1001=1)*ROW('تشخيص الحالات'!$B$2:$B$1001))-1),"")&amp;IF(SUMPRODUCT(('تشخيص الحالات'!$B$2:$B$1001=B486)*('تشخيص الحالات'!$G$2:$G$1001=2))&gt;0,"، "&amp;IFERROR(INDEX('تشخيص الحالات'!$D$2:$D$1001,SUMPRODUCT(('تشخيص الحالات'!$B$2:$B$1001=B486)*('تشخيص الحالات'!$G$2:$G$1001=2)*ROW('تشخيص الحالات'!$B$2:$B$1001))-1),""),"")&amp;IF(SUMPRODUCT(('تشخيص الحالات'!$B$2:$B$1001=B486)*('تشخيص الحالات'!$G$2:$G$1001=3))&gt;0,"، "&amp;IFERROR(INDEX('تشخيص الحالات'!$D$2:$D$1001,SUMPRODUCT(('تشخيص الحالات'!$B$2:$B$1001=B486)*('تشخيص الحالات'!$G$2:$G$1001=3)*ROW('تشخيص الحالات'!$B$2:$B$1001))-1),""),"")&amp;IF(SUMPRODUCT(('تشخيص الحالات'!$B$2:$B$1001=B486)*('تشخيص الحالات'!$G$2:$G$1001=4))&gt;0,"، "&amp;IFERROR(INDEX('تشخيص الحالات'!$D$2:$D$1001,SUMPRODUCT(('تشخيص الحالات'!$B$2:$B$1001=B486)*('تشخيص الحالات'!$G$2:$G$1001=4)*ROW('تشخيص الحالات'!$B$2:$B$1001))-1),""),"")&amp;IF(SUMPRODUCT(('تشخيص الحالات'!$B$2:$B$1001=B486)*('تشخيص الحالات'!$G$2:$G$1001=5))&gt;0,"، "&amp;IFERROR(INDEX('تشخيص الحالات'!$D$2:$D$1001,SUMPRODUCT(('تشخيص الحالات'!$B$2:$B$1001=B486)*('تشخيص الحالات'!$G$2:$G$1001=5)*ROW('تشخيص الحالات'!$B$2:$B$1001))-1),""),"")&amp;IF(SUMPRODUCT(('تشخيص الحالات'!$B$2:$B$1001=B486)*('تشخيص الحالات'!$G$2:$G$1001=6))&gt;0,"، "&amp;IFERROR(INDEX('تشخيص الحالات'!$D$2:$D$1001,SUMPRODUCT(('تشخيص الحالات'!$B$2:$B$1001=B486)*('تشخيص الحالات'!$G$2:$G$1001=6)*ROW('تشخيص الحالات'!$B$2:$B$1001))-1),""),"")&amp;IF(SUMPRODUCT(('تشخيص الحالات'!$B$2:$B$1001=B486)*('تشخيص الحالات'!$G$2:$G$1001=7))&gt;0,"، "&amp;IFERROR(INDEX('تشخيص الحالات'!$D$2:$D$1001,SUMPRODUCT(('تشخيص الحالات'!$B$2:$B$1001=B486)*('تشخيص الحالات'!$G$2:$G$1001=7)*ROW('تشخيص الحالات'!$B$2:$B$1001))-1),""),"")&amp;IF(SUMPRODUCT(('تشخيص الحالات'!$B$2:$B$1001=B486)*('تشخيص الحالات'!$G$2:$G$1001=8))&gt;0,"، "&amp;IFERROR(INDEX('تشخيص الحالات'!$D$2:$D$1001,SUMPRODUCT(('تشخيص الحالات'!$B$2:$B$1001=B486)*('تشخيص الحالات'!$G$2:$G$1001=8)*ROW('تشخيص الحالات'!$B$2:$B$1001))-1),""),"")</f>
        <v/>
      </c>
      <c r="J486" s="1"/>
      <c r="K486" s="1"/>
      <c r="L486" s="1"/>
      <c r="M486" s="1"/>
    </row>
    <row r="487" spans="1:13" x14ac:dyDescent="0.2">
      <c r="A487" s="1"/>
      <c r="B487" s="1"/>
      <c r="C487" s="1"/>
      <c r="D487" s="1"/>
      <c r="E487" s="1"/>
      <c r="F487" s="1"/>
      <c r="G487" s="1"/>
      <c r="H487" s="1"/>
      <c r="I487" t="str">
        <f>IFERROR(INDEX('تشخيص الحالات'!$D$2:$D$1001,SUMPRODUCT(('تشخيص الحالات'!$B$2:$B$1001=B487)*('تشخيص الحالات'!$G$2:$G$1001=1)*ROW('تشخيص الحالات'!$B$2:$B$1001))-1),"")&amp;IF(SUMPRODUCT(('تشخيص الحالات'!$B$2:$B$1001=B487)*('تشخيص الحالات'!$G$2:$G$1001=2))&gt;0,"، "&amp;IFERROR(INDEX('تشخيص الحالات'!$D$2:$D$1001,SUMPRODUCT(('تشخيص الحالات'!$B$2:$B$1001=B487)*('تشخيص الحالات'!$G$2:$G$1001=2)*ROW('تشخيص الحالات'!$B$2:$B$1001))-1),""),"")&amp;IF(SUMPRODUCT(('تشخيص الحالات'!$B$2:$B$1001=B487)*('تشخيص الحالات'!$G$2:$G$1001=3))&gt;0,"، "&amp;IFERROR(INDEX('تشخيص الحالات'!$D$2:$D$1001,SUMPRODUCT(('تشخيص الحالات'!$B$2:$B$1001=B487)*('تشخيص الحالات'!$G$2:$G$1001=3)*ROW('تشخيص الحالات'!$B$2:$B$1001))-1),""),"")&amp;IF(SUMPRODUCT(('تشخيص الحالات'!$B$2:$B$1001=B487)*('تشخيص الحالات'!$G$2:$G$1001=4))&gt;0,"، "&amp;IFERROR(INDEX('تشخيص الحالات'!$D$2:$D$1001,SUMPRODUCT(('تشخيص الحالات'!$B$2:$B$1001=B487)*('تشخيص الحالات'!$G$2:$G$1001=4)*ROW('تشخيص الحالات'!$B$2:$B$1001))-1),""),"")&amp;IF(SUMPRODUCT(('تشخيص الحالات'!$B$2:$B$1001=B487)*('تشخيص الحالات'!$G$2:$G$1001=5))&gt;0,"، "&amp;IFERROR(INDEX('تشخيص الحالات'!$D$2:$D$1001,SUMPRODUCT(('تشخيص الحالات'!$B$2:$B$1001=B487)*('تشخيص الحالات'!$G$2:$G$1001=5)*ROW('تشخيص الحالات'!$B$2:$B$1001))-1),""),"")&amp;IF(SUMPRODUCT(('تشخيص الحالات'!$B$2:$B$1001=B487)*('تشخيص الحالات'!$G$2:$G$1001=6))&gt;0,"، "&amp;IFERROR(INDEX('تشخيص الحالات'!$D$2:$D$1001,SUMPRODUCT(('تشخيص الحالات'!$B$2:$B$1001=B487)*('تشخيص الحالات'!$G$2:$G$1001=6)*ROW('تشخيص الحالات'!$B$2:$B$1001))-1),""),"")&amp;IF(SUMPRODUCT(('تشخيص الحالات'!$B$2:$B$1001=B487)*('تشخيص الحالات'!$G$2:$G$1001=7))&gt;0,"، "&amp;IFERROR(INDEX('تشخيص الحالات'!$D$2:$D$1001,SUMPRODUCT(('تشخيص الحالات'!$B$2:$B$1001=B487)*('تشخيص الحالات'!$G$2:$G$1001=7)*ROW('تشخيص الحالات'!$B$2:$B$1001))-1),""),"")&amp;IF(SUMPRODUCT(('تشخيص الحالات'!$B$2:$B$1001=B487)*('تشخيص الحالات'!$G$2:$G$1001=8))&gt;0,"، "&amp;IFERROR(INDEX('تشخيص الحالات'!$D$2:$D$1001,SUMPRODUCT(('تشخيص الحالات'!$B$2:$B$1001=B487)*('تشخيص الحالات'!$G$2:$G$1001=8)*ROW('تشخيص الحالات'!$B$2:$B$1001))-1),""),"")</f>
        <v/>
      </c>
      <c r="J487" s="1"/>
      <c r="K487" s="1"/>
      <c r="L487" s="1"/>
      <c r="M487" s="1"/>
    </row>
    <row r="488" spans="1:13" x14ac:dyDescent="0.2">
      <c r="A488" s="1"/>
      <c r="B488" s="1"/>
      <c r="C488" s="1"/>
      <c r="D488" s="1"/>
      <c r="E488" s="1"/>
      <c r="F488" s="1"/>
      <c r="G488" s="1"/>
      <c r="H488" s="1"/>
      <c r="I488" t="str">
        <f>IFERROR(INDEX('تشخيص الحالات'!$D$2:$D$1001,SUMPRODUCT(('تشخيص الحالات'!$B$2:$B$1001=B488)*('تشخيص الحالات'!$G$2:$G$1001=1)*ROW('تشخيص الحالات'!$B$2:$B$1001))-1),"")&amp;IF(SUMPRODUCT(('تشخيص الحالات'!$B$2:$B$1001=B488)*('تشخيص الحالات'!$G$2:$G$1001=2))&gt;0,"، "&amp;IFERROR(INDEX('تشخيص الحالات'!$D$2:$D$1001,SUMPRODUCT(('تشخيص الحالات'!$B$2:$B$1001=B488)*('تشخيص الحالات'!$G$2:$G$1001=2)*ROW('تشخيص الحالات'!$B$2:$B$1001))-1),""),"")&amp;IF(SUMPRODUCT(('تشخيص الحالات'!$B$2:$B$1001=B488)*('تشخيص الحالات'!$G$2:$G$1001=3))&gt;0,"، "&amp;IFERROR(INDEX('تشخيص الحالات'!$D$2:$D$1001,SUMPRODUCT(('تشخيص الحالات'!$B$2:$B$1001=B488)*('تشخيص الحالات'!$G$2:$G$1001=3)*ROW('تشخيص الحالات'!$B$2:$B$1001))-1),""),"")&amp;IF(SUMPRODUCT(('تشخيص الحالات'!$B$2:$B$1001=B488)*('تشخيص الحالات'!$G$2:$G$1001=4))&gt;0,"، "&amp;IFERROR(INDEX('تشخيص الحالات'!$D$2:$D$1001,SUMPRODUCT(('تشخيص الحالات'!$B$2:$B$1001=B488)*('تشخيص الحالات'!$G$2:$G$1001=4)*ROW('تشخيص الحالات'!$B$2:$B$1001))-1),""),"")&amp;IF(SUMPRODUCT(('تشخيص الحالات'!$B$2:$B$1001=B488)*('تشخيص الحالات'!$G$2:$G$1001=5))&gt;0,"، "&amp;IFERROR(INDEX('تشخيص الحالات'!$D$2:$D$1001,SUMPRODUCT(('تشخيص الحالات'!$B$2:$B$1001=B488)*('تشخيص الحالات'!$G$2:$G$1001=5)*ROW('تشخيص الحالات'!$B$2:$B$1001))-1),""),"")&amp;IF(SUMPRODUCT(('تشخيص الحالات'!$B$2:$B$1001=B488)*('تشخيص الحالات'!$G$2:$G$1001=6))&gt;0,"، "&amp;IFERROR(INDEX('تشخيص الحالات'!$D$2:$D$1001,SUMPRODUCT(('تشخيص الحالات'!$B$2:$B$1001=B488)*('تشخيص الحالات'!$G$2:$G$1001=6)*ROW('تشخيص الحالات'!$B$2:$B$1001))-1),""),"")&amp;IF(SUMPRODUCT(('تشخيص الحالات'!$B$2:$B$1001=B488)*('تشخيص الحالات'!$G$2:$G$1001=7))&gt;0,"، "&amp;IFERROR(INDEX('تشخيص الحالات'!$D$2:$D$1001,SUMPRODUCT(('تشخيص الحالات'!$B$2:$B$1001=B488)*('تشخيص الحالات'!$G$2:$G$1001=7)*ROW('تشخيص الحالات'!$B$2:$B$1001))-1),""),"")&amp;IF(SUMPRODUCT(('تشخيص الحالات'!$B$2:$B$1001=B488)*('تشخيص الحالات'!$G$2:$G$1001=8))&gt;0,"، "&amp;IFERROR(INDEX('تشخيص الحالات'!$D$2:$D$1001,SUMPRODUCT(('تشخيص الحالات'!$B$2:$B$1001=B488)*('تشخيص الحالات'!$G$2:$G$1001=8)*ROW('تشخيص الحالات'!$B$2:$B$1001))-1),""),"")</f>
        <v/>
      </c>
      <c r="J488" s="1"/>
      <c r="K488" s="1"/>
      <c r="L488" s="1"/>
      <c r="M488" s="1"/>
    </row>
    <row r="489" spans="1:13" x14ac:dyDescent="0.2">
      <c r="A489" s="1"/>
      <c r="B489" s="1"/>
      <c r="C489" s="1"/>
      <c r="D489" s="1"/>
      <c r="E489" s="1"/>
      <c r="F489" s="1"/>
      <c r="G489" s="1"/>
      <c r="H489" s="1"/>
      <c r="I489" t="str">
        <f>IFERROR(INDEX('تشخيص الحالات'!$D$2:$D$1001,SUMPRODUCT(('تشخيص الحالات'!$B$2:$B$1001=B489)*('تشخيص الحالات'!$G$2:$G$1001=1)*ROW('تشخيص الحالات'!$B$2:$B$1001))-1),"")&amp;IF(SUMPRODUCT(('تشخيص الحالات'!$B$2:$B$1001=B489)*('تشخيص الحالات'!$G$2:$G$1001=2))&gt;0,"، "&amp;IFERROR(INDEX('تشخيص الحالات'!$D$2:$D$1001,SUMPRODUCT(('تشخيص الحالات'!$B$2:$B$1001=B489)*('تشخيص الحالات'!$G$2:$G$1001=2)*ROW('تشخيص الحالات'!$B$2:$B$1001))-1),""),"")&amp;IF(SUMPRODUCT(('تشخيص الحالات'!$B$2:$B$1001=B489)*('تشخيص الحالات'!$G$2:$G$1001=3))&gt;0,"، "&amp;IFERROR(INDEX('تشخيص الحالات'!$D$2:$D$1001,SUMPRODUCT(('تشخيص الحالات'!$B$2:$B$1001=B489)*('تشخيص الحالات'!$G$2:$G$1001=3)*ROW('تشخيص الحالات'!$B$2:$B$1001))-1),""),"")&amp;IF(SUMPRODUCT(('تشخيص الحالات'!$B$2:$B$1001=B489)*('تشخيص الحالات'!$G$2:$G$1001=4))&gt;0,"، "&amp;IFERROR(INDEX('تشخيص الحالات'!$D$2:$D$1001,SUMPRODUCT(('تشخيص الحالات'!$B$2:$B$1001=B489)*('تشخيص الحالات'!$G$2:$G$1001=4)*ROW('تشخيص الحالات'!$B$2:$B$1001))-1),""),"")&amp;IF(SUMPRODUCT(('تشخيص الحالات'!$B$2:$B$1001=B489)*('تشخيص الحالات'!$G$2:$G$1001=5))&gt;0,"، "&amp;IFERROR(INDEX('تشخيص الحالات'!$D$2:$D$1001,SUMPRODUCT(('تشخيص الحالات'!$B$2:$B$1001=B489)*('تشخيص الحالات'!$G$2:$G$1001=5)*ROW('تشخيص الحالات'!$B$2:$B$1001))-1),""),"")&amp;IF(SUMPRODUCT(('تشخيص الحالات'!$B$2:$B$1001=B489)*('تشخيص الحالات'!$G$2:$G$1001=6))&gt;0,"، "&amp;IFERROR(INDEX('تشخيص الحالات'!$D$2:$D$1001,SUMPRODUCT(('تشخيص الحالات'!$B$2:$B$1001=B489)*('تشخيص الحالات'!$G$2:$G$1001=6)*ROW('تشخيص الحالات'!$B$2:$B$1001))-1),""),"")&amp;IF(SUMPRODUCT(('تشخيص الحالات'!$B$2:$B$1001=B489)*('تشخيص الحالات'!$G$2:$G$1001=7))&gt;0,"، "&amp;IFERROR(INDEX('تشخيص الحالات'!$D$2:$D$1001,SUMPRODUCT(('تشخيص الحالات'!$B$2:$B$1001=B489)*('تشخيص الحالات'!$G$2:$G$1001=7)*ROW('تشخيص الحالات'!$B$2:$B$1001))-1),""),"")&amp;IF(SUMPRODUCT(('تشخيص الحالات'!$B$2:$B$1001=B489)*('تشخيص الحالات'!$G$2:$G$1001=8))&gt;0,"، "&amp;IFERROR(INDEX('تشخيص الحالات'!$D$2:$D$1001,SUMPRODUCT(('تشخيص الحالات'!$B$2:$B$1001=B489)*('تشخيص الحالات'!$G$2:$G$1001=8)*ROW('تشخيص الحالات'!$B$2:$B$1001))-1),""),"")</f>
        <v/>
      </c>
      <c r="J489" s="1"/>
      <c r="K489" s="1"/>
      <c r="L489" s="1"/>
      <c r="M489" s="1"/>
    </row>
    <row r="490" spans="1:13" x14ac:dyDescent="0.2">
      <c r="A490" s="1"/>
      <c r="B490" s="1"/>
      <c r="C490" s="1"/>
      <c r="D490" s="1"/>
      <c r="E490" s="1"/>
      <c r="F490" s="1"/>
      <c r="G490" s="1"/>
      <c r="H490" s="1"/>
      <c r="I490" t="str">
        <f>IFERROR(INDEX('تشخيص الحالات'!$D$2:$D$1001,SUMPRODUCT(('تشخيص الحالات'!$B$2:$B$1001=B490)*('تشخيص الحالات'!$G$2:$G$1001=1)*ROW('تشخيص الحالات'!$B$2:$B$1001))-1),"")&amp;IF(SUMPRODUCT(('تشخيص الحالات'!$B$2:$B$1001=B490)*('تشخيص الحالات'!$G$2:$G$1001=2))&gt;0,"، "&amp;IFERROR(INDEX('تشخيص الحالات'!$D$2:$D$1001,SUMPRODUCT(('تشخيص الحالات'!$B$2:$B$1001=B490)*('تشخيص الحالات'!$G$2:$G$1001=2)*ROW('تشخيص الحالات'!$B$2:$B$1001))-1),""),"")&amp;IF(SUMPRODUCT(('تشخيص الحالات'!$B$2:$B$1001=B490)*('تشخيص الحالات'!$G$2:$G$1001=3))&gt;0,"، "&amp;IFERROR(INDEX('تشخيص الحالات'!$D$2:$D$1001,SUMPRODUCT(('تشخيص الحالات'!$B$2:$B$1001=B490)*('تشخيص الحالات'!$G$2:$G$1001=3)*ROW('تشخيص الحالات'!$B$2:$B$1001))-1),""),"")&amp;IF(SUMPRODUCT(('تشخيص الحالات'!$B$2:$B$1001=B490)*('تشخيص الحالات'!$G$2:$G$1001=4))&gt;0,"، "&amp;IFERROR(INDEX('تشخيص الحالات'!$D$2:$D$1001,SUMPRODUCT(('تشخيص الحالات'!$B$2:$B$1001=B490)*('تشخيص الحالات'!$G$2:$G$1001=4)*ROW('تشخيص الحالات'!$B$2:$B$1001))-1),""),"")&amp;IF(SUMPRODUCT(('تشخيص الحالات'!$B$2:$B$1001=B490)*('تشخيص الحالات'!$G$2:$G$1001=5))&gt;0,"، "&amp;IFERROR(INDEX('تشخيص الحالات'!$D$2:$D$1001,SUMPRODUCT(('تشخيص الحالات'!$B$2:$B$1001=B490)*('تشخيص الحالات'!$G$2:$G$1001=5)*ROW('تشخيص الحالات'!$B$2:$B$1001))-1),""),"")&amp;IF(SUMPRODUCT(('تشخيص الحالات'!$B$2:$B$1001=B490)*('تشخيص الحالات'!$G$2:$G$1001=6))&gt;0,"، "&amp;IFERROR(INDEX('تشخيص الحالات'!$D$2:$D$1001,SUMPRODUCT(('تشخيص الحالات'!$B$2:$B$1001=B490)*('تشخيص الحالات'!$G$2:$G$1001=6)*ROW('تشخيص الحالات'!$B$2:$B$1001))-1),""),"")&amp;IF(SUMPRODUCT(('تشخيص الحالات'!$B$2:$B$1001=B490)*('تشخيص الحالات'!$G$2:$G$1001=7))&gt;0,"، "&amp;IFERROR(INDEX('تشخيص الحالات'!$D$2:$D$1001,SUMPRODUCT(('تشخيص الحالات'!$B$2:$B$1001=B490)*('تشخيص الحالات'!$G$2:$G$1001=7)*ROW('تشخيص الحالات'!$B$2:$B$1001))-1),""),"")&amp;IF(SUMPRODUCT(('تشخيص الحالات'!$B$2:$B$1001=B490)*('تشخيص الحالات'!$G$2:$G$1001=8))&gt;0,"، "&amp;IFERROR(INDEX('تشخيص الحالات'!$D$2:$D$1001,SUMPRODUCT(('تشخيص الحالات'!$B$2:$B$1001=B490)*('تشخيص الحالات'!$G$2:$G$1001=8)*ROW('تشخيص الحالات'!$B$2:$B$1001))-1),""),"")</f>
        <v/>
      </c>
      <c r="J490" s="1"/>
      <c r="K490" s="1"/>
      <c r="L490" s="1"/>
      <c r="M490" s="1"/>
    </row>
    <row r="491" spans="1:13" x14ac:dyDescent="0.2">
      <c r="A491" s="1"/>
      <c r="B491" s="1"/>
      <c r="C491" s="1"/>
      <c r="D491" s="1"/>
      <c r="E491" s="1"/>
      <c r="F491" s="1"/>
      <c r="G491" s="1"/>
      <c r="H491" s="1"/>
      <c r="I491" t="str">
        <f>IFERROR(INDEX('تشخيص الحالات'!$D$2:$D$1001,SUMPRODUCT(('تشخيص الحالات'!$B$2:$B$1001=B491)*('تشخيص الحالات'!$G$2:$G$1001=1)*ROW('تشخيص الحالات'!$B$2:$B$1001))-1),"")&amp;IF(SUMPRODUCT(('تشخيص الحالات'!$B$2:$B$1001=B491)*('تشخيص الحالات'!$G$2:$G$1001=2))&gt;0,"، "&amp;IFERROR(INDEX('تشخيص الحالات'!$D$2:$D$1001,SUMPRODUCT(('تشخيص الحالات'!$B$2:$B$1001=B491)*('تشخيص الحالات'!$G$2:$G$1001=2)*ROW('تشخيص الحالات'!$B$2:$B$1001))-1),""),"")&amp;IF(SUMPRODUCT(('تشخيص الحالات'!$B$2:$B$1001=B491)*('تشخيص الحالات'!$G$2:$G$1001=3))&gt;0,"، "&amp;IFERROR(INDEX('تشخيص الحالات'!$D$2:$D$1001,SUMPRODUCT(('تشخيص الحالات'!$B$2:$B$1001=B491)*('تشخيص الحالات'!$G$2:$G$1001=3)*ROW('تشخيص الحالات'!$B$2:$B$1001))-1),""),"")&amp;IF(SUMPRODUCT(('تشخيص الحالات'!$B$2:$B$1001=B491)*('تشخيص الحالات'!$G$2:$G$1001=4))&gt;0,"، "&amp;IFERROR(INDEX('تشخيص الحالات'!$D$2:$D$1001,SUMPRODUCT(('تشخيص الحالات'!$B$2:$B$1001=B491)*('تشخيص الحالات'!$G$2:$G$1001=4)*ROW('تشخيص الحالات'!$B$2:$B$1001))-1),""),"")&amp;IF(SUMPRODUCT(('تشخيص الحالات'!$B$2:$B$1001=B491)*('تشخيص الحالات'!$G$2:$G$1001=5))&gt;0,"، "&amp;IFERROR(INDEX('تشخيص الحالات'!$D$2:$D$1001,SUMPRODUCT(('تشخيص الحالات'!$B$2:$B$1001=B491)*('تشخيص الحالات'!$G$2:$G$1001=5)*ROW('تشخيص الحالات'!$B$2:$B$1001))-1),""),"")&amp;IF(SUMPRODUCT(('تشخيص الحالات'!$B$2:$B$1001=B491)*('تشخيص الحالات'!$G$2:$G$1001=6))&gt;0,"، "&amp;IFERROR(INDEX('تشخيص الحالات'!$D$2:$D$1001,SUMPRODUCT(('تشخيص الحالات'!$B$2:$B$1001=B491)*('تشخيص الحالات'!$G$2:$G$1001=6)*ROW('تشخيص الحالات'!$B$2:$B$1001))-1),""),"")&amp;IF(SUMPRODUCT(('تشخيص الحالات'!$B$2:$B$1001=B491)*('تشخيص الحالات'!$G$2:$G$1001=7))&gt;0,"، "&amp;IFERROR(INDEX('تشخيص الحالات'!$D$2:$D$1001,SUMPRODUCT(('تشخيص الحالات'!$B$2:$B$1001=B491)*('تشخيص الحالات'!$G$2:$G$1001=7)*ROW('تشخيص الحالات'!$B$2:$B$1001))-1),""),"")&amp;IF(SUMPRODUCT(('تشخيص الحالات'!$B$2:$B$1001=B491)*('تشخيص الحالات'!$G$2:$G$1001=8))&gt;0,"، "&amp;IFERROR(INDEX('تشخيص الحالات'!$D$2:$D$1001,SUMPRODUCT(('تشخيص الحالات'!$B$2:$B$1001=B491)*('تشخيص الحالات'!$G$2:$G$1001=8)*ROW('تشخيص الحالات'!$B$2:$B$1001))-1),""),"")</f>
        <v/>
      </c>
      <c r="J491" s="1"/>
      <c r="K491" s="1"/>
      <c r="L491" s="1"/>
      <c r="M491" s="1"/>
    </row>
    <row r="492" spans="1:13" x14ac:dyDescent="0.2">
      <c r="A492" s="1"/>
      <c r="B492" s="1"/>
      <c r="C492" s="1"/>
      <c r="D492" s="1"/>
      <c r="E492" s="1"/>
      <c r="F492" s="1"/>
      <c r="G492" s="1"/>
      <c r="H492" s="1"/>
      <c r="I492" t="str">
        <f>IFERROR(INDEX('تشخيص الحالات'!$D$2:$D$1001,SUMPRODUCT(('تشخيص الحالات'!$B$2:$B$1001=B492)*('تشخيص الحالات'!$G$2:$G$1001=1)*ROW('تشخيص الحالات'!$B$2:$B$1001))-1),"")&amp;IF(SUMPRODUCT(('تشخيص الحالات'!$B$2:$B$1001=B492)*('تشخيص الحالات'!$G$2:$G$1001=2))&gt;0,"، "&amp;IFERROR(INDEX('تشخيص الحالات'!$D$2:$D$1001,SUMPRODUCT(('تشخيص الحالات'!$B$2:$B$1001=B492)*('تشخيص الحالات'!$G$2:$G$1001=2)*ROW('تشخيص الحالات'!$B$2:$B$1001))-1),""),"")&amp;IF(SUMPRODUCT(('تشخيص الحالات'!$B$2:$B$1001=B492)*('تشخيص الحالات'!$G$2:$G$1001=3))&gt;0,"، "&amp;IFERROR(INDEX('تشخيص الحالات'!$D$2:$D$1001,SUMPRODUCT(('تشخيص الحالات'!$B$2:$B$1001=B492)*('تشخيص الحالات'!$G$2:$G$1001=3)*ROW('تشخيص الحالات'!$B$2:$B$1001))-1),""),"")&amp;IF(SUMPRODUCT(('تشخيص الحالات'!$B$2:$B$1001=B492)*('تشخيص الحالات'!$G$2:$G$1001=4))&gt;0,"، "&amp;IFERROR(INDEX('تشخيص الحالات'!$D$2:$D$1001,SUMPRODUCT(('تشخيص الحالات'!$B$2:$B$1001=B492)*('تشخيص الحالات'!$G$2:$G$1001=4)*ROW('تشخيص الحالات'!$B$2:$B$1001))-1),""),"")&amp;IF(SUMPRODUCT(('تشخيص الحالات'!$B$2:$B$1001=B492)*('تشخيص الحالات'!$G$2:$G$1001=5))&gt;0,"، "&amp;IFERROR(INDEX('تشخيص الحالات'!$D$2:$D$1001,SUMPRODUCT(('تشخيص الحالات'!$B$2:$B$1001=B492)*('تشخيص الحالات'!$G$2:$G$1001=5)*ROW('تشخيص الحالات'!$B$2:$B$1001))-1),""),"")&amp;IF(SUMPRODUCT(('تشخيص الحالات'!$B$2:$B$1001=B492)*('تشخيص الحالات'!$G$2:$G$1001=6))&gt;0,"، "&amp;IFERROR(INDEX('تشخيص الحالات'!$D$2:$D$1001,SUMPRODUCT(('تشخيص الحالات'!$B$2:$B$1001=B492)*('تشخيص الحالات'!$G$2:$G$1001=6)*ROW('تشخيص الحالات'!$B$2:$B$1001))-1),""),"")&amp;IF(SUMPRODUCT(('تشخيص الحالات'!$B$2:$B$1001=B492)*('تشخيص الحالات'!$G$2:$G$1001=7))&gt;0,"، "&amp;IFERROR(INDEX('تشخيص الحالات'!$D$2:$D$1001,SUMPRODUCT(('تشخيص الحالات'!$B$2:$B$1001=B492)*('تشخيص الحالات'!$G$2:$G$1001=7)*ROW('تشخيص الحالات'!$B$2:$B$1001))-1),""),"")&amp;IF(SUMPRODUCT(('تشخيص الحالات'!$B$2:$B$1001=B492)*('تشخيص الحالات'!$G$2:$G$1001=8))&gt;0,"، "&amp;IFERROR(INDEX('تشخيص الحالات'!$D$2:$D$1001,SUMPRODUCT(('تشخيص الحالات'!$B$2:$B$1001=B492)*('تشخيص الحالات'!$G$2:$G$1001=8)*ROW('تشخيص الحالات'!$B$2:$B$1001))-1),""),"")</f>
        <v/>
      </c>
      <c r="J492" s="1"/>
      <c r="K492" s="1"/>
      <c r="L492" s="1"/>
      <c r="M492" s="1"/>
    </row>
    <row r="493" spans="1:13" x14ac:dyDescent="0.2">
      <c r="A493" s="1"/>
      <c r="B493" s="1"/>
      <c r="C493" s="1"/>
      <c r="D493" s="1"/>
      <c r="E493" s="1"/>
      <c r="F493" s="1"/>
      <c r="G493" s="1"/>
      <c r="H493" s="1"/>
      <c r="I493" t="str">
        <f>IFERROR(INDEX('تشخيص الحالات'!$D$2:$D$1001,SUMPRODUCT(('تشخيص الحالات'!$B$2:$B$1001=B493)*('تشخيص الحالات'!$G$2:$G$1001=1)*ROW('تشخيص الحالات'!$B$2:$B$1001))-1),"")&amp;IF(SUMPRODUCT(('تشخيص الحالات'!$B$2:$B$1001=B493)*('تشخيص الحالات'!$G$2:$G$1001=2))&gt;0,"، "&amp;IFERROR(INDEX('تشخيص الحالات'!$D$2:$D$1001,SUMPRODUCT(('تشخيص الحالات'!$B$2:$B$1001=B493)*('تشخيص الحالات'!$G$2:$G$1001=2)*ROW('تشخيص الحالات'!$B$2:$B$1001))-1),""),"")&amp;IF(SUMPRODUCT(('تشخيص الحالات'!$B$2:$B$1001=B493)*('تشخيص الحالات'!$G$2:$G$1001=3))&gt;0,"، "&amp;IFERROR(INDEX('تشخيص الحالات'!$D$2:$D$1001,SUMPRODUCT(('تشخيص الحالات'!$B$2:$B$1001=B493)*('تشخيص الحالات'!$G$2:$G$1001=3)*ROW('تشخيص الحالات'!$B$2:$B$1001))-1),""),"")&amp;IF(SUMPRODUCT(('تشخيص الحالات'!$B$2:$B$1001=B493)*('تشخيص الحالات'!$G$2:$G$1001=4))&gt;0,"، "&amp;IFERROR(INDEX('تشخيص الحالات'!$D$2:$D$1001,SUMPRODUCT(('تشخيص الحالات'!$B$2:$B$1001=B493)*('تشخيص الحالات'!$G$2:$G$1001=4)*ROW('تشخيص الحالات'!$B$2:$B$1001))-1),""),"")&amp;IF(SUMPRODUCT(('تشخيص الحالات'!$B$2:$B$1001=B493)*('تشخيص الحالات'!$G$2:$G$1001=5))&gt;0,"، "&amp;IFERROR(INDEX('تشخيص الحالات'!$D$2:$D$1001,SUMPRODUCT(('تشخيص الحالات'!$B$2:$B$1001=B493)*('تشخيص الحالات'!$G$2:$G$1001=5)*ROW('تشخيص الحالات'!$B$2:$B$1001))-1),""),"")&amp;IF(SUMPRODUCT(('تشخيص الحالات'!$B$2:$B$1001=B493)*('تشخيص الحالات'!$G$2:$G$1001=6))&gt;0,"، "&amp;IFERROR(INDEX('تشخيص الحالات'!$D$2:$D$1001,SUMPRODUCT(('تشخيص الحالات'!$B$2:$B$1001=B493)*('تشخيص الحالات'!$G$2:$G$1001=6)*ROW('تشخيص الحالات'!$B$2:$B$1001))-1),""),"")&amp;IF(SUMPRODUCT(('تشخيص الحالات'!$B$2:$B$1001=B493)*('تشخيص الحالات'!$G$2:$G$1001=7))&gt;0,"، "&amp;IFERROR(INDEX('تشخيص الحالات'!$D$2:$D$1001,SUMPRODUCT(('تشخيص الحالات'!$B$2:$B$1001=B493)*('تشخيص الحالات'!$G$2:$G$1001=7)*ROW('تشخيص الحالات'!$B$2:$B$1001))-1),""),"")&amp;IF(SUMPRODUCT(('تشخيص الحالات'!$B$2:$B$1001=B493)*('تشخيص الحالات'!$G$2:$G$1001=8))&gt;0,"، "&amp;IFERROR(INDEX('تشخيص الحالات'!$D$2:$D$1001,SUMPRODUCT(('تشخيص الحالات'!$B$2:$B$1001=B493)*('تشخيص الحالات'!$G$2:$G$1001=8)*ROW('تشخيص الحالات'!$B$2:$B$1001))-1),""),"")</f>
        <v/>
      </c>
      <c r="J493" s="1"/>
      <c r="K493" s="1"/>
      <c r="L493" s="1"/>
      <c r="M493" s="1"/>
    </row>
    <row r="494" spans="1:13" x14ac:dyDescent="0.2">
      <c r="A494" s="1"/>
      <c r="B494" s="1"/>
      <c r="C494" s="1"/>
      <c r="D494" s="1"/>
      <c r="E494" s="1"/>
      <c r="F494" s="1"/>
      <c r="G494" s="1"/>
      <c r="H494" s="1"/>
      <c r="I494" t="str">
        <f>IFERROR(INDEX('تشخيص الحالات'!$D$2:$D$1001,SUMPRODUCT(('تشخيص الحالات'!$B$2:$B$1001=B494)*('تشخيص الحالات'!$G$2:$G$1001=1)*ROW('تشخيص الحالات'!$B$2:$B$1001))-1),"")&amp;IF(SUMPRODUCT(('تشخيص الحالات'!$B$2:$B$1001=B494)*('تشخيص الحالات'!$G$2:$G$1001=2))&gt;0,"، "&amp;IFERROR(INDEX('تشخيص الحالات'!$D$2:$D$1001,SUMPRODUCT(('تشخيص الحالات'!$B$2:$B$1001=B494)*('تشخيص الحالات'!$G$2:$G$1001=2)*ROW('تشخيص الحالات'!$B$2:$B$1001))-1),""),"")&amp;IF(SUMPRODUCT(('تشخيص الحالات'!$B$2:$B$1001=B494)*('تشخيص الحالات'!$G$2:$G$1001=3))&gt;0,"، "&amp;IFERROR(INDEX('تشخيص الحالات'!$D$2:$D$1001,SUMPRODUCT(('تشخيص الحالات'!$B$2:$B$1001=B494)*('تشخيص الحالات'!$G$2:$G$1001=3)*ROW('تشخيص الحالات'!$B$2:$B$1001))-1),""),"")&amp;IF(SUMPRODUCT(('تشخيص الحالات'!$B$2:$B$1001=B494)*('تشخيص الحالات'!$G$2:$G$1001=4))&gt;0,"، "&amp;IFERROR(INDEX('تشخيص الحالات'!$D$2:$D$1001,SUMPRODUCT(('تشخيص الحالات'!$B$2:$B$1001=B494)*('تشخيص الحالات'!$G$2:$G$1001=4)*ROW('تشخيص الحالات'!$B$2:$B$1001))-1),""),"")&amp;IF(SUMPRODUCT(('تشخيص الحالات'!$B$2:$B$1001=B494)*('تشخيص الحالات'!$G$2:$G$1001=5))&gt;0,"، "&amp;IFERROR(INDEX('تشخيص الحالات'!$D$2:$D$1001,SUMPRODUCT(('تشخيص الحالات'!$B$2:$B$1001=B494)*('تشخيص الحالات'!$G$2:$G$1001=5)*ROW('تشخيص الحالات'!$B$2:$B$1001))-1),""),"")&amp;IF(SUMPRODUCT(('تشخيص الحالات'!$B$2:$B$1001=B494)*('تشخيص الحالات'!$G$2:$G$1001=6))&gt;0,"، "&amp;IFERROR(INDEX('تشخيص الحالات'!$D$2:$D$1001,SUMPRODUCT(('تشخيص الحالات'!$B$2:$B$1001=B494)*('تشخيص الحالات'!$G$2:$G$1001=6)*ROW('تشخيص الحالات'!$B$2:$B$1001))-1),""),"")&amp;IF(SUMPRODUCT(('تشخيص الحالات'!$B$2:$B$1001=B494)*('تشخيص الحالات'!$G$2:$G$1001=7))&gt;0,"، "&amp;IFERROR(INDEX('تشخيص الحالات'!$D$2:$D$1001,SUMPRODUCT(('تشخيص الحالات'!$B$2:$B$1001=B494)*('تشخيص الحالات'!$G$2:$G$1001=7)*ROW('تشخيص الحالات'!$B$2:$B$1001))-1),""),"")&amp;IF(SUMPRODUCT(('تشخيص الحالات'!$B$2:$B$1001=B494)*('تشخيص الحالات'!$G$2:$G$1001=8))&gt;0,"، "&amp;IFERROR(INDEX('تشخيص الحالات'!$D$2:$D$1001,SUMPRODUCT(('تشخيص الحالات'!$B$2:$B$1001=B494)*('تشخيص الحالات'!$G$2:$G$1001=8)*ROW('تشخيص الحالات'!$B$2:$B$1001))-1),""),"")</f>
        <v/>
      </c>
      <c r="J494" s="1"/>
      <c r="K494" s="1"/>
      <c r="L494" s="1"/>
      <c r="M494" s="1"/>
    </row>
    <row r="495" spans="1:13" x14ac:dyDescent="0.2">
      <c r="A495" s="1"/>
      <c r="B495" s="1"/>
      <c r="C495" s="1"/>
      <c r="D495" s="1"/>
      <c r="E495" s="1"/>
      <c r="F495" s="1"/>
      <c r="G495" s="1"/>
      <c r="H495" s="1"/>
      <c r="I495" t="str">
        <f>IFERROR(INDEX('تشخيص الحالات'!$D$2:$D$1001,SUMPRODUCT(('تشخيص الحالات'!$B$2:$B$1001=B495)*('تشخيص الحالات'!$G$2:$G$1001=1)*ROW('تشخيص الحالات'!$B$2:$B$1001))-1),"")&amp;IF(SUMPRODUCT(('تشخيص الحالات'!$B$2:$B$1001=B495)*('تشخيص الحالات'!$G$2:$G$1001=2))&gt;0,"، "&amp;IFERROR(INDEX('تشخيص الحالات'!$D$2:$D$1001,SUMPRODUCT(('تشخيص الحالات'!$B$2:$B$1001=B495)*('تشخيص الحالات'!$G$2:$G$1001=2)*ROW('تشخيص الحالات'!$B$2:$B$1001))-1),""),"")&amp;IF(SUMPRODUCT(('تشخيص الحالات'!$B$2:$B$1001=B495)*('تشخيص الحالات'!$G$2:$G$1001=3))&gt;0,"، "&amp;IFERROR(INDEX('تشخيص الحالات'!$D$2:$D$1001,SUMPRODUCT(('تشخيص الحالات'!$B$2:$B$1001=B495)*('تشخيص الحالات'!$G$2:$G$1001=3)*ROW('تشخيص الحالات'!$B$2:$B$1001))-1),""),"")&amp;IF(SUMPRODUCT(('تشخيص الحالات'!$B$2:$B$1001=B495)*('تشخيص الحالات'!$G$2:$G$1001=4))&gt;0,"، "&amp;IFERROR(INDEX('تشخيص الحالات'!$D$2:$D$1001,SUMPRODUCT(('تشخيص الحالات'!$B$2:$B$1001=B495)*('تشخيص الحالات'!$G$2:$G$1001=4)*ROW('تشخيص الحالات'!$B$2:$B$1001))-1),""),"")&amp;IF(SUMPRODUCT(('تشخيص الحالات'!$B$2:$B$1001=B495)*('تشخيص الحالات'!$G$2:$G$1001=5))&gt;0,"، "&amp;IFERROR(INDEX('تشخيص الحالات'!$D$2:$D$1001,SUMPRODUCT(('تشخيص الحالات'!$B$2:$B$1001=B495)*('تشخيص الحالات'!$G$2:$G$1001=5)*ROW('تشخيص الحالات'!$B$2:$B$1001))-1),""),"")&amp;IF(SUMPRODUCT(('تشخيص الحالات'!$B$2:$B$1001=B495)*('تشخيص الحالات'!$G$2:$G$1001=6))&gt;0,"، "&amp;IFERROR(INDEX('تشخيص الحالات'!$D$2:$D$1001,SUMPRODUCT(('تشخيص الحالات'!$B$2:$B$1001=B495)*('تشخيص الحالات'!$G$2:$G$1001=6)*ROW('تشخيص الحالات'!$B$2:$B$1001))-1),""),"")&amp;IF(SUMPRODUCT(('تشخيص الحالات'!$B$2:$B$1001=B495)*('تشخيص الحالات'!$G$2:$G$1001=7))&gt;0,"، "&amp;IFERROR(INDEX('تشخيص الحالات'!$D$2:$D$1001,SUMPRODUCT(('تشخيص الحالات'!$B$2:$B$1001=B495)*('تشخيص الحالات'!$G$2:$G$1001=7)*ROW('تشخيص الحالات'!$B$2:$B$1001))-1),""),"")&amp;IF(SUMPRODUCT(('تشخيص الحالات'!$B$2:$B$1001=B495)*('تشخيص الحالات'!$G$2:$G$1001=8))&gt;0,"، "&amp;IFERROR(INDEX('تشخيص الحالات'!$D$2:$D$1001,SUMPRODUCT(('تشخيص الحالات'!$B$2:$B$1001=B495)*('تشخيص الحالات'!$G$2:$G$1001=8)*ROW('تشخيص الحالات'!$B$2:$B$1001))-1),""),"")</f>
        <v/>
      </c>
      <c r="J495" s="1"/>
      <c r="K495" s="1"/>
      <c r="L495" s="1"/>
      <c r="M495" s="1"/>
    </row>
    <row r="496" spans="1:13" x14ac:dyDescent="0.2">
      <c r="A496" s="1"/>
      <c r="B496" s="1"/>
      <c r="C496" s="1"/>
      <c r="D496" s="1"/>
      <c r="E496" s="1"/>
      <c r="F496" s="1"/>
      <c r="G496" s="1"/>
      <c r="H496" s="1"/>
      <c r="I496" t="str">
        <f>IFERROR(INDEX('تشخيص الحالات'!$D$2:$D$1001,SUMPRODUCT(('تشخيص الحالات'!$B$2:$B$1001=B496)*('تشخيص الحالات'!$G$2:$G$1001=1)*ROW('تشخيص الحالات'!$B$2:$B$1001))-1),"")&amp;IF(SUMPRODUCT(('تشخيص الحالات'!$B$2:$B$1001=B496)*('تشخيص الحالات'!$G$2:$G$1001=2))&gt;0,"، "&amp;IFERROR(INDEX('تشخيص الحالات'!$D$2:$D$1001,SUMPRODUCT(('تشخيص الحالات'!$B$2:$B$1001=B496)*('تشخيص الحالات'!$G$2:$G$1001=2)*ROW('تشخيص الحالات'!$B$2:$B$1001))-1),""),"")&amp;IF(SUMPRODUCT(('تشخيص الحالات'!$B$2:$B$1001=B496)*('تشخيص الحالات'!$G$2:$G$1001=3))&gt;0,"، "&amp;IFERROR(INDEX('تشخيص الحالات'!$D$2:$D$1001,SUMPRODUCT(('تشخيص الحالات'!$B$2:$B$1001=B496)*('تشخيص الحالات'!$G$2:$G$1001=3)*ROW('تشخيص الحالات'!$B$2:$B$1001))-1),""),"")&amp;IF(SUMPRODUCT(('تشخيص الحالات'!$B$2:$B$1001=B496)*('تشخيص الحالات'!$G$2:$G$1001=4))&gt;0,"، "&amp;IFERROR(INDEX('تشخيص الحالات'!$D$2:$D$1001,SUMPRODUCT(('تشخيص الحالات'!$B$2:$B$1001=B496)*('تشخيص الحالات'!$G$2:$G$1001=4)*ROW('تشخيص الحالات'!$B$2:$B$1001))-1),""),"")&amp;IF(SUMPRODUCT(('تشخيص الحالات'!$B$2:$B$1001=B496)*('تشخيص الحالات'!$G$2:$G$1001=5))&gt;0,"، "&amp;IFERROR(INDEX('تشخيص الحالات'!$D$2:$D$1001,SUMPRODUCT(('تشخيص الحالات'!$B$2:$B$1001=B496)*('تشخيص الحالات'!$G$2:$G$1001=5)*ROW('تشخيص الحالات'!$B$2:$B$1001))-1),""),"")&amp;IF(SUMPRODUCT(('تشخيص الحالات'!$B$2:$B$1001=B496)*('تشخيص الحالات'!$G$2:$G$1001=6))&gt;0,"، "&amp;IFERROR(INDEX('تشخيص الحالات'!$D$2:$D$1001,SUMPRODUCT(('تشخيص الحالات'!$B$2:$B$1001=B496)*('تشخيص الحالات'!$G$2:$G$1001=6)*ROW('تشخيص الحالات'!$B$2:$B$1001))-1),""),"")&amp;IF(SUMPRODUCT(('تشخيص الحالات'!$B$2:$B$1001=B496)*('تشخيص الحالات'!$G$2:$G$1001=7))&gt;0,"، "&amp;IFERROR(INDEX('تشخيص الحالات'!$D$2:$D$1001,SUMPRODUCT(('تشخيص الحالات'!$B$2:$B$1001=B496)*('تشخيص الحالات'!$G$2:$G$1001=7)*ROW('تشخيص الحالات'!$B$2:$B$1001))-1),""),"")&amp;IF(SUMPRODUCT(('تشخيص الحالات'!$B$2:$B$1001=B496)*('تشخيص الحالات'!$G$2:$G$1001=8))&gt;0,"، "&amp;IFERROR(INDEX('تشخيص الحالات'!$D$2:$D$1001,SUMPRODUCT(('تشخيص الحالات'!$B$2:$B$1001=B496)*('تشخيص الحالات'!$G$2:$G$1001=8)*ROW('تشخيص الحالات'!$B$2:$B$1001))-1),""),"")</f>
        <v/>
      </c>
      <c r="J496" s="1"/>
      <c r="K496" s="1"/>
      <c r="L496" s="1"/>
      <c r="M496" s="1"/>
    </row>
    <row r="497" spans="1:13" x14ac:dyDescent="0.2">
      <c r="A497" s="1"/>
      <c r="B497" s="1"/>
      <c r="C497" s="1"/>
      <c r="D497" s="1"/>
      <c r="E497" s="1"/>
      <c r="F497" s="1"/>
      <c r="G497" s="1"/>
      <c r="H497" s="1"/>
      <c r="I497" t="str">
        <f>IFERROR(INDEX('تشخيص الحالات'!$D$2:$D$1001,SUMPRODUCT(('تشخيص الحالات'!$B$2:$B$1001=B497)*('تشخيص الحالات'!$G$2:$G$1001=1)*ROW('تشخيص الحالات'!$B$2:$B$1001))-1),"")&amp;IF(SUMPRODUCT(('تشخيص الحالات'!$B$2:$B$1001=B497)*('تشخيص الحالات'!$G$2:$G$1001=2))&gt;0,"، "&amp;IFERROR(INDEX('تشخيص الحالات'!$D$2:$D$1001,SUMPRODUCT(('تشخيص الحالات'!$B$2:$B$1001=B497)*('تشخيص الحالات'!$G$2:$G$1001=2)*ROW('تشخيص الحالات'!$B$2:$B$1001))-1),""),"")&amp;IF(SUMPRODUCT(('تشخيص الحالات'!$B$2:$B$1001=B497)*('تشخيص الحالات'!$G$2:$G$1001=3))&gt;0,"، "&amp;IFERROR(INDEX('تشخيص الحالات'!$D$2:$D$1001,SUMPRODUCT(('تشخيص الحالات'!$B$2:$B$1001=B497)*('تشخيص الحالات'!$G$2:$G$1001=3)*ROW('تشخيص الحالات'!$B$2:$B$1001))-1),""),"")&amp;IF(SUMPRODUCT(('تشخيص الحالات'!$B$2:$B$1001=B497)*('تشخيص الحالات'!$G$2:$G$1001=4))&gt;0,"، "&amp;IFERROR(INDEX('تشخيص الحالات'!$D$2:$D$1001,SUMPRODUCT(('تشخيص الحالات'!$B$2:$B$1001=B497)*('تشخيص الحالات'!$G$2:$G$1001=4)*ROW('تشخيص الحالات'!$B$2:$B$1001))-1),""),"")&amp;IF(SUMPRODUCT(('تشخيص الحالات'!$B$2:$B$1001=B497)*('تشخيص الحالات'!$G$2:$G$1001=5))&gt;0,"، "&amp;IFERROR(INDEX('تشخيص الحالات'!$D$2:$D$1001,SUMPRODUCT(('تشخيص الحالات'!$B$2:$B$1001=B497)*('تشخيص الحالات'!$G$2:$G$1001=5)*ROW('تشخيص الحالات'!$B$2:$B$1001))-1),""),"")&amp;IF(SUMPRODUCT(('تشخيص الحالات'!$B$2:$B$1001=B497)*('تشخيص الحالات'!$G$2:$G$1001=6))&gt;0,"، "&amp;IFERROR(INDEX('تشخيص الحالات'!$D$2:$D$1001,SUMPRODUCT(('تشخيص الحالات'!$B$2:$B$1001=B497)*('تشخيص الحالات'!$G$2:$G$1001=6)*ROW('تشخيص الحالات'!$B$2:$B$1001))-1),""),"")&amp;IF(SUMPRODUCT(('تشخيص الحالات'!$B$2:$B$1001=B497)*('تشخيص الحالات'!$G$2:$G$1001=7))&gt;0,"، "&amp;IFERROR(INDEX('تشخيص الحالات'!$D$2:$D$1001,SUMPRODUCT(('تشخيص الحالات'!$B$2:$B$1001=B497)*('تشخيص الحالات'!$G$2:$G$1001=7)*ROW('تشخيص الحالات'!$B$2:$B$1001))-1),""),"")&amp;IF(SUMPRODUCT(('تشخيص الحالات'!$B$2:$B$1001=B497)*('تشخيص الحالات'!$G$2:$G$1001=8))&gt;0,"، "&amp;IFERROR(INDEX('تشخيص الحالات'!$D$2:$D$1001,SUMPRODUCT(('تشخيص الحالات'!$B$2:$B$1001=B497)*('تشخيص الحالات'!$G$2:$G$1001=8)*ROW('تشخيص الحالات'!$B$2:$B$1001))-1),""),"")</f>
        <v/>
      </c>
      <c r="J497" s="1"/>
      <c r="K497" s="1"/>
      <c r="L497" s="1"/>
      <c r="M497" s="1"/>
    </row>
    <row r="498" spans="1:13" x14ac:dyDescent="0.2">
      <c r="A498" s="1"/>
      <c r="B498" s="1"/>
      <c r="C498" s="1"/>
      <c r="D498" s="1"/>
      <c r="E498" s="1"/>
      <c r="F498" s="1"/>
      <c r="G498" s="1"/>
      <c r="H498" s="1"/>
      <c r="I498" t="str">
        <f>IFERROR(INDEX('تشخيص الحالات'!$D$2:$D$1001,SUMPRODUCT(('تشخيص الحالات'!$B$2:$B$1001=B498)*('تشخيص الحالات'!$G$2:$G$1001=1)*ROW('تشخيص الحالات'!$B$2:$B$1001))-1),"")&amp;IF(SUMPRODUCT(('تشخيص الحالات'!$B$2:$B$1001=B498)*('تشخيص الحالات'!$G$2:$G$1001=2))&gt;0,"، "&amp;IFERROR(INDEX('تشخيص الحالات'!$D$2:$D$1001,SUMPRODUCT(('تشخيص الحالات'!$B$2:$B$1001=B498)*('تشخيص الحالات'!$G$2:$G$1001=2)*ROW('تشخيص الحالات'!$B$2:$B$1001))-1),""),"")&amp;IF(SUMPRODUCT(('تشخيص الحالات'!$B$2:$B$1001=B498)*('تشخيص الحالات'!$G$2:$G$1001=3))&gt;0,"، "&amp;IFERROR(INDEX('تشخيص الحالات'!$D$2:$D$1001,SUMPRODUCT(('تشخيص الحالات'!$B$2:$B$1001=B498)*('تشخيص الحالات'!$G$2:$G$1001=3)*ROW('تشخيص الحالات'!$B$2:$B$1001))-1),""),"")&amp;IF(SUMPRODUCT(('تشخيص الحالات'!$B$2:$B$1001=B498)*('تشخيص الحالات'!$G$2:$G$1001=4))&gt;0,"، "&amp;IFERROR(INDEX('تشخيص الحالات'!$D$2:$D$1001,SUMPRODUCT(('تشخيص الحالات'!$B$2:$B$1001=B498)*('تشخيص الحالات'!$G$2:$G$1001=4)*ROW('تشخيص الحالات'!$B$2:$B$1001))-1),""),"")&amp;IF(SUMPRODUCT(('تشخيص الحالات'!$B$2:$B$1001=B498)*('تشخيص الحالات'!$G$2:$G$1001=5))&gt;0,"، "&amp;IFERROR(INDEX('تشخيص الحالات'!$D$2:$D$1001,SUMPRODUCT(('تشخيص الحالات'!$B$2:$B$1001=B498)*('تشخيص الحالات'!$G$2:$G$1001=5)*ROW('تشخيص الحالات'!$B$2:$B$1001))-1),""),"")&amp;IF(SUMPRODUCT(('تشخيص الحالات'!$B$2:$B$1001=B498)*('تشخيص الحالات'!$G$2:$G$1001=6))&gt;0,"، "&amp;IFERROR(INDEX('تشخيص الحالات'!$D$2:$D$1001,SUMPRODUCT(('تشخيص الحالات'!$B$2:$B$1001=B498)*('تشخيص الحالات'!$G$2:$G$1001=6)*ROW('تشخيص الحالات'!$B$2:$B$1001))-1),""),"")&amp;IF(SUMPRODUCT(('تشخيص الحالات'!$B$2:$B$1001=B498)*('تشخيص الحالات'!$G$2:$G$1001=7))&gt;0,"، "&amp;IFERROR(INDEX('تشخيص الحالات'!$D$2:$D$1001,SUMPRODUCT(('تشخيص الحالات'!$B$2:$B$1001=B498)*('تشخيص الحالات'!$G$2:$G$1001=7)*ROW('تشخيص الحالات'!$B$2:$B$1001))-1),""),"")&amp;IF(SUMPRODUCT(('تشخيص الحالات'!$B$2:$B$1001=B498)*('تشخيص الحالات'!$G$2:$G$1001=8))&gt;0,"، "&amp;IFERROR(INDEX('تشخيص الحالات'!$D$2:$D$1001,SUMPRODUCT(('تشخيص الحالات'!$B$2:$B$1001=B498)*('تشخيص الحالات'!$G$2:$G$1001=8)*ROW('تشخيص الحالات'!$B$2:$B$1001))-1),""),"")</f>
        <v/>
      </c>
      <c r="J498" s="1"/>
      <c r="K498" s="1"/>
      <c r="L498" s="1"/>
      <c r="M498" s="1"/>
    </row>
    <row r="499" spans="1:13" x14ac:dyDescent="0.2">
      <c r="A499" s="1"/>
      <c r="B499" s="1"/>
      <c r="C499" s="1"/>
      <c r="D499" s="1"/>
      <c r="E499" s="1"/>
      <c r="F499" s="1"/>
      <c r="G499" s="1"/>
      <c r="H499" s="1"/>
      <c r="I499" t="str">
        <f>IFERROR(INDEX('تشخيص الحالات'!$D$2:$D$1001,SUMPRODUCT(('تشخيص الحالات'!$B$2:$B$1001=B499)*('تشخيص الحالات'!$G$2:$G$1001=1)*ROW('تشخيص الحالات'!$B$2:$B$1001))-1),"")&amp;IF(SUMPRODUCT(('تشخيص الحالات'!$B$2:$B$1001=B499)*('تشخيص الحالات'!$G$2:$G$1001=2))&gt;0,"، "&amp;IFERROR(INDEX('تشخيص الحالات'!$D$2:$D$1001,SUMPRODUCT(('تشخيص الحالات'!$B$2:$B$1001=B499)*('تشخيص الحالات'!$G$2:$G$1001=2)*ROW('تشخيص الحالات'!$B$2:$B$1001))-1),""),"")&amp;IF(SUMPRODUCT(('تشخيص الحالات'!$B$2:$B$1001=B499)*('تشخيص الحالات'!$G$2:$G$1001=3))&gt;0,"، "&amp;IFERROR(INDEX('تشخيص الحالات'!$D$2:$D$1001,SUMPRODUCT(('تشخيص الحالات'!$B$2:$B$1001=B499)*('تشخيص الحالات'!$G$2:$G$1001=3)*ROW('تشخيص الحالات'!$B$2:$B$1001))-1),""),"")&amp;IF(SUMPRODUCT(('تشخيص الحالات'!$B$2:$B$1001=B499)*('تشخيص الحالات'!$G$2:$G$1001=4))&gt;0,"، "&amp;IFERROR(INDEX('تشخيص الحالات'!$D$2:$D$1001,SUMPRODUCT(('تشخيص الحالات'!$B$2:$B$1001=B499)*('تشخيص الحالات'!$G$2:$G$1001=4)*ROW('تشخيص الحالات'!$B$2:$B$1001))-1),""),"")&amp;IF(SUMPRODUCT(('تشخيص الحالات'!$B$2:$B$1001=B499)*('تشخيص الحالات'!$G$2:$G$1001=5))&gt;0,"، "&amp;IFERROR(INDEX('تشخيص الحالات'!$D$2:$D$1001,SUMPRODUCT(('تشخيص الحالات'!$B$2:$B$1001=B499)*('تشخيص الحالات'!$G$2:$G$1001=5)*ROW('تشخيص الحالات'!$B$2:$B$1001))-1),""),"")&amp;IF(SUMPRODUCT(('تشخيص الحالات'!$B$2:$B$1001=B499)*('تشخيص الحالات'!$G$2:$G$1001=6))&gt;0,"، "&amp;IFERROR(INDEX('تشخيص الحالات'!$D$2:$D$1001,SUMPRODUCT(('تشخيص الحالات'!$B$2:$B$1001=B499)*('تشخيص الحالات'!$G$2:$G$1001=6)*ROW('تشخيص الحالات'!$B$2:$B$1001))-1),""),"")&amp;IF(SUMPRODUCT(('تشخيص الحالات'!$B$2:$B$1001=B499)*('تشخيص الحالات'!$G$2:$G$1001=7))&gt;0,"، "&amp;IFERROR(INDEX('تشخيص الحالات'!$D$2:$D$1001,SUMPRODUCT(('تشخيص الحالات'!$B$2:$B$1001=B499)*('تشخيص الحالات'!$G$2:$G$1001=7)*ROW('تشخيص الحالات'!$B$2:$B$1001))-1),""),"")&amp;IF(SUMPRODUCT(('تشخيص الحالات'!$B$2:$B$1001=B499)*('تشخيص الحالات'!$G$2:$G$1001=8))&gt;0,"، "&amp;IFERROR(INDEX('تشخيص الحالات'!$D$2:$D$1001,SUMPRODUCT(('تشخيص الحالات'!$B$2:$B$1001=B499)*('تشخيص الحالات'!$G$2:$G$1001=8)*ROW('تشخيص الحالات'!$B$2:$B$1001))-1),""),"")</f>
        <v/>
      </c>
      <c r="J499" s="1"/>
      <c r="K499" s="1"/>
      <c r="L499" s="1"/>
      <c r="M499" s="1"/>
    </row>
    <row r="500" spans="1:13" x14ac:dyDescent="0.2">
      <c r="A500" s="1"/>
      <c r="B500" s="1"/>
      <c r="C500" s="1"/>
      <c r="D500" s="1"/>
      <c r="E500" s="1"/>
      <c r="F500" s="1"/>
      <c r="G500" s="1"/>
      <c r="H500" s="1"/>
      <c r="I500" t="str">
        <f>IFERROR(INDEX('تشخيص الحالات'!$D$2:$D$1001,SUMPRODUCT(('تشخيص الحالات'!$B$2:$B$1001=B500)*('تشخيص الحالات'!$G$2:$G$1001=1)*ROW('تشخيص الحالات'!$B$2:$B$1001))-1),"")&amp;IF(SUMPRODUCT(('تشخيص الحالات'!$B$2:$B$1001=B500)*('تشخيص الحالات'!$G$2:$G$1001=2))&gt;0,"، "&amp;IFERROR(INDEX('تشخيص الحالات'!$D$2:$D$1001,SUMPRODUCT(('تشخيص الحالات'!$B$2:$B$1001=B500)*('تشخيص الحالات'!$G$2:$G$1001=2)*ROW('تشخيص الحالات'!$B$2:$B$1001))-1),""),"")&amp;IF(SUMPRODUCT(('تشخيص الحالات'!$B$2:$B$1001=B500)*('تشخيص الحالات'!$G$2:$G$1001=3))&gt;0,"، "&amp;IFERROR(INDEX('تشخيص الحالات'!$D$2:$D$1001,SUMPRODUCT(('تشخيص الحالات'!$B$2:$B$1001=B500)*('تشخيص الحالات'!$G$2:$G$1001=3)*ROW('تشخيص الحالات'!$B$2:$B$1001))-1),""),"")&amp;IF(SUMPRODUCT(('تشخيص الحالات'!$B$2:$B$1001=B500)*('تشخيص الحالات'!$G$2:$G$1001=4))&gt;0,"، "&amp;IFERROR(INDEX('تشخيص الحالات'!$D$2:$D$1001,SUMPRODUCT(('تشخيص الحالات'!$B$2:$B$1001=B500)*('تشخيص الحالات'!$G$2:$G$1001=4)*ROW('تشخيص الحالات'!$B$2:$B$1001))-1),""),"")&amp;IF(SUMPRODUCT(('تشخيص الحالات'!$B$2:$B$1001=B500)*('تشخيص الحالات'!$G$2:$G$1001=5))&gt;0,"، "&amp;IFERROR(INDEX('تشخيص الحالات'!$D$2:$D$1001,SUMPRODUCT(('تشخيص الحالات'!$B$2:$B$1001=B500)*('تشخيص الحالات'!$G$2:$G$1001=5)*ROW('تشخيص الحالات'!$B$2:$B$1001))-1),""),"")&amp;IF(SUMPRODUCT(('تشخيص الحالات'!$B$2:$B$1001=B500)*('تشخيص الحالات'!$G$2:$G$1001=6))&gt;0,"، "&amp;IFERROR(INDEX('تشخيص الحالات'!$D$2:$D$1001,SUMPRODUCT(('تشخيص الحالات'!$B$2:$B$1001=B500)*('تشخيص الحالات'!$G$2:$G$1001=6)*ROW('تشخيص الحالات'!$B$2:$B$1001))-1),""),"")&amp;IF(SUMPRODUCT(('تشخيص الحالات'!$B$2:$B$1001=B500)*('تشخيص الحالات'!$G$2:$G$1001=7))&gt;0,"، "&amp;IFERROR(INDEX('تشخيص الحالات'!$D$2:$D$1001,SUMPRODUCT(('تشخيص الحالات'!$B$2:$B$1001=B500)*('تشخيص الحالات'!$G$2:$G$1001=7)*ROW('تشخيص الحالات'!$B$2:$B$1001))-1),""),"")&amp;IF(SUMPRODUCT(('تشخيص الحالات'!$B$2:$B$1001=B500)*('تشخيص الحالات'!$G$2:$G$1001=8))&gt;0,"، "&amp;IFERROR(INDEX('تشخيص الحالات'!$D$2:$D$1001,SUMPRODUCT(('تشخيص الحالات'!$B$2:$B$1001=B500)*('تشخيص الحالات'!$G$2:$G$1001=8)*ROW('تشخيص الحالات'!$B$2:$B$1001))-1),""),"")</f>
        <v/>
      </c>
      <c r="J500" s="1"/>
      <c r="K500" s="1"/>
      <c r="L500" s="1"/>
      <c r="M500" s="1"/>
    </row>
    <row r="501" spans="1:13" x14ac:dyDescent="0.2">
      <c r="A501" s="1"/>
      <c r="B501" s="1"/>
      <c r="C501" s="1"/>
      <c r="D501" s="1"/>
      <c r="E501" s="1"/>
      <c r="F501" s="1"/>
      <c r="G501" s="1"/>
      <c r="H501" s="1"/>
      <c r="I501" t="str">
        <f>IFERROR(INDEX('تشخيص الحالات'!$D$2:$D$1001,SUMPRODUCT(('تشخيص الحالات'!$B$2:$B$1001=B501)*('تشخيص الحالات'!$G$2:$G$1001=1)*ROW('تشخيص الحالات'!$B$2:$B$1001))-1),"")&amp;IF(SUMPRODUCT(('تشخيص الحالات'!$B$2:$B$1001=B501)*('تشخيص الحالات'!$G$2:$G$1001=2))&gt;0,"، "&amp;IFERROR(INDEX('تشخيص الحالات'!$D$2:$D$1001,SUMPRODUCT(('تشخيص الحالات'!$B$2:$B$1001=B501)*('تشخيص الحالات'!$G$2:$G$1001=2)*ROW('تشخيص الحالات'!$B$2:$B$1001))-1),""),"")&amp;IF(SUMPRODUCT(('تشخيص الحالات'!$B$2:$B$1001=B501)*('تشخيص الحالات'!$G$2:$G$1001=3))&gt;0,"، "&amp;IFERROR(INDEX('تشخيص الحالات'!$D$2:$D$1001,SUMPRODUCT(('تشخيص الحالات'!$B$2:$B$1001=B501)*('تشخيص الحالات'!$G$2:$G$1001=3)*ROW('تشخيص الحالات'!$B$2:$B$1001))-1),""),"")&amp;IF(SUMPRODUCT(('تشخيص الحالات'!$B$2:$B$1001=B501)*('تشخيص الحالات'!$G$2:$G$1001=4))&gt;0,"، "&amp;IFERROR(INDEX('تشخيص الحالات'!$D$2:$D$1001,SUMPRODUCT(('تشخيص الحالات'!$B$2:$B$1001=B501)*('تشخيص الحالات'!$G$2:$G$1001=4)*ROW('تشخيص الحالات'!$B$2:$B$1001))-1),""),"")&amp;IF(SUMPRODUCT(('تشخيص الحالات'!$B$2:$B$1001=B501)*('تشخيص الحالات'!$G$2:$G$1001=5))&gt;0,"، "&amp;IFERROR(INDEX('تشخيص الحالات'!$D$2:$D$1001,SUMPRODUCT(('تشخيص الحالات'!$B$2:$B$1001=B501)*('تشخيص الحالات'!$G$2:$G$1001=5)*ROW('تشخيص الحالات'!$B$2:$B$1001))-1),""),"")&amp;IF(SUMPRODUCT(('تشخيص الحالات'!$B$2:$B$1001=B501)*('تشخيص الحالات'!$G$2:$G$1001=6))&gt;0,"، "&amp;IFERROR(INDEX('تشخيص الحالات'!$D$2:$D$1001,SUMPRODUCT(('تشخيص الحالات'!$B$2:$B$1001=B501)*('تشخيص الحالات'!$G$2:$G$1001=6)*ROW('تشخيص الحالات'!$B$2:$B$1001))-1),""),"")&amp;IF(SUMPRODUCT(('تشخيص الحالات'!$B$2:$B$1001=B501)*('تشخيص الحالات'!$G$2:$G$1001=7))&gt;0,"، "&amp;IFERROR(INDEX('تشخيص الحالات'!$D$2:$D$1001,SUMPRODUCT(('تشخيص الحالات'!$B$2:$B$1001=B501)*('تشخيص الحالات'!$G$2:$G$1001=7)*ROW('تشخيص الحالات'!$B$2:$B$1001))-1),""),"")&amp;IF(SUMPRODUCT(('تشخيص الحالات'!$B$2:$B$1001=B501)*('تشخيص الحالات'!$G$2:$G$1001=8))&gt;0,"، "&amp;IFERROR(INDEX('تشخيص الحالات'!$D$2:$D$1001,SUMPRODUCT(('تشخيص الحالات'!$B$2:$B$1001=B501)*('تشخيص الحالات'!$G$2:$G$1001=8)*ROW('تشخيص الحالات'!$B$2:$B$1001))-1),""),"")</f>
        <v/>
      </c>
      <c r="J501" s="1"/>
      <c r="K501" s="1"/>
      <c r="L501" s="1"/>
      <c r="M501" s="1"/>
    </row>
    <row r="502" spans="1:13" x14ac:dyDescent="0.2">
      <c r="A502" s="1"/>
      <c r="B502" s="1"/>
      <c r="C502" s="1"/>
      <c r="D502" s="1"/>
      <c r="E502" s="1"/>
      <c r="F502" s="1"/>
      <c r="G502" s="1"/>
      <c r="H502" s="1"/>
      <c r="I502" t="str">
        <f>IFERROR(INDEX('تشخيص الحالات'!$D$2:$D$1001,SUMPRODUCT(('تشخيص الحالات'!$B$2:$B$1001=B502)*('تشخيص الحالات'!$G$2:$G$1001=1)*ROW('تشخيص الحالات'!$B$2:$B$1001))-1),"")&amp;IF(SUMPRODUCT(('تشخيص الحالات'!$B$2:$B$1001=B502)*('تشخيص الحالات'!$G$2:$G$1001=2))&gt;0,"، "&amp;IFERROR(INDEX('تشخيص الحالات'!$D$2:$D$1001,SUMPRODUCT(('تشخيص الحالات'!$B$2:$B$1001=B502)*('تشخيص الحالات'!$G$2:$G$1001=2)*ROW('تشخيص الحالات'!$B$2:$B$1001))-1),""),"")&amp;IF(SUMPRODUCT(('تشخيص الحالات'!$B$2:$B$1001=B502)*('تشخيص الحالات'!$G$2:$G$1001=3))&gt;0,"، "&amp;IFERROR(INDEX('تشخيص الحالات'!$D$2:$D$1001,SUMPRODUCT(('تشخيص الحالات'!$B$2:$B$1001=B502)*('تشخيص الحالات'!$G$2:$G$1001=3)*ROW('تشخيص الحالات'!$B$2:$B$1001))-1),""),"")&amp;IF(SUMPRODUCT(('تشخيص الحالات'!$B$2:$B$1001=B502)*('تشخيص الحالات'!$G$2:$G$1001=4))&gt;0,"، "&amp;IFERROR(INDEX('تشخيص الحالات'!$D$2:$D$1001,SUMPRODUCT(('تشخيص الحالات'!$B$2:$B$1001=B502)*('تشخيص الحالات'!$G$2:$G$1001=4)*ROW('تشخيص الحالات'!$B$2:$B$1001))-1),""),"")&amp;IF(SUMPRODUCT(('تشخيص الحالات'!$B$2:$B$1001=B502)*('تشخيص الحالات'!$G$2:$G$1001=5))&gt;0,"، "&amp;IFERROR(INDEX('تشخيص الحالات'!$D$2:$D$1001,SUMPRODUCT(('تشخيص الحالات'!$B$2:$B$1001=B502)*('تشخيص الحالات'!$G$2:$G$1001=5)*ROW('تشخيص الحالات'!$B$2:$B$1001))-1),""),"")&amp;IF(SUMPRODUCT(('تشخيص الحالات'!$B$2:$B$1001=B502)*('تشخيص الحالات'!$G$2:$G$1001=6))&gt;0,"، "&amp;IFERROR(INDEX('تشخيص الحالات'!$D$2:$D$1001,SUMPRODUCT(('تشخيص الحالات'!$B$2:$B$1001=B502)*('تشخيص الحالات'!$G$2:$G$1001=6)*ROW('تشخيص الحالات'!$B$2:$B$1001))-1),""),"")&amp;IF(SUMPRODUCT(('تشخيص الحالات'!$B$2:$B$1001=B502)*('تشخيص الحالات'!$G$2:$G$1001=7))&gt;0,"، "&amp;IFERROR(INDEX('تشخيص الحالات'!$D$2:$D$1001,SUMPRODUCT(('تشخيص الحالات'!$B$2:$B$1001=B502)*('تشخيص الحالات'!$G$2:$G$1001=7)*ROW('تشخيص الحالات'!$B$2:$B$1001))-1),""),"")&amp;IF(SUMPRODUCT(('تشخيص الحالات'!$B$2:$B$1001=B502)*('تشخيص الحالات'!$G$2:$G$1001=8))&gt;0,"، "&amp;IFERROR(INDEX('تشخيص الحالات'!$D$2:$D$1001,SUMPRODUCT(('تشخيص الحالات'!$B$2:$B$1001=B502)*('تشخيص الحالات'!$G$2:$G$1001=8)*ROW('تشخيص الحالات'!$B$2:$B$1001))-1),""),"")</f>
        <v/>
      </c>
      <c r="J502" s="1"/>
      <c r="K502" s="1"/>
      <c r="L502" s="1"/>
      <c r="M502" s="1"/>
    </row>
    <row r="503" spans="1:13" x14ac:dyDescent="0.2">
      <c r="A503" s="1"/>
      <c r="B503" s="1"/>
      <c r="C503" s="1"/>
      <c r="D503" s="1"/>
      <c r="E503" s="1"/>
      <c r="F503" s="1"/>
      <c r="G503" s="1"/>
      <c r="H503" s="1"/>
      <c r="I503" t="str">
        <f>IFERROR(INDEX('تشخيص الحالات'!$D$2:$D$1001,SUMPRODUCT(('تشخيص الحالات'!$B$2:$B$1001=B503)*('تشخيص الحالات'!$G$2:$G$1001=1)*ROW('تشخيص الحالات'!$B$2:$B$1001))-1),"")&amp;IF(SUMPRODUCT(('تشخيص الحالات'!$B$2:$B$1001=B503)*('تشخيص الحالات'!$G$2:$G$1001=2))&gt;0,"، "&amp;IFERROR(INDEX('تشخيص الحالات'!$D$2:$D$1001,SUMPRODUCT(('تشخيص الحالات'!$B$2:$B$1001=B503)*('تشخيص الحالات'!$G$2:$G$1001=2)*ROW('تشخيص الحالات'!$B$2:$B$1001))-1),""),"")&amp;IF(SUMPRODUCT(('تشخيص الحالات'!$B$2:$B$1001=B503)*('تشخيص الحالات'!$G$2:$G$1001=3))&gt;0,"، "&amp;IFERROR(INDEX('تشخيص الحالات'!$D$2:$D$1001,SUMPRODUCT(('تشخيص الحالات'!$B$2:$B$1001=B503)*('تشخيص الحالات'!$G$2:$G$1001=3)*ROW('تشخيص الحالات'!$B$2:$B$1001))-1),""),"")&amp;IF(SUMPRODUCT(('تشخيص الحالات'!$B$2:$B$1001=B503)*('تشخيص الحالات'!$G$2:$G$1001=4))&gt;0,"، "&amp;IFERROR(INDEX('تشخيص الحالات'!$D$2:$D$1001,SUMPRODUCT(('تشخيص الحالات'!$B$2:$B$1001=B503)*('تشخيص الحالات'!$G$2:$G$1001=4)*ROW('تشخيص الحالات'!$B$2:$B$1001))-1),""),"")&amp;IF(SUMPRODUCT(('تشخيص الحالات'!$B$2:$B$1001=B503)*('تشخيص الحالات'!$G$2:$G$1001=5))&gt;0,"، "&amp;IFERROR(INDEX('تشخيص الحالات'!$D$2:$D$1001,SUMPRODUCT(('تشخيص الحالات'!$B$2:$B$1001=B503)*('تشخيص الحالات'!$G$2:$G$1001=5)*ROW('تشخيص الحالات'!$B$2:$B$1001))-1),""),"")&amp;IF(SUMPRODUCT(('تشخيص الحالات'!$B$2:$B$1001=B503)*('تشخيص الحالات'!$G$2:$G$1001=6))&gt;0,"، "&amp;IFERROR(INDEX('تشخيص الحالات'!$D$2:$D$1001,SUMPRODUCT(('تشخيص الحالات'!$B$2:$B$1001=B503)*('تشخيص الحالات'!$G$2:$G$1001=6)*ROW('تشخيص الحالات'!$B$2:$B$1001))-1),""),"")&amp;IF(SUMPRODUCT(('تشخيص الحالات'!$B$2:$B$1001=B503)*('تشخيص الحالات'!$G$2:$G$1001=7))&gt;0,"، "&amp;IFERROR(INDEX('تشخيص الحالات'!$D$2:$D$1001,SUMPRODUCT(('تشخيص الحالات'!$B$2:$B$1001=B503)*('تشخيص الحالات'!$G$2:$G$1001=7)*ROW('تشخيص الحالات'!$B$2:$B$1001))-1),""),"")&amp;IF(SUMPRODUCT(('تشخيص الحالات'!$B$2:$B$1001=B503)*('تشخيص الحالات'!$G$2:$G$1001=8))&gt;0,"، "&amp;IFERROR(INDEX('تشخيص الحالات'!$D$2:$D$1001,SUMPRODUCT(('تشخيص الحالات'!$B$2:$B$1001=B503)*('تشخيص الحالات'!$G$2:$G$1001=8)*ROW('تشخيص الحالات'!$B$2:$B$1001))-1),""),"")</f>
        <v/>
      </c>
      <c r="J503" s="1"/>
      <c r="K503" s="1"/>
      <c r="L503" s="1"/>
      <c r="M503" s="1"/>
    </row>
    <row r="504" spans="1:13" x14ac:dyDescent="0.2">
      <c r="A504" s="1"/>
      <c r="B504" s="1"/>
      <c r="C504" s="1"/>
      <c r="D504" s="1"/>
      <c r="E504" s="1"/>
      <c r="F504" s="1"/>
      <c r="G504" s="1"/>
      <c r="H504" s="1"/>
      <c r="I504" t="str">
        <f>IFERROR(INDEX('تشخيص الحالات'!$D$2:$D$1001,SUMPRODUCT(('تشخيص الحالات'!$B$2:$B$1001=B504)*('تشخيص الحالات'!$G$2:$G$1001=1)*ROW('تشخيص الحالات'!$B$2:$B$1001))-1),"")&amp;IF(SUMPRODUCT(('تشخيص الحالات'!$B$2:$B$1001=B504)*('تشخيص الحالات'!$G$2:$G$1001=2))&gt;0,"، "&amp;IFERROR(INDEX('تشخيص الحالات'!$D$2:$D$1001,SUMPRODUCT(('تشخيص الحالات'!$B$2:$B$1001=B504)*('تشخيص الحالات'!$G$2:$G$1001=2)*ROW('تشخيص الحالات'!$B$2:$B$1001))-1),""),"")&amp;IF(SUMPRODUCT(('تشخيص الحالات'!$B$2:$B$1001=B504)*('تشخيص الحالات'!$G$2:$G$1001=3))&gt;0,"، "&amp;IFERROR(INDEX('تشخيص الحالات'!$D$2:$D$1001,SUMPRODUCT(('تشخيص الحالات'!$B$2:$B$1001=B504)*('تشخيص الحالات'!$G$2:$G$1001=3)*ROW('تشخيص الحالات'!$B$2:$B$1001))-1),""),"")&amp;IF(SUMPRODUCT(('تشخيص الحالات'!$B$2:$B$1001=B504)*('تشخيص الحالات'!$G$2:$G$1001=4))&gt;0,"، "&amp;IFERROR(INDEX('تشخيص الحالات'!$D$2:$D$1001,SUMPRODUCT(('تشخيص الحالات'!$B$2:$B$1001=B504)*('تشخيص الحالات'!$G$2:$G$1001=4)*ROW('تشخيص الحالات'!$B$2:$B$1001))-1),""),"")&amp;IF(SUMPRODUCT(('تشخيص الحالات'!$B$2:$B$1001=B504)*('تشخيص الحالات'!$G$2:$G$1001=5))&gt;0,"، "&amp;IFERROR(INDEX('تشخيص الحالات'!$D$2:$D$1001,SUMPRODUCT(('تشخيص الحالات'!$B$2:$B$1001=B504)*('تشخيص الحالات'!$G$2:$G$1001=5)*ROW('تشخيص الحالات'!$B$2:$B$1001))-1),""),"")&amp;IF(SUMPRODUCT(('تشخيص الحالات'!$B$2:$B$1001=B504)*('تشخيص الحالات'!$G$2:$G$1001=6))&gt;0,"، "&amp;IFERROR(INDEX('تشخيص الحالات'!$D$2:$D$1001,SUMPRODUCT(('تشخيص الحالات'!$B$2:$B$1001=B504)*('تشخيص الحالات'!$G$2:$G$1001=6)*ROW('تشخيص الحالات'!$B$2:$B$1001))-1),""),"")&amp;IF(SUMPRODUCT(('تشخيص الحالات'!$B$2:$B$1001=B504)*('تشخيص الحالات'!$G$2:$G$1001=7))&gt;0,"، "&amp;IFERROR(INDEX('تشخيص الحالات'!$D$2:$D$1001,SUMPRODUCT(('تشخيص الحالات'!$B$2:$B$1001=B504)*('تشخيص الحالات'!$G$2:$G$1001=7)*ROW('تشخيص الحالات'!$B$2:$B$1001))-1),""),"")&amp;IF(SUMPRODUCT(('تشخيص الحالات'!$B$2:$B$1001=B504)*('تشخيص الحالات'!$G$2:$G$1001=8))&gt;0,"، "&amp;IFERROR(INDEX('تشخيص الحالات'!$D$2:$D$1001,SUMPRODUCT(('تشخيص الحالات'!$B$2:$B$1001=B504)*('تشخيص الحالات'!$G$2:$G$1001=8)*ROW('تشخيص الحالات'!$B$2:$B$1001))-1),""),"")</f>
        <v/>
      </c>
      <c r="J504" s="1"/>
      <c r="K504" s="1"/>
      <c r="L504" s="1"/>
      <c r="M504" s="1"/>
    </row>
    <row r="505" spans="1:13" x14ac:dyDescent="0.2">
      <c r="A505" s="1"/>
      <c r="B505" s="1"/>
      <c r="C505" s="1"/>
      <c r="D505" s="1"/>
      <c r="E505" s="1"/>
      <c r="F505" s="1"/>
      <c r="G505" s="1"/>
      <c r="H505" s="1"/>
      <c r="I505" t="str">
        <f>IFERROR(INDEX('تشخيص الحالات'!$D$2:$D$1001,SUMPRODUCT(('تشخيص الحالات'!$B$2:$B$1001=B505)*('تشخيص الحالات'!$G$2:$G$1001=1)*ROW('تشخيص الحالات'!$B$2:$B$1001))-1),"")&amp;IF(SUMPRODUCT(('تشخيص الحالات'!$B$2:$B$1001=B505)*('تشخيص الحالات'!$G$2:$G$1001=2))&gt;0,"، "&amp;IFERROR(INDEX('تشخيص الحالات'!$D$2:$D$1001,SUMPRODUCT(('تشخيص الحالات'!$B$2:$B$1001=B505)*('تشخيص الحالات'!$G$2:$G$1001=2)*ROW('تشخيص الحالات'!$B$2:$B$1001))-1),""),"")&amp;IF(SUMPRODUCT(('تشخيص الحالات'!$B$2:$B$1001=B505)*('تشخيص الحالات'!$G$2:$G$1001=3))&gt;0,"، "&amp;IFERROR(INDEX('تشخيص الحالات'!$D$2:$D$1001,SUMPRODUCT(('تشخيص الحالات'!$B$2:$B$1001=B505)*('تشخيص الحالات'!$G$2:$G$1001=3)*ROW('تشخيص الحالات'!$B$2:$B$1001))-1),""),"")&amp;IF(SUMPRODUCT(('تشخيص الحالات'!$B$2:$B$1001=B505)*('تشخيص الحالات'!$G$2:$G$1001=4))&gt;0,"، "&amp;IFERROR(INDEX('تشخيص الحالات'!$D$2:$D$1001,SUMPRODUCT(('تشخيص الحالات'!$B$2:$B$1001=B505)*('تشخيص الحالات'!$G$2:$G$1001=4)*ROW('تشخيص الحالات'!$B$2:$B$1001))-1),""),"")&amp;IF(SUMPRODUCT(('تشخيص الحالات'!$B$2:$B$1001=B505)*('تشخيص الحالات'!$G$2:$G$1001=5))&gt;0,"، "&amp;IFERROR(INDEX('تشخيص الحالات'!$D$2:$D$1001,SUMPRODUCT(('تشخيص الحالات'!$B$2:$B$1001=B505)*('تشخيص الحالات'!$G$2:$G$1001=5)*ROW('تشخيص الحالات'!$B$2:$B$1001))-1),""),"")&amp;IF(SUMPRODUCT(('تشخيص الحالات'!$B$2:$B$1001=B505)*('تشخيص الحالات'!$G$2:$G$1001=6))&gt;0,"، "&amp;IFERROR(INDEX('تشخيص الحالات'!$D$2:$D$1001,SUMPRODUCT(('تشخيص الحالات'!$B$2:$B$1001=B505)*('تشخيص الحالات'!$G$2:$G$1001=6)*ROW('تشخيص الحالات'!$B$2:$B$1001))-1),""),"")&amp;IF(SUMPRODUCT(('تشخيص الحالات'!$B$2:$B$1001=B505)*('تشخيص الحالات'!$G$2:$G$1001=7))&gt;0,"، "&amp;IFERROR(INDEX('تشخيص الحالات'!$D$2:$D$1001,SUMPRODUCT(('تشخيص الحالات'!$B$2:$B$1001=B505)*('تشخيص الحالات'!$G$2:$G$1001=7)*ROW('تشخيص الحالات'!$B$2:$B$1001))-1),""),"")&amp;IF(SUMPRODUCT(('تشخيص الحالات'!$B$2:$B$1001=B505)*('تشخيص الحالات'!$G$2:$G$1001=8))&gt;0,"، "&amp;IFERROR(INDEX('تشخيص الحالات'!$D$2:$D$1001,SUMPRODUCT(('تشخيص الحالات'!$B$2:$B$1001=B505)*('تشخيص الحالات'!$G$2:$G$1001=8)*ROW('تشخيص الحالات'!$B$2:$B$1001))-1),""),"")</f>
        <v/>
      </c>
      <c r="J505" s="1"/>
      <c r="K505" s="1"/>
      <c r="L505" s="1"/>
      <c r="M505" s="1"/>
    </row>
    <row r="506" spans="1:13" x14ac:dyDescent="0.2">
      <c r="A506" s="1"/>
      <c r="B506" s="1"/>
      <c r="C506" s="1"/>
      <c r="D506" s="1"/>
      <c r="E506" s="1"/>
      <c r="F506" s="1"/>
      <c r="G506" s="1"/>
      <c r="H506" s="1"/>
      <c r="I506" t="str">
        <f>IFERROR(INDEX('تشخيص الحالات'!$D$2:$D$1001,SUMPRODUCT(('تشخيص الحالات'!$B$2:$B$1001=B506)*('تشخيص الحالات'!$G$2:$G$1001=1)*ROW('تشخيص الحالات'!$B$2:$B$1001))-1),"")&amp;IF(SUMPRODUCT(('تشخيص الحالات'!$B$2:$B$1001=B506)*('تشخيص الحالات'!$G$2:$G$1001=2))&gt;0,"، "&amp;IFERROR(INDEX('تشخيص الحالات'!$D$2:$D$1001,SUMPRODUCT(('تشخيص الحالات'!$B$2:$B$1001=B506)*('تشخيص الحالات'!$G$2:$G$1001=2)*ROW('تشخيص الحالات'!$B$2:$B$1001))-1),""),"")&amp;IF(SUMPRODUCT(('تشخيص الحالات'!$B$2:$B$1001=B506)*('تشخيص الحالات'!$G$2:$G$1001=3))&gt;0,"، "&amp;IFERROR(INDEX('تشخيص الحالات'!$D$2:$D$1001,SUMPRODUCT(('تشخيص الحالات'!$B$2:$B$1001=B506)*('تشخيص الحالات'!$G$2:$G$1001=3)*ROW('تشخيص الحالات'!$B$2:$B$1001))-1),""),"")&amp;IF(SUMPRODUCT(('تشخيص الحالات'!$B$2:$B$1001=B506)*('تشخيص الحالات'!$G$2:$G$1001=4))&gt;0,"، "&amp;IFERROR(INDEX('تشخيص الحالات'!$D$2:$D$1001,SUMPRODUCT(('تشخيص الحالات'!$B$2:$B$1001=B506)*('تشخيص الحالات'!$G$2:$G$1001=4)*ROW('تشخيص الحالات'!$B$2:$B$1001))-1),""),"")&amp;IF(SUMPRODUCT(('تشخيص الحالات'!$B$2:$B$1001=B506)*('تشخيص الحالات'!$G$2:$G$1001=5))&gt;0,"، "&amp;IFERROR(INDEX('تشخيص الحالات'!$D$2:$D$1001,SUMPRODUCT(('تشخيص الحالات'!$B$2:$B$1001=B506)*('تشخيص الحالات'!$G$2:$G$1001=5)*ROW('تشخيص الحالات'!$B$2:$B$1001))-1),""),"")&amp;IF(SUMPRODUCT(('تشخيص الحالات'!$B$2:$B$1001=B506)*('تشخيص الحالات'!$G$2:$G$1001=6))&gt;0,"، "&amp;IFERROR(INDEX('تشخيص الحالات'!$D$2:$D$1001,SUMPRODUCT(('تشخيص الحالات'!$B$2:$B$1001=B506)*('تشخيص الحالات'!$G$2:$G$1001=6)*ROW('تشخيص الحالات'!$B$2:$B$1001))-1),""),"")&amp;IF(SUMPRODUCT(('تشخيص الحالات'!$B$2:$B$1001=B506)*('تشخيص الحالات'!$G$2:$G$1001=7))&gt;0,"، "&amp;IFERROR(INDEX('تشخيص الحالات'!$D$2:$D$1001,SUMPRODUCT(('تشخيص الحالات'!$B$2:$B$1001=B506)*('تشخيص الحالات'!$G$2:$G$1001=7)*ROW('تشخيص الحالات'!$B$2:$B$1001))-1),""),"")&amp;IF(SUMPRODUCT(('تشخيص الحالات'!$B$2:$B$1001=B506)*('تشخيص الحالات'!$G$2:$G$1001=8))&gt;0,"، "&amp;IFERROR(INDEX('تشخيص الحالات'!$D$2:$D$1001,SUMPRODUCT(('تشخيص الحالات'!$B$2:$B$1001=B506)*('تشخيص الحالات'!$G$2:$G$1001=8)*ROW('تشخيص الحالات'!$B$2:$B$1001))-1),""),"")</f>
        <v/>
      </c>
      <c r="J506" s="1"/>
      <c r="K506" s="1"/>
      <c r="L506" s="1"/>
      <c r="M506" s="1"/>
    </row>
    <row r="507" spans="1:13" x14ac:dyDescent="0.2">
      <c r="A507" s="1"/>
      <c r="B507" s="1"/>
      <c r="C507" s="1"/>
      <c r="D507" s="1"/>
      <c r="E507" s="1"/>
      <c r="F507" s="1"/>
      <c r="G507" s="1"/>
      <c r="H507" s="1"/>
      <c r="I507" t="str">
        <f>IFERROR(INDEX('تشخيص الحالات'!$D$2:$D$1001,SUMPRODUCT(('تشخيص الحالات'!$B$2:$B$1001=B507)*('تشخيص الحالات'!$G$2:$G$1001=1)*ROW('تشخيص الحالات'!$B$2:$B$1001))-1),"")&amp;IF(SUMPRODUCT(('تشخيص الحالات'!$B$2:$B$1001=B507)*('تشخيص الحالات'!$G$2:$G$1001=2))&gt;0,"، "&amp;IFERROR(INDEX('تشخيص الحالات'!$D$2:$D$1001,SUMPRODUCT(('تشخيص الحالات'!$B$2:$B$1001=B507)*('تشخيص الحالات'!$G$2:$G$1001=2)*ROW('تشخيص الحالات'!$B$2:$B$1001))-1),""),"")&amp;IF(SUMPRODUCT(('تشخيص الحالات'!$B$2:$B$1001=B507)*('تشخيص الحالات'!$G$2:$G$1001=3))&gt;0,"، "&amp;IFERROR(INDEX('تشخيص الحالات'!$D$2:$D$1001,SUMPRODUCT(('تشخيص الحالات'!$B$2:$B$1001=B507)*('تشخيص الحالات'!$G$2:$G$1001=3)*ROW('تشخيص الحالات'!$B$2:$B$1001))-1),""),"")&amp;IF(SUMPRODUCT(('تشخيص الحالات'!$B$2:$B$1001=B507)*('تشخيص الحالات'!$G$2:$G$1001=4))&gt;0,"، "&amp;IFERROR(INDEX('تشخيص الحالات'!$D$2:$D$1001,SUMPRODUCT(('تشخيص الحالات'!$B$2:$B$1001=B507)*('تشخيص الحالات'!$G$2:$G$1001=4)*ROW('تشخيص الحالات'!$B$2:$B$1001))-1),""),"")&amp;IF(SUMPRODUCT(('تشخيص الحالات'!$B$2:$B$1001=B507)*('تشخيص الحالات'!$G$2:$G$1001=5))&gt;0,"، "&amp;IFERROR(INDEX('تشخيص الحالات'!$D$2:$D$1001,SUMPRODUCT(('تشخيص الحالات'!$B$2:$B$1001=B507)*('تشخيص الحالات'!$G$2:$G$1001=5)*ROW('تشخيص الحالات'!$B$2:$B$1001))-1),""),"")&amp;IF(SUMPRODUCT(('تشخيص الحالات'!$B$2:$B$1001=B507)*('تشخيص الحالات'!$G$2:$G$1001=6))&gt;0,"، "&amp;IFERROR(INDEX('تشخيص الحالات'!$D$2:$D$1001,SUMPRODUCT(('تشخيص الحالات'!$B$2:$B$1001=B507)*('تشخيص الحالات'!$G$2:$G$1001=6)*ROW('تشخيص الحالات'!$B$2:$B$1001))-1),""),"")&amp;IF(SUMPRODUCT(('تشخيص الحالات'!$B$2:$B$1001=B507)*('تشخيص الحالات'!$G$2:$G$1001=7))&gt;0,"، "&amp;IFERROR(INDEX('تشخيص الحالات'!$D$2:$D$1001,SUMPRODUCT(('تشخيص الحالات'!$B$2:$B$1001=B507)*('تشخيص الحالات'!$G$2:$G$1001=7)*ROW('تشخيص الحالات'!$B$2:$B$1001))-1),""),"")&amp;IF(SUMPRODUCT(('تشخيص الحالات'!$B$2:$B$1001=B507)*('تشخيص الحالات'!$G$2:$G$1001=8))&gt;0,"، "&amp;IFERROR(INDEX('تشخيص الحالات'!$D$2:$D$1001,SUMPRODUCT(('تشخيص الحالات'!$B$2:$B$1001=B507)*('تشخيص الحالات'!$G$2:$G$1001=8)*ROW('تشخيص الحالات'!$B$2:$B$1001))-1),""),"")</f>
        <v/>
      </c>
      <c r="J507" s="1"/>
      <c r="K507" s="1"/>
      <c r="L507" s="1"/>
      <c r="M507" s="1"/>
    </row>
    <row r="508" spans="1:13" x14ac:dyDescent="0.2">
      <c r="A508" s="1"/>
      <c r="B508" s="1"/>
      <c r="C508" s="1"/>
      <c r="D508" s="1"/>
      <c r="E508" s="1"/>
      <c r="F508" s="1"/>
      <c r="G508" s="1"/>
      <c r="H508" s="1"/>
      <c r="I508" t="str">
        <f>IFERROR(INDEX('تشخيص الحالات'!$D$2:$D$1001,SUMPRODUCT(('تشخيص الحالات'!$B$2:$B$1001=B508)*('تشخيص الحالات'!$G$2:$G$1001=1)*ROW('تشخيص الحالات'!$B$2:$B$1001))-1),"")&amp;IF(SUMPRODUCT(('تشخيص الحالات'!$B$2:$B$1001=B508)*('تشخيص الحالات'!$G$2:$G$1001=2))&gt;0,"، "&amp;IFERROR(INDEX('تشخيص الحالات'!$D$2:$D$1001,SUMPRODUCT(('تشخيص الحالات'!$B$2:$B$1001=B508)*('تشخيص الحالات'!$G$2:$G$1001=2)*ROW('تشخيص الحالات'!$B$2:$B$1001))-1),""),"")&amp;IF(SUMPRODUCT(('تشخيص الحالات'!$B$2:$B$1001=B508)*('تشخيص الحالات'!$G$2:$G$1001=3))&gt;0,"، "&amp;IFERROR(INDEX('تشخيص الحالات'!$D$2:$D$1001,SUMPRODUCT(('تشخيص الحالات'!$B$2:$B$1001=B508)*('تشخيص الحالات'!$G$2:$G$1001=3)*ROW('تشخيص الحالات'!$B$2:$B$1001))-1),""),"")&amp;IF(SUMPRODUCT(('تشخيص الحالات'!$B$2:$B$1001=B508)*('تشخيص الحالات'!$G$2:$G$1001=4))&gt;0,"، "&amp;IFERROR(INDEX('تشخيص الحالات'!$D$2:$D$1001,SUMPRODUCT(('تشخيص الحالات'!$B$2:$B$1001=B508)*('تشخيص الحالات'!$G$2:$G$1001=4)*ROW('تشخيص الحالات'!$B$2:$B$1001))-1),""),"")&amp;IF(SUMPRODUCT(('تشخيص الحالات'!$B$2:$B$1001=B508)*('تشخيص الحالات'!$G$2:$G$1001=5))&gt;0,"، "&amp;IFERROR(INDEX('تشخيص الحالات'!$D$2:$D$1001,SUMPRODUCT(('تشخيص الحالات'!$B$2:$B$1001=B508)*('تشخيص الحالات'!$G$2:$G$1001=5)*ROW('تشخيص الحالات'!$B$2:$B$1001))-1),""),"")&amp;IF(SUMPRODUCT(('تشخيص الحالات'!$B$2:$B$1001=B508)*('تشخيص الحالات'!$G$2:$G$1001=6))&gt;0,"، "&amp;IFERROR(INDEX('تشخيص الحالات'!$D$2:$D$1001,SUMPRODUCT(('تشخيص الحالات'!$B$2:$B$1001=B508)*('تشخيص الحالات'!$G$2:$G$1001=6)*ROW('تشخيص الحالات'!$B$2:$B$1001))-1),""),"")&amp;IF(SUMPRODUCT(('تشخيص الحالات'!$B$2:$B$1001=B508)*('تشخيص الحالات'!$G$2:$G$1001=7))&gt;0,"، "&amp;IFERROR(INDEX('تشخيص الحالات'!$D$2:$D$1001,SUMPRODUCT(('تشخيص الحالات'!$B$2:$B$1001=B508)*('تشخيص الحالات'!$G$2:$G$1001=7)*ROW('تشخيص الحالات'!$B$2:$B$1001))-1),""),"")&amp;IF(SUMPRODUCT(('تشخيص الحالات'!$B$2:$B$1001=B508)*('تشخيص الحالات'!$G$2:$G$1001=8))&gt;0,"، "&amp;IFERROR(INDEX('تشخيص الحالات'!$D$2:$D$1001,SUMPRODUCT(('تشخيص الحالات'!$B$2:$B$1001=B508)*('تشخيص الحالات'!$G$2:$G$1001=8)*ROW('تشخيص الحالات'!$B$2:$B$1001))-1),""),"")</f>
        <v/>
      </c>
      <c r="J508" s="1"/>
      <c r="K508" s="1"/>
      <c r="L508" s="1"/>
      <c r="M508" s="1"/>
    </row>
    <row r="509" spans="1:13" x14ac:dyDescent="0.2">
      <c r="A509" s="1"/>
      <c r="B509" s="1"/>
      <c r="C509" s="1"/>
      <c r="D509" s="1"/>
      <c r="E509" s="1"/>
      <c r="F509" s="1"/>
      <c r="G509" s="1"/>
      <c r="H509" s="1"/>
      <c r="I509" t="str">
        <f>IFERROR(INDEX('تشخيص الحالات'!$D$2:$D$1001,SUMPRODUCT(('تشخيص الحالات'!$B$2:$B$1001=B509)*('تشخيص الحالات'!$G$2:$G$1001=1)*ROW('تشخيص الحالات'!$B$2:$B$1001))-1),"")&amp;IF(SUMPRODUCT(('تشخيص الحالات'!$B$2:$B$1001=B509)*('تشخيص الحالات'!$G$2:$G$1001=2))&gt;0,"، "&amp;IFERROR(INDEX('تشخيص الحالات'!$D$2:$D$1001,SUMPRODUCT(('تشخيص الحالات'!$B$2:$B$1001=B509)*('تشخيص الحالات'!$G$2:$G$1001=2)*ROW('تشخيص الحالات'!$B$2:$B$1001))-1),""),"")&amp;IF(SUMPRODUCT(('تشخيص الحالات'!$B$2:$B$1001=B509)*('تشخيص الحالات'!$G$2:$G$1001=3))&gt;0,"، "&amp;IFERROR(INDEX('تشخيص الحالات'!$D$2:$D$1001,SUMPRODUCT(('تشخيص الحالات'!$B$2:$B$1001=B509)*('تشخيص الحالات'!$G$2:$G$1001=3)*ROW('تشخيص الحالات'!$B$2:$B$1001))-1),""),"")&amp;IF(SUMPRODUCT(('تشخيص الحالات'!$B$2:$B$1001=B509)*('تشخيص الحالات'!$G$2:$G$1001=4))&gt;0,"، "&amp;IFERROR(INDEX('تشخيص الحالات'!$D$2:$D$1001,SUMPRODUCT(('تشخيص الحالات'!$B$2:$B$1001=B509)*('تشخيص الحالات'!$G$2:$G$1001=4)*ROW('تشخيص الحالات'!$B$2:$B$1001))-1),""),"")&amp;IF(SUMPRODUCT(('تشخيص الحالات'!$B$2:$B$1001=B509)*('تشخيص الحالات'!$G$2:$G$1001=5))&gt;0,"، "&amp;IFERROR(INDEX('تشخيص الحالات'!$D$2:$D$1001,SUMPRODUCT(('تشخيص الحالات'!$B$2:$B$1001=B509)*('تشخيص الحالات'!$G$2:$G$1001=5)*ROW('تشخيص الحالات'!$B$2:$B$1001))-1),""),"")&amp;IF(SUMPRODUCT(('تشخيص الحالات'!$B$2:$B$1001=B509)*('تشخيص الحالات'!$G$2:$G$1001=6))&gt;0,"، "&amp;IFERROR(INDEX('تشخيص الحالات'!$D$2:$D$1001,SUMPRODUCT(('تشخيص الحالات'!$B$2:$B$1001=B509)*('تشخيص الحالات'!$G$2:$G$1001=6)*ROW('تشخيص الحالات'!$B$2:$B$1001))-1),""),"")&amp;IF(SUMPRODUCT(('تشخيص الحالات'!$B$2:$B$1001=B509)*('تشخيص الحالات'!$G$2:$G$1001=7))&gt;0,"، "&amp;IFERROR(INDEX('تشخيص الحالات'!$D$2:$D$1001,SUMPRODUCT(('تشخيص الحالات'!$B$2:$B$1001=B509)*('تشخيص الحالات'!$G$2:$G$1001=7)*ROW('تشخيص الحالات'!$B$2:$B$1001))-1),""),"")&amp;IF(SUMPRODUCT(('تشخيص الحالات'!$B$2:$B$1001=B509)*('تشخيص الحالات'!$G$2:$G$1001=8))&gt;0,"، "&amp;IFERROR(INDEX('تشخيص الحالات'!$D$2:$D$1001,SUMPRODUCT(('تشخيص الحالات'!$B$2:$B$1001=B509)*('تشخيص الحالات'!$G$2:$G$1001=8)*ROW('تشخيص الحالات'!$B$2:$B$1001))-1),""),"")</f>
        <v/>
      </c>
      <c r="J509" s="1"/>
      <c r="K509" s="1"/>
      <c r="L509" s="1"/>
      <c r="M509" s="1"/>
    </row>
    <row r="510" spans="1:13" x14ac:dyDescent="0.2">
      <c r="A510" s="1"/>
      <c r="B510" s="1"/>
      <c r="C510" s="1"/>
      <c r="D510" s="1"/>
      <c r="E510" s="1"/>
      <c r="F510" s="1"/>
      <c r="G510" s="1"/>
      <c r="H510" s="1"/>
      <c r="I510" t="str">
        <f>IFERROR(INDEX('تشخيص الحالات'!$D$2:$D$1001,SUMPRODUCT(('تشخيص الحالات'!$B$2:$B$1001=B510)*('تشخيص الحالات'!$G$2:$G$1001=1)*ROW('تشخيص الحالات'!$B$2:$B$1001))-1),"")&amp;IF(SUMPRODUCT(('تشخيص الحالات'!$B$2:$B$1001=B510)*('تشخيص الحالات'!$G$2:$G$1001=2))&gt;0,"، "&amp;IFERROR(INDEX('تشخيص الحالات'!$D$2:$D$1001,SUMPRODUCT(('تشخيص الحالات'!$B$2:$B$1001=B510)*('تشخيص الحالات'!$G$2:$G$1001=2)*ROW('تشخيص الحالات'!$B$2:$B$1001))-1),""),"")&amp;IF(SUMPRODUCT(('تشخيص الحالات'!$B$2:$B$1001=B510)*('تشخيص الحالات'!$G$2:$G$1001=3))&gt;0,"، "&amp;IFERROR(INDEX('تشخيص الحالات'!$D$2:$D$1001,SUMPRODUCT(('تشخيص الحالات'!$B$2:$B$1001=B510)*('تشخيص الحالات'!$G$2:$G$1001=3)*ROW('تشخيص الحالات'!$B$2:$B$1001))-1),""),"")&amp;IF(SUMPRODUCT(('تشخيص الحالات'!$B$2:$B$1001=B510)*('تشخيص الحالات'!$G$2:$G$1001=4))&gt;0,"، "&amp;IFERROR(INDEX('تشخيص الحالات'!$D$2:$D$1001,SUMPRODUCT(('تشخيص الحالات'!$B$2:$B$1001=B510)*('تشخيص الحالات'!$G$2:$G$1001=4)*ROW('تشخيص الحالات'!$B$2:$B$1001))-1),""),"")&amp;IF(SUMPRODUCT(('تشخيص الحالات'!$B$2:$B$1001=B510)*('تشخيص الحالات'!$G$2:$G$1001=5))&gt;0,"، "&amp;IFERROR(INDEX('تشخيص الحالات'!$D$2:$D$1001,SUMPRODUCT(('تشخيص الحالات'!$B$2:$B$1001=B510)*('تشخيص الحالات'!$G$2:$G$1001=5)*ROW('تشخيص الحالات'!$B$2:$B$1001))-1),""),"")&amp;IF(SUMPRODUCT(('تشخيص الحالات'!$B$2:$B$1001=B510)*('تشخيص الحالات'!$G$2:$G$1001=6))&gt;0,"، "&amp;IFERROR(INDEX('تشخيص الحالات'!$D$2:$D$1001,SUMPRODUCT(('تشخيص الحالات'!$B$2:$B$1001=B510)*('تشخيص الحالات'!$G$2:$G$1001=6)*ROW('تشخيص الحالات'!$B$2:$B$1001))-1),""),"")&amp;IF(SUMPRODUCT(('تشخيص الحالات'!$B$2:$B$1001=B510)*('تشخيص الحالات'!$G$2:$G$1001=7))&gt;0,"، "&amp;IFERROR(INDEX('تشخيص الحالات'!$D$2:$D$1001,SUMPRODUCT(('تشخيص الحالات'!$B$2:$B$1001=B510)*('تشخيص الحالات'!$G$2:$G$1001=7)*ROW('تشخيص الحالات'!$B$2:$B$1001))-1),""),"")&amp;IF(SUMPRODUCT(('تشخيص الحالات'!$B$2:$B$1001=B510)*('تشخيص الحالات'!$G$2:$G$1001=8))&gt;0,"، "&amp;IFERROR(INDEX('تشخيص الحالات'!$D$2:$D$1001,SUMPRODUCT(('تشخيص الحالات'!$B$2:$B$1001=B510)*('تشخيص الحالات'!$G$2:$G$1001=8)*ROW('تشخيص الحالات'!$B$2:$B$1001))-1),""),"")</f>
        <v/>
      </c>
      <c r="J510" s="1"/>
      <c r="K510" s="1"/>
      <c r="L510" s="1"/>
      <c r="M510" s="1"/>
    </row>
    <row r="511" spans="1:13" x14ac:dyDescent="0.2">
      <c r="A511" s="1"/>
      <c r="B511" s="1"/>
      <c r="C511" s="1"/>
      <c r="D511" s="1"/>
      <c r="E511" s="1"/>
      <c r="F511" s="1"/>
      <c r="G511" s="1"/>
      <c r="H511" s="1"/>
      <c r="I511" t="str">
        <f>IFERROR(INDEX('تشخيص الحالات'!$D$2:$D$1001,SUMPRODUCT(('تشخيص الحالات'!$B$2:$B$1001=B511)*('تشخيص الحالات'!$G$2:$G$1001=1)*ROW('تشخيص الحالات'!$B$2:$B$1001))-1),"")&amp;IF(SUMPRODUCT(('تشخيص الحالات'!$B$2:$B$1001=B511)*('تشخيص الحالات'!$G$2:$G$1001=2))&gt;0,"، "&amp;IFERROR(INDEX('تشخيص الحالات'!$D$2:$D$1001,SUMPRODUCT(('تشخيص الحالات'!$B$2:$B$1001=B511)*('تشخيص الحالات'!$G$2:$G$1001=2)*ROW('تشخيص الحالات'!$B$2:$B$1001))-1),""),"")&amp;IF(SUMPRODUCT(('تشخيص الحالات'!$B$2:$B$1001=B511)*('تشخيص الحالات'!$G$2:$G$1001=3))&gt;0,"، "&amp;IFERROR(INDEX('تشخيص الحالات'!$D$2:$D$1001,SUMPRODUCT(('تشخيص الحالات'!$B$2:$B$1001=B511)*('تشخيص الحالات'!$G$2:$G$1001=3)*ROW('تشخيص الحالات'!$B$2:$B$1001))-1),""),"")&amp;IF(SUMPRODUCT(('تشخيص الحالات'!$B$2:$B$1001=B511)*('تشخيص الحالات'!$G$2:$G$1001=4))&gt;0,"، "&amp;IFERROR(INDEX('تشخيص الحالات'!$D$2:$D$1001,SUMPRODUCT(('تشخيص الحالات'!$B$2:$B$1001=B511)*('تشخيص الحالات'!$G$2:$G$1001=4)*ROW('تشخيص الحالات'!$B$2:$B$1001))-1),""),"")&amp;IF(SUMPRODUCT(('تشخيص الحالات'!$B$2:$B$1001=B511)*('تشخيص الحالات'!$G$2:$G$1001=5))&gt;0,"، "&amp;IFERROR(INDEX('تشخيص الحالات'!$D$2:$D$1001,SUMPRODUCT(('تشخيص الحالات'!$B$2:$B$1001=B511)*('تشخيص الحالات'!$G$2:$G$1001=5)*ROW('تشخيص الحالات'!$B$2:$B$1001))-1),""),"")&amp;IF(SUMPRODUCT(('تشخيص الحالات'!$B$2:$B$1001=B511)*('تشخيص الحالات'!$G$2:$G$1001=6))&gt;0,"، "&amp;IFERROR(INDEX('تشخيص الحالات'!$D$2:$D$1001,SUMPRODUCT(('تشخيص الحالات'!$B$2:$B$1001=B511)*('تشخيص الحالات'!$G$2:$G$1001=6)*ROW('تشخيص الحالات'!$B$2:$B$1001))-1),""),"")&amp;IF(SUMPRODUCT(('تشخيص الحالات'!$B$2:$B$1001=B511)*('تشخيص الحالات'!$G$2:$G$1001=7))&gt;0,"، "&amp;IFERROR(INDEX('تشخيص الحالات'!$D$2:$D$1001,SUMPRODUCT(('تشخيص الحالات'!$B$2:$B$1001=B511)*('تشخيص الحالات'!$G$2:$G$1001=7)*ROW('تشخيص الحالات'!$B$2:$B$1001))-1),""),"")&amp;IF(SUMPRODUCT(('تشخيص الحالات'!$B$2:$B$1001=B511)*('تشخيص الحالات'!$G$2:$G$1001=8))&gt;0,"، "&amp;IFERROR(INDEX('تشخيص الحالات'!$D$2:$D$1001,SUMPRODUCT(('تشخيص الحالات'!$B$2:$B$1001=B511)*('تشخيص الحالات'!$G$2:$G$1001=8)*ROW('تشخيص الحالات'!$B$2:$B$1001))-1),""),"")</f>
        <v/>
      </c>
      <c r="J511" s="1"/>
      <c r="K511" s="1"/>
      <c r="L511" s="1"/>
      <c r="M511" s="1"/>
    </row>
    <row r="512" spans="1:13" x14ac:dyDescent="0.2">
      <c r="A512" s="1"/>
      <c r="B512" s="1"/>
      <c r="C512" s="1"/>
      <c r="D512" s="1"/>
      <c r="E512" s="1"/>
      <c r="F512" s="1"/>
      <c r="G512" s="1"/>
      <c r="H512" s="1"/>
      <c r="I512" t="str">
        <f>IFERROR(INDEX('تشخيص الحالات'!$D$2:$D$1001,SUMPRODUCT(('تشخيص الحالات'!$B$2:$B$1001=B512)*('تشخيص الحالات'!$G$2:$G$1001=1)*ROW('تشخيص الحالات'!$B$2:$B$1001))-1),"")&amp;IF(SUMPRODUCT(('تشخيص الحالات'!$B$2:$B$1001=B512)*('تشخيص الحالات'!$G$2:$G$1001=2))&gt;0,"، "&amp;IFERROR(INDEX('تشخيص الحالات'!$D$2:$D$1001,SUMPRODUCT(('تشخيص الحالات'!$B$2:$B$1001=B512)*('تشخيص الحالات'!$G$2:$G$1001=2)*ROW('تشخيص الحالات'!$B$2:$B$1001))-1),""),"")&amp;IF(SUMPRODUCT(('تشخيص الحالات'!$B$2:$B$1001=B512)*('تشخيص الحالات'!$G$2:$G$1001=3))&gt;0,"، "&amp;IFERROR(INDEX('تشخيص الحالات'!$D$2:$D$1001,SUMPRODUCT(('تشخيص الحالات'!$B$2:$B$1001=B512)*('تشخيص الحالات'!$G$2:$G$1001=3)*ROW('تشخيص الحالات'!$B$2:$B$1001))-1),""),"")&amp;IF(SUMPRODUCT(('تشخيص الحالات'!$B$2:$B$1001=B512)*('تشخيص الحالات'!$G$2:$G$1001=4))&gt;0,"، "&amp;IFERROR(INDEX('تشخيص الحالات'!$D$2:$D$1001,SUMPRODUCT(('تشخيص الحالات'!$B$2:$B$1001=B512)*('تشخيص الحالات'!$G$2:$G$1001=4)*ROW('تشخيص الحالات'!$B$2:$B$1001))-1),""),"")&amp;IF(SUMPRODUCT(('تشخيص الحالات'!$B$2:$B$1001=B512)*('تشخيص الحالات'!$G$2:$G$1001=5))&gt;0,"، "&amp;IFERROR(INDEX('تشخيص الحالات'!$D$2:$D$1001,SUMPRODUCT(('تشخيص الحالات'!$B$2:$B$1001=B512)*('تشخيص الحالات'!$G$2:$G$1001=5)*ROW('تشخيص الحالات'!$B$2:$B$1001))-1),""),"")&amp;IF(SUMPRODUCT(('تشخيص الحالات'!$B$2:$B$1001=B512)*('تشخيص الحالات'!$G$2:$G$1001=6))&gt;0,"، "&amp;IFERROR(INDEX('تشخيص الحالات'!$D$2:$D$1001,SUMPRODUCT(('تشخيص الحالات'!$B$2:$B$1001=B512)*('تشخيص الحالات'!$G$2:$G$1001=6)*ROW('تشخيص الحالات'!$B$2:$B$1001))-1),""),"")&amp;IF(SUMPRODUCT(('تشخيص الحالات'!$B$2:$B$1001=B512)*('تشخيص الحالات'!$G$2:$G$1001=7))&gt;0,"، "&amp;IFERROR(INDEX('تشخيص الحالات'!$D$2:$D$1001,SUMPRODUCT(('تشخيص الحالات'!$B$2:$B$1001=B512)*('تشخيص الحالات'!$G$2:$G$1001=7)*ROW('تشخيص الحالات'!$B$2:$B$1001))-1),""),"")&amp;IF(SUMPRODUCT(('تشخيص الحالات'!$B$2:$B$1001=B512)*('تشخيص الحالات'!$G$2:$G$1001=8))&gt;0,"، "&amp;IFERROR(INDEX('تشخيص الحالات'!$D$2:$D$1001,SUMPRODUCT(('تشخيص الحالات'!$B$2:$B$1001=B512)*('تشخيص الحالات'!$G$2:$G$1001=8)*ROW('تشخيص الحالات'!$B$2:$B$1001))-1),""),"")</f>
        <v/>
      </c>
      <c r="J512" s="1"/>
      <c r="K512" s="1"/>
      <c r="L512" s="1"/>
      <c r="M512" s="1"/>
    </row>
    <row r="513" spans="1:13" x14ac:dyDescent="0.2">
      <c r="A513" s="1"/>
      <c r="B513" s="1"/>
      <c r="C513" s="1"/>
      <c r="D513" s="1"/>
      <c r="E513" s="1"/>
      <c r="F513" s="1"/>
      <c r="G513" s="1"/>
      <c r="H513" s="1"/>
      <c r="I513" t="str">
        <f>IFERROR(INDEX('تشخيص الحالات'!$D$2:$D$1001,SUMPRODUCT(('تشخيص الحالات'!$B$2:$B$1001=B513)*('تشخيص الحالات'!$G$2:$G$1001=1)*ROW('تشخيص الحالات'!$B$2:$B$1001))-1),"")&amp;IF(SUMPRODUCT(('تشخيص الحالات'!$B$2:$B$1001=B513)*('تشخيص الحالات'!$G$2:$G$1001=2))&gt;0,"، "&amp;IFERROR(INDEX('تشخيص الحالات'!$D$2:$D$1001,SUMPRODUCT(('تشخيص الحالات'!$B$2:$B$1001=B513)*('تشخيص الحالات'!$G$2:$G$1001=2)*ROW('تشخيص الحالات'!$B$2:$B$1001))-1),""),"")&amp;IF(SUMPRODUCT(('تشخيص الحالات'!$B$2:$B$1001=B513)*('تشخيص الحالات'!$G$2:$G$1001=3))&gt;0,"، "&amp;IFERROR(INDEX('تشخيص الحالات'!$D$2:$D$1001,SUMPRODUCT(('تشخيص الحالات'!$B$2:$B$1001=B513)*('تشخيص الحالات'!$G$2:$G$1001=3)*ROW('تشخيص الحالات'!$B$2:$B$1001))-1),""),"")&amp;IF(SUMPRODUCT(('تشخيص الحالات'!$B$2:$B$1001=B513)*('تشخيص الحالات'!$G$2:$G$1001=4))&gt;0,"، "&amp;IFERROR(INDEX('تشخيص الحالات'!$D$2:$D$1001,SUMPRODUCT(('تشخيص الحالات'!$B$2:$B$1001=B513)*('تشخيص الحالات'!$G$2:$G$1001=4)*ROW('تشخيص الحالات'!$B$2:$B$1001))-1),""),"")&amp;IF(SUMPRODUCT(('تشخيص الحالات'!$B$2:$B$1001=B513)*('تشخيص الحالات'!$G$2:$G$1001=5))&gt;0,"، "&amp;IFERROR(INDEX('تشخيص الحالات'!$D$2:$D$1001,SUMPRODUCT(('تشخيص الحالات'!$B$2:$B$1001=B513)*('تشخيص الحالات'!$G$2:$G$1001=5)*ROW('تشخيص الحالات'!$B$2:$B$1001))-1),""),"")&amp;IF(SUMPRODUCT(('تشخيص الحالات'!$B$2:$B$1001=B513)*('تشخيص الحالات'!$G$2:$G$1001=6))&gt;0,"، "&amp;IFERROR(INDEX('تشخيص الحالات'!$D$2:$D$1001,SUMPRODUCT(('تشخيص الحالات'!$B$2:$B$1001=B513)*('تشخيص الحالات'!$G$2:$G$1001=6)*ROW('تشخيص الحالات'!$B$2:$B$1001))-1),""),"")&amp;IF(SUMPRODUCT(('تشخيص الحالات'!$B$2:$B$1001=B513)*('تشخيص الحالات'!$G$2:$G$1001=7))&gt;0,"، "&amp;IFERROR(INDEX('تشخيص الحالات'!$D$2:$D$1001,SUMPRODUCT(('تشخيص الحالات'!$B$2:$B$1001=B513)*('تشخيص الحالات'!$G$2:$G$1001=7)*ROW('تشخيص الحالات'!$B$2:$B$1001))-1),""),"")&amp;IF(SUMPRODUCT(('تشخيص الحالات'!$B$2:$B$1001=B513)*('تشخيص الحالات'!$G$2:$G$1001=8))&gt;0,"، "&amp;IFERROR(INDEX('تشخيص الحالات'!$D$2:$D$1001,SUMPRODUCT(('تشخيص الحالات'!$B$2:$B$1001=B513)*('تشخيص الحالات'!$G$2:$G$1001=8)*ROW('تشخيص الحالات'!$B$2:$B$1001))-1),""),"")</f>
        <v/>
      </c>
      <c r="J513" s="1"/>
      <c r="K513" s="1"/>
      <c r="L513" s="1"/>
      <c r="M513" s="1"/>
    </row>
    <row r="514" spans="1:13" x14ac:dyDescent="0.2">
      <c r="A514" s="1"/>
      <c r="B514" s="1"/>
      <c r="C514" s="1"/>
      <c r="D514" s="1"/>
      <c r="E514" s="1"/>
      <c r="F514" s="1"/>
      <c r="G514" s="1"/>
      <c r="H514" s="1"/>
      <c r="I514" t="str">
        <f>IFERROR(INDEX('تشخيص الحالات'!$D$2:$D$1001,SUMPRODUCT(('تشخيص الحالات'!$B$2:$B$1001=B514)*('تشخيص الحالات'!$G$2:$G$1001=1)*ROW('تشخيص الحالات'!$B$2:$B$1001))-1),"")&amp;IF(SUMPRODUCT(('تشخيص الحالات'!$B$2:$B$1001=B514)*('تشخيص الحالات'!$G$2:$G$1001=2))&gt;0,"، "&amp;IFERROR(INDEX('تشخيص الحالات'!$D$2:$D$1001,SUMPRODUCT(('تشخيص الحالات'!$B$2:$B$1001=B514)*('تشخيص الحالات'!$G$2:$G$1001=2)*ROW('تشخيص الحالات'!$B$2:$B$1001))-1),""),"")&amp;IF(SUMPRODUCT(('تشخيص الحالات'!$B$2:$B$1001=B514)*('تشخيص الحالات'!$G$2:$G$1001=3))&gt;0,"، "&amp;IFERROR(INDEX('تشخيص الحالات'!$D$2:$D$1001,SUMPRODUCT(('تشخيص الحالات'!$B$2:$B$1001=B514)*('تشخيص الحالات'!$G$2:$G$1001=3)*ROW('تشخيص الحالات'!$B$2:$B$1001))-1),""),"")&amp;IF(SUMPRODUCT(('تشخيص الحالات'!$B$2:$B$1001=B514)*('تشخيص الحالات'!$G$2:$G$1001=4))&gt;0,"، "&amp;IFERROR(INDEX('تشخيص الحالات'!$D$2:$D$1001,SUMPRODUCT(('تشخيص الحالات'!$B$2:$B$1001=B514)*('تشخيص الحالات'!$G$2:$G$1001=4)*ROW('تشخيص الحالات'!$B$2:$B$1001))-1),""),"")&amp;IF(SUMPRODUCT(('تشخيص الحالات'!$B$2:$B$1001=B514)*('تشخيص الحالات'!$G$2:$G$1001=5))&gt;0,"، "&amp;IFERROR(INDEX('تشخيص الحالات'!$D$2:$D$1001,SUMPRODUCT(('تشخيص الحالات'!$B$2:$B$1001=B514)*('تشخيص الحالات'!$G$2:$G$1001=5)*ROW('تشخيص الحالات'!$B$2:$B$1001))-1),""),"")&amp;IF(SUMPRODUCT(('تشخيص الحالات'!$B$2:$B$1001=B514)*('تشخيص الحالات'!$G$2:$G$1001=6))&gt;0,"، "&amp;IFERROR(INDEX('تشخيص الحالات'!$D$2:$D$1001,SUMPRODUCT(('تشخيص الحالات'!$B$2:$B$1001=B514)*('تشخيص الحالات'!$G$2:$G$1001=6)*ROW('تشخيص الحالات'!$B$2:$B$1001))-1),""),"")&amp;IF(SUMPRODUCT(('تشخيص الحالات'!$B$2:$B$1001=B514)*('تشخيص الحالات'!$G$2:$G$1001=7))&gt;0,"، "&amp;IFERROR(INDEX('تشخيص الحالات'!$D$2:$D$1001,SUMPRODUCT(('تشخيص الحالات'!$B$2:$B$1001=B514)*('تشخيص الحالات'!$G$2:$G$1001=7)*ROW('تشخيص الحالات'!$B$2:$B$1001))-1),""),"")&amp;IF(SUMPRODUCT(('تشخيص الحالات'!$B$2:$B$1001=B514)*('تشخيص الحالات'!$G$2:$G$1001=8))&gt;0,"، "&amp;IFERROR(INDEX('تشخيص الحالات'!$D$2:$D$1001,SUMPRODUCT(('تشخيص الحالات'!$B$2:$B$1001=B514)*('تشخيص الحالات'!$G$2:$G$1001=8)*ROW('تشخيص الحالات'!$B$2:$B$1001))-1),""),"")</f>
        <v/>
      </c>
      <c r="J514" s="1"/>
      <c r="K514" s="1"/>
      <c r="L514" s="1"/>
      <c r="M514" s="1"/>
    </row>
    <row r="515" spans="1:13" x14ac:dyDescent="0.2">
      <c r="A515" s="1"/>
      <c r="B515" s="1"/>
      <c r="C515" s="1"/>
      <c r="D515" s="1"/>
      <c r="E515" s="1"/>
      <c r="F515" s="1"/>
      <c r="G515" s="1"/>
      <c r="H515" s="1"/>
      <c r="I515" t="str">
        <f>IFERROR(INDEX('تشخيص الحالات'!$D$2:$D$1001,SUMPRODUCT(('تشخيص الحالات'!$B$2:$B$1001=B515)*('تشخيص الحالات'!$G$2:$G$1001=1)*ROW('تشخيص الحالات'!$B$2:$B$1001))-1),"")&amp;IF(SUMPRODUCT(('تشخيص الحالات'!$B$2:$B$1001=B515)*('تشخيص الحالات'!$G$2:$G$1001=2))&gt;0,"، "&amp;IFERROR(INDEX('تشخيص الحالات'!$D$2:$D$1001,SUMPRODUCT(('تشخيص الحالات'!$B$2:$B$1001=B515)*('تشخيص الحالات'!$G$2:$G$1001=2)*ROW('تشخيص الحالات'!$B$2:$B$1001))-1),""),"")&amp;IF(SUMPRODUCT(('تشخيص الحالات'!$B$2:$B$1001=B515)*('تشخيص الحالات'!$G$2:$G$1001=3))&gt;0,"، "&amp;IFERROR(INDEX('تشخيص الحالات'!$D$2:$D$1001,SUMPRODUCT(('تشخيص الحالات'!$B$2:$B$1001=B515)*('تشخيص الحالات'!$G$2:$G$1001=3)*ROW('تشخيص الحالات'!$B$2:$B$1001))-1),""),"")&amp;IF(SUMPRODUCT(('تشخيص الحالات'!$B$2:$B$1001=B515)*('تشخيص الحالات'!$G$2:$G$1001=4))&gt;0,"، "&amp;IFERROR(INDEX('تشخيص الحالات'!$D$2:$D$1001,SUMPRODUCT(('تشخيص الحالات'!$B$2:$B$1001=B515)*('تشخيص الحالات'!$G$2:$G$1001=4)*ROW('تشخيص الحالات'!$B$2:$B$1001))-1),""),"")&amp;IF(SUMPRODUCT(('تشخيص الحالات'!$B$2:$B$1001=B515)*('تشخيص الحالات'!$G$2:$G$1001=5))&gt;0,"، "&amp;IFERROR(INDEX('تشخيص الحالات'!$D$2:$D$1001,SUMPRODUCT(('تشخيص الحالات'!$B$2:$B$1001=B515)*('تشخيص الحالات'!$G$2:$G$1001=5)*ROW('تشخيص الحالات'!$B$2:$B$1001))-1),""),"")&amp;IF(SUMPRODUCT(('تشخيص الحالات'!$B$2:$B$1001=B515)*('تشخيص الحالات'!$G$2:$G$1001=6))&gt;0,"، "&amp;IFERROR(INDEX('تشخيص الحالات'!$D$2:$D$1001,SUMPRODUCT(('تشخيص الحالات'!$B$2:$B$1001=B515)*('تشخيص الحالات'!$G$2:$G$1001=6)*ROW('تشخيص الحالات'!$B$2:$B$1001))-1),""),"")&amp;IF(SUMPRODUCT(('تشخيص الحالات'!$B$2:$B$1001=B515)*('تشخيص الحالات'!$G$2:$G$1001=7))&gt;0,"، "&amp;IFERROR(INDEX('تشخيص الحالات'!$D$2:$D$1001,SUMPRODUCT(('تشخيص الحالات'!$B$2:$B$1001=B515)*('تشخيص الحالات'!$G$2:$G$1001=7)*ROW('تشخيص الحالات'!$B$2:$B$1001))-1),""),"")&amp;IF(SUMPRODUCT(('تشخيص الحالات'!$B$2:$B$1001=B515)*('تشخيص الحالات'!$G$2:$G$1001=8))&gt;0,"، "&amp;IFERROR(INDEX('تشخيص الحالات'!$D$2:$D$1001,SUMPRODUCT(('تشخيص الحالات'!$B$2:$B$1001=B515)*('تشخيص الحالات'!$G$2:$G$1001=8)*ROW('تشخيص الحالات'!$B$2:$B$1001))-1),""),"")</f>
        <v/>
      </c>
      <c r="J515" s="1"/>
      <c r="K515" s="1"/>
      <c r="L515" s="1"/>
      <c r="M515" s="1"/>
    </row>
    <row r="516" spans="1:13" x14ac:dyDescent="0.2">
      <c r="A516" s="1"/>
      <c r="B516" s="1"/>
      <c r="C516" s="1"/>
      <c r="D516" s="1"/>
      <c r="E516" s="1"/>
      <c r="F516" s="1"/>
      <c r="G516" s="1"/>
      <c r="H516" s="1"/>
      <c r="I516" t="str">
        <f>IFERROR(INDEX('تشخيص الحالات'!$D$2:$D$1001,SUMPRODUCT(('تشخيص الحالات'!$B$2:$B$1001=B516)*('تشخيص الحالات'!$G$2:$G$1001=1)*ROW('تشخيص الحالات'!$B$2:$B$1001))-1),"")&amp;IF(SUMPRODUCT(('تشخيص الحالات'!$B$2:$B$1001=B516)*('تشخيص الحالات'!$G$2:$G$1001=2))&gt;0,"، "&amp;IFERROR(INDEX('تشخيص الحالات'!$D$2:$D$1001,SUMPRODUCT(('تشخيص الحالات'!$B$2:$B$1001=B516)*('تشخيص الحالات'!$G$2:$G$1001=2)*ROW('تشخيص الحالات'!$B$2:$B$1001))-1),""),"")&amp;IF(SUMPRODUCT(('تشخيص الحالات'!$B$2:$B$1001=B516)*('تشخيص الحالات'!$G$2:$G$1001=3))&gt;0,"، "&amp;IFERROR(INDEX('تشخيص الحالات'!$D$2:$D$1001,SUMPRODUCT(('تشخيص الحالات'!$B$2:$B$1001=B516)*('تشخيص الحالات'!$G$2:$G$1001=3)*ROW('تشخيص الحالات'!$B$2:$B$1001))-1),""),"")&amp;IF(SUMPRODUCT(('تشخيص الحالات'!$B$2:$B$1001=B516)*('تشخيص الحالات'!$G$2:$G$1001=4))&gt;0,"، "&amp;IFERROR(INDEX('تشخيص الحالات'!$D$2:$D$1001,SUMPRODUCT(('تشخيص الحالات'!$B$2:$B$1001=B516)*('تشخيص الحالات'!$G$2:$G$1001=4)*ROW('تشخيص الحالات'!$B$2:$B$1001))-1),""),"")&amp;IF(SUMPRODUCT(('تشخيص الحالات'!$B$2:$B$1001=B516)*('تشخيص الحالات'!$G$2:$G$1001=5))&gt;0,"، "&amp;IFERROR(INDEX('تشخيص الحالات'!$D$2:$D$1001,SUMPRODUCT(('تشخيص الحالات'!$B$2:$B$1001=B516)*('تشخيص الحالات'!$G$2:$G$1001=5)*ROW('تشخيص الحالات'!$B$2:$B$1001))-1),""),"")&amp;IF(SUMPRODUCT(('تشخيص الحالات'!$B$2:$B$1001=B516)*('تشخيص الحالات'!$G$2:$G$1001=6))&gt;0,"، "&amp;IFERROR(INDEX('تشخيص الحالات'!$D$2:$D$1001,SUMPRODUCT(('تشخيص الحالات'!$B$2:$B$1001=B516)*('تشخيص الحالات'!$G$2:$G$1001=6)*ROW('تشخيص الحالات'!$B$2:$B$1001))-1),""),"")&amp;IF(SUMPRODUCT(('تشخيص الحالات'!$B$2:$B$1001=B516)*('تشخيص الحالات'!$G$2:$G$1001=7))&gt;0,"، "&amp;IFERROR(INDEX('تشخيص الحالات'!$D$2:$D$1001,SUMPRODUCT(('تشخيص الحالات'!$B$2:$B$1001=B516)*('تشخيص الحالات'!$G$2:$G$1001=7)*ROW('تشخيص الحالات'!$B$2:$B$1001))-1),""),"")&amp;IF(SUMPRODUCT(('تشخيص الحالات'!$B$2:$B$1001=B516)*('تشخيص الحالات'!$G$2:$G$1001=8))&gt;0,"، "&amp;IFERROR(INDEX('تشخيص الحالات'!$D$2:$D$1001,SUMPRODUCT(('تشخيص الحالات'!$B$2:$B$1001=B516)*('تشخيص الحالات'!$G$2:$G$1001=8)*ROW('تشخيص الحالات'!$B$2:$B$1001))-1),""),"")</f>
        <v/>
      </c>
      <c r="J516" s="1"/>
      <c r="K516" s="1"/>
      <c r="L516" s="1"/>
      <c r="M516" s="1"/>
    </row>
    <row r="517" spans="1:13" x14ac:dyDescent="0.2">
      <c r="A517" s="1"/>
      <c r="B517" s="1"/>
      <c r="C517" s="1"/>
      <c r="D517" s="1"/>
      <c r="E517" s="1"/>
      <c r="F517" s="1"/>
      <c r="G517" s="1"/>
      <c r="H517" s="1"/>
      <c r="I517" t="str">
        <f>IFERROR(INDEX('تشخيص الحالات'!$D$2:$D$1001,SUMPRODUCT(('تشخيص الحالات'!$B$2:$B$1001=B517)*('تشخيص الحالات'!$G$2:$G$1001=1)*ROW('تشخيص الحالات'!$B$2:$B$1001))-1),"")&amp;IF(SUMPRODUCT(('تشخيص الحالات'!$B$2:$B$1001=B517)*('تشخيص الحالات'!$G$2:$G$1001=2))&gt;0,"، "&amp;IFERROR(INDEX('تشخيص الحالات'!$D$2:$D$1001,SUMPRODUCT(('تشخيص الحالات'!$B$2:$B$1001=B517)*('تشخيص الحالات'!$G$2:$G$1001=2)*ROW('تشخيص الحالات'!$B$2:$B$1001))-1),""),"")&amp;IF(SUMPRODUCT(('تشخيص الحالات'!$B$2:$B$1001=B517)*('تشخيص الحالات'!$G$2:$G$1001=3))&gt;0,"، "&amp;IFERROR(INDEX('تشخيص الحالات'!$D$2:$D$1001,SUMPRODUCT(('تشخيص الحالات'!$B$2:$B$1001=B517)*('تشخيص الحالات'!$G$2:$G$1001=3)*ROW('تشخيص الحالات'!$B$2:$B$1001))-1),""),"")&amp;IF(SUMPRODUCT(('تشخيص الحالات'!$B$2:$B$1001=B517)*('تشخيص الحالات'!$G$2:$G$1001=4))&gt;0,"، "&amp;IFERROR(INDEX('تشخيص الحالات'!$D$2:$D$1001,SUMPRODUCT(('تشخيص الحالات'!$B$2:$B$1001=B517)*('تشخيص الحالات'!$G$2:$G$1001=4)*ROW('تشخيص الحالات'!$B$2:$B$1001))-1),""),"")&amp;IF(SUMPRODUCT(('تشخيص الحالات'!$B$2:$B$1001=B517)*('تشخيص الحالات'!$G$2:$G$1001=5))&gt;0,"، "&amp;IFERROR(INDEX('تشخيص الحالات'!$D$2:$D$1001,SUMPRODUCT(('تشخيص الحالات'!$B$2:$B$1001=B517)*('تشخيص الحالات'!$G$2:$G$1001=5)*ROW('تشخيص الحالات'!$B$2:$B$1001))-1),""),"")&amp;IF(SUMPRODUCT(('تشخيص الحالات'!$B$2:$B$1001=B517)*('تشخيص الحالات'!$G$2:$G$1001=6))&gt;0,"، "&amp;IFERROR(INDEX('تشخيص الحالات'!$D$2:$D$1001,SUMPRODUCT(('تشخيص الحالات'!$B$2:$B$1001=B517)*('تشخيص الحالات'!$G$2:$G$1001=6)*ROW('تشخيص الحالات'!$B$2:$B$1001))-1),""),"")&amp;IF(SUMPRODUCT(('تشخيص الحالات'!$B$2:$B$1001=B517)*('تشخيص الحالات'!$G$2:$G$1001=7))&gt;0,"، "&amp;IFERROR(INDEX('تشخيص الحالات'!$D$2:$D$1001,SUMPRODUCT(('تشخيص الحالات'!$B$2:$B$1001=B517)*('تشخيص الحالات'!$G$2:$G$1001=7)*ROW('تشخيص الحالات'!$B$2:$B$1001))-1),""),"")&amp;IF(SUMPRODUCT(('تشخيص الحالات'!$B$2:$B$1001=B517)*('تشخيص الحالات'!$G$2:$G$1001=8))&gt;0,"، "&amp;IFERROR(INDEX('تشخيص الحالات'!$D$2:$D$1001,SUMPRODUCT(('تشخيص الحالات'!$B$2:$B$1001=B517)*('تشخيص الحالات'!$G$2:$G$1001=8)*ROW('تشخيص الحالات'!$B$2:$B$1001))-1),""),"")</f>
        <v/>
      </c>
      <c r="J517" s="1"/>
      <c r="K517" s="1"/>
      <c r="L517" s="1"/>
      <c r="M517" s="1"/>
    </row>
    <row r="518" spans="1:13" x14ac:dyDescent="0.2">
      <c r="A518" s="1"/>
      <c r="B518" s="1"/>
      <c r="C518" s="1"/>
      <c r="D518" s="1"/>
      <c r="E518" s="1"/>
      <c r="F518" s="1"/>
      <c r="G518" s="1"/>
      <c r="H518" s="1"/>
      <c r="I518" t="str">
        <f>IFERROR(INDEX('تشخيص الحالات'!$D$2:$D$1001,SUMPRODUCT(('تشخيص الحالات'!$B$2:$B$1001=B518)*('تشخيص الحالات'!$G$2:$G$1001=1)*ROW('تشخيص الحالات'!$B$2:$B$1001))-1),"")&amp;IF(SUMPRODUCT(('تشخيص الحالات'!$B$2:$B$1001=B518)*('تشخيص الحالات'!$G$2:$G$1001=2))&gt;0,"، "&amp;IFERROR(INDEX('تشخيص الحالات'!$D$2:$D$1001,SUMPRODUCT(('تشخيص الحالات'!$B$2:$B$1001=B518)*('تشخيص الحالات'!$G$2:$G$1001=2)*ROW('تشخيص الحالات'!$B$2:$B$1001))-1),""),"")&amp;IF(SUMPRODUCT(('تشخيص الحالات'!$B$2:$B$1001=B518)*('تشخيص الحالات'!$G$2:$G$1001=3))&gt;0,"، "&amp;IFERROR(INDEX('تشخيص الحالات'!$D$2:$D$1001,SUMPRODUCT(('تشخيص الحالات'!$B$2:$B$1001=B518)*('تشخيص الحالات'!$G$2:$G$1001=3)*ROW('تشخيص الحالات'!$B$2:$B$1001))-1),""),"")&amp;IF(SUMPRODUCT(('تشخيص الحالات'!$B$2:$B$1001=B518)*('تشخيص الحالات'!$G$2:$G$1001=4))&gt;0,"، "&amp;IFERROR(INDEX('تشخيص الحالات'!$D$2:$D$1001,SUMPRODUCT(('تشخيص الحالات'!$B$2:$B$1001=B518)*('تشخيص الحالات'!$G$2:$G$1001=4)*ROW('تشخيص الحالات'!$B$2:$B$1001))-1),""),"")&amp;IF(SUMPRODUCT(('تشخيص الحالات'!$B$2:$B$1001=B518)*('تشخيص الحالات'!$G$2:$G$1001=5))&gt;0,"، "&amp;IFERROR(INDEX('تشخيص الحالات'!$D$2:$D$1001,SUMPRODUCT(('تشخيص الحالات'!$B$2:$B$1001=B518)*('تشخيص الحالات'!$G$2:$G$1001=5)*ROW('تشخيص الحالات'!$B$2:$B$1001))-1),""),"")&amp;IF(SUMPRODUCT(('تشخيص الحالات'!$B$2:$B$1001=B518)*('تشخيص الحالات'!$G$2:$G$1001=6))&gt;0,"، "&amp;IFERROR(INDEX('تشخيص الحالات'!$D$2:$D$1001,SUMPRODUCT(('تشخيص الحالات'!$B$2:$B$1001=B518)*('تشخيص الحالات'!$G$2:$G$1001=6)*ROW('تشخيص الحالات'!$B$2:$B$1001))-1),""),"")&amp;IF(SUMPRODUCT(('تشخيص الحالات'!$B$2:$B$1001=B518)*('تشخيص الحالات'!$G$2:$G$1001=7))&gt;0,"، "&amp;IFERROR(INDEX('تشخيص الحالات'!$D$2:$D$1001,SUMPRODUCT(('تشخيص الحالات'!$B$2:$B$1001=B518)*('تشخيص الحالات'!$G$2:$G$1001=7)*ROW('تشخيص الحالات'!$B$2:$B$1001))-1),""),"")&amp;IF(SUMPRODUCT(('تشخيص الحالات'!$B$2:$B$1001=B518)*('تشخيص الحالات'!$G$2:$G$1001=8))&gt;0,"، "&amp;IFERROR(INDEX('تشخيص الحالات'!$D$2:$D$1001,SUMPRODUCT(('تشخيص الحالات'!$B$2:$B$1001=B518)*('تشخيص الحالات'!$G$2:$G$1001=8)*ROW('تشخيص الحالات'!$B$2:$B$1001))-1),""),"")</f>
        <v/>
      </c>
      <c r="J518" s="1"/>
      <c r="K518" s="1"/>
      <c r="L518" s="1"/>
      <c r="M518" s="1"/>
    </row>
    <row r="519" spans="1:13" x14ac:dyDescent="0.2">
      <c r="A519" s="1"/>
      <c r="B519" s="1"/>
      <c r="C519" s="1"/>
      <c r="D519" s="1"/>
      <c r="E519" s="1"/>
      <c r="F519" s="1"/>
      <c r="G519" s="1"/>
      <c r="H519" s="1"/>
      <c r="I519" t="str">
        <f>IFERROR(INDEX('تشخيص الحالات'!$D$2:$D$1001,SUMPRODUCT(('تشخيص الحالات'!$B$2:$B$1001=B519)*('تشخيص الحالات'!$G$2:$G$1001=1)*ROW('تشخيص الحالات'!$B$2:$B$1001))-1),"")&amp;IF(SUMPRODUCT(('تشخيص الحالات'!$B$2:$B$1001=B519)*('تشخيص الحالات'!$G$2:$G$1001=2))&gt;0,"، "&amp;IFERROR(INDEX('تشخيص الحالات'!$D$2:$D$1001,SUMPRODUCT(('تشخيص الحالات'!$B$2:$B$1001=B519)*('تشخيص الحالات'!$G$2:$G$1001=2)*ROW('تشخيص الحالات'!$B$2:$B$1001))-1),""),"")&amp;IF(SUMPRODUCT(('تشخيص الحالات'!$B$2:$B$1001=B519)*('تشخيص الحالات'!$G$2:$G$1001=3))&gt;0,"، "&amp;IFERROR(INDEX('تشخيص الحالات'!$D$2:$D$1001,SUMPRODUCT(('تشخيص الحالات'!$B$2:$B$1001=B519)*('تشخيص الحالات'!$G$2:$G$1001=3)*ROW('تشخيص الحالات'!$B$2:$B$1001))-1),""),"")&amp;IF(SUMPRODUCT(('تشخيص الحالات'!$B$2:$B$1001=B519)*('تشخيص الحالات'!$G$2:$G$1001=4))&gt;0,"، "&amp;IFERROR(INDEX('تشخيص الحالات'!$D$2:$D$1001,SUMPRODUCT(('تشخيص الحالات'!$B$2:$B$1001=B519)*('تشخيص الحالات'!$G$2:$G$1001=4)*ROW('تشخيص الحالات'!$B$2:$B$1001))-1),""),"")&amp;IF(SUMPRODUCT(('تشخيص الحالات'!$B$2:$B$1001=B519)*('تشخيص الحالات'!$G$2:$G$1001=5))&gt;0,"، "&amp;IFERROR(INDEX('تشخيص الحالات'!$D$2:$D$1001,SUMPRODUCT(('تشخيص الحالات'!$B$2:$B$1001=B519)*('تشخيص الحالات'!$G$2:$G$1001=5)*ROW('تشخيص الحالات'!$B$2:$B$1001))-1),""),"")&amp;IF(SUMPRODUCT(('تشخيص الحالات'!$B$2:$B$1001=B519)*('تشخيص الحالات'!$G$2:$G$1001=6))&gt;0,"، "&amp;IFERROR(INDEX('تشخيص الحالات'!$D$2:$D$1001,SUMPRODUCT(('تشخيص الحالات'!$B$2:$B$1001=B519)*('تشخيص الحالات'!$G$2:$G$1001=6)*ROW('تشخيص الحالات'!$B$2:$B$1001))-1),""),"")&amp;IF(SUMPRODUCT(('تشخيص الحالات'!$B$2:$B$1001=B519)*('تشخيص الحالات'!$G$2:$G$1001=7))&gt;0,"، "&amp;IFERROR(INDEX('تشخيص الحالات'!$D$2:$D$1001,SUMPRODUCT(('تشخيص الحالات'!$B$2:$B$1001=B519)*('تشخيص الحالات'!$G$2:$G$1001=7)*ROW('تشخيص الحالات'!$B$2:$B$1001))-1),""),"")&amp;IF(SUMPRODUCT(('تشخيص الحالات'!$B$2:$B$1001=B519)*('تشخيص الحالات'!$G$2:$G$1001=8))&gt;0,"، "&amp;IFERROR(INDEX('تشخيص الحالات'!$D$2:$D$1001,SUMPRODUCT(('تشخيص الحالات'!$B$2:$B$1001=B519)*('تشخيص الحالات'!$G$2:$G$1001=8)*ROW('تشخيص الحالات'!$B$2:$B$1001))-1),""),"")</f>
        <v/>
      </c>
      <c r="J519" s="1"/>
      <c r="K519" s="1"/>
      <c r="L519" s="1"/>
      <c r="M519" s="1"/>
    </row>
    <row r="520" spans="1:13" x14ac:dyDescent="0.2">
      <c r="A520" s="1"/>
      <c r="B520" s="1"/>
      <c r="C520" s="1"/>
      <c r="D520" s="1"/>
      <c r="E520" s="1"/>
      <c r="F520" s="1"/>
      <c r="G520" s="1"/>
      <c r="H520" s="1"/>
      <c r="I520" t="str">
        <f>IFERROR(INDEX('تشخيص الحالات'!$D$2:$D$1001,SUMPRODUCT(('تشخيص الحالات'!$B$2:$B$1001=B520)*('تشخيص الحالات'!$G$2:$G$1001=1)*ROW('تشخيص الحالات'!$B$2:$B$1001))-1),"")&amp;IF(SUMPRODUCT(('تشخيص الحالات'!$B$2:$B$1001=B520)*('تشخيص الحالات'!$G$2:$G$1001=2))&gt;0,"، "&amp;IFERROR(INDEX('تشخيص الحالات'!$D$2:$D$1001,SUMPRODUCT(('تشخيص الحالات'!$B$2:$B$1001=B520)*('تشخيص الحالات'!$G$2:$G$1001=2)*ROW('تشخيص الحالات'!$B$2:$B$1001))-1),""),"")&amp;IF(SUMPRODUCT(('تشخيص الحالات'!$B$2:$B$1001=B520)*('تشخيص الحالات'!$G$2:$G$1001=3))&gt;0,"، "&amp;IFERROR(INDEX('تشخيص الحالات'!$D$2:$D$1001,SUMPRODUCT(('تشخيص الحالات'!$B$2:$B$1001=B520)*('تشخيص الحالات'!$G$2:$G$1001=3)*ROW('تشخيص الحالات'!$B$2:$B$1001))-1),""),"")&amp;IF(SUMPRODUCT(('تشخيص الحالات'!$B$2:$B$1001=B520)*('تشخيص الحالات'!$G$2:$G$1001=4))&gt;0,"، "&amp;IFERROR(INDEX('تشخيص الحالات'!$D$2:$D$1001,SUMPRODUCT(('تشخيص الحالات'!$B$2:$B$1001=B520)*('تشخيص الحالات'!$G$2:$G$1001=4)*ROW('تشخيص الحالات'!$B$2:$B$1001))-1),""),"")&amp;IF(SUMPRODUCT(('تشخيص الحالات'!$B$2:$B$1001=B520)*('تشخيص الحالات'!$G$2:$G$1001=5))&gt;0,"، "&amp;IFERROR(INDEX('تشخيص الحالات'!$D$2:$D$1001,SUMPRODUCT(('تشخيص الحالات'!$B$2:$B$1001=B520)*('تشخيص الحالات'!$G$2:$G$1001=5)*ROW('تشخيص الحالات'!$B$2:$B$1001))-1),""),"")&amp;IF(SUMPRODUCT(('تشخيص الحالات'!$B$2:$B$1001=B520)*('تشخيص الحالات'!$G$2:$G$1001=6))&gt;0,"، "&amp;IFERROR(INDEX('تشخيص الحالات'!$D$2:$D$1001,SUMPRODUCT(('تشخيص الحالات'!$B$2:$B$1001=B520)*('تشخيص الحالات'!$G$2:$G$1001=6)*ROW('تشخيص الحالات'!$B$2:$B$1001))-1),""),"")&amp;IF(SUMPRODUCT(('تشخيص الحالات'!$B$2:$B$1001=B520)*('تشخيص الحالات'!$G$2:$G$1001=7))&gt;0,"، "&amp;IFERROR(INDEX('تشخيص الحالات'!$D$2:$D$1001,SUMPRODUCT(('تشخيص الحالات'!$B$2:$B$1001=B520)*('تشخيص الحالات'!$G$2:$G$1001=7)*ROW('تشخيص الحالات'!$B$2:$B$1001))-1),""),"")&amp;IF(SUMPRODUCT(('تشخيص الحالات'!$B$2:$B$1001=B520)*('تشخيص الحالات'!$G$2:$G$1001=8))&gt;0,"، "&amp;IFERROR(INDEX('تشخيص الحالات'!$D$2:$D$1001,SUMPRODUCT(('تشخيص الحالات'!$B$2:$B$1001=B520)*('تشخيص الحالات'!$G$2:$G$1001=8)*ROW('تشخيص الحالات'!$B$2:$B$1001))-1),""),"")</f>
        <v/>
      </c>
      <c r="J520" s="1"/>
      <c r="K520" s="1"/>
      <c r="L520" s="1"/>
      <c r="M520" s="1"/>
    </row>
    <row r="521" spans="1:13" x14ac:dyDescent="0.2">
      <c r="A521" s="1"/>
      <c r="B521" s="1"/>
      <c r="C521" s="1"/>
      <c r="D521" s="1"/>
      <c r="E521" s="1"/>
      <c r="F521" s="1"/>
      <c r="G521" s="1"/>
      <c r="H521" s="1"/>
      <c r="I521" t="str">
        <f>IFERROR(INDEX('تشخيص الحالات'!$D$2:$D$1001,SUMPRODUCT(('تشخيص الحالات'!$B$2:$B$1001=B521)*('تشخيص الحالات'!$G$2:$G$1001=1)*ROW('تشخيص الحالات'!$B$2:$B$1001))-1),"")&amp;IF(SUMPRODUCT(('تشخيص الحالات'!$B$2:$B$1001=B521)*('تشخيص الحالات'!$G$2:$G$1001=2))&gt;0,"، "&amp;IFERROR(INDEX('تشخيص الحالات'!$D$2:$D$1001,SUMPRODUCT(('تشخيص الحالات'!$B$2:$B$1001=B521)*('تشخيص الحالات'!$G$2:$G$1001=2)*ROW('تشخيص الحالات'!$B$2:$B$1001))-1),""),"")&amp;IF(SUMPRODUCT(('تشخيص الحالات'!$B$2:$B$1001=B521)*('تشخيص الحالات'!$G$2:$G$1001=3))&gt;0,"، "&amp;IFERROR(INDEX('تشخيص الحالات'!$D$2:$D$1001,SUMPRODUCT(('تشخيص الحالات'!$B$2:$B$1001=B521)*('تشخيص الحالات'!$G$2:$G$1001=3)*ROW('تشخيص الحالات'!$B$2:$B$1001))-1),""),"")&amp;IF(SUMPRODUCT(('تشخيص الحالات'!$B$2:$B$1001=B521)*('تشخيص الحالات'!$G$2:$G$1001=4))&gt;0,"، "&amp;IFERROR(INDEX('تشخيص الحالات'!$D$2:$D$1001,SUMPRODUCT(('تشخيص الحالات'!$B$2:$B$1001=B521)*('تشخيص الحالات'!$G$2:$G$1001=4)*ROW('تشخيص الحالات'!$B$2:$B$1001))-1),""),"")&amp;IF(SUMPRODUCT(('تشخيص الحالات'!$B$2:$B$1001=B521)*('تشخيص الحالات'!$G$2:$G$1001=5))&gt;0,"، "&amp;IFERROR(INDEX('تشخيص الحالات'!$D$2:$D$1001,SUMPRODUCT(('تشخيص الحالات'!$B$2:$B$1001=B521)*('تشخيص الحالات'!$G$2:$G$1001=5)*ROW('تشخيص الحالات'!$B$2:$B$1001))-1),""),"")&amp;IF(SUMPRODUCT(('تشخيص الحالات'!$B$2:$B$1001=B521)*('تشخيص الحالات'!$G$2:$G$1001=6))&gt;0,"، "&amp;IFERROR(INDEX('تشخيص الحالات'!$D$2:$D$1001,SUMPRODUCT(('تشخيص الحالات'!$B$2:$B$1001=B521)*('تشخيص الحالات'!$G$2:$G$1001=6)*ROW('تشخيص الحالات'!$B$2:$B$1001))-1),""),"")&amp;IF(SUMPRODUCT(('تشخيص الحالات'!$B$2:$B$1001=B521)*('تشخيص الحالات'!$G$2:$G$1001=7))&gt;0,"، "&amp;IFERROR(INDEX('تشخيص الحالات'!$D$2:$D$1001,SUMPRODUCT(('تشخيص الحالات'!$B$2:$B$1001=B521)*('تشخيص الحالات'!$G$2:$G$1001=7)*ROW('تشخيص الحالات'!$B$2:$B$1001))-1),""),"")&amp;IF(SUMPRODUCT(('تشخيص الحالات'!$B$2:$B$1001=B521)*('تشخيص الحالات'!$G$2:$G$1001=8))&gt;0,"، "&amp;IFERROR(INDEX('تشخيص الحالات'!$D$2:$D$1001,SUMPRODUCT(('تشخيص الحالات'!$B$2:$B$1001=B521)*('تشخيص الحالات'!$G$2:$G$1001=8)*ROW('تشخيص الحالات'!$B$2:$B$1001))-1),""),"")</f>
        <v/>
      </c>
      <c r="J521" s="1"/>
      <c r="K521" s="1"/>
      <c r="L521" s="1"/>
      <c r="M521" s="1"/>
    </row>
    <row r="522" spans="1:13" x14ac:dyDescent="0.2">
      <c r="A522" s="1"/>
      <c r="B522" s="1"/>
      <c r="C522" s="1"/>
      <c r="D522" s="1"/>
      <c r="E522" s="1"/>
      <c r="F522" s="1"/>
      <c r="G522" s="1"/>
      <c r="H522" s="1"/>
      <c r="I522" t="str">
        <f>IFERROR(INDEX('تشخيص الحالات'!$D$2:$D$1001,SUMPRODUCT(('تشخيص الحالات'!$B$2:$B$1001=B522)*('تشخيص الحالات'!$G$2:$G$1001=1)*ROW('تشخيص الحالات'!$B$2:$B$1001))-1),"")&amp;IF(SUMPRODUCT(('تشخيص الحالات'!$B$2:$B$1001=B522)*('تشخيص الحالات'!$G$2:$G$1001=2))&gt;0,"، "&amp;IFERROR(INDEX('تشخيص الحالات'!$D$2:$D$1001,SUMPRODUCT(('تشخيص الحالات'!$B$2:$B$1001=B522)*('تشخيص الحالات'!$G$2:$G$1001=2)*ROW('تشخيص الحالات'!$B$2:$B$1001))-1),""),"")&amp;IF(SUMPRODUCT(('تشخيص الحالات'!$B$2:$B$1001=B522)*('تشخيص الحالات'!$G$2:$G$1001=3))&gt;0,"، "&amp;IFERROR(INDEX('تشخيص الحالات'!$D$2:$D$1001,SUMPRODUCT(('تشخيص الحالات'!$B$2:$B$1001=B522)*('تشخيص الحالات'!$G$2:$G$1001=3)*ROW('تشخيص الحالات'!$B$2:$B$1001))-1),""),"")&amp;IF(SUMPRODUCT(('تشخيص الحالات'!$B$2:$B$1001=B522)*('تشخيص الحالات'!$G$2:$G$1001=4))&gt;0,"، "&amp;IFERROR(INDEX('تشخيص الحالات'!$D$2:$D$1001,SUMPRODUCT(('تشخيص الحالات'!$B$2:$B$1001=B522)*('تشخيص الحالات'!$G$2:$G$1001=4)*ROW('تشخيص الحالات'!$B$2:$B$1001))-1),""),"")&amp;IF(SUMPRODUCT(('تشخيص الحالات'!$B$2:$B$1001=B522)*('تشخيص الحالات'!$G$2:$G$1001=5))&gt;0,"، "&amp;IFERROR(INDEX('تشخيص الحالات'!$D$2:$D$1001,SUMPRODUCT(('تشخيص الحالات'!$B$2:$B$1001=B522)*('تشخيص الحالات'!$G$2:$G$1001=5)*ROW('تشخيص الحالات'!$B$2:$B$1001))-1),""),"")&amp;IF(SUMPRODUCT(('تشخيص الحالات'!$B$2:$B$1001=B522)*('تشخيص الحالات'!$G$2:$G$1001=6))&gt;0,"، "&amp;IFERROR(INDEX('تشخيص الحالات'!$D$2:$D$1001,SUMPRODUCT(('تشخيص الحالات'!$B$2:$B$1001=B522)*('تشخيص الحالات'!$G$2:$G$1001=6)*ROW('تشخيص الحالات'!$B$2:$B$1001))-1),""),"")&amp;IF(SUMPRODUCT(('تشخيص الحالات'!$B$2:$B$1001=B522)*('تشخيص الحالات'!$G$2:$G$1001=7))&gt;0,"، "&amp;IFERROR(INDEX('تشخيص الحالات'!$D$2:$D$1001,SUMPRODUCT(('تشخيص الحالات'!$B$2:$B$1001=B522)*('تشخيص الحالات'!$G$2:$G$1001=7)*ROW('تشخيص الحالات'!$B$2:$B$1001))-1),""),"")&amp;IF(SUMPRODUCT(('تشخيص الحالات'!$B$2:$B$1001=B522)*('تشخيص الحالات'!$G$2:$G$1001=8))&gt;0,"، "&amp;IFERROR(INDEX('تشخيص الحالات'!$D$2:$D$1001,SUMPRODUCT(('تشخيص الحالات'!$B$2:$B$1001=B522)*('تشخيص الحالات'!$G$2:$G$1001=8)*ROW('تشخيص الحالات'!$B$2:$B$1001))-1),""),"")</f>
        <v/>
      </c>
      <c r="J522" s="1"/>
      <c r="K522" s="1"/>
      <c r="L522" s="1"/>
      <c r="M522" s="1"/>
    </row>
    <row r="523" spans="1:13" x14ac:dyDescent="0.2">
      <c r="A523" s="1"/>
      <c r="B523" s="1"/>
      <c r="C523" s="1"/>
      <c r="D523" s="1"/>
      <c r="E523" s="1"/>
      <c r="F523" s="1"/>
      <c r="G523" s="1"/>
      <c r="H523" s="1"/>
      <c r="I523" t="str">
        <f>IFERROR(INDEX('تشخيص الحالات'!$D$2:$D$1001,SUMPRODUCT(('تشخيص الحالات'!$B$2:$B$1001=B523)*('تشخيص الحالات'!$G$2:$G$1001=1)*ROW('تشخيص الحالات'!$B$2:$B$1001))-1),"")&amp;IF(SUMPRODUCT(('تشخيص الحالات'!$B$2:$B$1001=B523)*('تشخيص الحالات'!$G$2:$G$1001=2))&gt;0,"، "&amp;IFERROR(INDEX('تشخيص الحالات'!$D$2:$D$1001,SUMPRODUCT(('تشخيص الحالات'!$B$2:$B$1001=B523)*('تشخيص الحالات'!$G$2:$G$1001=2)*ROW('تشخيص الحالات'!$B$2:$B$1001))-1),""),"")&amp;IF(SUMPRODUCT(('تشخيص الحالات'!$B$2:$B$1001=B523)*('تشخيص الحالات'!$G$2:$G$1001=3))&gt;0,"، "&amp;IFERROR(INDEX('تشخيص الحالات'!$D$2:$D$1001,SUMPRODUCT(('تشخيص الحالات'!$B$2:$B$1001=B523)*('تشخيص الحالات'!$G$2:$G$1001=3)*ROW('تشخيص الحالات'!$B$2:$B$1001))-1),""),"")&amp;IF(SUMPRODUCT(('تشخيص الحالات'!$B$2:$B$1001=B523)*('تشخيص الحالات'!$G$2:$G$1001=4))&gt;0,"، "&amp;IFERROR(INDEX('تشخيص الحالات'!$D$2:$D$1001,SUMPRODUCT(('تشخيص الحالات'!$B$2:$B$1001=B523)*('تشخيص الحالات'!$G$2:$G$1001=4)*ROW('تشخيص الحالات'!$B$2:$B$1001))-1),""),"")&amp;IF(SUMPRODUCT(('تشخيص الحالات'!$B$2:$B$1001=B523)*('تشخيص الحالات'!$G$2:$G$1001=5))&gt;0,"، "&amp;IFERROR(INDEX('تشخيص الحالات'!$D$2:$D$1001,SUMPRODUCT(('تشخيص الحالات'!$B$2:$B$1001=B523)*('تشخيص الحالات'!$G$2:$G$1001=5)*ROW('تشخيص الحالات'!$B$2:$B$1001))-1),""),"")&amp;IF(SUMPRODUCT(('تشخيص الحالات'!$B$2:$B$1001=B523)*('تشخيص الحالات'!$G$2:$G$1001=6))&gt;0,"، "&amp;IFERROR(INDEX('تشخيص الحالات'!$D$2:$D$1001,SUMPRODUCT(('تشخيص الحالات'!$B$2:$B$1001=B523)*('تشخيص الحالات'!$G$2:$G$1001=6)*ROW('تشخيص الحالات'!$B$2:$B$1001))-1),""),"")&amp;IF(SUMPRODUCT(('تشخيص الحالات'!$B$2:$B$1001=B523)*('تشخيص الحالات'!$G$2:$G$1001=7))&gt;0,"، "&amp;IFERROR(INDEX('تشخيص الحالات'!$D$2:$D$1001,SUMPRODUCT(('تشخيص الحالات'!$B$2:$B$1001=B523)*('تشخيص الحالات'!$G$2:$G$1001=7)*ROW('تشخيص الحالات'!$B$2:$B$1001))-1),""),"")&amp;IF(SUMPRODUCT(('تشخيص الحالات'!$B$2:$B$1001=B523)*('تشخيص الحالات'!$G$2:$G$1001=8))&gt;0,"، "&amp;IFERROR(INDEX('تشخيص الحالات'!$D$2:$D$1001,SUMPRODUCT(('تشخيص الحالات'!$B$2:$B$1001=B523)*('تشخيص الحالات'!$G$2:$G$1001=8)*ROW('تشخيص الحالات'!$B$2:$B$1001))-1),""),"")</f>
        <v/>
      </c>
      <c r="J523" s="1"/>
      <c r="K523" s="1"/>
      <c r="L523" s="1"/>
      <c r="M523" s="1"/>
    </row>
    <row r="524" spans="1:13" x14ac:dyDescent="0.2">
      <c r="A524" s="1"/>
      <c r="B524" s="1"/>
      <c r="C524" s="1"/>
      <c r="D524" s="1"/>
      <c r="E524" s="1"/>
      <c r="F524" s="1"/>
      <c r="G524" s="1"/>
      <c r="H524" s="1"/>
      <c r="I524" t="str">
        <f>IFERROR(INDEX('تشخيص الحالات'!$D$2:$D$1001,SUMPRODUCT(('تشخيص الحالات'!$B$2:$B$1001=B524)*('تشخيص الحالات'!$G$2:$G$1001=1)*ROW('تشخيص الحالات'!$B$2:$B$1001))-1),"")&amp;IF(SUMPRODUCT(('تشخيص الحالات'!$B$2:$B$1001=B524)*('تشخيص الحالات'!$G$2:$G$1001=2))&gt;0,"، "&amp;IFERROR(INDEX('تشخيص الحالات'!$D$2:$D$1001,SUMPRODUCT(('تشخيص الحالات'!$B$2:$B$1001=B524)*('تشخيص الحالات'!$G$2:$G$1001=2)*ROW('تشخيص الحالات'!$B$2:$B$1001))-1),""),"")&amp;IF(SUMPRODUCT(('تشخيص الحالات'!$B$2:$B$1001=B524)*('تشخيص الحالات'!$G$2:$G$1001=3))&gt;0,"، "&amp;IFERROR(INDEX('تشخيص الحالات'!$D$2:$D$1001,SUMPRODUCT(('تشخيص الحالات'!$B$2:$B$1001=B524)*('تشخيص الحالات'!$G$2:$G$1001=3)*ROW('تشخيص الحالات'!$B$2:$B$1001))-1),""),"")&amp;IF(SUMPRODUCT(('تشخيص الحالات'!$B$2:$B$1001=B524)*('تشخيص الحالات'!$G$2:$G$1001=4))&gt;0,"، "&amp;IFERROR(INDEX('تشخيص الحالات'!$D$2:$D$1001,SUMPRODUCT(('تشخيص الحالات'!$B$2:$B$1001=B524)*('تشخيص الحالات'!$G$2:$G$1001=4)*ROW('تشخيص الحالات'!$B$2:$B$1001))-1),""),"")&amp;IF(SUMPRODUCT(('تشخيص الحالات'!$B$2:$B$1001=B524)*('تشخيص الحالات'!$G$2:$G$1001=5))&gt;0,"، "&amp;IFERROR(INDEX('تشخيص الحالات'!$D$2:$D$1001,SUMPRODUCT(('تشخيص الحالات'!$B$2:$B$1001=B524)*('تشخيص الحالات'!$G$2:$G$1001=5)*ROW('تشخيص الحالات'!$B$2:$B$1001))-1),""),"")&amp;IF(SUMPRODUCT(('تشخيص الحالات'!$B$2:$B$1001=B524)*('تشخيص الحالات'!$G$2:$G$1001=6))&gt;0,"، "&amp;IFERROR(INDEX('تشخيص الحالات'!$D$2:$D$1001,SUMPRODUCT(('تشخيص الحالات'!$B$2:$B$1001=B524)*('تشخيص الحالات'!$G$2:$G$1001=6)*ROW('تشخيص الحالات'!$B$2:$B$1001))-1),""),"")&amp;IF(SUMPRODUCT(('تشخيص الحالات'!$B$2:$B$1001=B524)*('تشخيص الحالات'!$G$2:$G$1001=7))&gt;0,"، "&amp;IFERROR(INDEX('تشخيص الحالات'!$D$2:$D$1001,SUMPRODUCT(('تشخيص الحالات'!$B$2:$B$1001=B524)*('تشخيص الحالات'!$G$2:$G$1001=7)*ROW('تشخيص الحالات'!$B$2:$B$1001))-1),""),"")&amp;IF(SUMPRODUCT(('تشخيص الحالات'!$B$2:$B$1001=B524)*('تشخيص الحالات'!$G$2:$G$1001=8))&gt;0,"، "&amp;IFERROR(INDEX('تشخيص الحالات'!$D$2:$D$1001,SUMPRODUCT(('تشخيص الحالات'!$B$2:$B$1001=B524)*('تشخيص الحالات'!$G$2:$G$1001=8)*ROW('تشخيص الحالات'!$B$2:$B$1001))-1),""),"")</f>
        <v/>
      </c>
      <c r="J524" s="1"/>
      <c r="K524" s="1"/>
      <c r="L524" s="1"/>
      <c r="M524" s="1"/>
    </row>
    <row r="525" spans="1:13" x14ac:dyDescent="0.2">
      <c r="A525" s="1"/>
      <c r="B525" s="1"/>
      <c r="C525" s="1"/>
      <c r="D525" s="1"/>
      <c r="E525" s="1"/>
      <c r="F525" s="1"/>
      <c r="G525" s="1"/>
      <c r="H525" s="1"/>
      <c r="I525" t="str">
        <f>IFERROR(INDEX('تشخيص الحالات'!$D$2:$D$1001,SUMPRODUCT(('تشخيص الحالات'!$B$2:$B$1001=B525)*('تشخيص الحالات'!$G$2:$G$1001=1)*ROW('تشخيص الحالات'!$B$2:$B$1001))-1),"")&amp;IF(SUMPRODUCT(('تشخيص الحالات'!$B$2:$B$1001=B525)*('تشخيص الحالات'!$G$2:$G$1001=2))&gt;0,"، "&amp;IFERROR(INDEX('تشخيص الحالات'!$D$2:$D$1001,SUMPRODUCT(('تشخيص الحالات'!$B$2:$B$1001=B525)*('تشخيص الحالات'!$G$2:$G$1001=2)*ROW('تشخيص الحالات'!$B$2:$B$1001))-1),""),"")&amp;IF(SUMPRODUCT(('تشخيص الحالات'!$B$2:$B$1001=B525)*('تشخيص الحالات'!$G$2:$G$1001=3))&gt;0,"، "&amp;IFERROR(INDEX('تشخيص الحالات'!$D$2:$D$1001,SUMPRODUCT(('تشخيص الحالات'!$B$2:$B$1001=B525)*('تشخيص الحالات'!$G$2:$G$1001=3)*ROW('تشخيص الحالات'!$B$2:$B$1001))-1),""),"")&amp;IF(SUMPRODUCT(('تشخيص الحالات'!$B$2:$B$1001=B525)*('تشخيص الحالات'!$G$2:$G$1001=4))&gt;0,"، "&amp;IFERROR(INDEX('تشخيص الحالات'!$D$2:$D$1001,SUMPRODUCT(('تشخيص الحالات'!$B$2:$B$1001=B525)*('تشخيص الحالات'!$G$2:$G$1001=4)*ROW('تشخيص الحالات'!$B$2:$B$1001))-1),""),"")&amp;IF(SUMPRODUCT(('تشخيص الحالات'!$B$2:$B$1001=B525)*('تشخيص الحالات'!$G$2:$G$1001=5))&gt;0,"، "&amp;IFERROR(INDEX('تشخيص الحالات'!$D$2:$D$1001,SUMPRODUCT(('تشخيص الحالات'!$B$2:$B$1001=B525)*('تشخيص الحالات'!$G$2:$G$1001=5)*ROW('تشخيص الحالات'!$B$2:$B$1001))-1),""),"")&amp;IF(SUMPRODUCT(('تشخيص الحالات'!$B$2:$B$1001=B525)*('تشخيص الحالات'!$G$2:$G$1001=6))&gt;0,"، "&amp;IFERROR(INDEX('تشخيص الحالات'!$D$2:$D$1001,SUMPRODUCT(('تشخيص الحالات'!$B$2:$B$1001=B525)*('تشخيص الحالات'!$G$2:$G$1001=6)*ROW('تشخيص الحالات'!$B$2:$B$1001))-1),""),"")&amp;IF(SUMPRODUCT(('تشخيص الحالات'!$B$2:$B$1001=B525)*('تشخيص الحالات'!$G$2:$G$1001=7))&gt;0,"، "&amp;IFERROR(INDEX('تشخيص الحالات'!$D$2:$D$1001,SUMPRODUCT(('تشخيص الحالات'!$B$2:$B$1001=B525)*('تشخيص الحالات'!$G$2:$G$1001=7)*ROW('تشخيص الحالات'!$B$2:$B$1001))-1),""),"")&amp;IF(SUMPRODUCT(('تشخيص الحالات'!$B$2:$B$1001=B525)*('تشخيص الحالات'!$G$2:$G$1001=8))&gt;0,"، "&amp;IFERROR(INDEX('تشخيص الحالات'!$D$2:$D$1001,SUMPRODUCT(('تشخيص الحالات'!$B$2:$B$1001=B525)*('تشخيص الحالات'!$G$2:$G$1001=8)*ROW('تشخيص الحالات'!$B$2:$B$1001))-1),""),"")</f>
        <v/>
      </c>
      <c r="J525" s="1"/>
      <c r="K525" s="1"/>
      <c r="L525" s="1"/>
      <c r="M525" s="1"/>
    </row>
    <row r="526" spans="1:13" x14ac:dyDescent="0.2">
      <c r="A526" s="1"/>
      <c r="B526" s="1"/>
      <c r="C526" s="1"/>
      <c r="D526" s="1"/>
      <c r="E526" s="1"/>
      <c r="F526" s="1"/>
      <c r="G526" s="1"/>
      <c r="H526" s="1"/>
      <c r="I526" t="str">
        <f>IFERROR(INDEX('تشخيص الحالات'!$D$2:$D$1001,SUMPRODUCT(('تشخيص الحالات'!$B$2:$B$1001=B526)*('تشخيص الحالات'!$G$2:$G$1001=1)*ROW('تشخيص الحالات'!$B$2:$B$1001))-1),"")&amp;IF(SUMPRODUCT(('تشخيص الحالات'!$B$2:$B$1001=B526)*('تشخيص الحالات'!$G$2:$G$1001=2))&gt;0,"، "&amp;IFERROR(INDEX('تشخيص الحالات'!$D$2:$D$1001,SUMPRODUCT(('تشخيص الحالات'!$B$2:$B$1001=B526)*('تشخيص الحالات'!$G$2:$G$1001=2)*ROW('تشخيص الحالات'!$B$2:$B$1001))-1),""),"")&amp;IF(SUMPRODUCT(('تشخيص الحالات'!$B$2:$B$1001=B526)*('تشخيص الحالات'!$G$2:$G$1001=3))&gt;0,"، "&amp;IFERROR(INDEX('تشخيص الحالات'!$D$2:$D$1001,SUMPRODUCT(('تشخيص الحالات'!$B$2:$B$1001=B526)*('تشخيص الحالات'!$G$2:$G$1001=3)*ROW('تشخيص الحالات'!$B$2:$B$1001))-1),""),"")&amp;IF(SUMPRODUCT(('تشخيص الحالات'!$B$2:$B$1001=B526)*('تشخيص الحالات'!$G$2:$G$1001=4))&gt;0,"، "&amp;IFERROR(INDEX('تشخيص الحالات'!$D$2:$D$1001,SUMPRODUCT(('تشخيص الحالات'!$B$2:$B$1001=B526)*('تشخيص الحالات'!$G$2:$G$1001=4)*ROW('تشخيص الحالات'!$B$2:$B$1001))-1),""),"")&amp;IF(SUMPRODUCT(('تشخيص الحالات'!$B$2:$B$1001=B526)*('تشخيص الحالات'!$G$2:$G$1001=5))&gt;0,"، "&amp;IFERROR(INDEX('تشخيص الحالات'!$D$2:$D$1001,SUMPRODUCT(('تشخيص الحالات'!$B$2:$B$1001=B526)*('تشخيص الحالات'!$G$2:$G$1001=5)*ROW('تشخيص الحالات'!$B$2:$B$1001))-1),""),"")&amp;IF(SUMPRODUCT(('تشخيص الحالات'!$B$2:$B$1001=B526)*('تشخيص الحالات'!$G$2:$G$1001=6))&gt;0,"، "&amp;IFERROR(INDEX('تشخيص الحالات'!$D$2:$D$1001,SUMPRODUCT(('تشخيص الحالات'!$B$2:$B$1001=B526)*('تشخيص الحالات'!$G$2:$G$1001=6)*ROW('تشخيص الحالات'!$B$2:$B$1001))-1),""),"")&amp;IF(SUMPRODUCT(('تشخيص الحالات'!$B$2:$B$1001=B526)*('تشخيص الحالات'!$G$2:$G$1001=7))&gt;0,"، "&amp;IFERROR(INDEX('تشخيص الحالات'!$D$2:$D$1001,SUMPRODUCT(('تشخيص الحالات'!$B$2:$B$1001=B526)*('تشخيص الحالات'!$G$2:$G$1001=7)*ROW('تشخيص الحالات'!$B$2:$B$1001))-1),""),"")&amp;IF(SUMPRODUCT(('تشخيص الحالات'!$B$2:$B$1001=B526)*('تشخيص الحالات'!$G$2:$G$1001=8))&gt;0,"، "&amp;IFERROR(INDEX('تشخيص الحالات'!$D$2:$D$1001,SUMPRODUCT(('تشخيص الحالات'!$B$2:$B$1001=B526)*('تشخيص الحالات'!$G$2:$G$1001=8)*ROW('تشخيص الحالات'!$B$2:$B$1001))-1),""),"")</f>
        <v/>
      </c>
      <c r="J526" s="1"/>
      <c r="K526" s="1"/>
      <c r="L526" s="1"/>
      <c r="M526" s="1"/>
    </row>
    <row r="527" spans="1:13" x14ac:dyDescent="0.2">
      <c r="A527" s="1"/>
      <c r="B527" s="1"/>
      <c r="C527" s="1"/>
      <c r="D527" s="1"/>
      <c r="E527" s="1"/>
      <c r="F527" s="1"/>
      <c r="G527" s="1"/>
      <c r="H527" s="1"/>
      <c r="I527" t="str">
        <f>IFERROR(INDEX('تشخيص الحالات'!$D$2:$D$1001,SUMPRODUCT(('تشخيص الحالات'!$B$2:$B$1001=B527)*('تشخيص الحالات'!$G$2:$G$1001=1)*ROW('تشخيص الحالات'!$B$2:$B$1001))-1),"")&amp;IF(SUMPRODUCT(('تشخيص الحالات'!$B$2:$B$1001=B527)*('تشخيص الحالات'!$G$2:$G$1001=2))&gt;0,"، "&amp;IFERROR(INDEX('تشخيص الحالات'!$D$2:$D$1001,SUMPRODUCT(('تشخيص الحالات'!$B$2:$B$1001=B527)*('تشخيص الحالات'!$G$2:$G$1001=2)*ROW('تشخيص الحالات'!$B$2:$B$1001))-1),""),"")&amp;IF(SUMPRODUCT(('تشخيص الحالات'!$B$2:$B$1001=B527)*('تشخيص الحالات'!$G$2:$G$1001=3))&gt;0,"، "&amp;IFERROR(INDEX('تشخيص الحالات'!$D$2:$D$1001,SUMPRODUCT(('تشخيص الحالات'!$B$2:$B$1001=B527)*('تشخيص الحالات'!$G$2:$G$1001=3)*ROW('تشخيص الحالات'!$B$2:$B$1001))-1),""),"")&amp;IF(SUMPRODUCT(('تشخيص الحالات'!$B$2:$B$1001=B527)*('تشخيص الحالات'!$G$2:$G$1001=4))&gt;0,"، "&amp;IFERROR(INDEX('تشخيص الحالات'!$D$2:$D$1001,SUMPRODUCT(('تشخيص الحالات'!$B$2:$B$1001=B527)*('تشخيص الحالات'!$G$2:$G$1001=4)*ROW('تشخيص الحالات'!$B$2:$B$1001))-1),""),"")&amp;IF(SUMPRODUCT(('تشخيص الحالات'!$B$2:$B$1001=B527)*('تشخيص الحالات'!$G$2:$G$1001=5))&gt;0,"، "&amp;IFERROR(INDEX('تشخيص الحالات'!$D$2:$D$1001,SUMPRODUCT(('تشخيص الحالات'!$B$2:$B$1001=B527)*('تشخيص الحالات'!$G$2:$G$1001=5)*ROW('تشخيص الحالات'!$B$2:$B$1001))-1),""),"")&amp;IF(SUMPRODUCT(('تشخيص الحالات'!$B$2:$B$1001=B527)*('تشخيص الحالات'!$G$2:$G$1001=6))&gt;0,"، "&amp;IFERROR(INDEX('تشخيص الحالات'!$D$2:$D$1001,SUMPRODUCT(('تشخيص الحالات'!$B$2:$B$1001=B527)*('تشخيص الحالات'!$G$2:$G$1001=6)*ROW('تشخيص الحالات'!$B$2:$B$1001))-1),""),"")&amp;IF(SUMPRODUCT(('تشخيص الحالات'!$B$2:$B$1001=B527)*('تشخيص الحالات'!$G$2:$G$1001=7))&gt;0,"، "&amp;IFERROR(INDEX('تشخيص الحالات'!$D$2:$D$1001,SUMPRODUCT(('تشخيص الحالات'!$B$2:$B$1001=B527)*('تشخيص الحالات'!$G$2:$G$1001=7)*ROW('تشخيص الحالات'!$B$2:$B$1001))-1),""),"")&amp;IF(SUMPRODUCT(('تشخيص الحالات'!$B$2:$B$1001=B527)*('تشخيص الحالات'!$G$2:$G$1001=8))&gt;0,"، "&amp;IFERROR(INDEX('تشخيص الحالات'!$D$2:$D$1001,SUMPRODUCT(('تشخيص الحالات'!$B$2:$B$1001=B527)*('تشخيص الحالات'!$G$2:$G$1001=8)*ROW('تشخيص الحالات'!$B$2:$B$1001))-1),""),"")</f>
        <v/>
      </c>
      <c r="J527" s="1"/>
      <c r="K527" s="1"/>
      <c r="L527" s="1"/>
      <c r="M527" s="1"/>
    </row>
    <row r="528" spans="1:13" x14ac:dyDescent="0.2">
      <c r="A528" s="1"/>
      <c r="B528" s="1"/>
      <c r="C528" s="1"/>
      <c r="D528" s="1"/>
      <c r="E528" s="1"/>
      <c r="F528" s="1"/>
      <c r="G528" s="1"/>
      <c r="H528" s="1"/>
      <c r="I528" t="str">
        <f>IFERROR(INDEX('تشخيص الحالات'!$D$2:$D$1001,SUMPRODUCT(('تشخيص الحالات'!$B$2:$B$1001=B528)*('تشخيص الحالات'!$G$2:$G$1001=1)*ROW('تشخيص الحالات'!$B$2:$B$1001))-1),"")&amp;IF(SUMPRODUCT(('تشخيص الحالات'!$B$2:$B$1001=B528)*('تشخيص الحالات'!$G$2:$G$1001=2))&gt;0,"، "&amp;IFERROR(INDEX('تشخيص الحالات'!$D$2:$D$1001,SUMPRODUCT(('تشخيص الحالات'!$B$2:$B$1001=B528)*('تشخيص الحالات'!$G$2:$G$1001=2)*ROW('تشخيص الحالات'!$B$2:$B$1001))-1),""),"")&amp;IF(SUMPRODUCT(('تشخيص الحالات'!$B$2:$B$1001=B528)*('تشخيص الحالات'!$G$2:$G$1001=3))&gt;0,"، "&amp;IFERROR(INDEX('تشخيص الحالات'!$D$2:$D$1001,SUMPRODUCT(('تشخيص الحالات'!$B$2:$B$1001=B528)*('تشخيص الحالات'!$G$2:$G$1001=3)*ROW('تشخيص الحالات'!$B$2:$B$1001))-1),""),"")&amp;IF(SUMPRODUCT(('تشخيص الحالات'!$B$2:$B$1001=B528)*('تشخيص الحالات'!$G$2:$G$1001=4))&gt;0,"، "&amp;IFERROR(INDEX('تشخيص الحالات'!$D$2:$D$1001,SUMPRODUCT(('تشخيص الحالات'!$B$2:$B$1001=B528)*('تشخيص الحالات'!$G$2:$G$1001=4)*ROW('تشخيص الحالات'!$B$2:$B$1001))-1),""),"")&amp;IF(SUMPRODUCT(('تشخيص الحالات'!$B$2:$B$1001=B528)*('تشخيص الحالات'!$G$2:$G$1001=5))&gt;0,"، "&amp;IFERROR(INDEX('تشخيص الحالات'!$D$2:$D$1001,SUMPRODUCT(('تشخيص الحالات'!$B$2:$B$1001=B528)*('تشخيص الحالات'!$G$2:$G$1001=5)*ROW('تشخيص الحالات'!$B$2:$B$1001))-1),""),"")&amp;IF(SUMPRODUCT(('تشخيص الحالات'!$B$2:$B$1001=B528)*('تشخيص الحالات'!$G$2:$G$1001=6))&gt;0,"، "&amp;IFERROR(INDEX('تشخيص الحالات'!$D$2:$D$1001,SUMPRODUCT(('تشخيص الحالات'!$B$2:$B$1001=B528)*('تشخيص الحالات'!$G$2:$G$1001=6)*ROW('تشخيص الحالات'!$B$2:$B$1001))-1),""),"")&amp;IF(SUMPRODUCT(('تشخيص الحالات'!$B$2:$B$1001=B528)*('تشخيص الحالات'!$G$2:$G$1001=7))&gt;0,"، "&amp;IFERROR(INDEX('تشخيص الحالات'!$D$2:$D$1001,SUMPRODUCT(('تشخيص الحالات'!$B$2:$B$1001=B528)*('تشخيص الحالات'!$G$2:$G$1001=7)*ROW('تشخيص الحالات'!$B$2:$B$1001))-1),""),"")&amp;IF(SUMPRODUCT(('تشخيص الحالات'!$B$2:$B$1001=B528)*('تشخيص الحالات'!$G$2:$G$1001=8))&gt;0,"، "&amp;IFERROR(INDEX('تشخيص الحالات'!$D$2:$D$1001,SUMPRODUCT(('تشخيص الحالات'!$B$2:$B$1001=B528)*('تشخيص الحالات'!$G$2:$G$1001=8)*ROW('تشخيص الحالات'!$B$2:$B$1001))-1),""),"")</f>
        <v/>
      </c>
      <c r="J528" s="1"/>
      <c r="K528" s="1"/>
      <c r="L528" s="1"/>
      <c r="M528" s="1"/>
    </row>
    <row r="529" spans="1:13" x14ac:dyDescent="0.2">
      <c r="A529" s="1"/>
      <c r="B529" s="1"/>
      <c r="C529" s="1"/>
      <c r="D529" s="1"/>
      <c r="E529" s="1"/>
      <c r="F529" s="1"/>
      <c r="G529" s="1"/>
      <c r="H529" s="1"/>
      <c r="I529" t="str">
        <f>IFERROR(INDEX('تشخيص الحالات'!$D$2:$D$1001,SUMPRODUCT(('تشخيص الحالات'!$B$2:$B$1001=B529)*('تشخيص الحالات'!$G$2:$G$1001=1)*ROW('تشخيص الحالات'!$B$2:$B$1001))-1),"")&amp;IF(SUMPRODUCT(('تشخيص الحالات'!$B$2:$B$1001=B529)*('تشخيص الحالات'!$G$2:$G$1001=2))&gt;0,"، "&amp;IFERROR(INDEX('تشخيص الحالات'!$D$2:$D$1001,SUMPRODUCT(('تشخيص الحالات'!$B$2:$B$1001=B529)*('تشخيص الحالات'!$G$2:$G$1001=2)*ROW('تشخيص الحالات'!$B$2:$B$1001))-1),""),"")&amp;IF(SUMPRODUCT(('تشخيص الحالات'!$B$2:$B$1001=B529)*('تشخيص الحالات'!$G$2:$G$1001=3))&gt;0,"، "&amp;IFERROR(INDEX('تشخيص الحالات'!$D$2:$D$1001,SUMPRODUCT(('تشخيص الحالات'!$B$2:$B$1001=B529)*('تشخيص الحالات'!$G$2:$G$1001=3)*ROW('تشخيص الحالات'!$B$2:$B$1001))-1),""),"")&amp;IF(SUMPRODUCT(('تشخيص الحالات'!$B$2:$B$1001=B529)*('تشخيص الحالات'!$G$2:$G$1001=4))&gt;0,"، "&amp;IFERROR(INDEX('تشخيص الحالات'!$D$2:$D$1001,SUMPRODUCT(('تشخيص الحالات'!$B$2:$B$1001=B529)*('تشخيص الحالات'!$G$2:$G$1001=4)*ROW('تشخيص الحالات'!$B$2:$B$1001))-1),""),"")&amp;IF(SUMPRODUCT(('تشخيص الحالات'!$B$2:$B$1001=B529)*('تشخيص الحالات'!$G$2:$G$1001=5))&gt;0,"، "&amp;IFERROR(INDEX('تشخيص الحالات'!$D$2:$D$1001,SUMPRODUCT(('تشخيص الحالات'!$B$2:$B$1001=B529)*('تشخيص الحالات'!$G$2:$G$1001=5)*ROW('تشخيص الحالات'!$B$2:$B$1001))-1),""),"")&amp;IF(SUMPRODUCT(('تشخيص الحالات'!$B$2:$B$1001=B529)*('تشخيص الحالات'!$G$2:$G$1001=6))&gt;0,"، "&amp;IFERROR(INDEX('تشخيص الحالات'!$D$2:$D$1001,SUMPRODUCT(('تشخيص الحالات'!$B$2:$B$1001=B529)*('تشخيص الحالات'!$G$2:$G$1001=6)*ROW('تشخيص الحالات'!$B$2:$B$1001))-1),""),"")&amp;IF(SUMPRODUCT(('تشخيص الحالات'!$B$2:$B$1001=B529)*('تشخيص الحالات'!$G$2:$G$1001=7))&gt;0,"، "&amp;IFERROR(INDEX('تشخيص الحالات'!$D$2:$D$1001,SUMPRODUCT(('تشخيص الحالات'!$B$2:$B$1001=B529)*('تشخيص الحالات'!$G$2:$G$1001=7)*ROW('تشخيص الحالات'!$B$2:$B$1001))-1),""),"")&amp;IF(SUMPRODUCT(('تشخيص الحالات'!$B$2:$B$1001=B529)*('تشخيص الحالات'!$G$2:$G$1001=8))&gt;0,"، "&amp;IFERROR(INDEX('تشخيص الحالات'!$D$2:$D$1001,SUMPRODUCT(('تشخيص الحالات'!$B$2:$B$1001=B529)*('تشخيص الحالات'!$G$2:$G$1001=8)*ROW('تشخيص الحالات'!$B$2:$B$1001))-1),""),"")</f>
        <v/>
      </c>
      <c r="J529" s="1"/>
      <c r="K529" s="1"/>
      <c r="L529" s="1"/>
      <c r="M529" s="1"/>
    </row>
    <row r="530" spans="1:13" x14ac:dyDescent="0.2">
      <c r="A530" s="1"/>
      <c r="B530" s="1"/>
      <c r="C530" s="1"/>
      <c r="D530" s="1"/>
      <c r="E530" s="1"/>
      <c r="F530" s="1"/>
      <c r="G530" s="1"/>
      <c r="H530" s="1"/>
      <c r="I530" t="str">
        <f>IFERROR(INDEX('تشخيص الحالات'!$D$2:$D$1001,SUMPRODUCT(('تشخيص الحالات'!$B$2:$B$1001=B530)*('تشخيص الحالات'!$G$2:$G$1001=1)*ROW('تشخيص الحالات'!$B$2:$B$1001))-1),"")&amp;IF(SUMPRODUCT(('تشخيص الحالات'!$B$2:$B$1001=B530)*('تشخيص الحالات'!$G$2:$G$1001=2))&gt;0,"، "&amp;IFERROR(INDEX('تشخيص الحالات'!$D$2:$D$1001,SUMPRODUCT(('تشخيص الحالات'!$B$2:$B$1001=B530)*('تشخيص الحالات'!$G$2:$G$1001=2)*ROW('تشخيص الحالات'!$B$2:$B$1001))-1),""),"")&amp;IF(SUMPRODUCT(('تشخيص الحالات'!$B$2:$B$1001=B530)*('تشخيص الحالات'!$G$2:$G$1001=3))&gt;0,"، "&amp;IFERROR(INDEX('تشخيص الحالات'!$D$2:$D$1001,SUMPRODUCT(('تشخيص الحالات'!$B$2:$B$1001=B530)*('تشخيص الحالات'!$G$2:$G$1001=3)*ROW('تشخيص الحالات'!$B$2:$B$1001))-1),""),"")&amp;IF(SUMPRODUCT(('تشخيص الحالات'!$B$2:$B$1001=B530)*('تشخيص الحالات'!$G$2:$G$1001=4))&gt;0,"، "&amp;IFERROR(INDEX('تشخيص الحالات'!$D$2:$D$1001,SUMPRODUCT(('تشخيص الحالات'!$B$2:$B$1001=B530)*('تشخيص الحالات'!$G$2:$G$1001=4)*ROW('تشخيص الحالات'!$B$2:$B$1001))-1),""),"")&amp;IF(SUMPRODUCT(('تشخيص الحالات'!$B$2:$B$1001=B530)*('تشخيص الحالات'!$G$2:$G$1001=5))&gt;0,"، "&amp;IFERROR(INDEX('تشخيص الحالات'!$D$2:$D$1001,SUMPRODUCT(('تشخيص الحالات'!$B$2:$B$1001=B530)*('تشخيص الحالات'!$G$2:$G$1001=5)*ROW('تشخيص الحالات'!$B$2:$B$1001))-1),""),"")&amp;IF(SUMPRODUCT(('تشخيص الحالات'!$B$2:$B$1001=B530)*('تشخيص الحالات'!$G$2:$G$1001=6))&gt;0,"، "&amp;IFERROR(INDEX('تشخيص الحالات'!$D$2:$D$1001,SUMPRODUCT(('تشخيص الحالات'!$B$2:$B$1001=B530)*('تشخيص الحالات'!$G$2:$G$1001=6)*ROW('تشخيص الحالات'!$B$2:$B$1001))-1),""),"")&amp;IF(SUMPRODUCT(('تشخيص الحالات'!$B$2:$B$1001=B530)*('تشخيص الحالات'!$G$2:$G$1001=7))&gt;0,"، "&amp;IFERROR(INDEX('تشخيص الحالات'!$D$2:$D$1001,SUMPRODUCT(('تشخيص الحالات'!$B$2:$B$1001=B530)*('تشخيص الحالات'!$G$2:$G$1001=7)*ROW('تشخيص الحالات'!$B$2:$B$1001))-1),""),"")&amp;IF(SUMPRODUCT(('تشخيص الحالات'!$B$2:$B$1001=B530)*('تشخيص الحالات'!$G$2:$G$1001=8))&gt;0,"، "&amp;IFERROR(INDEX('تشخيص الحالات'!$D$2:$D$1001,SUMPRODUCT(('تشخيص الحالات'!$B$2:$B$1001=B530)*('تشخيص الحالات'!$G$2:$G$1001=8)*ROW('تشخيص الحالات'!$B$2:$B$1001))-1),""),"")</f>
        <v/>
      </c>
      <c r="J530" s="1"/>
      <c r="K530" s="1"/>
      <c r="L530" s="1"/>
      <c r="M530" s="1"/>
    </row>
    <row r="531" spans="1:13" x14ac:dyDescent="0.2">
      <c r="A531" s="1"/>
      <c r="B531" s="1"/>
      <c r="C531" s="1"/>
      <c r="D531" s="1"/>
      <c r="E531" s="1"/>
      <c r="F531" s="1"/>
      <c r="G531" s="1"/>
      <c r="H531" s="1"/>
      <c r="I531" t="str">
        <f>IFERROR(INDEX('تشخيص الحالات'!$D$2:$D$1001,SUMPRODUCT(('تشخيص الحالات'!$B$2:$B$1001=B531)*('تشخيص الحالات'!$G$2:$G$1001=1)*ROW('تشخيص الحالات'!$B$2:$B$1001))-1),"")&amp;IF(SUMPRODUCT(('تشخيص الحالات'!$B$2:$B$1001=B531)*('تشخيص الحالات'!$G$2:$G$1001=2))&gt;0,"، "&amp;IFERROR(INDEX('تشخيص الحالات'!$D$2:$D$1001,SUMPRODUCT(('تشخيص الحالات'!$B$2:$B$1001=B531)*('تشخيص الحالات'!$G$2:$G$1001=2)*ROW('تشخيص الحالات'!$B$2:$B$1001))-1),""),"")&amp;IF(SUMPRODUCT(('تشخيص الحالات'!$B$2:$B$1001=B531)*('تشخيص الحالات'!$G$2:$G$1001=3))&gt;0,"، "&amp;IFERROR(INDEX('تشخيص الحالات'!$D$2:$D$1001,SUMPRODUCT(('تشخيص الحالات'!$B$2:$B$1001=B531)*('تشخيص الحالات'!$G$2:$G$1001=3)*ROW('تشخيص الحالات'!$B$2:$B$1001))-1),""),"")&amp;IF(SUMPRODUCT(('تشخيص الحالات'!$B$2:$B$1001=B531)*('تشخيص الحالات'!$G$2:$G$1001=4))&gt;0,"، "&amp;IFERROR(INDEX('تشخيص الحالات'!$D$2:$D$1001,SUMPRODUCT(('تشخيص الحالات'!$B$2:$B$1001=B531)*('تشخيص الحالات'!$G$2:$G$1001=4)*ROW('تشخيص الحالات'!$B$2:$B$1001))-1),""),"")&amp;IF(SUMPRODUCT(('تشخيص الحالات'!$B$2:$B$1001=B531)*('تشخيص الحالات'!$G$2:$G$1001=5))&gt;0,"، "&amp;IFERROR(INDEX('تشخيص الحالات'!$D$2:$D$1001,SUMPRODUCT(('تشخيص الحالات'!$B$2:$B$1001=B531)*('تشخيص الحالات'!$G$2:$G$1001=5)*ROW('تشخيص الحالات'!$B$2:$B$1001))-1),""),"")&amp;IF(SUMPRODUCT(('تشخيص الحالات'!$B$2:$B$1001=B531)*('تشخيص الحالات'!$G$2:$G$1001=6))&gt;0,"، "&amp;IFERROR(INDEX('تشخيص الحالات'!$D$2:$D$1001,SUMPRODUCT(('تشخيص الحالات'!$B$2:$B$1001=B531)*('تشخيص الحالات'!$G$2:$G$1001=6)*ROW('تشخيص الحالات'!$B$2:$B$1001))-1),""),"")&amp;IF(SUMPRODUCT(('تشخيص الحالات'!$B$2:$B$1001=B531)*('تشخيص الحالات'!$G$2:$G$1001=7))&gt;0,"، "&amp;IFERROR(INDEX('تشخيص الحالات'!$D$2:$D$1001,SUMPRODUCT(('تشخيص الحالات'!$B$2:$B$1001=B531)*('تشخيص الحالات'!$G$2:$G$1001=7)*ROW('تشخيص الحالات'!$B$2:$B$1001))-1),""),"")&amp;IF(SUMPRODUCT(('تشخيص الحالات'!$B$2:$B$1001=B531)*('تشخيص الحالات'!$G$2:$G$1001=8))&gt;0,"، "&amp;IFERROR(INDEX('تشخيص الحالات'!$D$2:$D$1001,SUMPRODUCT(('تشخيص الحالات'!$B$2:$B$1001=B531)*('تشخيص الحالات'!$G$2:$G$1001=8)*ROW('تشخيص الحالات'!$B$2:$B$1001))-1),""),"")</f>
        <v/>
      </c>
      <c r="J531" s="1"/>
      <c r="K531" s="1"/>
      <c r="L531" s="1"/>
      <c r="M531" s="1"/>
    </row>
    <row r="532" spans="1:13" x14ac:dyDescent="0.2">
      <c r="A532" s="1"/>
      <c r="B532" s="1"/>
      <c r="C532" s="1"/>
      <c r="D532" s="1"/>
      <c r="E532" s="1"/>
      <c r="F532" s="1"/>
      <c r="G532" s="1"/>
      <c r="H532" s="1"/>
      <c r="I532" t="str">
        <f>IFERROR(INDEX('تشخيص الحالات'!$D$2:$D$1001,SUMPRODUCT(('تشخيص الحالات'!$B$2:$B$1001=B532)*('تشخيص الحالات'!$G$2:$G$1001=1)*ROW('تشخيص الحالات'!$B$2:$B$1001))-1),"")&amp;IF(SUMPRODUCT(('تشخيص الحالات'!$B$2:$B$1001=B532)*('تشخيص الحالات'!$G$2:$G$1001=2))&gt;0,"، "&amp;IFERROR(INDEX('تشخيص الحالات'!$D$2:$D$1001,SUMPRODUCT(('تشخيص الحالات'!$B$2:$B$1001=B532)*('تشخيص الحالات'!$G$2:$G$1001=2)*ROW('تشخيص الحالات'!$B$2:$B$1001))-1),""),"")&amp;IF(SUMPRODUCT(('تشخيص الحالات'!$B$2:$B$1001=B532)*('تشخيص الحالات'!$G$2:$G$1001=3))&gt;0,"، "&amp;IFERROR(INDEX('تشخيص الحالات'!$D$2:$D$1001,SUMPRODUCT(('تشخيص الحالات'!$B$2:$B$1001=B532)*('تشخيص الحالات'!$G$2:$G$1001=3)*ROW('تشخيص الحالات'!$B$2:$B$1001))-1),""),"")&amp;IF(SUMPRODUCT(('تشخيص الحالات'!$B$2:$B$1001=B532)*('تشخيص الحالات'!$G$2:$G$1001=4))&gt;0,"، "&amp;IFERROR(INDEX('تشخيص الحالات'!$D$2:$D$1001,SUMPRODUCT(('تشخيص الحالات'!$B$2:$B$1001=B532)*('تشخيص الحالات'!$G$2:$G$1001=4)*ROW('تشخيص الحالات'!$B$2:$B$1001))-1),""),"")&amp;IF(SUMPRODUCT(('تشخيص الحالات'!$B$2:$B$1001=B532)*('تشخيص الحالات'!$G$2:$G$1001=5))&gt;0,"، "&amp;IFERROR(INDEX('تشخيص الحالات'!$D$2:$D$1001,SUMPRODUCT(('تشخيص الحالات'!$B$2:$B$1001=B532)*('تشخيص الحالات'!$G$2:$G$1001=5)*ROW('تشخيص الحالات'!$B$2:$B$1001))-1),""),"")&amp;IF(SUMPRODUCT(('تشخيص الحالات'!$B$2:$B$1001=B532)*('تشخيص الحالات'!$G$2:$G$1001=6))&gt;0,"، "&amp;IFERROR(INDEX('تشخيص الحالات'!$D$2:$D$1001,SUMPRODUCT(('تشخيص الحالات'!$B$2:$B$1001=B532)*('تشخيص الحالات'!$G$2:$G$1001=6)*ROW('تشخيص الحالات'!$B$2:$B$1001))-1),""),"")&amp;IF(SUMPRODUCT(('تشخيص الحالات'!$B$2:$B$1001=B532)*('تشخيص الحالات'!$G$2:$G$1001=7))&gt;0,"، "&amp;IFERROR(INDEX('تشخيص الحالات'!$D$2:$D$1001,SUMPRODUCT(('تشخيص الحالات'!$B$2:$B$1001=B532)*('تشخيص الحالات'!$G$2:$G$1001=7)*ROW('تشخيص الحالات'!$B$2:$B$1001))-1),""),"")&amp;IF(SUMPRODUCT(('تشخيص الحالات'!$B$2:$B$1001=B532)*('تشخيص الحالات'!$G$2:$G$1001=8))&gt;0,"، "&amp;IFERROR(INDEX('تشخيص الحالات'!$D$2:$D$1001,SUMPRODUCT(('تشخيص الحالات'!$B$2:$B$1001=B532)*('تشخيص الحالات'!$G$2:$G$1001=8)*ROW('تشخيص الحالات'!$B$2:$B$1001))-1),""),"")</f>
        <v/>
      </c>
      <c r="J532" s="1"/>
      <c r="K532" s="1"/>
      <c r="L532" s="1"/>
      <c r="M532" s="1"/>
    </row>
    <row r="533" spans="1:13" x14ac:dyDescent="0.2">
      <c r="A533" s="1"/>
      <c r="B533" s="1"/>
      <c r="C533" s="1"/>
      <c r="D533" s="1"/>
      <c r="E533" s="1"/>
      <c r="F533" s="1"/>
      <c r="G533" s="1"/>
      <c r="H533" s="1"/>
      <c r="I533" t="str">
        <f>IFERROR(INDEX('تشخيص الحالات'!$D$2:$D$1001,SUMPRODUCT(('تشخيص الحالات'!$B$2:$B$1001=B533)*('تشخيص الحالات'!$G$2:$G$1001=1)*ROW('تشخيص الحالات'!$B$2:$B$1001))-1),"")&amp;IF(SUMPRODUCT(('تشخيص الحالات'!$B$2:$B$1001=B533)*('تشخيص الحالات'!$G$2:$G$1001=2))&gt;0,"، "&amp;IFERROR(INDEX('تشخيص الحالات'!$D$2:$D$1001,SUMPRODUCT(('تشخيص الحالات'!$B$2:$B$1001=B533)*('تشخيص الحالات'!$G$2:$G$1001=2)*ROW('تشخيص الحالات'!$B$2:$B$1001))-1),""),"")&amp;IF(SUMPRODUCT(('تشخيص الحالات'!$B$2:$B$1001=B533)*('تشخيص الحالات'!$G$2:$G$1001=3))&gt;0,"، "&amp;IFERROR(INDEX('تشخيص الحالات'!$D$2:$D$1001,SUMPRODUCT(('تشخيص الحالات'!$B$2:$B$1001=B533)*('تشخيص الحالات'!$G$2:$G$1001=3)*ROW('تشخيص الحالات'!$B$2:$B$1001))-1),""),"")&amp;IF(SUMPRODUCT(('تشخيص الحالات'!$B$2:$B$1001=B533)*('تشخيص الحالات'!$G$2:$G$1001=4))&gt;0,"، "&amp;IFERROR(INDEX('تشخيص الحالات'!$D$2:$D$1001,SUMPRODUCT(('تشخيص الحالات'!$B$2:$B$1001=B533)*('تشخيص الحالات'!$G$2:$G$1001=4)*ROW('تشخيص الحالات'!$B$2:$B$1001))-1),""),"")&amp;IF(SUMPRODUCT(('تشخيص الحالات'!$B$2:$B$1001=B533)*('تشخيص الحالات'!$G$2:$G$1001=5))&gt;0,"، "&amp;IFERROR(INDEX('تشخيص الحالات'!$D$2:$D$1001,SUMPRODUCT(('تشخيص الحالات'!$B$2:$B$1001=B533)*('تشخيص الحالات'!$G$2:$G$1001=5)*ROW('تشخيص الحالات'!$B$2:$B$1001))-1),""),"")&amp;IF(SUMPRODUCT(('تشخيص الحالات'!$B$2:$B$1001=B533)*('تشخيص الحالات'!$G$2:$G$1001=6))&gt;0,"، "&amp;IFERROR(INDEX('تشخيص الحالات'!$D$2:$D$1001,SUMPRODUCT(('تشخيص الحالات'!$B$2:$B$1001=B533)*('تشخيص الحالات'!$G$2:$G$1001=6)*ROW('تشخيص الحالات'!$B$2:$B$1001))-1),""),"")&amp;IF(SUMPRODUCT(('تشخيص الحالات'!$B$2:$B$1001=B533)*('تشخيص الحالات'!$G$2:$G$1001=7))&gt;0,"، "&amp;IFERROR(INDEX('تشخيص الحالات'!$D$2:$D$1001,SUMPRODUCT(('تشخيص الحالات'!$B$2:$B$1001=B533)*('تشخيص الحالات'!$G$2:$G$1001=7)*ROW('تشخيص الحالات'!$B$2:$B$1001))-1),""),"")&amp;IF(SUMPRODUCT(('تشخيص الحالات'!$B$2:$B$1001=B533)*('تشخيص الحالات'!$G$2:$G$1001=8))&gt;0,"، "&amp;IFERROR(INDEX('تشخيص الحالات'!$D$2:$D$1001,SUMPRODUCT(('تشخيص الحالات'!$B$2:$B$1001=B533)*('تشخيص الحالات'!$G$2:$G$1001=8)*ROW('تشخيص الحالات'!$B$2:$B$1001))-1),""),"")</f>
        <v/>
      </c>
      <c r="J533" s="1"/>
      <c r="K533" s="1"/>
      <c r="L533" s="1"/>
      <c r="M533" s="1"/>
    </row>
    <row r="534" spans="1:13" x14ac:dyDescent="0.2">
      <c r="A534" s="1"/>
      <c r="B534" s="1"/>
      <c r="C534" s="1"/>
      <c r="D534" s="1"/>
      <c r="E534" s="1"/>
      <c r="F534" s="1"/>
      <c r="G534" s="1"/>
      <c r="H534" s="1"/>
      <c r="I534" t="str">
        <f>IFERROR(INDEX('تشخيص الحالات'!$D$2:$D$1001,SUMPRODUCT(('تشخيص الحالات'!$B$2:$B$1001=B534)*('تشخيص الحالات'!$G$2:$G$1001=1)*ROW('تشخيص الحالات'!$B$2:$B$1001))-1),"")&amp;IF(SUMPRODUCT(('تشخيص الحالات'!$B$2:$B$1001=B534)*('تشخيص الحالات'!$G$2:$G$1001=2))&gt;0,"، "&amp;IFERROR(INDEX('تشخيص الحالات'!$D$2:$D$1001,SUMPRODUCT(('تشخيص الحالات'!$B$2:$B$1001=B534)*('تشخيص الحالات'!$G$2:$G$1001=2)*ROW('تشخيص الحالات'!$B$2:$B$1001))-1),""),"")&amp;IF(SUMPRODUCT(('تشخيص الحالات'!$B$2:$B$1001=B534)*('تشخيص الحالات'!$G$2:$G$1001=3))&gt;0,"، "&amp;IFERROR(INDEX('تشخيص الحالات'!$D$2:$D$1001,SUMPRODUCT(('تشخيص الحالات'!$B$2:$B$1001=B534)*('تشخيص الحالات'!$G$2:$G$1001=3)*ROW('تشخيص الحالات'!$B$2:$B$1001))-1),""),"")&amp;IF(SUMPRODUCT(('تشخيص الحالات'!$B$2:$B$1001=B534)*('تشخيص الحالات'!$G$2:$G$1001=4))&gt;0,"، "&amp;IFERROR(INDEX('تشخيص الحالات'!$D$2:$D$1001,SUMPRODUCT(('تشخيص الحالات'!$B$2:$B$1001=B534)*('تشخيص الحالات'!$G$2:$G$1001=4)*ROW('تشخيص الحالات'!$B$2:$B$1001))-1),""),"")&amp;IF(SUMPRODUCT(('تشخيص الحالات'!$B$2:$B$1001=B534)*('تشخيص الحالات'!$G$2:$G$1001=5))&gt;0,"، "&amp;IFERROR(INDEX('تشخيص الحالات'!$D$2:$D$1001,SUMPRODUCT(('تشخيص الحالات'!$B$2:$B$1001=B534)*('تشخيص الحالات'!$G$2:$G$1001=5)*ROW('تشخيص الحالات'!$B$2:$B$1001))-1),""),"")&amp;IF(SUMPRODUCT(('تشخيص الحالات'!$B$2:$B$1001=B534)*('تشخيص الحالات'!$G$2:$G$1001=6))&gt;0,"، "&amp;IFERROR(INDEX('تشخيص الحالات'!$D$2:$D$1001,SUMPRODUCT(('تشخيص الحالات'!$B$2:$B$1001=B534)*('تشخيص الحالات'!$G$2:$G$1001=6)*ROW('تشخيص الحالات'!$B$2:$B$1001))-1),""),"")&amp;IF(SUMPRODUCT(('تشخيص الحالات'!$B$2:$B$1001=B534)*('تشخيص الحالات'!$G$2:$G$1001=7))&gt;0,"، "&amp;IFERROR(INDEX('تشخيص الحالات'!$D$2:$D$1001,SUMPRODUCT(('تشخيص الحالات'!$B$2:$B$1001=B534)*('تشخيص الحالات'!$G$2:$G$1001=7)*ROW('تشخيص الحالات'!$B$2:$B$1001))-1),""),"")&amp;IF(SUMPRODUCT(('تشخيص الحالات'!$B$2:$B$1001=B534)*('تشخيص الحالات'!$G$2:$G$1001=8))&gt;0,"، "&amp;IFERROR(INDEX('تشخيص الحالات'!$D$2:$D$1001,SUMPRODUCT(('تشخيص الحالات'!$B$2:$B$1001=B534)*('تشخيص الحالات'!$G$2:$G$1001=8)*ROW('تشخيص الحالات'!$B$2:$B$1001))-1),""),"")</f>
        <v/>
      </c>
      <c r="J534" s="1"/>
      <c r="K534" s="1"/>
      <c r="L534" s="1"/>
      <c r="M534" s="1"/>
    </row>
    <row r="535" spans="1:13" x14ac:dyDescent="0.2">
      <c r="A535" s="1"/>
      <c r="B535" s="1"/>
      <c r="C535" s="1"/>
      <c r="D535" s="1"/>
      <c r="E535" s="1"/>
      <c r="F535" s="1"/>
      <c r="G535" s="1"/>
      <c r="H535" s="1"/>
      <c r="I535" t="str">
        <f>IFERROR(INDEX('تشخيص الحالات'!$D$2:$D$1001,SUMPRODUCT(('تشخيص الحالات'!$B$2:$B$1001=B535)*('تشخيص الحالات'!$G$2:$G$1001=1)*ROW('تشخيص الحالات'!$B$2:$B$1001))-1),"")&amp;IF(SUMPRODUCT(('تشخيص الحالات'!$B$2:$B$1001=B535)*('تشخيص الحالات'!$G$2:$G$1001=2))&gt;0,"، "&amp;IFERROR(INDEX('تشخيص الحالات'!$D$2:$D$1001,SUMPRODUCT(('تشخيص الحالات'!$B$2:$B$1001=B535)*('تشخيص الحالات'!$G$2:$G$1001=2)*ROW('تشخيص الحالات'!$B$2:$B$1001))-1),""),"")&amp;IF(SUMPRODUCT(('تشخيص الحالات'!$B$2:$B$1001=B535)*('تشخيص الحالات'!$G$2:$G$1001=3))&gt;0,"، "&amp;IFERROR(INDEX('تشخيص الحالات'!$D$2:$D$1001,SUMPRODUCT(('تشخيص الحالات'!$B$2:$B$1001=B535)*('تشخيص الحالات'!$G$2:$G$1001=3)*ROW('تشخيص الحالات'!$B$2:$B$1001))-1),""),"")&amp;IF(SUMPRODUCT(('تشخيص الحالات'!$B$2:$B$1001=B535)*('تشخيص الحالات'!$G$2:$G$1001=4))&gt;0,"، "&amp;IFERROR(INDEX('تشخيص الحالات'!$D$2:$D$1001,SUMPRODUCT(('تشخيص الحالات'!$B$2:$B$1001=B535)*('تشخيص الحالات'!$G$2:$G$1001=4)*ROW('تشخيص الحالات'!$B$2:$B$1001))-1),""),"")&amp;IF(SUMPRODUCT(('تشخيص الحالات'!$B$2:$B$1001=B535)*('تشخيص الحالات'!$G$2:$G$1001=5))&gt;0,"، "&amp;IFERROR(INDEX('تشخيص الحالات'!$D$2:$D$1001,SUMPRODUCT(('تشخيص الحالات'!$B$2:$B$1001=B535)*('تشخيص الحالات'!$G$2:$G$1001=5)*ROW('تشخيص الحالات'!$B$2:$B$1001))-1),""),"")&amp;IF(SUMPRODUCT(('تشخيص الحالات'!$B$2:$B$1001=B535)*('تشخيص الحالات'!$G$2:$G$1001=6))&gt;0,"، "&amp;IFERROR(INDEX('تشخيص الحالات'!$D$2:$D$1001,SUMPRODUCT(('تشخيص الحالات'!$B$2:$B$1001=B535)*('تشخيص الحالات'!$G$2:$G$1001=6)*ROW('تشخيص الحالات'!$B$2:$B$1001))-1),""),"")&amp;IF(SUMPRODUCT(('تشخيص الحالات'!$B$2:$B$1001=B535)*('تشخيص الحالات'!$G$2:$G$1001=7))&gt;0,"، "&amp;IFERROR(INDEX('تشخيص الحالات'!$D$2:$D$1001,SUMPRODUCT(('تشخيص الحالات'!$B$2:$B$1001=B535)*('تشخيص الحالات'!$G$2:$G$1001=7)*ROW('تشخيص الحالات'!$B$2:$B$1001))-1),""),"")&amp;IF(SUMPRODUCT(('تشخيص الحالات'!$B$2:$B$1001=B535)*('تشخيص الحالات'!$G$2:$G$1001=8))&gt;0,"، "&amp;IFERROR(INDEX('تشخيص الحالات'!$D$2:$D$1001,SUMPRODUCT(('تشخيص الحالات'!$B$2:$B$1001=B535)*('تشخيص الحالات'!$G$2:$G$1001=8)*ROW('تشخيص الحالات'!$B$2:$B$1001))-1),""),"")</f>
        <v/>
      </c>
      <c r="J535" s="1"/>
      <c r="K535" s="1"/>
      <c r="L535" s="1"/>
      <c r="M535" s="1"/>
    </row>
    <row r="536" spans="1:13" x14ac:dyDescent="0.2">
      <c r="A536" s="1"/>
      <c r="B536" s="1"/>
      <c r="C536" s="1"/>
      <c r="D536" s="1"/>
      <c r="E536" s="1"/>
      <c r="F536" s="1"/>
      <c r="G536" s="1"/>
      <c r="H536" s="1"/>
      <c r="I536" t="str">
        <f>IFERROR(INDEX('تشخيص الحالات'!$D$2:$D$1001,SUMPRODUCT(('تشخيص الحالات'!$B$2:$B$1001=B536)*('تشخيص الحالات'!$G$2:$G$1001=1)*ROW('تشخيص الحالات'!$B$2:$B$1001))-1),"")&amp;IF(SUMPRODUCT(('تشخيص الحالات'!$B$2:$B$1001=B536)*('تشخيص الحالات'!$G$2:$G$1001=2))&gt;0,"، "&amp;IFERROR(INDEX('تشخيص الحالات'!$D$2:$D$1001,SUMPRODUCT(('تشخيص الحالات'!$B$2:$B$1001=B536)*('تشخيص الحالات'!$G$2:$G$1001=2)*ROW('تشخيص الحالات'!$B$2:$B$1001))-1),""),"")&amp;IF(SUMPRODUCT(('تشخيص الحالات'!$B$2:$B$1001=B536)*('تشخيص الحالات'!$G$2:$G$1001=3))&gt;0,"، "&amp;IFERROR(INDEX('تشخيص الحالات'!$D$2:$D$1001,SUMPRODUCT(('تشخيص الحالات'!$B$2:$B$1001=B536)*('تشخيص الحالات'!$G$2:$G$1001=3)*ROW('تشخيص الحالات'!$B$2:$B$1001))-1),""),"")&amp;IF(SUMPRODUCT(('تشخيص الحالات'!$B$2:$B$1001=B536)*('تشخيص الحالات'!$G$2:$G$1001=4))&gt;0,"، "&amp;IFERROR(INDEX('تشخيص الحالات'!$D$2:$D$1001,SUMPRODUCT(('تشخيص الحالات'!$B$2:$B$1001=B536)*('تشخيص الحالات'!$G$2:$G$1001=4)*ROW('تشخيص الحالات'!$B$2:$B$1001))-1),""),"")&amp;IF(SUMPRODUCT(('تشخيص الحالات'!$B$2:$B$1001=B536)*('تشخيص الحالات'!$G$2:$G$1001=5))&gt;0,"، "&amp;IFERROR(INDEX('تشخيص الحالات'!$D$2:$D$1001,SUMPRODUCT(('تشخيص الحالات'!$B$2:$B$1001=B536)*('تشخيص الحالات'!$G$2:$G$1001=5)*ROW('تشخيص الحالات'!$B$2:$B$1001))-1),""),"")&amp;IF(SUMPRODUCT(('تشخيص الحالات'!$B$2:$B$1001=B536)*('تشخيص الحالات'!$G$2:$G$1001=6))&gt;0,"، "&amp;IFERROR(INDEX('تشخيص الحالات'!$D$2:$D$1001,SUMPRODUCT(('تشخيص الحالات'!$B$2:$B$1001=B536)*('تشخيص الحالات'!$G$2:$G$1001=6)*ROW('تشخيص الحالات'!$B$2:$B$1001))-1),""),"")&amp;IF(SUMPRODUCT(('تشخيص الحالات'!$B$2:$B$1001=B536)*('تشخيص الحالات'!$G$2:$G$1001=7))&gt;0,"، "&amp;IFERROR(INDEX('تشخيص الحالات'!$D$2:$D$1001,SUMPRODUCT(('تشخيص الحالات'!$B$2:$B$1001=B536)*('تشخيص الحالات'!$G$2:$G$1001=7)*ROW('تشخيص الحالات'!$B$2:$B$1001))-1),""),"")&amp;IF(SUMPRODUCT(('تشخيص الحالات'!$B$2:$B$1001=B536)*('تشخيص الحالات'!$G$2:$G$1001=8))&gt;0,"، "&amp;IFERROR(INDEX('تشخيص الحالات'!$D$2:$D$1001,SUMPRODUCT(('تشخيص الحالات'!$B$2:$B$1001=B536)*('تشخيص الحالات'!$G$2:$G$1001=8)*ROW('تشخيص الحالات'!$B$2:$B$1001))-1),""),"")</f>
        <v/>
      </c>
      <c r="J536" s="1"/>
      <c r="K536" s="1"/>
      <c r="L536" s="1"/>
      <c r="M536" s="1"/>
    </row>
    <row r="537" spans="1:13" x14ac:dyDescent="0.2">
      <c r="A537" s="1"/>
      <c r="B537" s="1"/>
      <c r="C537" s="1"/>
      <c r="D537" s="1"/>
      <c r="E537" s="1"/>
      <c r="F537" s="1"/>
      <c r="G537" s="1"/>
      <c r="H537" s="1"/>
      <c r="I537" t="str">
        <f>IFERROR(INDEX('تشخيص الحالات'!$D$2:$D$1001,SUMPRODUCT(('تشخيص الحالات'!$B$2:$B$1001=B537)*('تشخيص الحالات'!$G$2:$G$1001=1)*ROW('تشخيص الحالات'!$B$2:$B$1001))-1),"")&amp;IF(SUMPRODUCT(('تشخيص الحالات'!$B$2:$B$1001=B537)*('تشخيص الحالات'!$G$2:$G$1001=2))&gt;0,"، "&amp;IFERROR(INDEX('تشخيص الحالات'!$D$2:$D$1001,SUMPRODUCT(('تشخيص الحالات'!$B$2:$B$1001=B537)*('تشخيص الحالات'!$G$2:$G$1001=2)*ROW('تشخيص الحالات'!$B$2:$B$1001))-1),""),"")&amp;IF(SUMPRODUCT(('تشخيص الحالات'!$B$2:$B$1001=B537)*('تشخيص الحالات'!$G$2:$G$1001=3))&gt;0,"، "&amp;IFERROR(INDEX('تشخيص الحالات'!$D$2:$D$1001,SUMPRODUCT(('تشخيص الحالات'!$B$2:$B$1001=B537)*('تشخيص الحالات'!$G$2:$G$1001=3)*ROW('تشخيص الحالات'!$B$2:$B$1001))-1),""),"")&amp;IF(SUMPRODUCT(('تشخيص الحالات'!$B$2:$B$1001=B537)*('تشخيص الحالات'!$G$2:$G$1001=4))&gt;0,"، "&amp;IFERROR(INDEX('تشخيص الحالات'!$D$2:$D$1001,SUMPRODUCT(('تشخيص الحالات'!$B$2:$B$1001=B537)*('تشخيص الحالات'!$G$2:$G$1001=4)*ROW('تشخيص الحالات'!$B$2:$B$1001))-1),""),"")&amp;IF(SUMPRODUCT(('تشخيص الحالات'!$B$2:$B$1001=B537)*('تشخيص الحالات'!$G$2:$G$1001=5))&gt;0,"، "&amp;IFERROR(INDEX('تشخيص الحالات'!$D$2:$D$1001,SUMPRODUCT(('تشخيص الحالات'!$B$2:$B$1001=B537)*('تشخيص الحالات'!$G$2:$G$1001=5)*ROW('تشخيص الحالات'!$B$2:$B$1001))-1),""),"")&amp;IF(SUMPRODUCT(('تشخيص الحالات'!$B$2:$B$1001=B537)*('تشخيص الحالات'!$G$2:$G$1001=6))&gt;0,"، "&amp;IFERROR(INDEX('تشخيص الحالات'!$D$2:$D$1001,SUMPRODUCT(('تشخيص الحالات'!$B$2:$B$1001=B537)*('تشخيص الحالات'!$G$2:$G$1001=6)*ROW('تشخيص الحالات'!$B$2:$B$1001))-1),""),"")&amp;IF(SUMPRODUCT(('تشخيص الحالات'!$B$2:$B$1001=B537)*('تشخيص الحالات'!$G$2:$G$1001=7))&gt;0,"، "&amp;IFERROR(INDEX('تشخيص الحالات'!$D$2:$D$1001,SUMPRODUCT(('تشخيص الحالات'!$B$2:$B$1001=B537)*('تشخيص الحالات'!$G$2:$G$1001=7)*ROW('تشخيص الحالات'!$B$2:$B$1001))-1),""),"")&amp;IF(SUMPRODUCT(('تشخيص الحالات'!$B$2:$B$1001=B537)*('تشخيص الحالات'!$G$2:$G$1001=8))&gt;0,"، "&amp;IFERROR(INDEX('تشخيص الحالات'!$D$2:$D$1001,SUMPRODUCT(('تشخيص الحالات'!$B$2:$B$1001=B537)*('تشخيص الحالات'!$G$2:$G$1001=8)*ROW('تشخيص الحالات'!$B$2:$B$1001))-1),""),"")</f>
        <v/>
      </c>
      <c r="J537" s="1"/>
      <c r="K537" s="1"/>
      <c r="L537" s="1"/>
      <c r="M537" s="1"/>
    </row>
    <row r="538" spans="1:13" x14ac:dyDescent="0.2">
      <c r="A538" s="1"/>
      <c r="B538" s="1"/>
      <c r="C538" s="1"/>
      <c r="D538" s="1"/>
      <c r="E538" s="1"/>
      <c r="F538" s="1"/>
      <c r="G538" s="1"/>
      <c r="H538" s="1"/>
      <c r="I538" t="str">
        <f>IFERROR(INDEX('تشخيص الحالات'!$D$2:$D$1001,SUMPRODUCT(('تشخيص الحالات'!$B$2:$B$1001=B538)*('تشخيص الحالات'!$G$2:$G$1001=1)*ROW('تشخيص الحالات'!$B$2:$B$1001))-1),"")&amp;IF(SUMPRODUCT(('تشخيص الحالات'!$B$2:$B$1001=B538)*('تشخيص الحالات'!$G$2:$G$1001=2))&gt;0,"، "&amp;IFERROR(INDEX('تشخيص الحالات'!$D$2:$D$1001,SUMPRODUCT(('تشخيص الحالات'!$B$2:$B$1001=B538)*('تشخيص الحالات'!$G$2:$G$1001=2)*ROW('تشخيص الحالات'!$B$2:$B$1001))-1),""),"")&amp;IF(SUMPRODUCT(('تشخيص الحالات'!$B$2:$B$1001=B538)*('تشخيص الحالات'!$G$2:$G$1001=3))&gt;0,"، "&amp;IFERROR(INDEX('تشخيص الحالات'!$D$2:$D$1001,SUMPRODUCT(('تشخيص الحالات'!$B$2:$B$1001=B538)*('تشخيص الحالات'!$G$2:$G$1001=3)*ROW('تشخيص الحالات'!$B$2:$B$1001))-1),""),"")&amp;IF(SUMPRODUCT(('تشخيص الحالات'!$B$2:$B$1001=B538)*('تشخيص الحالات'!$G$2:$G$1001=4))&gt;0,"، "&amp;IFERROR(INDEX('تشخيص الحالات'!$D$2:$D$1001,SUMPRODUCT(('تشخيص الحالات'!$B$2:$B$1001=B538)*('تشخيص الحالات'!$G$2:$G$1001=4)*ROW('تشخيص الحالات'!$B$2:$B$1001))-1),""),"")&amp;IF(SUMPRODUCT(('تشخيص الحالات'!$B$2:$B$1001=B538)*('تشخيص الحالات'!$G$2:$G$1001=5))&gt;0,"، "&amp;IFERROR(INDEX('تشخيص الحالات'!$D$2:$D$1001,SUMPRODUCT(('تشخيص الحالات'!$B$2:$B$1001=B538)*('تشخيص الحالات'!$G$2:$G$1001=5)*ROW('تشخيص الحالات'!$B$2:$B$1001))-1),""),"")&amp;IF(SUMPRODUCT(('تشخيص الحالات'!$B$2:$B$1001=B538)*('تشخيص الحالات'!$G$2:$G$1001=6))&gt;0,"، "&amp;IFERROR(INDEX('تشخيص الحالات'!$D$2:$D$1001,SUMPRODUCT(('تشخيص الحالات'!$B$2:$B$1001=B538)*('تشخيص الحالات'!$G$2:$G$1001=6)*ROW('تشخيص الحالات'!$B$2:$B$1001))-1),""),"")&amp;IF(SUMPRODUCT(('تشخيص الحالات'!$B$2:$B$1001=B538)*('تشخيص الحالات'!$G$2:$G$1001=7))&gt;0,"، "&amp;IFERROR(INDEX('تشخيص الحالات'!$D$2:$D$1001,SUMPRODUCT(('تشخيص الحالات'!$B$2:$B$1001=B538)*('تشخيص الحالات'!$G$2:$G$1001=7)*ROW('تشخيص الحالات'!$B$2:$B$1001))-1),""),"")&amp;IF(SUMPRODUCT(('تشخيص الحالات'!$B$2:$B$1001=B538)*('تشخيص الحالات'!$G$2:$G$1001=8))&gt;0,"، "&amp;IFERROR(INDEX('تشخيص الحالات'!$D$2:$D$1001,SUMPRODUCT(('تشخيص الحالات'!$B$2:$B$1001=B538)*('تشخيص الحالات'!$G$2:$G$1001=8)*ROW('تشخيص الحالات'!$B$2:$B$1001))-1),""),"")</f>
        <v/>
      </c>
      <c r="J538" s="1"/>
      <c r="K538" s="1"/>
      <c r="L538" s="1"/>
      <c r="M538" s="1"/>
    </row>
    <row r="539" spans="1:13" x14ac:dyDescent="0.2">
      <c r="A539" s="1"/>
      <c r="B539" s="1"/>
      <c r="C539" s="1"/>
      <c r="D539" s="1"/>
      <c r="E539" s="1"/>
      <c r="F539" s="1"/>
      <c r="G539" s="1"/>
      <c r="H539" s="1"/>
      <c r="I539" t="str">
        <f>IFERROR(INDEX('تشخيص الحالات'!$D$2:$D$1001,SUMPRODUCT(('تشخيص الحالات'!$B$2:$B$1001=B539)*('تشخيص الحالات'!$G$2:$G$1001=1)*ROW('تشخيص الحالات'!$B$2:$B$1001))-1),"")&amp;IF(SUMPRODUCT(('تشخيص الحالات'!$B$2:$B$1001=B539)*('تشخيص الحالات'!$G$2:$G$1001=2))&gt;0,"، "&amp;IFERROR(INDEX('تشخيص الحالات'!$D$2:$D$1001,SUMPRODUCT(('تشخيص الحالات'!$B$2:$B$1001=B539)*('تشخيص الحالات'!$G$2:$G$1001=2)*ROW('تشخيص الحالات'!$B$2:$B$1001))-1),""),"")&amp;IF(SUMPRODUCT(('تشخيص الحالات'!$B$2:$B$1001=B539)*('تشخيص الحالات'!$G$2:$G$1001=3))&gt;0,"، "&amp;IFERROR(INDEX('تشخيص الحالات'!$D$2:$D$1001,SUMPRODUCT(('تشخيص الحالات'!$B$2:$B$1001=B539)*('تشخيص الحالات'!$G$2:$G$1001=3)*ROW('تشخيص الحالات'!$B$2:$B$1001))-1),""),"")&amp;IF(SUMPRODUCT(('تشخيص الحالات'!$B$2:$B$1001=B539)*('تشخيص الحالات'!$G$2:$G$1001=4))&gt;0,"، "&amp;IFERROR(INDEX('تشخيص الحالات'!$D$2:$D$1001,SUMPRODUCT(('تشخيص الحالات'!$B$2:$B$1001=B539)*('تشخيص الحالات'!$G$2:$G$1001=4)*ROW('تشخيص الحالات'!$B$2:$B$1001))-1),""),"")&amp;IF(SUMPRODUCT(('تشخيص الحالات'!$B$2:$B$1001=B539)*('تشخيص الحالات'!$G$2:$G$1001=5))&gt;0,"، "&amp;IFERROR(INDEX('تشخيص الحالات'!$D$2:$D$1001,SUMPRODUCT(('تشخيص الحالات'!$B$2:$B$1001=B539)*('تشخيص الحالات'!$G$2:$G$1001=5)*ROW('تشخيص الحالات'!$B$2:$B$1001))-1),""),"")&amp;IF(SUMPRODUCT(('تشخيص الحالات'!$B$2:$B$1001=B539)*('تشخيص الحالات'!$G$2:$G$1001=6))&gt;0,"، "&amp;IFERROR(INDEX('تشخيص الحالات'!$D$2:$D$1001,SUMPRODUCT(('تشخيص الحالات'!$B$2:$B$1001=B539)*('تشخيص الحالات'!$G$2:$G$1001=6)*ROW('تشخيص الحالات'!$B$2:$B$1001))-1),""),"")&amp;IF(SUMPRODUCT(('تشخيص الحالات'!$B$2:$B$1001=B539)*('تشخيص الحالات'!$G$2:$G$1001=7))&gt;0,"، "&amp;IFERROR(INDEX('تشخيص الحالات'!$D$2:$D$1001,SUMPRODUCT(('تشخيص الحالات'!$B$2:$B$1001=B539)*('تشخيص الحالات'!$G$2:$G$1001=7)*ROW('تشخيص الحالات'!$B$2:$B$1001))-1),""),"")&amp;IF(SUMPRODUCT(('تشخيص الحالات'!$B$2:$B$1001=B539)*('تشخيص الحالات'!$G$2:$G$1001=8))&gt;0,"، "&amp;IFERROR(INDEX('تشخيص الحالات'!$D$2:$D$1001,SUMPRODUCT(('تشخيص الحالات'!$B$2:$B$1001=B539)*('تشخيص الحالات'!$G$2:$G$1001=8)*ROW('تشخيص الحالات'!$B$2:$B$1001))-1),""),"")</f>
        <v/>
      </c>
      <c r="J539" s="1"/>
      <c r="K539" s="1"/>
      <c r="L539" s="1"/>
      <c r="M539" s="1"/>
    </row>
    <row r="540" spans="1:13" x14ac:dyDescent="0.2">
      <c r="A540" s="1"/>
      <c r="B540" s="1"/>
      <c r="C540" s="1"/>
      <c r="D540" s="1"/>
      <c r="E540" s="1"/>
      <c r="F540" s="1"/>
      <c r="G540" s="1"/>
      <c r="H540" s="1"/>
      <c r="I540" t="str">
        <f>IFERROR(INDEX('تشخيص الحالات'!$D$2:$D$1001,SUMPRODUCT(('تشخيص الحالات'!$B$2:$B$1001=B540)*('تشخيص الحالات'!$G$2:$G$1001=1)*ROW('تشخيص الحالات'!$B$2:$B$1001))-1),"")&amp;IF(SUMPRODUCT(('تشخيص الحالات'!$B$2:$B$1001=B540)*('تشخيص الحالات'!$G$2:$G$1001=2))&gt;0,"، "&amp;IFERROR(INDEX('تشخيص الحالات'!$D$2:$D$1001,SUMPRODUCT(('تشخيص الحالات'!$B$2:$B$1001=B540)*('تشخيص الحالات'!$G$2:$G$1001=2)*ROW('تشخيص الحالات'!$B$2:$B$1001))-1),""),"")&amp;IF(SUMPRODUCT(('تشخيص الحالات'!$B$2:$B$1001=B540)*('تشخيص الحالات'!$G$2:$G$1001=3))&gt;0,"، "&amp;IFERROR(INDEX('تشخيص الحالات'!$D$2:$D$1001,SUMPRODUCT(('تشخيص الحالات'!$B$2:$B$1001=B540)*('تشخيص الحالات'!$G$2:$G$1001=3)*ROW('تشخيص الحالات'!$B$2:$B$1001))-1),""),"")&amp;IF(SUMPRODUCT(('تشخيص الحالات'!$B$2:$B$1001=B540)*('تشخيص الحالات'!$G$2:$G$1001=4))&gt;0,"، "&amp;IFERROR(INDEX('تشخيص الحالات'!$D$2:$D$1001,SUMPRODUCT(('تشخيص الحالات'!$B$2:$B$1001=B540)*('تشخيص الحالات'!$G$2:$G$1001=4)*ROW('تشخيص الحالات'!$B$2:$B$1001))-1),""),"")&amp;IF(SUMPRODUCT(('تشخيص الحالات'!$B$2:$B$1001=B540)*('تشخيص الحالات'!$G$2:$G$1001=5))&gt;0,"، "&amp;IFERROR(INDEX('تشخيص الحالات'!$D$2:$D$1001,SUMPRODUCT(('تشخيص الحالات'!$B$2:$B$1001=B540)*('تشخيص الحالات'!$G$2:$G$1001=5)*ROW('تشخيص الحالات'!$B$2:$B$1001))-1),""),"")&amp;IF(SUMPRODUCT(('تشخيص الحالات'!$B$2:$B$1001=B540)*('تشخيص الحالات'!$G$2:$G$1001=6))&gt;0,"، "&amp;IFERROR(INDEX('تشخيص الحالات'!$D$2:$D$1001,SUMPRODUCT(('تشخيص الحالات'!$B$2:$B$1001=B540)*('تشخيص الحالات'!$G$2:$G$1001=6)*ROW('تشخيص الحالات'!$B$2:$B$1001))-1),""),"")&amp;IF(SUMPRODUCT(('تشخيص الحالات'!$B$2:$B$1001=B540)*('تشخيص الحالات'!$G$2:$G$1001=7))&gt;0,"، "&amp;IFERROR(INDEX('تشخيص الحالات'!$D$2:$D$1001,SUMPRODUCT(('تشخيص الحالات'!$B$2:$B$1001=B540)*('تشخيص الحالات'!$G$2:$G$1001=7)*ROW('تشخيص الحالات'!$B$2:$B$1001))-1),""),"")&amp;IF(SUMPRODUCT(('تشخيص الحالات'!$B$2:$B$1001=B540)*('تشخيص الحالات'!$G$2:$G$1001=8))&gt;0,"، "&amp;IFERROR(INDEX('تشخيص الحالات'!$D$2:$D$1001,SUMPRODUCT(('تشخيص الحالات'!$B$2:$B$1001=B540)*('تشخيص الحالات'!$G$2:$G$1001=8)*ROW('تشخيص الحالات'!$B$2:$B$1001))-1),""),"")</f>
        <v/>
      </c>
      <c r="J540" s="1"/>
      <c r="K540" s="1"/>
      <c r="L540" s="1"/>
      <c r="M540" s="1"/>
    </row>
    <row r="541" spans="1:13" x14ac:dyDescent="0.2">
      <c r="A541" s="1"/>
      <c r="B541" s="1"/>
      <c r="C541" s="1"/>
      <c r="D541" s="1"/>
      <c r="E541" s="1"/>
      <c r="F541" s="1"/>
      <c r="G541" s="1"/>
      <c r="H541" s="1"/>
      <c r="I541" t="str">
        <f>IFERROR(INDEX('تشخيص الحالات'!$D$2:$D$1001,SUMPRODUCT(('تشخيص الحالات'!$B$2:$B$1001=B541)*('تشخيص الحالات'!$G$2:$G$1001=1)*ROW('تشخيص الحالات'!$B$2:$B$1001))-1),"")&amp;IF(SUMPRODUCT(('تشخيص الحالات'!$B$2:$B$1001=B541)*('تشخيص الحالات'!$G$2:$G$1001=2))&gt;0,"، "&amp;IFERROR(INDEX('تشخيص الحالات'!$D$2:$D$1001,SUMPRODUCT(('تشخيص الحالات'!$B$2:$B$1001=B541)*('تشخيص الحالات'!$G$2:$G$1001=2)*ROW('تشخيص الحالات'!$B$2:$B$1001))-1),""),"")&amp;IF(SUMPRODUCT(('تشخيص الحالات'!$B$2:$B$1001=B541)*('تشخيص الحالات'!$G$2:$G$1001=3))&gt;0,"، "&amp;IFERROR(INDEX('تشخيص الحالات'!$D$2:$D$1001,SUMPRODUCT(('تشخيص الحالات'!$B$2:$B$1001=B541)*('تشخيص الحالات'!$G$2:$G$1001=3)*ROW('تشخيص الحالات'!$B$2:$B$1001))-1),""),"")&amp;IF(SUMPRODUCT(('تشخيص الحالات'!$B$2:$B$1001=B541)*('تشخيص الحالات'!$G$2:$G$1001=4))&gt;0,"، "&amp;IFERROR(INDEX('تشخيص الحالات'!$D$2:$D$1001,SUMPRODUCT(('تشخيص الحالات'!$B$2:$B$1001=B541)*('تشخيص الحالات'!$G$2:$G$1001=4)*ROW('تشخيص الحالات'!$B$2:$B$1001))-1),""),"")&amp;IF(SUMPRODUCT(('تشخيص الحالات'!$B$2:$B$1001=B541)*('تشخيص الحالات'!$G$2:$G$1001=5))&gt;0,"، "&amp;IFERROR(INDEX('تشخيص الحالات'!$D$2:$D$1001,SUMPRODUCT(('تشخيص الحالات'!$B$2:$B$1001=B541)*('تشخيص الحالات'!$G$2:$G$1001=5)*ROW('تشخيص الحالات'!$B$2:$B$1001))-1),""),"")&amp;IF(SUMPRODUCT(('تشخيص الحالات'!$B$2:$B$1001=B541)*('تشخيص الحالات'!$G$2:$G$1001=6))&gt;0,"، "&amp;IFERROR(INDEX('تشخيص الحالات'!$D$2:$D$1001,SUMPRODUCT(('تشخيص الحالات'!$B$2:$B$1001=B541)*('تشخيص الحالات'!$G$2:$G$1001=6)*ROW('تشخيص الحالات'!$B$2:$B$1001))-1),""),"")&amp;IF(SUMPRODUCT(('تشخيص الحالات'!$B$2:$B$1001=B541)*('تشخيص الحالات'!$G$2:$G$1001=7))&gt;0,"، "&amp;IFERROR(INDEX('تشخيص الحالات'!$D$2:$D$1001,SUMPRODUCT(('تشخيص الحالات'!$B$2:$B$1001=B541)*('تشخيص الحالات'!$G$2:$G$1001=7)*ROW('تشخيص الحالات'!$B$2:$B$1001))-1),""),"")&amp;IF(SUMPRODUCT(('تشخيص الحالات'!$B$2:$B$1001=B541)*('تشخيص الحالات'!$G$2:$G$1001=8))&gt;0,"، "&amp;IFERROR(INDEX('تشخيص الحالات'!$D$2:$D$1001,SUMPRODUCT(('تشخيص الحالات'!$B$2:$B$1001=B541)*('تشخيص الحالات'!$G$2:$G$1001=8)*ROW('تشخيص الحالات'!$B$2:$B$1001))-1),""),"")</f>
        <v/>
      </c>
      <c r="J541" s="1"/>
      <c r="K541" s="1"/>
      <c r="L541" s="1"/>
      <c r="M541" s="1"/>
    </row>
    <row r="542" spans="1:13" x14ac:dyDescent="0.2">
      <c r="A542" s="1"/>
      <c r="B542" s="1"/>
      <c r="C542" s="1"/>
      <c r="D542" s="1"/>
      <c r="E542" s="1"/>
      <c r="F542" s="1"/>
      <c r="G542" s="1"/>
      <c r="H542" s="1"/>
      <c r="I542" t="str">
        <f>IFERROR(INDEX('تشخيص الحالات'!$D$2:$D$1001,SUMPRODUCT(('تشخيص الحالات'!$B$2:$B$1001=B542)*('تشخيص الحالات'!$G$2:$G$1001=1)*ROW('تشخيص الحالات'!$B$2:$B$1001))-1),"")&amp;IF(SUMPRODUCT(('تشخيص الحالات'!$B$2:$B$1001=B542)*('تشخيص الحالات'!$G$2:$G$1001=2))&gt;0,"، "&amp;IFERROR(INDEX('تشخيص الحالات'!$D$2:$D$1001,SUMPRODUCT(('تشخيص الحالات'!$B$2:$B$1001=B542)*('تشخيص الحالات'!$G$2:$G$1001=2)*ROW('تشخيص الحالات'!$B$2:$B$1001))-1),""),"")&amp;IF(SUMPRODUCT(('تشخيص الحالات'!$B$2:$B$1001=B542)*('تشخيص الحالات'!$G$2:$G$1001=3))&gt;0,"، "&amp;IFERROR(INDEX('تشخيص الحالات'!$D$2:$D$1001,SUMPRODUCT(('تشخيص الحالات'!$B$2:$B$1001=B542)*('تشخيص الحالات'!$G$2:$G$1001=3)*ROW('تشخيص الحالات'!$B$2:$B$1001))-1),""),"")&amp;IF(SUMPRODUCT(('تشخيص الحالات'!$B$2:$B$1001=B542)*('تشخيص الحالات'!$G$2:$G$1001=4))&gt;0,"، "&amp;IFERROR(INDEX('تشخيص الحالات'!$D$2:$D$1001,SUMPRODUCT(('تشخيص الحالات'!$B$2:$B$1001=B542)*('تشخيص الحالات'!$G$2:$G$1001=4)*ROW('تشخيص الحالات'!$B$2:$B$1001))-1),""),"")&amp;IF(SUMPRODUCT(('تشخيص الحالات'!$B$2:$B$1001=B542)*('تشخيص الحالات'!$G$2:$G$1001=5))&gt;0,"، "&amp;IFERROR(INDEX('تشخيص الحالات'!$D$2:$D$1001,SUMPRODUCT(('تشخيص الحالات'!$B$2:$B$1001=B542)*('تشخيص الحالات'!$G$2:$G$1001=5)*ROW('تشخيص الحالات'!$B$2:$B$1001))-1),""),"")&amp;IF(SUMPRODUCT(('تشخيص الحالات'!$B$2:$B$1001=B542)*('تشخيص الحالات'!$G$2:$G$1001=6))&gt;0,"، "&amp;IFERROR(INDEX('تشخيص الحالات'!$D$2:$D$1001,SUMPRODUCT(('تشخيص الحالات'!$B$2:$B$1001=B542)*('تشخيص الحالات'!$G$2:$G$1001=6)*ROW('تشخيص الحالات'!$B$2:$B$1001))-1),""),"")&amp;IF(SUMPRODUCT(('تشخيص الحالات'!$B$2:$B$1001=B542)*('تشخيص الحالات'!$G$2:$G$1001=7))&gt;0,"، "&amp;IFERROR(INDEX('تشخيص الحالات'!$D$2:$D$1001,SUMPRODUCT(('تشخيص الحالات'!$B$2:$B$1001=B542)*('تشخيص الحالات'!$G$2:$G$1001=7)*ROW('تشخيص الحالات'!$B$2:$B$1001))-1),""),"")&amp;IF(SUMPRODUCT(('تشخيص الحالات'!$B$2:$B$1001=B542)*('تشخيص الحالات'!$G$2:$G$1001=8))&gt;0,"، "&amp;IFERROR(INDEX('تشخيص الحالات'!$D$2:$D$1001,SUMPRODUCT(('تشخيص الحالات'!$B$2:$B$1001=B542)*('تشخيص الحالات'!$G$2:$G$1001=8)*ROW('تشخيص الحالات'!$B$2:$B$1001))-1),""),"")</f>
        <v/>
      </c>
      <c r="J542" s="1"/>
      <c r="K542" s="1"/>
      <c r="L542" s="1"/>
      <c r="M542" s="1"/>
    </row>
    <row r="543" spans="1:13" x14ac:dyDescent="0.2">
      <c r="A543" s="1"/>
      <c r="B543" s="1"/>
      <c r="C543" s="1"/>
      <c r="D543" s="1"/>
      <c r="E543" s="1"/>
      <c r="F543" s="1"/>
      <c r="G543" s="1"/>
      <c r="H543" s="1"/>
      <c r="I543" t="str">
        <f>IFERROR(INDEX('تشخيص الحالات'!$D$2:$D$1001,SUMPRODUCT(('تشخيص الحالات'!$B$2:$B$1001=B543)*('تشخيص الحالات'!$G$2:$G$1001=1)*ROW('تشخيص الحالات'!$B$2:$B$1001))-1),"")&amp;IF(SUMPRODUCT(('تشخيص الحالات'!$B$2:$B$1001=B543)*('تشخيص الحالات'!$G$2:$G$1001=2))&gt;0,"، "&amp;IFERROR(INDEX('تشخيص الحالات'!$D$2:$D$1001,SUMPRODUCT(('تشخيص الحالات'!$B$2:$B$1001=B543)*('تشخيص الحالات'!$G$2:$G$1001=2)*ROW('تشخيص الحالات'!$B$2:$B$1001))-1),""),"")&amp;IF(SUMPRODUCT(('تشخيص الحالات'!$B$2:$B$1001=B543)*('تشخيص الحالات'!$G$2:$G$1001=3))&gt;0,"، "&amp;IFERROR(INDEX('تشخيص الحالات'!$D$2:$D$1001,SUMPRODUCT(('تشخيص الحالات'!$B$2:$B$1001=B543)*('تشخيص الحالات'!$G$2:$G$1001=3)*ROW('تشخيص الحالات'!$B$2:$B$1001))-1),""),"")&amp;IF(SUMPRODUCT(('تشخيص الحالات'!$B$2:$B$1001=B543)*('تشخيص الحالات'!$G$2:$G$1001=4))&gt;0,"، "&amp;IFERROR(INDEX('تشخيص الحالات'!$D$2:$D$1001,SUMPRODUCT(('تشخيص الحالات'!$B$2:$B$1001=B543)*('تشخيص الحالات'!$G$2:$G$1001=4)*ROW('تشخيص الحالات'!$B$2:$B$1001))-1),""),"")&amp;IF(SUMPRODUCT(('تشخيص الحالات'!$B$2:$B$1001=B543)*('تشخيص الحالات'!$G$2:$G$1001=5))&gt;0,"، "&amp;IFERROR(INDEX('تشخيص الحالات'!$D$2:$D$1001,SUMPRODUCT(('تشخيص الحالات'!$B$2:$B$1001=B543)*('تشخيص الحالات'!$G$2:$G$1001=5)*ROW('تشخيص الحالات'!$B$2:$B$1001))-1),""),"")&amp;IF(SUMPRODUCT(('تشخيص الحالات'!$B$2:$B$1001=B543)*('تشخيص الحالات'!$G$2:$G$1001=6))&gt;0,"، "&amp;IFERROR(INDEX('تشخيص الحالات'!$D$2:$D$1001,SUMPRODUCT(('تشخيص الحالات'!$B$2:$B$1001=B543)*('تشخيص الحالات'!$G$2:$G$1001=6)*ROW('تشخيص الحالات'!$B$2:$B$1001))-1),""),"")&amp;IF(SUMPRODUCT(('تشخيص الحالات'!$B$2:$B$1001=B543)*('تشخيص الحالات'!$G$2:$G$1001=7))&gt;0,"، "&amp;IFERROR(INDEX('تشخيص الحالات'!$D$2:$D$1001,SUMPRODUCT(('تشخيص الحالات'!$B$2:$B$1001=B543)*('تشخيص الحالات'!$G$2:$G$1001=7)*ROW('تشخيص الحالات'!$B$2:$B$1001))-1),""),"")&amp;IF(SUMPRODUCT(('تشخيص الحالات'!$B$2:$B$1001=B543)*('تشخيص الحالات'!$G$2:$G$1001=8))&gt;0,"، "&amp;IFERROR(INDEX('تشخيص الحالات'!$D$2:$D$1001,SUMPRODUCT(('تشخيص الحالات'!$B$2:$B$1001=B543)*('تشخيص الحالات'!$G$2:$G$1001=8)*ROW('تشخيص الحالات'!$B$2:$B$1001))-1),""),"")</f>
        <v/>
      </c>
      <c r="J543" s="1"/>
      <c r="K543" s="1"/>
      <c r="L543" s="1"/>
      <c r="M543" s="1"/>
    </row>
    <row r="544" spans="1:13" x14ac:dyDescent="0.2">
      <c r="A544" s="1"/>
      <c r="B544" s="1"/>
      <c r="C544" s="1"/>
      <c r="D544" s="1"/>
      <c r="E544" s="1"/>
      <c r="F544" s="1"/>
      <c r="G544" s="1"/>
      <c r="H544" s="1"/>
      <c r="I544" t="str">
        <f>IFERROR(INDEX('تشخيص الحالات'!$D$2:$D$1001,SUMPRODUCT(('تشخيص الحالات'!$B$2:$B$1001=B544)*('تشخيص الحالات'!$G$2:$G$1001=1)*ROW('تشخيص الحالات'!$B$2:$B$1001))-1),"")&amp;IF(SUMPRODUCT(('تشخيص الحالات'!$B$2:$B$1001=B544)*('تشخيص الحالات'!$G$2:$G$1001=2))&gt;0,"، "&amp;IFERROR(INDEX('تشخيص الحالات'!$D$2:$D$1001,SUMPRODUCT(('تشخيص الحالات'!$B$2:$B$1001=B544)*('تشخيص الحالات'!$G$2:$G$1001=2)*ROW('تشخيص الحالات'!$B$2:$B$1001))-1),""),"")&amp;IF(SUMPRODUCT(('تشخيص الحالات'!$B$2:$B$1001=B544)*('تشخيص الحالات'!$G$2:$G$1001=3))&gt;0,"، "&amp;IFERROR(INDEX('تشخيص الحالات'!$D$2:$D$1001,SUMPRODUCT(('تشخيص الحالات'!$B$2:$B$1001=B544)*('تشخيص الحالات'!$G$2:$G$1001=3)*ROW('تشخيص الحالات'!$B$2:$B$1001))-1),""),"")&amp;IF(SUMPRODUCT(('تشخيص الحالات'!$B$2:$B$1001=B544)*('تشخيص الحالات'!$G$2:$G$1001=4))&gt;0,"، "&amp;IFERROR(INDEX('تشخيص الحالات'!$D$2:$D$1001,SUMPRODUCT(('تشخيص الحالات'!$B$2:$B$1001=B544)*('تشخيص الحالات'!$G$2:$G$1001=4)*ROW('تشخيص الحالات'!$B$2:$B$1001))-1),""),"")&amp;IF(SUMPRODUCT(('تشخيص الحالات'!$B$2:$B$1001=B544)*('تشخيص الحالات'!$G$2:$G$1001=5))&gt;0,"، "&amp;IFERROR(INDEX('تشخيص الحالات'!$D$2:$D$1001,SUMPRODUCT(('تشخيص الحالات'!$B$2:$B$1001=B544)*('تشخيص الحالات'!$G$2:$G$1001=5)*ROW('تشخيص الحالات'!$B$2:$B$1001))-1),""),"")&amp;IF(SUMPRODUCT(('تشخيص الحالات'!$B$2:$B$1001=B544)*('تشخيص الحالات'!$G$2:$G$1001=6))&gt;0,"، "&amp;IFERROR(INDEX('تشخيص الحالات'!$D$2:$D$1001,SUMPRODUCT(('تشخيص الحالات'!$B$2:$B$1001=B544)*('تشخيص الحالات'!$G$2:$G$1001=6)*ROW('تشخيص الحالات'!$B$2:$B$1001))-1),""),"")&amp;IF(SUMPRODUCT(('تشخيص الحالات'!$B$2:$B$1001=B544)*('تشخيص الحالات'!$G$2:$G$1001=7))&gt;0,"، "&amp;IFERROR(INDEX('تشخيص الحالات'!$D$2:$D$1001,SUMPRODUCT(('تشخيص الحالات'!$B$2:$B$1001=B544)*('تشخيص الحالات'!$G$2:$G$1001=7)*ROW('تشخيص الحالات'!$B$2:$B$1001))-1),""),"")&amp;IF(SUMPRODUCT(('تشخيص الحالات'!$B$2:$B$1001=B544)*('تشخيص الحالات'!$G$2:$G$1001=8))&gt;0,"، "&amp;IFERROR(INDEX('تشخيص الحالات'!$D$2:$D$1001,SUMPRODUCT(('تشخيص الحالات'!$B$2:$B$1001=B544)*('تشخيص الحالات'!$G$2:$G$1001=8)*ROW('تشخيص الحالات'!$B$2:$B$1001))-1),""),"")</f>
        <v/>
      </c>
      <c r="J544" s="1"/>
      <c r="K544" s="1"/>
      <c r="L544" s="1"/>
      <c r="M544" s="1"/>
    </row>
    <row r="545" spans="1:13" x14ac:dyDescent="0.2">
      <c r="A545" s="1"/>
      <c r="B545" s="1"/>
      <c r="C545" s="1"/>
      <c r="D545" s="1"/>
      <c r="E545" s="1"/>
      <c r="F545" s="1"/>
      <c r="G545" s="1"/>
      <c r="H545" s="1"/>
      <c r="I545" t="str">
        <f>IFERROR(INDEX('تشخيص الحالات'!$D$2:$D$1001,SUMPRODUCT(('تشخيص الحالات'!$B$2:$B$1001=B545)*('تشخيص الحالات'!$G$2:$G$1001=1)*ROW('تشخيص الحالات'!$B$2:$B$1001))-1),"")&amp;IF(SUMPRODUCT(('تشخيص الحالات'!$B$2:$B$1001=B545)*('تشخيص الحالات'!$G$2:$G$1001=2))&gt;0,"، "&amp;IFERROR(INDEX('تشخيص الحالات'!$D$2:$D$1001,SUMPRODUCT(('تشخيص الحالات'!$B$2:$B$1001=B545)*('تشخيص الحالات'!$G$2:$G$1001=2)*ROW('تشخيص الحالات'!$B$2:$B$1001))-1),""),"")&amp;IF(SUMPRODUCT(('تشخيص الحالات'!$B$2:$B$1001=B545)*('تشخيص الحالات'!$G$2:$G$1001=3))&gt;0,"، "&amp;IFERROR(INDEX('تشخيص الحالات'!$D$2:$D$1001,SUMPRODUCT(('تشخيص الحالات'!$B$2:$B$1001=B545)*('تشخيص الحالات'!$G$2:$G$1001=3)*ROW('تشخيص الحالات'!$B$2:$B$1001))-1),""),"")&amp;IF(SUMPRODUCT(('تشخيص الحالات'!$B$2:$B$1001=B545)*('تشخيص الحالات'!$G$2:$G$1001=4))&gt;0,"، "&amp;IFERROR(INDEX('تشخيص الحالات'!$D$2:$D$1001,SUMPRODUCT(('تشخيص الحالات'!$B$2:$B$1001=B545)*('تشخيص الحالات'!$G$2:$G$1001=4)*ROW('تشخيص الحالات'!$B$2:$B$1001))-1),""),"")&amp;IF(SUMPRODUCT(('تشخيص الحالات'!$B$2:$B$1001=B545)*('تشخيص الحالات'!$G$2:$G$1001=5))&gt;0,"، "&amp;IFERROR(INDEX('تشخيص الحالات'!$D$2:$D$1001,SUMPRODUCT(('تشخيص الحالات'!$B$2:$B$1001=B545)*('تشخيص الحالات'!$G$2:$G$1001=5)*ROW('تشخيص الحالات'!$B$2:$B$1001))-1),""),"")&amp;IF(SUMPRODUCT(('تشخيص الحالات'!$B$2:$B$1001=B545)*('تشخيص الحالات'!$G$2:$G$1001=6))&gt;0,"، "&amp;IFERROR(INDEX('تشخيص الحالات'!$D$2:$D$1001,SUMPRODUCT(('تشخيص الحالات'!$B$2:$B$1001=B545)*('تشخيص الحالات'!$G$2:$G$1001=6)*ROW('تشخيص الحالات'!$B$2:$B$1001))-1),""),"")&amp;IF(SUMPRODUCT(('تشخيص الحالات'!$B$2:$B$1001=B545)*('تشخيص الحالات'!$G$2:$G$1001=7))&gt;0,"، "&amp;IFERROR(INDEX('تشخيص الحالات'!$D$2:$D$1001,SUMPRODUCT(('تشخيص الحالات'!$B$2:$B$1001=B545)*('تشخيص الحالات'!$G$2:$G$1001=7)*ROW('تشخيص الحالات'!$B$2:$B$1001))-1),""),"")&amp;IF(SUMPRODUCT(('تشخيص الحالات'!$B$2:$B$1001=B545)*('تشخيص الحالات'!$G$2:$G$1001=8))&gt;0,"، "&amp;IFERROR(INDEX('تشخيص الحالات'!$D$2:$D$1001,SUMPRODUCT(('تشخيص الحالات'!$B$2:$B$1001=B545)*('تشخيص الحالات'!$G$2:$G$1001=8)*ROW('تشخيص الحالات'!$B$2:$B$1001))-1),""),"")</f>
        <v/>
      </c>
      <c r="J545" s="1"/>
      <c r="K545" s="1"/>
      <c r="L545" s="1"/>
      <c r="M545" s="1"/>
    </row>
    <row r="546" spans="1:13" x14ac:dyDescent="0.2">
      <c r="A546" s="1"/>
      <c r="B546" s="1"/>
      <c r="C546" s="1"/>
      <c r="D546" s="1"/>
      <c r="E546" s="1"/>
      <c r="F546" s="1"/>
      <c r="G546" s="1"/>
      <c r="H546" s="1"/>
      <c r="I546" t="str">
        <f>IFERROR(INDEX('تشخيص الحالات'!$D$2:$D$1001,SUMPRODUCT(('تشخيص الحالات'!$B$2:$B$1001=B546)*('تشخيص الحالات'!$G$2:$G$1001=1)*ROW('تشخيص الحالات'!$B$2:$B$1001))-1),"")&amp;IF(SUMPRODUCT(('تشخيص الحالات'!$B$2:$B$1001=B546)*('تشخيص الحالات'!$G$2:$G$1001=2))&gt;0,"، "&amp;IFERROR(INDEX('تشخيص الحالات'!$D$2:$D$1001,SUMPRODUCT(('تشخيص الحالات'!$B$2:$B$1001=B546)*('تشخيص الحالات'!$G$2:$G$1001=2)*ROW('تشخيص الحالات'!$B$2:$B$1001))-1),""),"")&amp;IF(SUMPRODUCT(('تشخيص الحالات'!$B$2:$B$1001=B546)*('تشخيص الحالات'!$G$2:$G$1001=3))&gt;0,"، "&amp;IFERROR(INDEX('تشخيص الحالات'!$D$2:$D$1001,SUMPRODUCT(('تشخيص الحالات'!$B$2:$B$1001=B546)*('تشخيص الحالات'!$G$2:$G$1001=3)*ROW('تشخيص الحالات'!$B$2:$B$1001))-1),""),"")&amp;IF(SUMPRODUCT(('تشخيص الحالات'!$B$2:$B$1001=B546)*('تشخيص الحالات'!$G$2:$G$1001=4))&gt;0,"، "&amp;IFERROR(INDEX('تشخيص الحالات'!$D$2:$D$1001,SUMPRODUCT(('تشخيص الحالات'!$B$2:$B$1001=B546)*('تشخيص الحالات'!$G$2:$G$1001=4)*ROW('تشخيص الحالات'!$B$2:$B$1001))-1),""),"")&amp;IF(SUMPRODUCT(('تشخيص الحالات'!$B$2:$B$1001=B546)*('تشخيص الحالات'!$G$2:$G$1001=5))&gt;0,"، "&amp;IFERROR(INDEX('تشخيص الحالات'!$D$2:$D$1001,SUMPRODUCT(('تشخيص الحالات'!$B$2:$B$1001=B546)*('تشخيص الحالات'!$G$2:$G$1001=5)*ROW('تشخيص الحالات'!$B$2:$B$1001))-1),""),"")&amp;IF(SUMPRODUCT(('تشخيص الحالات'!$B$2:$B$1001=B546)*('تشخيص الحالات'!$G$2:$G$1001=6))&gt;0,"، "&amp;IFERROR(INDEX('تشخيص الحالات'!$D$2:$D$1001,SUMPRODUCT(('تشخيص الحالات'!$B$2:$B$1001=B546)*('تشخيص الحالات'!$G$2:$G$1001=6)*ROW('تشخيص الحالات'!$B$2:$B$1001))-1),""),"")&amp;IF(SUMPRODUCT(('تشخيص الحالات'!$B$2:$B$1001=B546)*('تشخيص الحالات'!$G$2:$G$1001=7))&gt;0,"، "&amp;IFERROR(INDEX('تشخيص الحالات'!$D$2:$D$1001,SUMPRODUCT(('تشخيص الحالات'!$B$2:$B$1001=B546)*('تشخيص الحالات'!$G$2:$G$1001=7)*ROW('تشخيص الحالات'!$B$2:$B$1001))-1),""),"")&amp;IF(SUMPRODUCT(('تشخيص الحالات'!$B$2:$B$1001=B546)*('تشخيص الحالات'!$G$2:$G$1001=8))&gt;0,"، "&amp;IFERROR(INDEX('تشخيص الحالات'!$D$2:$D$1001,SUMPRODUCT(('تشخيص الحالات'!$B$2:$B$1001=B546)*('تشخيص الحالات'!$G$2:$G$1001=8)*ROW('تشخيص الحالات'!$B$2:$B$1001))-1),""),"")</f>
        <v/>
      </c>
      <c r="J546" s="1"/>
      <c r="K546" s="1"/>
      <c r="L546" s="1"/>
      <c r="M546" s="1"/>
    </row>
    <row r="547" spans="1:13" x14ac:dyDescent="0.2">
      <c r="A547" s="1"/>
      <c r="B547" s="1"/>
      <c r="C547" s="1"/>
      <c r="D547" s="1"/>
      <c r="E547" s="1"/>
      <c r="F547" s="1"/>
      <c r="G547" s="1"/>
      <c r="H547" s="1"/>
      <c r="I547" t="str">
        <f>IFERROR(INDEX('تشخيص الحالات'!$D$2:$D$1001,SUMPRODUCT(('تشخيص الحالات'!$B$2:$B$1001=B547)*('تشخيص الحالات'!$G$2:$G$1001=1)*ROW('تشخيص الحالات'!$B$2:$B$1001))-1),"")&amp;IF(SUMPRODUCT(('تشخيص الحالات'!$B$2:$B$1001=B547)*('تشخيص الحالات'!$G$2:$G$1001=2))&gt;0,"، "&amp;IFERROR(INDEX('تشخيص الحالات'!$D$2:$D$1001,SUMPRODUCT(('تشخيص الحالات'!$B$2:$B$1001=B547)*('تشخيص الحالات'!$G$2:$G$1001=2)*ROW('تشخيص الحالات'!$B$2:$B$1001))-1),""),"")&amp;IF(SUMPRODUCT(('تشخيص الحالات'!$B$2:$B$1001=B547)*('تشخيص الحالات'!$G$2:$G$1001=3))&gt;0,"، "&amp;IFERROR(INDEX('تشخيص الحالات'!$D$2:$D$1001,SUMPRODUCT(('تشخيص الحالات'!$B$2:$B$1001=B547)*('تشخيص الحالات'!$G$2:$G$1001=3)*ROW('تشخيص الحالات'!$B$2:$B$1001))-1),""),"")&amp;IF(SUMPRODUCT(('تشخيص الحالات'!$B$2:$B$1001=B547)*('تشخيص الحالات'!$G$2:$G$1001=4))&gt;0,"، "&amp;IFERROR(INDEX('تشخيص الحالات'!$D$2:$D$1001,SUMPRODUCT(('تشخيص الحالات'!$B$2:$B$1001=B547)*('تشخيص الحالات'!$G$2:$G$1001=4)*ROW('تشخيص الحالات'!$B$2:$B$1001))-1),""),"")&amp;IF(SUMPRODUCT(('تشخيص الحالات'!$B$2:$B$1001=B547)*('تشخيص الحالات'!$G$2:$G$1001=5))&gt;0,"، "&amp;IFERROR(INDEX('تشخيص الحالات'!$D$2:$D$1001,SUMPRODUCT(('تشخيص الحالات'!$B$2:$B$1001=B547)*('تشخيص الحالات'!$G$2:$G$1001=5)*ROW('تشخيص الحالات'!$B$2:$B$1001))-1),""),"")&amp;IF(SUMPRODUCT(('تشخيص الحالات'!$B$2:$B$1001=B547)*('تشخيص الحالات'!$G$2:$G$1001=6))&gt;0,"، "&amp;IFERROR(INDEX('تشخيص الحالات'!$D$2:$D$1001,SUMPRODUCT(('تشخيص الحالات'!$B$2:$B$1001=B547)*('تشخيص الحالات'!$G$2:$G$1001=6)*ROW('تشخيص الحالات'!$B$2:$B$1001))-1),""),"")&amp;IF(SUMPRODUCT(('تشخيص الحالات'!$B$2:$B$1001=B547)*('تشخيص الحالات'!$G$2:$G$1001=7))&gt;0,"، "&amp;IFERROR(INDEX('تشخيص الحالات'!$D$2:$D$1001,SUMPRODUCT(('تشخيص الحالات'!$B$2:$B$1001=B547)*('تشخيص الحالات'!$G$2:$G$1001=7)*ROW('تشخيص الحالات'!$B$2:$B$1001))-1),""),"")&amp;IF(SUMPRODUCT(('تشخيص الحالات'!$B$2:$B$1001=B547)*('تشخيص الحالات'!$G$2:$G$1001=8))&gt;0,"، "&amp;IFERROR(INDEX('تشخيص الحالات'!$D$2:$D$1001,SUMPRODUCT(('تشخيص الحالات'!$B$2:$B$1001=B547)*('تشخيص الحالات'!$G$2:$G$1001=8)*ROW('تشخيص الحالات'!$B$2:$B$1001))-1),""),"")</f>
        <v/>
      </c>
      <c r="J547" s="1"/>
      <c r="K547" s="1"/>
      <c r="L547" s="1"/>
      <c r="M547" s="1"/>
    </row>
    <row r="548" spans="1:13" x14ac:dyDescent="0.2">
      <c r="A548" s="1"/>
      <c r="B548" s="1"/>
      <c r="C548" s="1"/>
      <c r="D548" s="1"/>
      <c r="E548" s="1"/>
      <c r="F548" s="1"/>
      <c r="G548" s="1"/>
      <c r="H548" s="1"/>
      <c r="I548" t="str">
        <f>IFERROR(INDEX('تشخيص الحالات'!$D$2:$D$1001,SUMPRODUCT(('تشخيص الحالات'!$B$2:$B$1001=B548)*('تشخيص الحالات'!$G$2:$G$1001=1)*ROW('تشخيص الحالات'!$B$2:$B$1001))-1),"")&amp;IF(SUMPRODUCT(('تشخيص الحالات'!$B$2:$B$1001=B548)*('تشخيص الحالات'!$G$2:$G$1001=2))&gt;0,"، "&amp;IFERROR(INDEX('تشخيص الحالات'!$D$2:$D$1001,SUMPRODUCT(('تشخيص الحالات'!$B$2:$B$1001=B548)*('تشخيص الحالات'!$G$2:$G$1001=2)*ROW('تشخيص الحالات'!$B$2:$B$1001))-1),""),"")&amp;IF(SUMPRODUCT(('تشخيص الحالات'!$B$2:$B$1001=B548)*('تشخيص الحالات'!$G$2:$G$1001=3))&gt;0,"، "&amp;IFERROR(INDEX('تشخيص الحالات'!$D$2:$D$1001,SUMPRODUCT(('تشخيص الحالات'!$B$2:$B$1001=B548)*('تشخيص الحالات'!$G$2:$G$1001=3)*ROW('تشخيص الحالات'!$B$2:$B$1001))-1),""),"")&amp;IF(SUMPRODUCT(('تشخيص الحالات'!$B$2:$B$1001=B548)*('تشخيص الحالات'!$G$2:$G$1001=4))&gt;0,"، "&amp;IFERROR(INDEX('تشخيص الحالات'!$D$2:$D$1001,SUMPRODUCT(('تشخيص الحالات'!$B$2:$B$1001=B548)*('تشخيص الحالات'!$G$2:$G$1001=4)*ROW('تشخيص الحالات'!$B$2:$B$1001))-1),""),"")&amp;IF(SUMPRODUCT(('تشخيص الحالات'!$B$2:$B$1001=B548)*('تشخيص الحالات'!$G$2:$G$1001=5))&gt;0,"، "&amp;IFERROR(INDEX('تشخيص الحالات'!$D$2:$D$1001,SUMPRODUCT(('تشخيص الحالات'!$B$2:$B$1001=B548)*('تشخيص الحالات'!$G$2:$G$1001=5)*ROW('تشخيص الحالات'!$B$2:$B$1001))-1),""),"")&amp;IF(SUMPRODUCT(('تشخيص الحالات'!$B$2:$B$1001=B548)*('تشخيص الحالات'!$G$2:$G$1001=6))&gt;0,"، "&amp;IFERROR(INDEX('تشخيص الحالات'!$D$2:$D$1001,SUMPRODUCT(('تشخيص الحالات'!$B$2:$B$1001=B548)*('تشخيص الحالات'!$G$2:$G$1001=6)*ROW('تشخيص الحالات'!$B$2:$B$1001))-1),""),"")&amp;IF(SUMPRODUCT(('تشخيص الحالات'!$B$2:$B$1001=B548)*('تشخيص الحالات'!$G$2:$G$1001=7))&gt;0,"، "&amp;IFERROR(INDEX('تشخيص الحالات'!$D$2:$D$1001,SUMPRODUCT(('تشخيص الحالات'!$B$2:$B$1001=B548)*('تشخيص الحالات'!$G$2:$G$1001=7)*ROW('تشخيص الحالات'!$B$2:$B$1001))-1),""),"")&amp;IF(SUMPRODUCT(('تشخيص الحالات'!$B$2:$B$1001=B548)*('تشخيص الحالات'!$G$2:$G$1001=8))&gt;0,"، "&amp;IFERROR(INDEX('تشخيص الحالات'!$D$2:$D$1001,SUMPRODUCT(('تشخيص الحالات'!$B$2:$B$1001=B548)*('تشخيص الحالات'!$G$2:$G$1001=8)*ROW('تشخيص الحالات'!$B$2:$B$1001))-1),""),"")</f>
        <v/>
      </c>
      <c r="J548" s="1"/>
      <c r="K548" s="1"/>
      <c r="L548" s="1"/>
      <c r="M548" s="1"/>
    </row>
    <row r="549" spans="1:13" x14ac:dyDescent="0.2">
      <c r="A549" s="1"/>
      <c r="B549" s="1"/>
      <c r="C549" s="1"/>
      <c r="D549" s="1"/>
      <c r="E549" s="1"/>
      <c r="F549" s="1"/>
      <c r="G549" s="1"/>
      <c r="H549" s="1"/>
      <c r="I549" t="str">
        <f>IFERROR(INDEX('تشخيص الحالات'!$D$2:$D$1001,SUMPRODUCT(('تشخيص الحالات'!$B$2:$B$1001=B549)*('تشخيص الحالات'!$G$2:$G$1001=1)*ROW('تشخيص الحالات'!$B$2:$B$1001))-1),"")&amp;IF(SUMPRODUCT(('تشخيص الحالات'!$B$2:$B$1001=B549)*('تشخيص الحالات'!$G$2:$G$1001=2))&gt;0,"، "&amp;IFERROR(INDEX('تشخيص الحالات'!$D$2:$D$1001,SUMPRODUCT(('تشخيص الحالات'!$B$2:$B$1001=B549)*('تشخيص الحالات'!$G$2:$G$1001=2)*ROW('تشخيص الحالات'!$B$2:$B$1001))-1),""),"")&amp;IF(SUMPRODUCT(('تشخيص الحالات'!$B$2:$B$1001=B549)*('تشخيص الحالات'!$G$2:$G$1001=3))&gt;0,"، "&amp;IFERROR(INDEX('تشخيص الحالات'!$D$2:$D$1001,SUMPRODUCT(('تشخيص الحالات'!$B$2:$B$1001=B549)*('تشخيص الحالات'!$G$2:$G$1001=3)*ROW('تشخيص الحالات'!$B$2:$B$1001))-1),""),"")&amp;IF(SUMPRODUCT(('تشخيص الحالات'!$B$2:$B$1001=B549)*('تشخيص الحالات'!$G$2:$G$1001=4))&gt;0,"، "&amp;IFERROR(INDEX('تشخيص الحالات'!$D$2:$D$1001,SUMPRODUCT(('تشخيص الحالات'!$B$2:$B$1001=B549)*('تشخيص الحالات'!$G$2:$G$1001=4)*ROW('تشخيص الحالات'!$B$2:$B$1001))-1),""),"")&amp;IF(SUMPRODUCT(('تشخيص الحالات'!$B$2:$B$1001=B549)*('تشخيص الحالات'!$G$2:$G$1001=5))&gt;0,"، "&amp;IFERROR(INDEX('تشخيص الحالات'!$D$2:$D$1001,SUMPRODUCT(('تشخيص الحالات'!$B$2:$B$1001=B549)*('تشخيص الحالات'!$G$2:$G$1001=5)*ROW('تشخيص الحالات'!$B$2:$B$1001))-1),""),"")&amp;IF(SUMPRODUCT(('تشخيص الحالات'!$B$2:$B$1001=B549)*('تشخيص الحالات'!$G$2:$G$1001=6))&gt;0,"، "&amp;IFERROR(INDEX('تشخيص الحالات'!$D$2:$D$1001,SUMPRODUCT(('تشخيص الحالات'!$B$2:$B$1001=B549)*('تشخيص الحالات'!$G$2:$G$1001=6)*ROW('تشخيص الحالات'!$B$2:$B$1001))-1),""),"")&amp;IF(SUMPRODUCT(('تشخيص الحالات'!$B$2:$B$1001=B549)*('تشخيص الحالات'!$G$2:$G$1001=7))&gt;0,"، "&amp;IFERROR(INDEX('تشخيص الحالات'!$D$2:$D$1001,SUMPRODUCT(('تشخيص الحالات'!$B$2:$B$1001=B549)*('تشخيص الحالات'!$G$2:$G$1001=7)*ROW('تشخيص الحالات'!$B$2:$B$1001))-1),""),"")&amp;IF(SUMPRODUCT(('تشخيص الحالات'!$B$2:$B$1001=B549)*('تشخيص الحالات'!$G$2:$G$1001=8))&gt;0,"، "&amp;IFERROR(INDEX('تشخيص الحالات'!$D$2:$D$1001,SUMPRODUCT(('تشخيص الحالات'!$B$2:$B$1001=B549)*('تشخيص الحالات'!$G$2:$G$1001=8)*ROW('تشخيص الحالات'!$B$2:$B$1001))-1),""),"")</f>
        <v/>
      </c>
      <c r="J549" s="1"/>
      <c r="K549" s="1"/>
      <c r="L549" s="1"/>
      <c r="M549" s="1"/>
    </row>
    <row r="550" spans="1:13" x14ac:dyDescent="0.2">
      <c r="A550" s="1"/>
      <c r="B550" s="1"/>
      <c r="C550" s="1"/>
      <c r="D550" s="1"/>
      <c r="E550" s="1"/>
      <c r="F550" s="1"/>
      <c r="G550" s="1"/>
      <c r="H550" s="1"/>
      <c r="I550" t="str">
        <f>IFERROR(INDEX('تشخيص الحالات'!$D$2:$D$1001,SUMPRODUCT(('تشخيص الحالات'!$B$2:$B$1001=B550)*('تشخيص الحالات'!$G$2:$G$1001=1)*ROW('تشخيص الحالات'!$B$2:$B$1001))-1),"")&amp;IF(SUMPRODUCT(('تشخيص الحالات'!$B$2:$B$1001=B550)*('تشخيص الحالات'!$G$2:$G$1001=2))&gt;0,"، "&amp;IFERROR(INDEX('تشخيص الحالات'!$D$2:$D$1001,SUMPRODUCT(('تشخيص الحالات'!$B$2:$B$1001=B550)*('تشخيص الحالات'!$G$2:$G$1001=2)*ROW('تشخيص الحالات'!$B$2:$B$1001))-1),""),"")&amp;IF(SUMPRODUCT(('تشخيص الحالات'!$B$2:$B$1001=B550)*('تشخيص الحالات'!$G$2:$G$1001=3))&gt;0,"، "&amp;IFERROR(INDEX('تشخيص الحالات'!$D$2:$D$1001,SUMPRODUCT(('تشخيص الحالات'!$B$2:$B$1001=B550)*('تشخيص الحالات'!$G$2:$G$1001=3)*ROW('تشخيص الحالات'!$B$2:$B$1001))-1),""),"")&amp;IF(SUMPRODUCT(('تشخيص الحالات'!$B$2:$B$1001=B550)*('تشخيص الحالات'!$G$2:$G$1001=4))&gt;0,"، "&amp;IFERROR(INDEX('تشخيص الحالات'!$D$2:$D$1001,SUMPRODUCT(('تشخيص الحالات'!$B$2:$B$1001=B550)*('تشخيص الحالات'!$G$2:$G$1001=4)*ROW('تشخيص الحالات'!$B$2:$B$1001))-1),""),"")&amp;IF(SUMPRODUCT(('تشخيص الحالات'!$B$2:$B$1001=B550)*('تشخيص الحالات'!$G$2:$G$1001=5))&gt;0,"، "&amp;IFERROR(INDEX('تشخيص الحالات'!$D$2:$D$1001,SUMPRODUCT(('تشخيص الحالات'!$B$2:$B$1001=B550)*('تشخيص الحالات'!$G$2:$G$1001=5)*ROW('تشخيص الحالات'!$B$2:$B$1001))-1),""),"")&amp;IF(SUMPRODUCT(('تشخيص الحالات'!$B$2:$B$1001=B550)*('تشخيص الحالات'!$G$2:$G$1001=6))&gt;0,"، "&amp;IFERROR(INDEX('تشخيص الحالات'!$D$2:$D$1001,SUMPRODUCT(('تشخيص الحالات'!$B$2:$B$1001=B550)*('تشخيص الحالات'!$G$2:$G$1001=6)*ROW('تشخيص الحالات'!$B$2:$B$1001))-1),""),"")&amp;IF(SUMPRODUCT(('تشخيص الحالات'!$B$2:$B$1001=B550)*('تشخيص الحالات'!$G$2:$G$1001=7))&gt;0,"، "&amp;IFERROR(INDEX('تشخيص الحالات'!$D$2:$D$1001,SUMPRODUCT(('تشخيص الحالات'!$B$2:$B$1001=B550)*('تشخيص الحالات'!$G$2:$G$1001=7)*ROW('تشخيص الحالات'!$B$2:$B$1001))-1),""),"")&amp;IF(SUMPRODUCT(('تشخيص الحالات'!$B$2:$B$1001=B550)*('تشخيص الحالات'!$G$2:$G$1001=8))&gt;0,"، "&amp;IFERROR(INDEX('تشخيص الحالات'!$D$2:$D$1001,SUMPRODUCT(('تشخيص الحالات'!$B$2:$B$1001=B550)*('تشخيص الحالات'!$G$2:$G$1001=8)*ROW('تشخيص الحالات'!$B$2:$B$1001))-1),""),"")</f>
        <v/>
      </c>
      <c r="J550" s="1"/>
      <c r="K550" s="1"/>
      <c r="L550" s="1"/>
      <c r="M550" s="1"/>
    </row>
    <row r="551" spans="1:13" x14ac:dyDescent="0.2">
      <c r="A551" s="1"/>
      <c r="B551" s="1"/>
      <c r="C551" s="1"/>
      <c r="D551" s="1"/>
      <c r="E551" s="1"/>
      <c r="F551" s="1"/>
      <c r="G551" s="1"/>
      <c r="H551" s="1"/>
      <c r="I551" t="str">
        <f>IFERROR(INDEX('تشخيص الحالات'!$D$2:$D$1001,SUMPRODUCT(('تشخيص الحالات'!$B$2:$B$1001=B551)*('تشخيص الحالات'!$G$2:$G$1001=1)*ROW('تشخيص الحالات'!$B$2:$B$1001))-1),"")&amp;IF(SUMPRODUCT(('تشخيص الحالات'!$B$2:$B$1001=B551)*('تشخيص الحالات'!$G$2:$G$1001=2))&gt;0,"، "&amp;IFERROR(INDEX('تشخيص الحالات'!$D$2:$D$1001,SUMPRODUCT(('تشخيص الحالات'!$B$2:$B$1001=B551)*('تشخيص الحالات'!$G$2:$G$1001=2)*ROW('تشخيص الحالات'!$B$2:$B$1001))-1),""),"")&amp;IF(SUMPRODUCT(('تشخيص الحالات'!$B$2:$B$1001=B551)*('تشخيص الحالات'!$G$2:$G$1001=3))&gt;0,"، "&amp;IFERROR(INDEX('تشخيص الحالات'!$D$2:$D$1001,SUMPRODUCT(('تشخيص الحالات'!$B$2:$B$1001=B551)*('تشخيص الحالات'!$G$2:$G$1001=3)*ROW('تشخيص الحالات'!$B$2:$B$1001))-1),""),"")&amp;IF(SUMPRODUCT(('تشخيص الحالات'!$B$2:$B$1001=B551)*('تشخيص الحالات'!$G$2:$G$1001=4))&gt;0,"، "&amp;IFERROR(INDEX('تشخيص الحالات'!$D$2:$D$1001,SUMPRODUCT(('تشخيص الحالات'!$B$2:$B$1001=B551)*('تشخيص الحالات'!$G$2:$G$1001=4)*ROW('تشخيص الحالات'!$B$2:$B$1001))-1),""),"")&amp;IF(SUMPRODUCT(('تشخيص الحالات'!$B$2:$B$1001=B551)*('تشخيص الحالات'!$G$2:$G$1001=5))&gt;0,"، "&amp;IFERROR(INDEX('تشخيص الحالات'!$D$2:$D$1001,SUMPRODUCT(('تشخيص الحالات'!$B$2:$B$1001=B551)*('تشخيص الحالات'!$G$2:$G$1001=5)*ROW('تشخيص الحالات'!$B$2:$B$1001))-1),""),"")&amp;IF(SUMPRODUCT(('تشخيص الحالات'!$B$2:$B$1001=B551)*('تشخيص الحالات'!$G$2:$G$1001=6))&gt;0,"، "&amp;IFERROR(INDEX('تشخيص الحالات'!$D$2:$D$1001,SUMPRODUCT(('تشخيص الحالات'!$B$2:$B$1001=B551)*('تشخيص الحالات'!$G$2:$G$1001=6)*ROW('تشخيص الحالات'!$B$2:$B$1001))-1),""),"")&amp;IF(SUMPRODUCT(('تشخيص الحالات'!$B$2:$B$1001=B551)*('تشخيص الحالات'!$G$2:$G$1001=7))&gt;0,"، "&amp;IFERROR(INDEX('تشخيص الحالات'!$D$2:$D$1001,SUMPRODUCT(('تشخيص الحالات'!$B$2:$B$1001=B551)*('تشخيص الحالات'!$G$2:$G$1001=7)*ROW('تشخيص الحالات'!$B$2:$B$1001))-1),""),"")&amp;IF(SUMPRODUCT(('تشخيص الحالات'!$B$2:$B$1001=B551)*('تشخيص الحالات'!$G$2:$G$1001=8))&gt;0,"، "&amp;IFERROR(INDEX('تشخيص الحالات'!$D$2:$D$1001,SUMPRODUCT(('تشخيص الحالات'!$B$2:$B$1001=B551)*('تشخيص الحالات'!$G$2:$G$1001=8)*ROW('تشخيص الحالات'!$B$2:$B$1001))-1),""),"")</f>
        <v/>
      </c>
      <c r="J551" s="1"/>
      <c r="K551" s="1"/>
      <c r="L551" s="1"/>
      <c r="M551" s="1"/>
    </row>
    <row r="552" spans="1:13" x14ac:dyDescent="0.2">
      <c r="A552" s="1"/>
      <c r="B552" s="1"/>
      <c r="C552" s="1"/>
      <c r="D552" s="1"/>
      <c r="E552" s="1"/>
      <c r="F552" s="1"/>
      <c r="G552" s="1"/>
      <c r="H552" s="1"/>
      <c r="I552" t="str">
        <f>IFERROR(INDEX('تشخيص الحالات'!$D$2:$D$1001,SUMPRODUCT(('تشخيص الحالات'!$B$2:$B$1001=B552)*('تشخيص الحالات'!$G$2:$G$1001=1)*ROW('تشخيص الحالات'!$B$2:$B$1001))-1),"")&amp;IF(SUMPRODUCT(('تشخيص الحالات'!$B$2:$B$1001=B552)*('تشخيص الحالات'!$G$2:$G$1001=2))&gt;0,"، "&amp;IFERROR(INDEX('تشخيص الحالات'!$D$2:$D$1001,SUMPRODUCT(('تشخيص الحالات'!$B$2:$B$1001=B552)*('تشخيص الحالات'!$G$2:$G$1001=2)*ROW('تشخيص الحالات'!$B$2:$B$1001))-1),""),"")&amp;IF(SUMPRODUCT(('تشخيص الحالات'!$B$2:$B$1001=B552)*('تشخيص الحالات'!$G$2:$G$1001=3))&gt;0,"، "&amp;IFERROR(INDEX('تشخيص الحالات'!$D$2:$D$1001,SUMPRODUCT(('تشخيص الحالات'!$B$2:$B$1001=B552)*('تشخيص الحالات'!$G$2:$G$1001=3)*ROW('تشخيص الحالات'!$B$2:$B$1001))-1),""),"")&amp;IF(SUMPRODUCT(('تشخيص الحالات'!$B$2:$B$1001=B552)*('تشخيص الحالات'!$G$2:$G$1001=4))&gt;0,"، "&amp;IFERROR(INDEX('تشخيص الحالات'!$D$2:$D$1001,SUMPRODUCT(('تشخيص الحالات'!$B$2:$B$1001=B552)*('تشخيص الحالات'!$G$2:$G$1001=4)*ROW('تشخيص الحالات'!$B$2:$B$1001))-1),""),"")&amp;IF(SUMPRODUCT(('تشخيص الحالات'!$B$2:$B$1001=B552)*('تشخيص الحالات'!$G$2:$G$1001=5))&gt;0,"، "&amp;IFERROR(INDEX('تشخيص الحالات'!$D$2:$D$1001,SUMPRODUCT(('تشخيص الحالات'!$B$2:$B$1001=B552)*('تشخيص الحالات'!$G$2:$G$1001=5)*ROW('تشخيص الحالات'!$B$2:$B$1001))-1),""),"")&amp;IF(SUMPRODUCT(('تشخيص الحالات'!$B$2:$B$1001=B552)*('تشخيص الحالات'!$G$2:$G$1001=6))&gt;0,"، "&amp;IFERROR(INDEX('تشخيص الحالات'!$D$2:$D$1001,SUMPRODUCT(('تشخيص الحالات'!$B$2:$B$1001=B552)*('تشخيص الحالات'!$G$2:$G$1001=6)*ROW('تشخيص الحالات'!$B$2:$B$1001))-1),""),"")&amp;IF(SUMPRODUCT(('تشخيص الحالات'!$B$2:$B$1001=B552)*('تشخيص الحالات'!$G$2:$G$1001=7))&gt;0,"، "&amp;IFERROR(INDEX('تشخيص الحالات'!$D$2:$D$1001,SUMPRODUCT(('تشخيص الحالات'!$B$2:$B$1001=B552)*('تشخيص الحالات'!$G$2:$G$1001=7)*ROW('تشخيص الحالات'!$B$2:$B$1001))-1),""),"")&amp;IF(SUMPRODUCT(('تشخيص الحالات'!$B$2:$B$1001=B552)*('تشخيص الحالات'!$G$2:$G$1001=8))&gt;0,"، "&amp;IFERROR(INDEX('تشخيص الحالات'!$D$2:$D$1001,SUMPRODUCT(('تشخيص الحالات'!$B$2:$B$1001=B552)*('تشخيص الحالات'!$G$2:$G$1001=8)*ROW('تشخيص الحالات'!$B$2:$B$1001))-1),""),"")</f>
        <v/>
      </c>
      <c r="J552" s="1"/>
      <c r="K552" s="1"/>
      <c r="L552" s="1"/>
      <c r="M552" s="1"/>
    </row>
    <row r="553" spans="1:13" x14ac:dyDescent="0.2">
      <c r="A553" s="1"/>
      <c r="B553" s="1"/>
      <c r="C553" s="1"/>
      <c r="D553" s="1"/>
      <c r="E553" s="1"/>
      <c r="F553" s="1"/>
      <c r="G553" s="1"/>
      <c r="H553" s="1"/>
      <c r="I553" t="str">
        <f>IFERROR(INDEX('تشخيص الحالات'!$D$2:$D$1001,SUMPRODUCT(('تشخيص الحالات'!$B$2:$B$1001=B553)*('تشخيص الحالات'!$G$2:$G$1001=1)*ROW('تشخيص الحالات'!$B$2:$B$1001))-1),"")&amp;IF(SUMPRODUCT(('تشخيص الحالات'!$B$2:$B$1001=B553)*('تشخيص الحالات'!$G$2:$G$1001=2))&gt;0,"، "&amp;IFERROR(INDEX('تشخيص الحالات'!$D$2:$D$1001,SUMPRODUCT(('تشخيص الحالات'!$B$2:$B$1001=B553)*('تشخيص الحالات'!$G$2:$G$1001=2)*ROW('تشخيص الحالات'!$B$2:$B$1001))-1),""),"")&amp;IF(SUMPRODUCT(('تشخيص الحالات'!$B$2:$B$1001=B553)*('تشخيص الحالات'!$G$2:$G$1001=3))&gt;0,"، "&amp;IFERROR(INDEX('تشخيص الحالات'!$D$2:$D$1001,SUMPRODUCT(('تشخيص الحالات'!$B$2:$B$1001=B553)*('تشخيص الحالات'!$G$2:$G$1001=3)*ROW('تشخيص الحالات'!$B$2:$B$1001))-1),""),"")&amp;IF(SUMPRODUCT(('تشخيص الحالات'!$B$2:$B$1001=B553)*('تشخيص الحالات'!$G$2:$G$1001=4))&gt;0,"، "&amp;IFERROR(INDEX('تشخيص الحالات'!$D$2:$D$1001,SUMPRODUCT(('تشخيص الحالات'!$B$2:$B$1001=B553)*('تشخيص الحالات'!$G$2:$G$1001=4)*ROW('تشخيص الحالات'!$B$2:$B$1001))-1),""),"")&amp;IF(SUMPRODUCT(('تشخيص الحالات'!$B$2:$B$1001=B553)*('تشخيص الحالات'!$G$2:$G$1001=5))&gt;0,"، "&amp;IFERROR(INDEX('تشخيص الحالات'!$D$2:$D$1001,SUMPRODUCT(('تشخيص الحالات'!$B$2:$B$1001=B553)*('تشخيص الحالات'!$G$2:$G$1001=5)*ROW('تشخيص الحالات'!$B$2:$B$1001))-1),""),"")&amp;IF(SUMPRODUCT(('تشخيص الحالات'!$B$2:$B$1001=B553)*('تشخيص الحالات'!$G$2:$G$1001=6))&gt;0,"، "&amp;IFERROR(INDEX('تشخيص الحالات'!$D$2:$D$1001,SUMPRODUCT(('تشخيص الحالات'!$B$2:$B$1001=B553)*('تشخيص الحالات'!$G$2:$G$1001=6)*ROW('تشخيص الحالات'!$B$2:$B$1001))-1),""),"")&amp;IF(SUMPRODUCT(('تشخيص الحالات'!$B$2:$B$1001=B553)*('تشخيص الحالات'!$G$2:$G$1001=7))&gt;0,"، "&amp;IFERROR(INDEX('تشخيص الحالات'!$D$2:$D$1001,SUMPRODUCT(('تشخيص الحالات'!$B$2:$B$1001=B553)*('تشخيص الحالات'!$G$2:$G$1001=7)*ROW('تشخيص الحالات'!$B$2:$B$1001))-1),""),"")&amp;IF(SUMPRODUCT(('تشخيص الحالات'!$B$2:$B$1001=B553)*('تشخيص الحالات'!$G$2:$G$1001=8))&gt;0,"، "&amp;IFERROR(INDEX('تشخيص الحالات'!$D$2:$D$1001,SUMPRODUCT(('تشخيص الحالات'!$B$2:$B$1001=B553)*('تشخيص الحالات'!$G$2:$G$1001=8)*ROW('تشخيص الحالات'!$B$2:$B$1001))-1),""),"")</f>
        <v/>
      </c>
      <c r="J553" s="1"/>
      <c r="K553" s="1"/>
      <c r="L553" s="1"/>
      <c r="M553" s="1"/>
    </row>
    <row r="554" spans="1:13" x14ac:dyDescent="0.2">
      <c r="A554" s="1"/>
      <c r="B554" s="1"/>
      <c r="C554" s="1"/>
      <c r="D554" s="1"/>
      <c r="E554" s="1"/>
      <c r="F554" s="1"/>
      <c r="G554" s="1"/>
      <c r="H554" s="1"/>
      <c r="I554" t="str">
        <f>IFERROR(INDEX('تشخيص الحالات'!$D$2:$D$1001,SUMPRODUCT(('تشخيص الحالات'!$B$2:$B$1001=B554)*('تشخيص الحالات'!$G$2:$G$1001=1)*ROW('تشخيص الحالات'!$B$2:$B$1001))-1),"")&amp;IF(SUMPRODUCT(('تشخيص الحالات'!$B$2:$B$1001=B554)*('تشخيص الحالات'!$G$2:$G$1001=2))&gt;0,"، "&amp;IFERROR(INDEX('تشخيص الحالات'!$D$2:$D$1001,SUMPRODUCT(('تشخيص الحالات'!$B$2:$B$1001=B554)*('تشخيص الحالات'!$G$2:$G$1001=2)*ROW('تشخيص الحالات'!$B$2:$B$1001))-1),""),"")&amp;IF(SUMPRODUCT(('تشخيص الحالات'!$B$2:$B$1001=B554)*('تشخيص الحالات'!$G$2:$G$1001=3))&gt;0,"، "&amp;IFERROR(INDEX('تشخيص الحالات'!$D$2:$D$1001,SUMPRODUCT(('تشخيص الحالات'!$B$2:$B$1001=B554)*('تشخيص الحالات'!$G$2:$G$1001=3)*ROW('تشخيص الحالات'!$B$2:$B$1001))-1),""),"")&amp;IF(SUMPRODUCT(('تشخيص الحالات'!$B$2:$B$1001=B554)*('تشخيص الحالات'!$G$2:$G$1001=4))&gt;0,"، "&amp;IFERROR(INDEX('تشخيص الحالات'!$D$2:$D$1001,SUMPRODUCT(('تشخيص الحالات'!$B$2:$B$1001=B554)*('تشخيص الحالات'!$G$2:$G$1001=4)*ROW('تشخيص الحالات'!$B$2:$B$1001))-1),""),"")&amp;IF(SUMPRODUCT(('تشخيص الحالات'!$B$2:$B$1001=B554)*('تشخيص الحالات'!$G$2:$G$1001=5))&gt;0,"، "&amp;IFERROR(INDEX('تشخيص الحالات'!$D$2:$D$1001,SUMPRODUCT(('تشخيص الحالات'!$B$2:$B$1001=B554)*('تشخيص الحالات'!$G$2:$G$1001=5)*ROW('تشخيص الحالات'!$B$2:$B$1001))-1),""),"")&amp;IF(SUMPRODUCT(('تشخيص الحالات'!$B$2:$B$1001=B554)*('تشخيص الحالات'!$G$2:$G$1001=6))&gt;0,"، "&amp;IFERROR(INDEX('تشخيص الحالات'!$D$2:$D$1001,SUMPRODUCT(('تشخيص الحالات'!$B$2:$B$1001=B554)*('تشخيص الحالات'!$G$2:$G$1001=6)*ROW('تشخيص الحالات'!$B$2:$B$1001))-1),""),"")&amp;IF(SUMPRODUCT(('تشخيص الحالات'!$B$2:$B$1001=B554)*('تشخيص الحالات'!$G$2:$G$1001=7))&gt;0,"، "&amp;IFERROR(INDEX('تشخيص الحالات'!$D$2:$D$1001,SUMPRODUCT(('تشخيص الحالات'!$B$2:$B$1001=B554)*('تشخيص الحالات'!$G$2:$G$1001=7)*ROW('تشخيص الحالات'!$B$2:$B$1001))-1),""),"")&amp;IF(SUMPRODUCT(('تشخيص الحالات'!$B$2:$B$1001=B554)*('تشخيص الحالات'!$G$2:$G$1001=8))&gt;0,"، "&amp;IFERROR(INDEX('تشخيص الحالات'!$D$2:$D$1001,SUMPRODUCT(('تشخيص الحالات'!$B$2:$B$1001=B554)*('تشخيص الحالات'!$G$2:$G$1001=8)*ROW('تشخيص الحالات'!$B$2:$B$1001))-1),""),"")</f>
        <v/>
      </c>
      <c r="J554" s="1"/>
      <c r="K554" s="1"/>
      <c r="L554" s="1"/>
      <c r="M554" s="1"/>
    </row>
    <row r="555" spans="1:13" x14ac:dyDescent="0.2">
      <c r="A555" s="1"/>
      <c r="B555" s="1"/>
      <c r="C555" s="1"/>
      <c r="D555" s="1"/>
      <c r="E555" s="1"/>
      <c r="F555" s="1"/>
      <c r="G555" s="1"/>
      <c r="H555" s="1"/>
      <c r="I555" t="str">
        <f>IFERROR(INDEX('تشخيص الحالات'!$D$2:$D$1001,SUMPRODUCT(('تشخيص الحالات'!$B$2:$B$1001=B555)*('تشخيص الحالات'!$G$2:$G$1001=1)*ROW('تشخيص الحالات'!$B$2:$B$1001))-1),"")&amp;IF(SUMPRODUCT(('تشخيص الحالات'!$B$2:$B$1001=B555)*('تشخيص الحالات'!$G$2:$G$1001=2))&gt;0,"، "&amp;IFERROR(INDEX('تشخيص الحالات'!$D$2:$D$1001,SUMPRODUCT(('تشخيص الحالات'!$B$2:$B$1001=B555)*('تشخيص الحالات'!$G$2:$G$1001=2)*ROW('تشخيص الحالات'!$B$2:$B$1001))-1),""),"")&amp;IF(SUMPRODUCT(('تشخيص الحالات'!$B$2:$B$1001=B555)*('تشخيص الحالات'!$G$2:$G$1001=3))&gt;0,"، "&amp;IFERROR(INDEX('تشخيص الحالات'!$D$2:$D$1001,SUMPRODUCT(('تشخيص الحالات'!$B$2:$B$1001=B555)*('تشخيص الحالات'!$G$2:$G$1001=3)*ROW('تشخيص الحالات'!$B$2:$B$1001))-1),""),"")&amp;IF(SUMPRODUCT(('تشخيص الحالات'!$B$2:$B$1001=B555)*('تشخيص الحالات'!$G$2:$G$1001=4))&gt;0,"، "&amp;IFERROR(INDEX('تشخيص الحالات'!$D$2:$D$1001,SUMPRODUCT(('تشخيص الحالات'!$B$2:$B$1001=B555)*('تشخيص الحالات'!$G$2:$G$1001=4)*ROW('تشخيص الحالات'!$B$2:$B$1001))-1),""),"")&amp;IF(SUMPRODUCT(('تشخيص الحالات'!$B$2:$B$1001=B555)*('تشخيص الحالات'!$G$2:$G$1001=5))&gt;0,"، "&amp;IFERROR(INDEX('تشخيص الحالات'!$D$2:$D$1001,SUMPRODUCT(('تشخيص الحالات'!$B$2:$B$1001=B555)*('تشخيص الحالات'!$G$2:$G$1001=5)*ROW('تشخيص الحالات'!$B$2:$B$1001))-1),""),"")&amp;IF(SUMPRODUCT(('تشخيص الحالات'!$B$2:$B$1001=B555)*('تشخيص الحالات'!$G$2:$G$1001=6))&gt;0,"، "&amp;IFERROR(INDEX('تشخيص الحالات'!$D$2:$D$1001,SUMPRODUCT(('تشخيص الحالات'!$B$2:$B$1001=B555)*('تشخيص الحالات'!$G$2:$G$1001=6)*ROW('تشخيص الحالات'!$B$2:$B$1001))-1),""),"")&amp;IF(SUMPRODUCT(('تشخيص الحالات'!$B$2:$B$1001=B555)*('تشخيص الحالات'!$G$2:$G$1001=7))&gt;0,"، "&amp;IFERROR(INDEX('تشخيص الحالات'!$D$2:$D$1001,SUMPRODUCT(('تشخيص الحالات'!$B$2:$B$1001=B555)*('تشخيص الحالات'!$G$2:$G$1001=7)*ROW('تشخيص الحالات'!$B$2:$B$1001))-1),""),"")&amp;IF(SUMPRODUCT(('تشخيص الحالات'!$B$2:$B$1001=B555)*('تشخيص الحالات'!$G$2:$G$1001=8))&gt;0,"، "&amp;IFERROR(INDEX('تشخيص الحالات'!$D$2:$D$1001,SUMPRODUCT(('تشخيص الحالات'!$B$2:$B$1001=B555)*('تشخيص الحالات'!$G$2:$G$1001=8)*ROW('تشخيص الحالات'!$B$2:$B$1001))-1),""),"")</f>
        <v/>
      </c>
      <c r="J555" s="1"/>
      <c r="K555" s="1"/>
      <c r="L555" s="1"/>
      <c r="M555" s="1"/>
    </row>
    <row r="556" spans="1:13" x14ac:dyDescent="0.2">
      <c r="A556" s="1"/>
      <c r="B556" s="1"/>
      <c r="C556" s="1"/>
      <c r="D556" s="1"/>
      <c r="E556" s="1"/>
      <c r="F556" s="1"/>
      <c r="G556" s="1"/>
      <c r="H556" s="1"/>
      <c r="I556" t="str">
        <f>IFERROR(INDEX('تشخيص الحالات'!$D$2:$D$1001,SUMPRODUCT(('تشخيص الحالات'!$B$2:$B$1001=B556)*('تشخيص الحالات'!$G$2:$G$1001=1)*ROW('تشخيص الحالات'!$B$2:$B$1001))-1),"")&amp;IF(SUMPRODUCT(('تشخيص الحالات'!$B$2:$B$1001=B556)*('تشخيص الحالات'!$G$2:$G$1001=2))&gt;0,"، "&amp;IFERROR(INDEX('تشخيص الحالات'!$D$2:$D$1001,SUMPRODUCT(('تشخيص الحالات'!$B$2:$B$1001=B556)*('تشخيص الحالات'!$G$2:$G$1001=2)*ROW('تشخيص الحالات'!$B$2:$B$1001))-1),""),"")&amp;IF(SUMPRODUCT(('تشخيص الحالات'!$B$2:$B$1001=B556)*('تشخيص الحالات'!$G$2:$G$1001=3))&gt;0,"، "&amp;IFERROR(INDEX('تشخيص الحالات'!$D$2:$D$1001,SUMPRODUCT(('تشخيص الحالات'!$B$2:$B$1001=B556)*('تشخيص الحالات'!$G$2:$G$1001=3)*ROW('تشخيص الحالات'!$B$2:$B$1001))-1),""),"")&amp;IF(SUMPRODUCT(('تشخيص الحالات'!$B$2:$B$1001=B556)*('تشخيص الحالات'!$G$2:$G$1001=4))&gt;0,"، "&amp;IFERROR(INDEX('تشخيص الحالات'!$D$2:$D$1001,SUMPRODUCT(('تشخيص الحالات'!$B$2:$B$1001=B556)*('تشخيص الحالات'!$G$2:$G$1001=4)*ROW('تشخيص الحالات'!$B$2:$B$1001))-1),""),"")&amp;IF(SUMPRODUCT(('تشخيص الحالات'!$B$2:$B$1001=B556)*('تشخيص الحالات'!$G$2:$G$1001=5))&gt;0,"، "&amp;IFERROR(INDEX('تشخيص الحالات'!$D$2:$D$1001,SUMPRODUCT(('تشخيص الحالات'!$B$2:$B$1001=B556)*('تشخيص الحالات'!$G$2:$G$1001=5)*ROW('تشخيص الحالات'!$B$2:$B$1001))-1),""),"")&amp;IF(SUMPRODUCT(('تشخيص الحالات'!$B$2:$B$1001=B556)*('تشخيص الحالات'!$G$2:$G$1001=6))&gt;0,"، "&amp;IFERROR(INDEX('تشخيص الحالات'!$D$2:$D$1001,SUMPRODUCT(('تشخيص الحالات'!$B$2:$B$1001=B556)*('تشخيص الحالات'!$G$2:$G$1001=6)*ROW('تشخيص الحالات'!$B$2:$B$1001))-1),""),"")&amp;IF(SUMPRODUCT(('تشخيص الحالات'!$B$2:$B$1001=B556)*('تشخيص الحالات'!$G$2:$G$1001=7))&gt;0,"، "&amp;IFERROR(INDEX('تشخيص الحالات'!$D$2:$D$1001,SUMPRODUCT(('تشخيص الحالات'!$B$2:$B$1001=B556)*('تشخيص الحالات'!$G$2:$G$1001=7)*ROW('تشخيص الحالات'!$B$2:$B$1001))-1),""),"")&amp;IF(SUMPRODUCT(('تشخيص الحالات'!$B$2:$B$1001=B556)*('تشخيص الحالات'!$G$2:$G$1001=8))&gt;0,"، "&amp;IFERROR(INDEX('تشخيص الحالات'!$D$2:$D$1001,SUMPRODUCT(('تشخيص الحالات'!$B$2:$B$1001=B556)*('تشخيص الحالات'!$G$2:$G$1001=8)*ROW('تشخيص الحالات'!$B$2:$B$1001))-1),""),"")</f>
        <v/>
      </c>
      <c r="J556" s="1"/>
      <c r="K556" s="1"/>
      <c r="L556" s="1"/>
      <c r="M556" s="1"/>
    </row>
    <row r="557" spans="1:13" x14ac:dyDescent="0.2">
      <c r="A557" s="1"/>
      <c r="B557" s="1"/>
      <c r="C557" s="1"/>
      <c r="D557" s="1"/>
      <c r="E557" s="1"/>
      <c r="F557" s="1"/>
      <c r="G557" s="1"/>
      <c r="H557" s="1"/>
      <c r="I557" t="str">
        <f>IFERROR(INDEX('تشخيص الحالات'!$D$2:$D$1001,SUMPRODUCT(('تشخيص الحالات'!$B$2:$B$1001=B557)*('تشخيص الحالات'!$G$2:$G$1001=1)*ROW('تشخيص الحالات'!$B$2:$B$1001))-1),"")&amp;IF(SUMPRODUCT(('تشخيص الحالات'!$B$2:$B$1001=B557)*('تشخيص الحالات'!$G$2:$G$1001=2))&gt;0,"، "&amp;IFERROR(INDEX('تشخيص الحالات'!$D$2:$D$1001,SUMPRODUCT(('تشخيص الحالات'!$B$2:$B$1001=B557)*('تشخيص الحالات'!$G$2:$G$1001=2)*ROW('تشخيص الحالات'!$B$2:$B$1001))-1),""),"")&amp;IF(SUMPRODUCT(('تشخيص الحالات'!$B$2:$B$1001=B557)*('تشخيص الحالات'!$G$2:$G$1001=3))&gt;0,"، "&amp;IFERROR(INDEX('تشخيص الحالات'!$D$2:$D$1001,SUMPRODUCT(('تشخيص الحالات'!$B$2:$B$1001=B557)*('تشخيص الحالات'!$G$2:$G$1001=3)*ROW('تشخيص الحالات'!$B$2:$B$1001))-1),""),"")&amp;IF(SUMPRODUCT(('تشخيص الحالات'!$B$2:$B$1001=B557)*('تشخيص الحالات'!$G$2:$G$1001=4))&gt;0,"، "&amp;IFERROR(INDEX('تشخيص الحالات'!$D$2:$D$1001,SUMPRODUCT(('تشخيص الحالات'!$B$2:$B$1001=B557)*('تشخيص الحالات'!$G$2:$G$1001=4)*ROW('تشخيص الحالات'!$B$2:$B$1001))-1),""),"")&amp;IF(SUMPRODUCT(('تشخيص الحالات'!$B$2:$B$1001=B557)*('تشخيص الحالات'!$G$2:$G$1001=5))&gt;0,"، "&amp;IFERROR(INDEX('تشخيص الحالات'!$D$2:$D$1001,SUMPRODUCT(('تشخيص الحالات'!$B$2:$B$1001=B557)*('تشخيص الحالات'!$G$2:$G$1001=5)*ROW('تشخيص الحالات'!$B$2:$B$1001))-1),""),"")&amp;IF(SUMPRODUCT(('تشخيص الحالات'!$B$2:$B$1001=B557)*('تشخيص الحالات'!$G$2:$G$1001=6))&gt;0,"، "&amp;IFERROR(INDEX('تشخيص الحالات'!$D$2:$D$1001,SUMPRODUCT(('تشخيص الحالات'!$B$2:$B$1001=B557)*('تشخيص الحالات'!$G$2:$G$1001=6)*ROW('تشخيص الحالات'!$B$2:$B$1001))-1),""),"")&amp;IF(SUMPRODUCT(('تشخيص الحالات'!$B$2:$B$1001=B557)*('تشخيص الحالات'!$G$2:$G$1001=7))&gt;0,"، "&amp;IFERROR(INDEX('تشخيص الحالات'!$D$2:$D$1001,SUMPRODUCT(('تشخيص الحالات'!$B$2:$B$1001=B557)*('تشخيص الحالات'!$G$2:$G$1001=7)*ROW('تشخيص الحالات'!$B$2:$B$1001))-1),""),"")&amp;IF(SUMPRODUCT(('تشخيص الحالات'!$B$2:$B$1001=B557)*('تشخيص الحالات'!$G$2:$G$1001=8))&gt;0,"، "&amp;IFERROR(INDEX('تشخيص الحالات'!$D$2:$D$1001,SUMPRODUCT(('تشخيص الحالات'!$B$2:$B$1001=B557)*('تشخيص الحالات'!$G$2:$G$1001=8)*ROW('تشخيص الحالات'!$B$2:$B$1001))-1),""),"")</f>
        <v/>
      </c>
      <c r="J557" s="1"/>
      <c r="K557" s="1"/>
      <c r="L557" s="1"/>
      <c r="M557" s="1"/>
    </row>
    <row r="558" spans="1:13" x14ac:dyDescent="0.2">
      <c r="A558" s="1"/>
      <c r="B558" s="1"/>
      <c r="C558" s="1"/>
      <c r="D558" s="1"/>
      <c r="E558" s="1"/>
      <c r="F558" s="1"/>
      <c r="G558" s="1"/>
      <c r="H558" s="1"/>
      <c r="I558" t="str">
        <f>IFERROR(INDEX('تشخيص الحالات'!$D$2:$D$1001,SUMPRODUCT(('تشخيص الحالات'!$B$2:$B$1001=B558)*('تشخيص الحالات'!$G$2:$G$1001=1)*ROW('تشخيص الحالات'!$B$2:$B$1001))-1),"")&amp;IF(SUMPRODUCT(('تشخيص الحالات'!$B$2:$B$1001=B558)*('تشخيص الحالات'!$G$2:$G$1001=2))&gt;0,"، "&amp;IFERROR(INDEX('تشخيص الحالات'!$D$2:$D$1001,SUMPRODUCT(('تشخيص الحالات'!$B$2:$B$1001=B558)*('تشخيص الحالات'!$G$2:$G$1001=2)*ROW('تشخيص الحالات'!$B$2:$B$1001))-1),""),"")&amp;IF(SUMPRODUCT(('تشخيص الحالات'!$B$2:$B$1001=B558)*('تشخيص الحالات'!$G$2:$G$1001=3))&gt;0,"، "&amp;IFERROR(INDEX('تشخيص الحالات'!$D$2:$D$1001,SUMPRODUCT(('تشخيص الحالات'!$B$2:$B$1001=B558)*('تشخيص الحالات'!$G$2:$G$1001=3)*ROW('تشخيص الحالات'!$B$2:$B$1001))-1),""),"")&amp;IF(SUMPRODUCT(('تشخيص الحالات'!$B$2:$B$1001=B558)*('تشخيص الحالات'!$G$2:$G$1001=4))&gt;0,"، "&amp;IFERROR(INDEX('تشخيص الحالات'!$D$2:$D$1001,SUMPRODUCT(('تشخيص الحالات'!$B$2:$B$1001=B558)*('تشخيص الحالات'!$G$2:$G$1001=4)*ROW('تشخيص الحالات'!$B$2:$B$1001))-1),""),"")&amp;IF(SUMPRODUCT(('تشخيص الحالات'!$B$2:$B$1001=B558)*('تشخيص الحالات'!$G$2:$G$1001=5))&gt;0,"، "&amp;IFERROR(INDEX('تشخيص الحالات'!$D$2:$D$1001,SUMPRODUCT(('تشخيص الحالات'!$B$2:$B$1001=B558)*('تشخيص الحالات'!$G$2:$G$1001=5)*ROW('تشخيص الحالات'!$B$2:$B$1001))-1),""),"")&amp;IF(SUMPRODUCT(('تشخيص الحالات'!$B$2:$B$1001=B558)*('تشخيص الحالات'!$G$2:$G$1001=6))&gt;0,"، "&amp;IFERROR(INDEX('تشخيص الحالات'!$D$2:$D$1001,SUMPRODUCT(('تشخيص الحالات'!$B$2:$B$1001=B558)*('تشخيص الحالات'!$G$2:$G$1001=6)*ROW('تشخيص الحالات'!$B$2:$B$1001))-1),""),"")&amp;IF(SUMPRODUCT(('تشخيص الحالات'!$B$2:$B$1001=B558)*('تشخيص الحالات'!$G$2:$G$1001=7))&gt;0,"، "&amp;IFERROR(INDEX('تشخيص الحالات'!$D$2:$D$1001,SUMPRODUCT(('تشخيص الحالات'!$B$2:$B$1001=B558)*('تشخيص الحالات'!$G$2:$G$1001=7)*ROW('تشخيص الحالات'!$B$2:$B$1001))-1),""),"")&amp;IF(SUMPRODUCT(('تشخيص الحالات'!$B$2:$B$1001=B558)*('تشخيص الحالات'!$G$2:$G$1001=8))&gt;0,"، "&amp;IFERROR(INDEX('تشخيص الحالات'!$D$2:$D$1001,SUMPRODUCT(('تشخيص الحالات'!$B$2:$B$1001=B558)*('تشخيص الحالات'!$G$2:$G$1001=8)*ROW('تشخيص الحالات'!$B$2:$B$1001))-1),""),"")</f>
        <v/>
      </c>
      <c r="J558" s="1"/>
      <c r="K558" s="1"/>
      <c r="L558" s="1"/>
      <c r="M558" s="1"/>
    </row>
    <row r="559" spans="1:13" x14ac:dyDescent="0.2">
      <c r="A559" s="1"/>
      <c r="B559" s="1"/>
      <c r="C559" s="1"/>
      <c r="D559" s="1"/>
      <c r="E559" s="1"/>
      <c r="F559" s="1"/>
      <c r="G559" s="1"/>
      <c r="H559" s="1"/>
      <c r="I559" t="str">
        <f>IFERROR(INDEX('تشخيص الحالات'!$D$2:$D$1001,SUMPRODUCT(('تشخيص الحالات'!$B$2:$B$1001=B559)*('تشخيص الحالات'!$G$2:$G$1001=1)*ROW('تشخيص الحالات'!$B$2:$B$1001))-1),"")&amp;IF(SUMPRODUCT(('تشخيص الحالات'!$B$2:$B$1001=B559)*('تشخيص الحالات'!$G$2:$G$1001=2))&gt;0,"، "&amp;IFERROR(INDEX('تشخيص الحالات'!$D$2:$D$1001,SUMPRODUCT(('تشخيص الحالات'!$B$2:$B$1001=B559)*('تشخيص الحالات'!$G$2:$G$1001=2)*ROW('تشخيص الحالات'!$B$2:$B$1001))-1),""),"")&amp;IF(SUMPRODUCT(('تشخيص الحالات'!$B$2:$B$1001=B559)*('تشخيص الحالات'!$G$2:$G$1001=3))&gt;0,"، "&amp;IFERROR(INDEX('تشخيص الحالات'!$D$2:$D$1001,SUMPRODUCT(('تشخيص الحالات'!$B$2:$B$1001=B559)*('تشخيص الحالات'!$G$2:$G$1001=3)*ROW('تشخيص الحالات'!$B$2:$B$1001))-1),""),"")&amp;IF(SUMPRODUCT(('تشخيص الحالات'!$B$2:$B$1001=B559)*('تشخيص الحالات'!$G$2:$G$1001=4))&gt;0,"، "&amp;IFERROR(INDEX('تشخيص الحالات'!$D$2:$D$1001,SUMPRODUCT(('تشخيص الحالات'!$B$2:$B$1001=B559)*('تشخيص الحالات'!$G$2:$G$1001=4)*ROW('تشخيص الحالات'!$B$2:$B$1001))-1),""),"")&amp;IF(SUMPRODUCT(('تشخيص الحالات'!$B$2:$B$1001=B559)*('تشخيص الحالات'!$G$2:$G$1001=5))&gt;0,"، "&amp;IFERROR(INDEX('تشخيص الحالات'!$D$2:$D$1001,SUMPRODUCT(('تشخيص الحالات'!$B$2:$B$1001=B559)*('تشخيص الحالات'!$G$2:$G$1001=5)*ROW('تشخيص الحالات'!$B$2:$B$1001))-1),""),"")&amp;IF(SUMPRODUCT(('تشخيص الحالات'!$B$2:$B$1001=B559)*('تشخيص الحالات'!$G$2:$G$1001=6))&gt;0,"، "&amp;IFERROR(INDEX('تشخيص الحالات'!$D$2:$D$1001,SUMPRODUCT(('تشخيص الحالات'!$B$2:$B$1001=B559)*('تشخيص الحالات'!$G$2:$G$1001=6)*ROW('تشخيص الحالات'!$B$2:$B$1001))-1),""),"")&amp;IF(SUMPRODUCT(('تشخيص الحالات'!$B$2:$B$1001=B559)*('تشخيص الحالات'!$G$2:$G$1001=7))&gt;0,"، "&amp;IFERROR(INDEX('تشخيص الحالات'!$D$2:$D$1001,SUMPRODUCT(('تشخيص الحالات'!$B$2:$B$1001=B559)*('تشخيص الحالات'!$G$2:$G$1001=7)*ROW('تشخيص الحالات'!$B$2:$B$1001))-1),""),"")&amp;IF(SUMPRODUCT(('تشخيص الحالات'!$B$2:$B$1001=B559)*('تشخيص الحالات'!$G$2:$G$1001=8))&gt;0,"، "&amp;IFERROR(INDEX('تشخيص الحالات'!$D$2:$D$1001,SUMPRODUCT(('تشخيص الحالات'!$B$2:$B$1001=B559)*('تشخيص الحالات'!$G$2:$G$1001=8)*ROW('تشخيص الحالات'!$B$2:$B$1001))-1),""),"")</f>
        <v/>
      </c>
      <c r="J559" s="1"/>
      <c r="K559" s="1"/>
      <c r="L559" s="1"/>
      <c r="M559" s="1"/>
    </row>
    <row r="560" spans="1:13" x14ac:dyDescent="0.2">
      <c r="A560" s="1"/>
      <c r="B560" s="1"/>
      <c r="C560" s="1"/>
      <c r="D560" s="1"/>
      <c r="E560" s="1"/>
      <c r="F560" s="1"/>
      <c r="G560" s="1"/>
      <c r="H560" s="1"/>
      <c r="I560" t="str">
        <f>IFERROR(INDEX('تشخيص الحالات'!$D$2:$D$1001,SUMPRODUCT(('تشخيص الحالات'!$B$2:$B$1001=B560)*('تشخيص الحالات'!$G$2:$G$1001=1)*ROW('تشخيص الحالات'!$B$2:$B$1001))-1),"")&amp;IF(SUMPRODUCT(('تشخيص الحالات'!$B$2:$B$1001=B560)*('تشخيص الحالات'!$G$2:$G$1001=2))&gt;0,"، "&amp;IFERROR(INDEX('تشخيص الحالات'!$D$2:$D$1001,SUMPRODUCT(('تشخيص الحالات'!$B$2:$B$1001=B560)*('تشخيص الحالات'!$G$2:$G$1001=2)*ROW('تشخيص الحالات'!$B$2:$B$1001))-1),""),"")&amp;IF(SUMPRODUCT(('تشخيص الحالات'!$B$2:$B$1001=B560)*('تشخيص الحالات'!$G$2:$G$1001=3))&gt;0,"، "&amp;IFERROR(INDEX('تشخيص الحالات'!$D$2:$D$1001,SUMPRODUCT(('تشخيص الحالات'!$B$2:$B$1001=B560)*('تشخيص الحالات'!$G$2:$G$1001=3)*ROW('تشخيص الحالات'!$B$2:$B$1001))-1),""),"")&amp;IF(SUMPRODUCT(('تشخيص الحالات'!$B$2:$B$1001=B560)*('تشخيص الحالات'!$G$2:$G$1001=4))&gt;0,"، "&amp;IFERROR(INDEX('تشخيص الحالات'!$D$2:$D$1001,SUMPRODUCT(('تشخيص الحالات'!$B$2:$B$1001=B560)*('تشخيص الحالات'!$G$2:$G$1001=4)*ROW('تشخيص الحالات'!$B$2:$B$1001))-1),""),"")&amp;IF(SUMPRODUCT(('تشخيص الحالات'!$B$2:$B$1001=B560)*('تشخيص الحالات'!$G$2:$G$1001=5))&gt;0,"، "&amp;IFERROR(INDEX('تشخيص الحالات'!$D$2:$D$1001,SUMPRODUCT(('تشخيص الحالات'!$B$2:$B$1001=B560)*('تشخيص الحالات'!$G$2:$G$1001=5)*ROW('تشخيص الحالات'!$B$2:$B$1001))-1),""),"")&amp;IF(SUMPRODUCT(('تشخيص الحالات'!$B$2:$B$1001=B560)*('تشخيص الحالات'!$G$2:$G$1001=6))&gt;0,"، "&amp;IFERROR(INDEX('تشخيص الحالات'!$D$2:$D$1001,SUMPRODUCT(('تشخيص الحالات'!$B$2:$B$1001=B560)*('تشخيص الحالات'!$G$2:$G$1001=6)*ROW('تشخيص الحالات'!$B$2:$B$1001))-1),""),"")&amp;IF(SUMPRODUCT(('تشخيص الحالات'!$B$2:$B$1001=B560)*('تشخيص الحالات'!$G$2:$G$1001=7))&gt;0,"، "&amp;IFERROR(INDEX('تشخيص الحالات'!$D$2:$D$1001,SUMPRODUCT(('تشخيص الحالات'!$B$2:$B$1001=B560)*('تشخيص الحالات'!$G$2:$G$1001=7)*ROW('تشخيص الحالات'!$B$2:$B$1001))-1),""),"")&amp;IF(SUMPRODUCT(('تشخيص الحالات'!$B$2:$B$1001=B560)*('تشخيص الحالات'!$G$2:$G$1001=8))&gt;0,"، "&amp;IFERROR(INDEX('تشخيص الحالات'!$D$2:$D$1001,SUMPRODUCT(('تشخيص الحالات'!$B$2:$B$1001=B560)*('تشخيص الحالات'!$G$2:$G$1001=8)*ROW('تشخيص الحالات'!$B$2:$B$1001))-1),""),"")</f>
        <v/>
      </c>
      <c r="J560" s="1"/>
      <c r="K560" s="1"/>
      <c r="L560" s="1"/>
      <c r="M560" s="1"/>
    </row>
    <row r="561" spans="1:13" x14ac:dyDescent="0.2">
      <c r="A561" s="1"/>
      <c r="B561" s="1"/>
      <c r="C561" s="1"/>
      <c r="D561" s="1"/>
      <c r="E561" s="1"/>
      <c r="F561" s="1"/>
      <c r="G561" s="1"/>
      <c r="H561" s="1"/>
      <c r="I561" t="str">
        <f>IFERROR(INDEX('تشخيص الحالات'!$D$2:$D$1001,SUMPRODUCT(('تشخيص الحالات'!$B$2:$B$1001=B561)*('تشخيص الحالات'!$G$2:$G$1001=1)*ROW('تشخيص الحالات'!$B$2:$B$1001))-1),"")&amp;IF(SUMPRODUCT(('تشخيص الحالات'!$B$2:$B$1001=B561)*('تشخيص الحالات'!$G$2:$G$1001=2))&gt;0,"، "&amp;IFERROR(INDEX('تشخيص الحالات'!$D$2:$D$1001,SUMPRODUCT(('تشخيص الحالات'!$B$2:$B$1001=B561)*('تشخيص الحالات'!$G$2:$G$1001=2)*ROW('تشخيص الحالات'!$B$2:$B$1001))-1),""),"")&amp;IF(SUMPRODUCT(('تشخيص الحالات'!$B$2:$B$1001=B561)*('تشخيص الحالات'!$G$2:$G$1001=3))&gt;0,"، "&amp;IFERROR(INDEX('تشخيص الحالات'!$D$2:$D$1001,SUMPRODUCT(('تشخيص الحالات'!$B$2:$B$1001=B561)*('تشخيص الحالات'!$G$2:$G$1001=3)*ROW('تشخيص الحالات'!$B$2:$B$1001))-1),""),"")&amp;IF(SUMPRODUCT(('تشخيص الحالات'!$B$2:$B$1001=B561)*('تشخيص الحالات'!$G$2:$G$1001=4))&gt;0,"، "&amp;IFERROR(INDEX('تشخيص الحالات'!$D$2:$D$1001,SUMPRODUCT(('تشخيص الحالات'!$B$2:$B$1001=B561)*('تشخيص الحالات'!$G$2:$G$1001=4)*ROW('تشخيص الحالات'!$B$2:$B$1001))-1),""),"")&amp;IF(SUMPRODUCT(('تشخيص الحالات'!$B$2:$B$1001=B561)*('تشخيص الحالات'!$G$2:$G$1001=5))&gt;0,"، "&amp;IFERROR(INDEX('تشخيص الحالات'!$D$2:$D$1001,SUMPRODUCT(('تشخيص الحالات'!$B$2:$B$1001=B561)*('تشخيص الحالات'!$G$2:$G$1001=5)*ROW('تشخيص الحالات'!$B$2:$B$1001))-1),""),"")&amp;IF(SUMPRODUCT(('تشخيص الحالات'!$B$2:$B$1001=B561)*('تشخيص الحالات'!$G$2:$G$1001=6))&gt;0,"، "&amp;IFERROR(INDEX('تشخيص الحالات'!$D$2:$D$1001,SUMPRODUCT(('تشخيص الحالات'!$B$2:$B$1001=B561)*('تشخيص الحالات'!$G$2:$G$1001=6)*ROW('تشخيص الحالات'!$B$2:$B$1001))-1),""),"")&amp;IF(SUMPRODUCT(('تشخيص الحالات'!$B$2:$B$1001=B561)*('تشخيص الحالات'!$G$2:$G$1001=7))&gt;0,"، "&amp;IFERROR(INDEX('تشخيص الحالات'!$D$2:$D$1001,SUMPRODUCT(('تشخيص الحالات'!$B$2:$B$1001=B561)*('تشخيص الحالات'!$G$2:$G$1001=7)*ROW('تشخيص الحالات'!$B$2:$B$1001))-1),""),"")&amp;IF(SUMPRODUCT(('تشخيص الحالات'!$B$2:$B$1001=B561)*('تشخيص الحالات'!$G$2:$G$1001=8))&gt;0,"، "&amp;IFERROR(INDEX('تشخيص الحالات'!$D$2:$D$1001,SUMPRODUCT(('تشخيص الحالات'!$B$2:$B$1001=B561)*('تشخيص الحالات'!$G$2:$G$1001=8)*ROW('تشخيص الحالات'!$B$2:$B$1001))-1),""),"")</f>
        <v/>
      </c>
      <c r="J561" s="1"/>
      <c r="K561" s="1"/>
      <c r="L561" s="1"/>
      <c r="M561" s="1"/>
    </row>
    <row r="562" spans="1:13" x14ac:dyDescent="0.2">
      <c r="A562" s="1"/>
      <c r="B562" s="1"/>
      <c r="C562" s="1"/>
      <c r="D562" s="1"/>
      <c r="E562" s="1"/>
      <c r="F562" s="1"/>
      <c r="G562" s="1"/>
      <c r="H562" s="1"/>
      <c r="I562" t="str">
        <f>IFERROR(INDEX('تشخيص الحالات'!$D$2:$D$1001,SUMPRODUCT(('تشخيص الحالات'!$B$2:$B$1001=B562)*('تشخيص الحالات'!$G$2:$G$1001=1)*ROW('تشخيص الحالات'!$B$2:$B$1001))-1),"")&amp;IF(SUMPRODUCT(('تشخيص الحالات'!$B$2:$B$1001=B562)*('تشخيص الحالات'!$G$2:$G$1001=2))&gt;0,"، "&amp;IFERROR(INDEX('تشخيص الحالات'!$D$2:$D$1001,SUMPRODUCT(('تشخيص الحالات'!$B$2:$B$1001=B562)*('تشخيص الحالات'!$G$2:$G$1001=2)*ROW('تشخيص الحالات'!$B$2:$B$1001))-1),""),"")&amp;IF(SUMPRODUCT(('تشخيص الحالات'!$B$2:$B$1001=B562)*('تشخيص الحالات'!$G$2:$G$1001=3))&gt;0,"، "&amp;IFERROR(INDEX('تشخيص الحالات'!$D$2:$D$1001,SUMPRODUCT(('تشخيص الحالات'!$B$2:$B$1001=B562)*('تشخيص الحالات'!$G$2:$G$1001=3)*ROW('تشخيص الحالات'!$B$2:$B$1001))-1),""),"")&amp;IF(SUMPRODUCT(('تشخيص الحالات'!$B$2:$B$1001=B562)*('تشخيص الحالات'!$G$2:$G$1001=4))&gt;0,"، "&amp;IFERROR(INDEX('تشخيص الحالات'!$D$2:$D$1001,SUMPRODUCT(('تشخيص الحالات'!$B$2:$B$1001=B562)*('تشخيص الحالات'!$G$2:$G$1001=4)*ROW('تشخيص الحالات'!$B$2:$B$1001))-1),""),"")&amp;IF(SUMPRODUCT(('تشخيص الحالات'!$B$2:$B$1001=B562)*('تشخيص الحالات'!$G$2:$G$1001=5))&gt;0,"، "&amp;IFERROR(INDEX('تشخيص الحالات'!$D$2:$D$1001,SUMPRODUCT(('تشخيص الحالات'!$B$2:$B$1001=B562)*('تشخيص الحالات'!$G$2:$G$1001=5)*ROW('تشخيص الحالات'!$B$2:$B$1001))-1),""),"")&amp;IF(SUMPRODUCT(('تشخيص الحالات'!$B$2:$B$1001=B562)*('تشخيص الحالات'!$G$2:$G$1001=6))&gt;0,"، "&amp;IFERROR(INDEX('تشخيص الحالات'!$D$2:$D$1001,SUMPRODUCT(('تشخيص الحالات'!$B$2:$B$1001=B562)*('تشخيص الحالات'!$G$2:$G$1001=6)*ROW('تشخيص الحالات'!$B$2:$B$1001))-1),""),"")&amp;IF(SUMPRODUCT(('تشخيص الحالات'!$B$2:$B$1001=B562)*('تشخيص الحالات'!$G$2:$G$1001=7))&gt;0,"، "&amp;IFERROR(INDEX('تشخيص الحالات'!$D$2:$D$1001,SUMPRODUCT(('تشخيص الحالات'!$B$2:$B$1001=B562)*('تشخيص الحالات'!$G$2:$G$1001=7)*ROW('تشخيص الحالات'!$B$2:$B$1001))-1),""),"")&amp;IF(SUMPRODUCT(('تشخيص الحالات'!$B$2:$B$1001=B562)*('تشخيص الحالات'!$G$2:$G$1001=8))&gt;0,"، "&amp;IFERROR(INDEX('تشخيص الحالات'!$D$2:$D$1001,SUMPRODUCT(('تشخيص الحالات'!$B$2:$B$1001=B562)*('تشخيص الحالات'!$G$2:$G$1001=8)*ROW('تشخيص الحالات'!$B$2:$B$1001))-1),""),"")</f>
        <v/>
      </c>
      <c r="J562" s="1"/>
      <c r="K562" s="1"/>
      <c r="L562" s="1"/>
      <c r="M562" s="1"/>
    </row>
    <row r="563" spans="1:13" x14ac:dyDescent="0.2">
      <c r="A563" s="1"/>
      <c r="B563" s="1"/>
      <c r="C563" s="1"/>
      <c r="D563" s="1"/>
      <c r="E563" s="1"/>
      <c r="F563" s="1"/>
      <c r="G563" s="1"/>
      <c r="H563" s="1"/>
      <c r="I563" t="str">
        <f>IFERROR(INDEX('تشخيص الحالات'!$D$2:$D$1001,SUMPRODUCT(('تشخيص الحالات'!$B$2:$B$1001=B563)*('تشخيص الحالات'!$G$2:$G$1001=1)*ROW('تشخيص الحالات'!$B$2:$B$1001))-1),"")&amp;IF(SUMPRODUCT(('تشخيص الحالات'!$B$2:$B$1001=B563)*('تشخيص الحالات'!$G$2:$G$1001=2))&gt;0,"، "&amp;IFERROR(INDEX('تشخيص الحالات'!$D$2:$D$1001,SUMPRODUCT(('تشخيص الحالات'!$B$2:$B$1001=B563)*('تشخيص الحالات'!$G$2:$G$1001=2)*ROW('تشخيص الحالات'!$B$2:$B$1001))-1),""),"")&amp;IF(SUMPRODUCT(('تشخيص الحالات'!$B$2:$B$1001=B563)*('تشخيص الحالات'!$G$2:$G$1001=3))&gt;0,"، "&amp;IFERROR(INDEX('تشخيص الحالات'!$D$2:$D$1001,SUMPRODUCT(('تشخيص الحالات'!$B$2:$B$1001=B563)*('تشخيص الحالات'!$G$2:$G$1001=3)*ROW('تشخيص الحالات'!$B$2:$B$1001))-1),""),"")&amp;IF(SUMPRODUCT(('تشخيص الحالات'!$B$2:$B$1001=B563)*('تشخيص الحالات'!$G$2:$G$1001=4))&gt;0,"، "&amp;IFERROR(INDEX('تشخيص الحالات'!$D$2:$D$1001,SUMPRODUCT(('تشخيص الحالات'!$B$2:$B$1001=B563)*('تشخيص الحالات'!$G$2:$G$1001=4)*ROW('تشخيص الحالات'!$B$2:$B$1001))-1),""),"")&amp;IF(SUMPRODUCT(('تشخيص الحالات'!$B$2:$B$1001=B563)*('تشخيص الحالات'!$G$2:$G$1001=5))&gt;0,"، "&amp;IFERROR(INDEX('تشخيص الحالات'!$D$2:$D$1001,SUMPRODUCT(('تشخيص الحالات'!$B$2:$B$1001=B563)*('تشخيص الحالات'!$G$2:$G$1001=5)*ROW('تشخيص الحالات'!$B$2:$B$1001))-1),""),"")&amp;IF(SUMPRODUCT(('تشخيص الحالات'!$B$2:$B$1001=B563)*('تشخيص الحالات'!$G$2:$G$1001=6))&gt;0,"، "&amp;IFERROR(INDEX('تشخيص الحالات'!$D$2:$D$1001,SUMPRODUCT(('تشخيص الحالات'!$B$2:$B$1001=B563)*('تشخيص الحالات'!$G$2:$G$1001=6)*ROW('تشخيص الحالات'!$B$2:$B$1001))-1),""),"")&amp;IF(SUMPRODUCT(('تشخيص الحالات'!$B$2:$B$1001=B563)*('تشخيص الحالات'!$G$2:$G$1001=7))&gt;0,"، "&amp;IFERROR(INDEX('تشخيص الحالات'!$D$2:$D$1001,SUMPRODUCT(('تشخيص الحالات'!$B$2:$B$1001=B563)*('تشخيص الحالات'!$G$2:$G$1001=7)*ROW('تشخيص الحالات'!$B$2:$B$1001))-1),""),"")&amp;IF(SUMPRODUCT(('تشخيص الحالات'!$B$2:$B$1001=B563)*('تشخيص الحالات'!$G$2:$G$1001=8))&gt;0,"، "&amp;IFERROR(INDEX('تشخيص الحالات'!$D$2:$D$1001,SUMPRODUCT(('تشخيص الحالات'!$B$2:$B$1001=B563)*('تشخيص الحالات'!$G$2:$G$1001=8)*ROW('تشخيص الحالات'!$B$2:$B$1001))-1),""),"")</f>
        <v/>
      </c>
      <c r="J563" s="1"/>
      <c r="K563" s="1"/>
      <c r="L563" s="1"/>
      <c r="M563" s="1"/>
    </row>
    <row r="564" spans="1:13" x14ac:dyDescent="0.2">
      <c r="A564" s="1"/>
      <c r="B564" s="1"/>
      <c r="C564" s="1"/>
      <c r="D564" s="1"/>
      <c r="E564" s="1"/>
      <c r="F564" s="1"/>
      <c r="G564" s="1"/>
      <c r="H564" s="1"/>
      <c r="I564" t="str">
        <f>IFERROR(INDEX('تشخيص الحالات'!$D$2:$D$1001,SUMPRODUCT(('تشخيص الحالات'!$B$2:$B$1001=B564)*('تشخيص الحالات'!$G$2:$G$1001=1)*ROW('تشخيص الحالات'!$B$2:$B$1001))-1),"")&amp;IF(SUMPRODUCT(('تشخيص الحالات'!$B$2:$B$1001=B564)*('تشخيص الحالات'!$G$2:$G$1001=2))&gt;0,"، "&amp;IFERROR(INDEX('تشخيص الحالات'!$D$2:$D$1001,SUMPRODUCT(('تشخيص الحالات'!$B$2:$B$1001=B564)*('تشخيص الحالات'!$G$2:$G$1001=2)*ROW('تشخيص الحالات'!$B$2:$B$1001))-1),""),"")&amp;IF(SUMPRODUCT(('تشخيص الحالات'!$B$2:$B$1001=B564)*('تشخيص الحالات'!$G$2:$G$1001=3))&gt;0,"، "&amp;IFERROR(INDEX('تشخيص الحالات'!$D$2:$D$1001,SUMPRODUCT(('تشخيص الحالات'!$B$2:$B$1001=B564)*('تشخيص الحالات'!$G$2:$G$1001=3)*ROW('تشخيص الحالات'!$B$2:$B$1001))-1),""),"")&amp;IF(SUMPRODUCT(('تشخيص الحالات'!$B$2:$B$1001=B564)*('تشخيص الحالات'!$G$2:$G$1001=4))&gt;0,"، "&amp;IFERROR(INDEX('تشخيص الحالات'!$D$2:$D$1001,SUMPRODUCT(('تشخيص الحالات'!$B$2:$B$1001=B564)*('تشخيص الحالات'!$G$2:$G$1001=4)*ROW('تشخيص الحالات'!$B$2:$B$1001))-1),""),"")&amp;IF(SUMPRODUCT(('تشخيص الحالات'!$B$2:$B$1001=B564)*('تشخيص الحالات'!$G$2:$G$1001=5))&gt;0,"، "&amp;IFERROR(INDEX('تشخيص الحالات'!$D$2:$D$1001,SUMPRODUCT(('تشخيص الحالات'!$B$2:$B$1001=B564)*('تشخيص الحالات'!$G$2:$G$1001=5)*ROW('تشخيص الحالات'!$B$2:$B$1001))-1),""),"")&amp;IF(SUMPRODUCT(('تشخيص الحالات'!$B$2:$B$1001=B564)*('تشخيص الحالات'!$G$2:$G$1001=6))&gt;0,"، "&amp;IFERROR(INDEX('تشخيص الحالات'!$D$2:$D$1001,SUMPRODUCT(('تشخيص الحالات'!$B$2:$B$1001=B564)*('تشخيص الحالات'!$G$2:$G$1001=6)*ROW('تشخيص الحالات'!$B$2:$B$1001))-1),""),"")&amp;IF(SUMPRODUCT(('تشخيص الحالات'!$B$2:$B$1001=B564)*('تشخيص الحالات'!$G$2:$G$1001=7))&gt;0,"، "&amp;IFERROR(INDEX('تشخيص الحالات'!$D$2:$D$1001,SUMPRODUCT(('تشخيص الحالات'!$B$2:$B$1001=B564)*('تشخيص الحالات'!$G$2:$G$1001=7)*ROW('تشخيص الحالات'!$B$2:$B$1001))-1),""),"")&amp;IF(SUMPRODUCT(('تشخيص الحالات'!$B$2:$B$1001=B564)*('تشخيص الحالات'!$G$2:$G$1001=8))&gt;0,"، "&amp;IFERROR(INDEX('تشخيص الحالات'!$D$2:$D$1001,SUMPRODUCT(('تشخيص الحالات'!$B$2:$B$1001=B564)*('تشخيص الحالات'!$G$2:$G$1001=8)*ROW('تشخيص الحالات'!$B$2:$B$1001))-1),""),"")</f>
        <v/>
      </c>
      <c r="J564" s="1"/>
      <c r="K564" s="1"/>
      <c r="L564" s="1"/>
      <c r="M564" s="1"/>
    </row>
    <row r="565" spans="1:13" x14ac:dyDescent="0.2">
      <c r="A565" s="1"/>
      <c r="B565" s="1"/>
      <c r="C565" s="1"/>
      <c r="D565" s="1"/>
      <c r="E565" s="1"/>
      <c r="F565" s="1"/>
      <c r="G565" s="1"/>
      <c r="H565" s="1"/>
      <c r="I565" t="str">
        <f>IFERROR(INDEX('تشخيص الحالات'!$D$2:$D$1001,SUMPRODUCT(('تشخيص الحالات'!$B$2:$B$1001=B565)*('تشخيص الحالات'!$G$2:$G$1001=1)*ROW('تشخيص الحالات'!$B$2:$B$1001))-1),"")&amp;IF(SUMPRODUCT(('تشخيص الحالات'!$B$2:$B$1001=B565)*('تشخيص الحالات'!$G$2:$G$1001=2))&gt;0,"، "&amp;IFERROR(INDEX('تشخيص الحالات'!$D$2:$D$1001,SUMPRODUCT(('تشخيص الحالات'!$B$2:$B$1001=B565)*('تشخيص الحالات'!$G$2:$G$1001=2)*ROW('تشخيص الحالات'!$B$2:$B$1001))-1),""),"")&amp;IF(SUMPRODUCT(('تشخيص الحالات'!$B$2:$B$1001=B565)*('تشخيص الحالات'!$G$2:$G$1001=3))&gt;0,"، "&amp;IFERROR(INDEX('تشخيص الحالات'!$D$2:$D$1001,SUMPRODUCT(('تشخيص الحالات'!$B$2:$B$1001=B565)*('تشخيص الحالات'!$G$2:$G$1001=3)*ROW('تشخيص الحالات'!$B$2:$B$1001))-1),""),"")&amp;IF(SUMPRODUCT(('تشخيص الحالات'!$B$2:$B$1001=B565)*('تشخيص الحالات'!$G$2:$G$1001=4))&gt;0,"، "&amp;IFERROR(INDEX('تشخيص الحالات'!$D$2:$D$1001,SUMPRODUCT(('تشخيص الحالات'!$B$2:$B$1001=B565)*('تشخيص الحالات'!$G$2:$G$1001=4)*ROW('تشخيص الحالات'!$B$2:$B$1001))-1),""),"")&amp;IF(SUMPRODUCT(('تشخيص الحالات'!$B$2:$B$1001=B565)*('تشخيص الحالات'!$G$2:$G$1001=5))&gt;0,"، "&amp;IFERROR(INDEX('تشخيص الحالات'!$D$2:$D$1001,SUMPRODUCT(('تشخيص الحالات'!$B$2:$B$1001=B565)*('تشخيص الحالات'!$G$2:$G$1001=5)*ROW('تشخيص الحالات'!$B$2:$B$1001))-1),""),"")&amp;IF(SUMPRODUCT(('تشخيص الحالات'!$B$2:$B$1001=B565)*('تشخيص الحالات'!$G$2:$G$1001=6))&gt;0,"، "&amp;IFERROR(INDEX('تشخيص الحالات'!$D$2:$D$1001,SUMPRODUCT(('تشخيص الحالات'!$B$2:$B$1001=B565)*('تشخيص الحالات'!$G$2:$G$1001=6)*ROW('تشخيص الحالات'!$B$2:$B$1001))-1),""),"")&amp;IF(SUMPRODUCT(('تشخيص الحالات'!$B$2:$B$1001=B565)*('تشخيص الحالات'!$G$2:$G$1001=7))&gt;0,"، "&amp;IFERROR(INDEX('تشخيص الحالات'!$D$2:$D$1001,SUMPRODUCT(('تشخيص الحالات'!$B$2:$B$1001=B565)*('تشخيص الحالات'!$G$2:$G$1001=7)*ROW('تشخيص الحالات'!$B$2:$B$1001))-1),""),"")&amp;IF(SUMPRODUCT(('تشخيص الحالات'!$B$2:$B$1001=B565)*('تشخيص الحالات'!$G$2:$G$1001=8))&gt;0,"، "&amp;IFERROR(INDEX('تشخيص الحالات'!$D$2:$D$1001,SUMPRODUCT(('تشخيص الحالات'!$B$2:$B$1001=B565)*('تشخيص الحالات'!$G$2:$G$1001=8)*ROW('تشخيص الحالات'!$B$2:$B$1001))-1),""),"")</f>
        <v/>
      </c>
      <c r="J565" s="1"/>
      <c r="K565" s="1"/>
      <c r="L565" s="1"/>
      <c r="M565" s="1"/>
    </row>
    <row r="566" spans="1:13" x14ac:dyDescent="0.2">
      <c r="A566" s="1"/>
      <c r="B566" s="1"/>
      <c r="C566" s="1"/>
      <c r="D566" s="1"/>
      <c r="E566" s="1"/>
      <c r="F566" s="1"/>
      <c r="G566" s="1"/>
      <c r="H566" s="1"/>
      <c r="I566" t="str">
        <f>IFERROR(INDEX('تشخيص الحالات'!$D$2:$D$1001,SUMPRODUCT(('تشخيص الحالات'!$B$2:$B$1001=B566)*('تشخيص الحالات'!$G$2:$G$1001=1)*ROW('تشخيص الحالات'!$B$2:$B$1001))-1),"")&amp;IF(SUMPRODUCT(('تشخيص الحالات'!$B$2:$B$1001=B566)*('تشخيص الحالات'!$G$2:$G$1001=2))&gt;0,"، "&amp;IFERROR(INDEX('تشخيص الحالات'!$D$2:$D$1001,SUMPRODUCT(('تشخيص الحالات'!$B$2:$B$1001=B566)*('تشخيص الحالات'!$G$2:$G$1001=2)*ROW('تشخيص الحالات'!$B$2:$B$1001))-1),""),"")&amp;IF(SUMPRODUCT(('تشخيص الحالات'!$B$2:$B$1001=B566)*('تشخيص الحالات'!$G$2:$G$1001=3))&gt;0,"، "&amp;IFERROR(INDEX('تشخيص الحالات'!$D$2:$D$1001,SUMPRODUCT(('تشخيص الحالات'!$B$2:$B$1001=B566)*('تشخيص الحالات'!$G$2:$G$1001=3)*ROW('تشخيص الحالات'!$B$2:$B$1001))-1),""),"")&amp;IF(SUMPRODUCT(('تشخيص الحالات'!$B$2:$B$1001=B566)*('تشخيص الحالات'!$G$2:$G$1001=4))&gt;0,"، "&amp;IFERROR(INDEX('تشخيص الحالات'!$D$2:$D$1001,SUMPRODUCT(('تشخيص الحالات'!$B$2:$B$1001=B566)*('تشخيص الحالات'!$G$2:$G$1001=4)*ROW('تشخيص الحالات'!$B$2:$B$1001))-1),""),"")&amp;IF(SUMPRODUCT(('تشخيص الحالات'!$B$2:$B$1001=B566)*('تشخيص الحالات'!$G$2:$G$1001=5))&gt;0,"، "&amp;IFERROR(INDEX('تشخيص الحالات'!$D$2:$D$1001,SUMPRODUCT(('تشخيص الحالات'!$B$2:$B$1001=B566)*('تشخيص الحالات'!$G$2:$G$1001=5)*ROW('تشخيص الحالات'!$B$2:$B$1001))-1),""),"")&amp;IF(SUMPRODUCT(('تشخيص الحالات'!$B$2:$B$1001=B566)*('تشخيص الحالات'!$G$2:$G$1001=6))&gt;0,"، "&amp;IFERROR(INDEX('تشخيص الحالات'!$D$2:$D$1001,SUMPRODUCT(('تشخيص الحالات'!$B$2:$B$1001=B566)*('تشخيص الحالات'!$G$2:$G$1001=6)*ROW('تشخيص الحالات'!$B$2:$B$1001))-1),""),"")&amp;IF(SUMPRODUCT(('تشخيص الحالات'!$B$2:$B$1001=B566)*('تشخيص الحالات'!$G$2:$G$1001=7))&gt;0,"، "&amp;IFERROR(INDEX('تشخيص الحالات'!$D$2:$D$1001,SUMPRODUCT(('تشخيص الحالات'!$B$2:$B$1001=B566)*('تشخيص الحالات'!$G$2:$G$1001=7)*ROW('تشخيص الحالات'!$B$2:$B$1001))-1),""),"")&amp;IF(SUMPRODUCT(('تشخيص الحالات'!$B$2:$B$1001=B566)*('تشخيص الحالات'!$G$2:$G$1001=8))&gt;0,"، "&amp;IFERROR(INDEX('تشخيص الحالات'!$D$2:$D$1001,SUMPRODUCT(('تشخيص الحالات'!$B$2:$B$1001=B566)*('تشخيص الحالات'!$G$2:$G$1001=8)*ROW('تشخيص الحالات'!$B$2:$B$1001))-1),""),"")</f>
        <v/>
      </c>
      <c r="J566" s="1"/>
      <c r="K566" s="1"/>
      <c r="L566" s="1"/>
      <c r="M566" s="1"/>
    </row>
    <row r="567" spans="1:13" x14ac:dyDescent="0.2">
      <c r="A567" s="1"/>
      <c r="B567" s="1"/>
      <c r="C567" s="1"/>
      <c r="D567" s="1"/>
      <c r="E567" s="1"/>
      <c r="F567" s="1"/>
      <c r="G567" s="1"/>
      <c r="H567" s="1"/>
      <c r="I567" t="str">
        <f>IFERROR(INDEX('تشخيص الحالات'!$D$2:$D$1001,SUMPRODUCT(('تشخيص الحالات'!$B$2:$B$1001=B567)*('تشخيص الحالات'!$G$2:$G$1001=1)*ROW('تشخيص الحالات'!$B$2:$B$1001))-1),"")&amp;IF(SUMPRODUCT(('تشخيص الحالات'!$B$2:$B$1001=B567)*('تشخيص الحالات'!$G$2:$G$1001=2))&gt;0,"، "&amp;IFERROR(INDEX('تشخيص الحالات'!$D$2:$D$1001,SUMPRODUCT(('تشخيص الحالات'!$B$2:$B$1001=B567)*('تشخيص الحالات'!$G$2:$G$1001=2)*ROW('تشخيص الحالات'!$B$2:$B$1001))-1),""),"")&amp;IF(SUMPRODUCT(('تشخيص الحالات'!$B$2:$B$1001=B567)*('تشخيص الحالات'!$G$2:$G$1001=3))&gt;0,"، "&amp;IFERROR(INDEX('تشخيص الحالات'!$D$2:$D$1001,SUMPRODUCT(('تشخيص الحالات'!$B$2:$B$1001=B567)*('تشخيص الحالات'!$G$2:$G$1001=3)*ROW('تشخيص الحالات'!$B$2:$B$1001))-1),""),"")&amp;IF(SUMPRODUCT(('تشخيص الحالات'!$B$2:$B$1001=B567)*('تشخيص الحالات'!$G$2:$G$1001=4))&gt;0,"، "&amp;IFERROR(INDEX('تشخيص الحالات'!$D$2:$D$1001,SUMPRODUCT(('تشخيص الحالات'!$B$2:$B$1001=B567)*('تشخيص الحالات'!$G$2:$G$1001=4)*ROW('تشخيص الحالات'!$B$2:$B$1001))-1),""),"")&amp;IF(SUMPRODUCT(('تشخيص الحالات'!$B$2:$B$1001=B567)*('تشخيص الحالات'!$G$2:$G$1001=5))&gt;0,"، "&amp;IFERROR(INDEX('تشخيص الحالات'!$D$2:$D$1001,SUMPRODUCT(('تشخيص الحالات'!$B$2:$B$1001=B567)*('تشخيص الحالات'!$G$2:$G$1001=5)*ROW('تشخيص الحالات'!$B$2:$B$1001))-1),""),"")&amp;IF(SUMPRODUCT(('تشخيص الحالات'!$B$2:$B$1001=B567)*('تشخيص الحالات'!$G$2:$G$1001=6))&gt;0,"، "&amp;IFERROR(INDEX('تشخيص الحالات'!$D$2:$D$1001,SUMPRODUCT(('تشخيص الحالات'!$B$2:$B$1001=B567)*('تشخيص الحالات'!$G$2:$G$1001=6)*ROW('تشخيص الحالات'!$B$2:$B$1001))-1),""),"")&amp;IF(SUMPRODUCT(('تشخيص الحالات'!$B$2:$B$1001=B567)*('تشخيص الحالات'!$G$2:$G$1001=7))&gt;0,"، "&amp;IFERROR(INDEX('تشخيص الحالات'!$D$2:$D$1001,SUMPRODUCT(('تشخيص الحالات'!$B$2:$B$1001=B567)*('تشخيص الحالات'!$G$2:$G$1001=7)*ROW('تشخيص الحالات'!$B$2:$B$1001))-1),""),"")&amp;IF(SUMPRODUCT(('تشخيص الحالات'!$B$2:$B$1001=B567)*('تشخيص الحالات'!$G$2:$G$1001=8))&gt;0,"، "&amp;IFERROR(INDEX('تشخيص الحالات'!$D$2:$D$1001,SUMPRODUCT(('تشخيص الحالات'!$B$2:$B$1001=B567)*('تشخيص الحالات'!$G$2:$G$1001=8)*ROW('تشخيص الحالات'!$B$2:$B$1001))-1),""),"")</f>
        <v/>
      </c>
      <c r="J567" s="1"/>
      <c r="K567" s="1"/>
      <c r="L567" s="1"/>
      <c r="M567" s="1"/>
    </row>
    <row r="568" spans="1:13" x14ac:dyDescent="0.2">
      <c r="A568" s="1"/>
      <c r="B568" s="1"/>
      <c r="C568" s="1"/>
      <c r="D568" s="1"/>
      <c r="E568" s="1"/>
      <c r="F568" s="1"/>
      <c r="G568" s="1"/>
      <c r="H568" s="1"/>
      <c r="I568" t="str">
        <f>IFERROR(INDEX('تشخيص الحالات'!$D$2:$D$1001,SUMPRODUCT(('تشخيص الحالات'!$B$2:$B$1001=B568)*('تشخيص الحالات'!$G$2:$G$1001=1)*ROW('تشخيص الحالات'!$B$2:$B$1001))-1),"")&amp;IF(SUMPRODUCT(('تشخيص الحالات'!$B$2:$B$1001=B568)*('تشخيص الحالات'!$G$2:$G$1001=2))&gt;0,"، "&amp;IFERROR(INDEX('تشخيص الحالات'!$D$2:$D$1001,SUMPRODUCT(('تشخيص الحالات'!$B$2:$B$1001=B568)*('تشخيص الحالات'!$G$2:$G$1001=2)*ROW('تشخيص الحالات'!$B$2:$B$1001))-1),""),"")&amp;IF(SUMPRODUCT(('تشخيص الحالات'!$B$2:$B$1001=B568)*('تشخيص الحالات'!$G$2:$G$1001=3))&gt;0,"، "&amp;IFERROR(INDEX('تشخيص الحالات'!$D$2:$D$1001,SUMPRODUCT(('تشخيص الحالات'!$B$2:$B$1001=B568)*('تشخيص الحالات'!$G$2:$G$1001=3)*ROW('تشخيص الحالات'!$B$2:$B$1001))-1),""),"")&amp;IF(SUMPRODUCT(('تشخيص الحالات'!$B$2:$B$1001=B568)*('تشخيص الحالات'!$G$2:$G$1001=4))&gt;0,"، "&amp;IFERROR(INDEX('تشخيص الحالات'!$D$2:$D$1001,SUMPRODUCT(('تشخيص الحالات'!$B$2:$B$1001=B568)*('تشخيص الحالات'!$G$2:$G$1001=4)*ROW('تشخيص الحالات'!$B$2:$B$1001))-1),""),"")&amp;IF(SUMPRODUCT(('تشخيص الحالات'!$B$2:$B$1001=B568)*('تشخيص الحالات'!$G$2:$G$1001=5))&gt;0,"، "&amp;IFERROR(INDEX('تشخيص الحالات'!$D$2:$D$1001,SUMPRODUCT(('تشخيص الحالات'!$B$2:$B$1001=B568)*('تشخيص الحالات'!$G$2:$G$1001=5)*ROW('تشخيص الحالات'!$B$2:$B$1001))-1),""),"")&amp;IF(SUMPRODUCT(('تشخيص الحالات'!$B$2:$B$1001=B568)*('تشخيص الحالات'!$G$2:$G$1001=6))&gt;0,"، "&amp;IFERROR(INDEX('تشخيص الحالات'!$D$2:$D$1001,SUMPRODUCT(('تشخيص الحالات'!$B$2:$B$1001=B568)*('تشخيص الحالات'!$G$2:$G$1001=6)*ROW('تشخيص الحالات'!$B$2:$B$1001))-1),""),"")&amp;IF(SUMPRODUCT(('تشخيص الحالات'!$B$2:$B$1001=B568)*('تشخيص الحالات'!$G$2:$G$1001=7))&gt;0,"، "&amp;IFERROR(INDEX('تشخيص الحالات'!$D$2:$D$1001,SUMPRODUCT(('تشخيص الحالات'!$B$2:$B$1001=B568)*('تشخيص الحالات'!$G$2:$G$1001=7)*ROW('تشخيص الحالات'!$B$2:$B$1001))-1),""),"")&amp;IF(SUMPRODUCT(('تشخيص الحالات'!$B$2:$B$1001=B568)*('تشخيص الحالات'!$G$2:$G$1001=8))&gt;0,"، "&amp;IFERROR(INDEX('تشخيص الحالات'!$D$2:$D$1001,SUMPRODUCT(('تشخيص الحالات'!$B$2:$B$1001=B568)*('تشخيص الحالات'!$G$2:$G$1001=8)*ROW('تشخيص الحالات'!$B$2:$B$1001))-1),""),"")</f>
        <v/>
      </c>
      <c r="J568" s="1"/>
      <c r="K568" s="1"/>
      <c r="L568" s="1"/>
      <c r="M568" s="1"/>
    </row>
    <row r="569" spans="1:13" x14ac:dyDescent="0.2">
      <c r="A569" s="1"/>
      <c r="B569" s="1"/>
      <c r="C569" s="1"/>
      <c r="D569" s="1"/>
      <c r="E569" s="1"/>
      <c r="F569" s="1"/>
      <c r="G569" s="1"/>
      <c r="H569" s="1"/>
      <c r="I569" t="str">
        <f>IFERROR(INDEX('تشخيص الحالات'!$D$2:$D$1001,SUMPRODUCT(('تشخيص الحالات'!$B$2:$B$1001=B569)*('تشخيص الحالات'!$G$2:$G$1001=1)*ROW('تشخيص الحالات'!$B$2:$B$1001))-1),"")&amp;IF(SUMPRODUCT(('تشخيص الحالات'!$B$2:$B$1001=B569)*('تشخيص الحالات'!$G$2:$G$1001=2))&gt;0,"، "&amp;IFERROR(INDEX('تشخيص الحالات'!$D$2:$D$1001,SUMPRODUCT(('تشخيص الحالات'!$B$2:$B$1001=B569)*('تشخيص الحالات'!$G$2:$G$1001=2)*ROW('تشخيص الحالات'!$B$2:$B$1001))-1),""),"")&amp;IF(SUMPRODUCT(('تشخيص الحالات'!$B$2:$B$1001=B569)*('تشخيص الحالات'!$G$2:$G$1001=3))&gt;0,"، "&amp;IFERROR(INDEX('تشخيص الحالات'!$D$2:$D$1001,SUMPRODUCT(('تشخيص الحالات'!$B$2:$B$1001=B569)*('تشخيص الحالات'!$G$2:$G$1001=3)*ROW('تشخيص الحالات'!$B$2:$B$1001))-1),""),"")&amp;IF(SUMPRODUCT(('تشخيص الحالات'!$B$2:$B$1001=B569)*('تشخيص الحالات'!$G$2:$G$1001=4))&gt;0,"، "&amp;IFERROR(INDEX('تشخيص الحالات'!$D$2:$D$1001,SUMPRODUCT(('تشخيص الحالات'!$B$2:$B$1001=B569)*('تشخيص الحالات'!$G$2:$G$1001=4)*ROW('تشخيص الحالات'!$B$2:$B$1001))-1),""),"")&amp;IF(SUMPRODUCT(('تشخيص الحالات'!$B$2:$B$1001=B569)*('تشخيص الحالات'!$G$2:$G$1001=5))&gt;0,"، "&amp;IFERROR(INDEX('تشخيص الحالات'!$D$2:$D$1001,SUMPRODUCT(('تشخيص الحالات'!$B$2:$B$1001=B569)*('تشخيص الحالات'!$G$2:$G$1001=5)*ROW('تشخيص الحالات'!$B$2:$B$1001))-1),""),"")&amp;IF(SUMPRODUCT(('تشخيص الحالات'!$B$2:$B$1001=B569)*('تشخيص الحالات'!$G$2:$G$1001=6))&gt;0,"، "&amp;IFERROR(INDEX('تشخيص الحالات'!$D$2:$D$1001,SUMPRODUCT(('تشخيص الحالات'!$B$2:$B$1001=B569)*('تشخيص الحالات'!$G$2:$G$1001=6)*ROW('تشخيص الحالات'!$B$2:$B$1001))-1),""),"")&amp;IF(SUMPRODUCT(('تشخيص الحالات'!$B$2:$B$1001=B569)*('تشخيص الحالات'!$G$2:$G$1001=7))&gt;0,"، "&amp;IFERROR(INDEX('تشخيص الحالات'!$D$2:$D$1001,SUMPRODUCT(('تشخيص الحالات'!$B$2:$B$1001=B569)*('تشخيص الحالات'!$G$2:$G$1001=7)*ROW('تشخيص الحالات'!$B$2:$B$1001))-1),""),"")&amp;IF(SUMPRODUCT(('تشخيص الحالات'!$B$2:$B$1001=B569)*('تشخيص الحالات'!$G$2:$G$1001=8))&gt;0,"، "&amp;IFERROR(INDEX('تشخيص الحالات'!$D$2:$D$1001,SUMPRODUCT(('تشخيص الحالات'!$B$2:$B$1001=B569)*('تشخيص الحالات'!$G$2:$G$1001=8)*ROW('تشخيص الحالات'!$B$2:$B$1001))-1),""),"")</f>
        <v/>
      </c>
      <c r="J569" s="1"/>
      <c r="K569" s="1"/>
      <c r="L569" s="1"/>
      <c r="M569" s="1"/>
    </row>
    <row r="570" spans="1:13" x14ac:dyDescent="0.2">
      <c r="A570" s="1"/>
      <c r="B570" s="1"/>
      <c r="C570" s="1"/>
      <c r="D570" s="1"/>
      <c r="E570" s="1"/>
      <c r="F570" s="1"/>
      <c r="G570" s="1"/>
      <c r="H570" s="1"/>
      <c r="I570" t="str">
        <f>IFERROR(INDEX('تشخيص الحالات'!$D$2:$D$1001,SUMPRODUCT(('تشخيص الحالات'!$B$2:$B$1001=B570)*('تشخيص الحالات'!$G$2:$G$1001=1)*ROW('تشخيص الحالات'!$B$2:$B$1001))-1),"")&amp;IF(SUMPRODUCT(('تشخيص الحالات'!$B$2:$B$1001=B570)*('تشخيص الحالات'!$G$2:$G$1001=2))&gt;0,"، "&amp;IFERROR(INDEX('تشخيص الحالات'!$D$2:$D$1001,SUMPRODUCT(('تشخيص الحالات'!$B$2:$B$1001=B570)*('تشخيص الحالات'!$G$2:$G$1001=2)*ROW('تشخيص الحالات'!$B$2:$B$1001))-1),""),"")&amp;IF(SUMPRODUCT(('تشخيص الحالات'!$B$2:$B$1001=B570)*('تشخيص الحالات'!$G$2:$G$1001=3))&gt;0,"، "&amp;IFERROR(INDEX('تشخيص الحالات'!$D$2:$D$1001,SUMPRODUCT(('تشخيص الحالات'!$B$2:$B$1001=B570)*('تشخيص الحالات'!$G$2:$G$1001=3)*ROW('تشخيص الحالات'!$B$2:$B$1001))-1),""),"")&amp;IF(SUMPRODUCT(('تشخيص الحالات'!$B$2:$B$1001=B570)*('تشخيص الحالات'!$G$2:$G$1001=4))&gt;0,"، "&amp;IFERROR(INDEX('تشخيص الحالات'!$D$2:$D$1001,SUMPRODUCT(('تشخيص الحالات'!$B$2:$B$1001=B570)*('تشخيص الحالات'!$G$2:$G$1001=4)*ROW('تشخيص الحالات'!$B$2:$B$1001))-1),""),"")&amp;IF(SUMPRODUCT(('تشخيص الحالات'!$B$2:$B$1001=B570)*('تشخيص الحالات'!$G$2:$G$1001=5))&gt;0,"، "&amp;IFERROR(INDEX('تشخيص الحالات'!$D$2:$D$1001,SUMPRODUCT(('تشخيص الحالات'!$B$2:$B$1001=B570)*('تشخيص الحالات'!$G$2:$G$1001=5)*ROW('تشخيص الحالات'!$B$2:$B$1001))-1),""),"")&amp;IF(SUMPRODUCT(('تشخيص الحالات'!$B$2:$B$1001=B570)*('تشخيص الحالات'!$G$2:$G$1001=6))&gt;0,"، "&amp;IFERROR(INDEX('تشخيص الحالات'!$D$2:$D$1001,SUMPRODUCT(('تشخيص الحالات'!$B$2:$B$1001=B570)*('تشخيص الحالات'!$G$2:$G$1001=6)*ROW('تشخيص الحالات'!$B$2:$B$1001))-1),""),"")&amp;IF(SUMPRODUCT(('تشخيص الحالات'!$B$2:$B$1001=B570)*('تشخيص الحالات'!$G$2:$G$1001=7))&gt;0,"، "&amp;IFERROR(INDEX('تشخيص الحالات'!$D$2:$D$1001,SUMPRODUCT(('تشخيص الحالات'!$B$2:$B$1001=B570)*('تشخيص الحالات'!$G$2:$G$1001=7)*ROW('تشخيص الحالات'!$B$2:$B$1001))-1),""),"")&amp;IF(SUMPRODUCT(('تشخيص الحالات'!$B$2:$B$1001=B570)*('تشخيص الحالات'!$G$2:$G$1001=8))&gt;0,"، "&amp;IFERROR(INDEX('تشخيص الحالات'!$D$2:$D$1001,SUMPRODUCT(('تشخيص الحالات'!$B$2:$B$1001=B570)*('تشخيص الحالات'!$G$2:$G$1001=8)*ROW('تشخيص الحالات'!$B$2:$B$1001))-1),""),"")</f>
        <v/>
      </c>
      <c r="J570" s="1"/>
      <c r="K570" s="1"/>
      <c r="L570" s="1"/>
      <c r="M570" s="1"/>
    </row>
    <row r="571" spans="1:13" x14ac:dyDescent="0.2">
      <c r="A571" s="1"/>
      <c r="B571" s="1"/>
      <c r="C571" s="1"/>
      <c r="D571" s="1"/>
      <c r="E571" s="1"/>
      <c r="F571" s="1"/>
      <c r="G571" s="1"/>
      <c r="H571" s="1"/>
      <c r="I571" t="str">
        <f>IFERROR(INDEX('تشخيص الحالات'!$D$2:$D$1001,SUMPRODUCT(('تشخيص الحالات'!$B$2:$B$1001=B571)*('تشخيص الحالات'!$G$2:$G$1001=1)*ROW('تشخيص الحالات'!$B$2:$B$1001))-1),"")&amp;IF(SUMPRODUCT(('تشخيص الحالات'!$B$2:$B$1001=B571)*('تشخيص الحالات'!$G$2:$G$1001=2))&gt;0,"، "&amp;IFERROR(INDEX('تشخيص الحالات'!$D$2:$D$1001,SUMPRODUCT(('تشخيص الحالات'!$B$2:$B$1001=B571)*('تشخيص الحالات'!$G$2:$G$1001=2)*ROW('تشخيص الحالات'!$B$2:$B$1001))-1),""),"")&amp;IF(SUMPRODUCT(('تشخيص الحالات'!$B$2:$B$1001=B571)*('تشخيص الحالات'!$G$2:$G$1001=3))&gt;0,"، "&amp;IFERROR(INDEX('تشخيص الحالات'!$D$2:$D$1001,SUMPRODUCT(('تشخيص الحالات'!$B$2:$B$1001=B571)*('تشخيص الحالات'!$G$2:$G$1001=3)*ROW('تشخيص الحالات'!$B$2:$B$1001))-1),""),"")&amp;IF(SUMPRODUCT(('تشخيص الحالات'!$B$2:$B$1001=B571)*('تشخيص الحالات'!$G$2:$G$1001=4))&gt;0,"، "&amp;IFERROR(INDEX('تشخيص الحالات'!$D$2:$D$1001,SUMPRODUCT(('تشخيص الحالات'!$B$2:$B$1001=B571)*('تشخيص الحالات'!$G$2:$G$1001=4)*ROW('تشخيص الحالات'!$B$2:$B$1001))-1),""),"")&amp;IF(SUMPRODUCT(('تشخيص الحالات'!$B$2:$B$1001=B571)*('تشخيص الحالات'!$G$2:$G$1001=5))&gt;0,"، "&amp;IFERROR(INDEX('تشخيص الحالات'!$D$2:$D$1001,SUMPRODUCT(('تشخيص الحالات'!$B$2:$B$1001=B571)*('تشخيص الحالات'!$G$2:$G$1001=5)*ROW('تشخيص الحالات'!$B$2:$B$1001))-1),""),"")&amp;IF(SUMPRODUCT(('تشخيص الحالات'!$B$2:$B$1001=B571)*('تشخيص الحالات'!$G$2:$G$1001=6))&gt;0,"، "&amp;IFERROR(INDEX('تشخيص الحالات'!$D$2:$D$1001,SUMPRODUCT(('تشخيص الحالات'!$B$2:$B$1001=B571)*('تشخيص الحالات'!$G$2:$G$1001=6)*ROW('تشخيص الحالات'!$B$2:$B$1001))-1),""),"")&amp;IF(SUMPRODUCT(('تشخيص الحالات'!$B$2:$B$1001=B571)*('تشخيص الحالات'!$G$2:$G$1001=7))&gt;0,"، "&amp;IFERROR(INDEX('تشخيص الحالات'!$D$2:$D$1001,SUMPRODUCT(('تشخيص الحالات'!$B$2:$B$1001=B571)*('تشخيص الحالات'!$G$2:$G$1001=7)*ROW('تشخيص الحالات'!$B$2:$B$1001))-1),""),"")&amp;IF(SUMPRODUCT(('تشخيص الحالات'!$B$2:$B$1001=B571)*('تشخيص الحالات'!$G$2:$G$1001=8))&gt;0,"، "&amp;IFERROR(INDEX('تشخيص الحالات'!$D$2:$D$1001,SUMPRODUCT(('تشخيص الحالات'!$B$2:$B$1001=B571)*('تشخيص الحالات'!$G$2:$G$1001=8)*ROW('تشخيص الحالات'!$B$2:$B$1001))-1),""),"")</f>
        <v/>
      </c>
      <c r="J571" s="1"/>
      <c r="K571" s="1"/>
      <c r="L571" s="1"/>
      <c r="M571" s="1"/>
    </row>
    <row r="572" spans="1:13" x14ac:dyDescent="0.2">
      <c r="A572" s="1"/>
      <c r="B572" s="1"/>
      <c r="C572" s="1"/>
      <c r="D572" s="1"/>
      <c r="E572" s="1"/>
      <c r="F572" s="1"/>
      <c r="G572" s="1"/>
      <c r="H572" s="1"/>
      <c r="I572" t="str">
        <f>IFERROR(INDEX('تشخيص الحالات'!$D$2:$D$1001,SUMPRODUCT(('تشخيص الحالات'!$B$2:$B$1001=B572)*('تشخيص الحالات'!$G$2:$G$1001=1)*ROW('تشخيص الحالات'!$B$2:$B$1001))-1),"")&amp;IF(SUMPRODUCT(('تشخيص الحالات'!$B$2:$B$1001=B572)*('تشخيص الحالات'!$G$2:$G$1001=2))&gt;0,"، "&amp;IFERROR(INDEX('تشخيص الحالات'!$D$2:$D$1001,SUMPRODUCT(('تشخيص الحالات'!$B$2:$B$1001=B572)*('تشخيص الحالات'!$G$2:$G$1001=2)*ROW('تشخيص الحالات'!$B$2:$B$1001))-1),""),"")&amp;IF(SUMPRODUCT(('تشخيص الحالات'!$B$2:$B$1001=B572)*('تشخيص الحالات'!$G$2:$G$1001=3))&gt;0,"، "&amp;IFERROR(INDEX('تشخيص الحالات'!$D$2:$D$1001,SUMPRODUCT(('تشخيص الحالات'!$B$2:$B$1001=B572)*('تشخيص الحالات'!$G$2:$G$1001=3)*ROW('تشخيص الحالات'!$B$2:$B$1001))-1),""),"")&amp;IF(SUMPRODUCT(('تشخيص الحالات'!$B$2:$B$1001=B572)*('تشخيص الحالات'!$G$2:$G$1001=4))&gt;0,"، "&amp;IFERROR(INDEX('تشخيص الحالات'!$D$2:$D$1001,SUMPRODUCT(('تشخيص الحالات'!$B$2:$B$1001=B572)*('تشخيص الحالات'!$G$2:$G$1001=4)*ROW('تشخيص الحالات'!$B$2:$B$1001))-1),""),"")&amp;IF(SUMPRODUCT(('تشخيص الحالات'!$B$2:$B$1001=B572)*('تشخيص الحالات'!$G$2:$G$1001=5))&gt;0,"، "&amp;IFERROR(INDEX('تشخيص الحالات'!$D$2:$D$1001,SUMPRODUCT(('تشخيص الحالات'!$B$2:$B$1001=B572)*('تشخيص الحالات'!$G$2:$G$1001=5)*ROW('تشخيص الحالات'!$B$2:$B$1001))-1),""),"")&amp;IF(SUMPRODUCT(('تشخيص الحالات'!$B$2:$B$1001=B572)*('تشخيص الحالات'!$G$2:$G$1001=6))&gt;0,"، "&amp;IFERROR(INDEX('تشخيص الحالات'!$D$2:$D$1001,SUMPRODUCT(('تشخيص الحالات'!$B$2:$B$1001=B572)*('تشخيص الحالات'!$G$2:$G$1001=6)*ROW('تشخيص الحالات'!$B$2:$B$1001))-1),""),"")&amp;IF(SUMPRODUCT(('تشخيص الحالات'!$B$2:$B$1001=B572)*('تشخيص الحالات'!$G$2:$G$1001=7))&gt;0,"، "&amp;IFERROR(INDEX('تشخيص الحالات'!$D$2:$D$1001,SUMPRODUCT(('تشخيص الحالات'!$B$2:$B$1001=B572)*('تشخيص الحالات'!$G$2:$G$1001=7)*ROW('تشخيص الحالات'!$B$2:$B$1001))-1),""),"")&amp;IF(SUMPRODUCT(('تشخيص الحالات'!$B$2:$B$1001=B572)*('تشخيص الحالات'!$G$2:$G$1001=8))&gt;0,"، "&amp;IFERROR(INDEX('تشخيص الحالات'!$D$2:$D$1001,SUMPRODUCT(('تشخيص الحالات'!$B$2:$B$1001=B572)*('تشخيص الحالات'!$G$2:$G$1001=8)*ROW('تشخيص الحالات'!$B$2:$B$1001))-1),""),"")</f>
        <v/>
      </c>
      <c r="J572" s="1"/>
      <c r="K572" s="1"/>
      <c r="L572" s="1"/>
      <c r="M572" s="1"/>
    </row>
    <row r="573" spans="1:13" x14ac:dyDescent="0.2">
      <c r="A573" s="1"/>
      <c r="B573" s="1"/>
      <c r="C573" s="1"/>
      <c r="D573" s="1"/>
      <c r="E573" s="1"/>
      <c r="F573" s="1"/>
      <c r="G573" s="1"/>
      <c r="H573" s="1"/>
      <c r="I573" t="str">
        <f>IFERROR(INDEX('تشخيص الحالات'!$D$2:$D$1001,SUMPRODUCT(('تشخيص الحالات'!$B$2:$B$1001=B573)*('تشخيص الحالات'!$G$2:$G$1001=1)*ROW('تشخيص الحالات'!$B$2:$B$1001))-1),"")&amp;IF(SUMPRODUCT(('تشخيص الحالات'!$B$2:$B$1001=B573)*('تشخيص الحالات'!$G$2:$G$1001=2))&gt;0,"، "&amp;IFERROR(INDEX('تشخيص الحالات'!$D$2:$D$1001,SUMPRODUCT(('تشخيص الحالات'!$B$2:$B$1001=B573)*('تشخيص الحالات'!$G$2:$G$1001=2)*ROW('تشخيص الحالات'!$B$2:$B$1001))-1),""),"")&amp;IF(SUMPRODUCT(('تشخيص الحالات'!$B$2:$B$1001=B573)*('تشخيص الحالات'!$G$2:$G$1001=3))&gt;0,"، "&amp;IFERROR(INDEX('تشخيص الحالات'!$D$2:$D$1001,SUMPRODUCT(('تشخيص الحالات'!$B$2:$B$1001=B573)*('تشخيص الحالات'!$G$2:$G$1001=3)*ROW('تشخيص الحالات'!$B$2:$B$1001))-1),""),"")&amp;IF(SUMPRODUCT(('تشخيص الحالات'!$B$2:$B$1001=B573)*('تشخيص الحالات'!$G$2:$G$1001=4))&gt;0,"، "&amp;IFERROR(INDEX('تشخيص الحالات'!$D$2:$D$1001,SUMPRODUCT(('تشخيص الحالات'!$B$2:$B$1001=B573)*('تشخيص الحالات'!$G$2:$G$1001=4)*ROW('تشخيص الحالات'!$B$2:$B$1001))-1),""),"")&amp;IF(SUMPRODUCT(('تشخيص الحالات'!$B$2:$B$1001=B573)*('تشخيص الحالات'!$G$2:$G$1001=5))&gt;0,"، "&amp;IFERROR(INDEX('تشخيص الحالات'!$D$2:$D$1001,SUMPRODUCT(('تشخيص الحالات'!$B$2:$B$1001=B573)*('تشخيص الحالات'!$G$2:$G$1001=5)*ROW('تشخيص الحالات'!$B$2:$B$1001))-1),""),"")&amp;IF(SUMPRODUCT(('تشخيص الحالات'!$B$2:$B$1001=B573)*('تشخيص الحالات'!$G$2:$G$1001=6))&gt;0,"، "&amp;IFERROR(INDEX('تشخيص الحالات'!$D$2:$D$1001,SUMPRODUCT(('تشخيص الحالات'!$B$2:$B$1001=B573)*('تشخيص الحالات'!$G$2:$G$1001=6)*ROW('تشخيص الحالات'!$B$2:$B$1001))-1),""),"")&amp;IF(SUMPRODUCT(('تشخيص الحالات'!$B$2:$B$1001=B573)*('تشخيص الحالات'!$G$2:$G$1001=7))&gt;0,"، "&amp;IFERROR(INDEX('تشخيص الحالات'!$D$2:$D$1001,SUMPRODUCT(('تشخيص الحالات'!$B$2:$B$1001=B573)*('تشخيص الحالات'!$G$2:$G$1001=7)*ROW('تشخيص الحالات'!$B$2:$B$1001))-1),""),"")&amp;IF(SUMPRODUCT(('تشخيص الحالات'!$B$2:$B$1001=B573)*('تشخيص الحالات'!$G$2:$G$1001=8))&gt;0,"، "&amp;IFERROR(INDEX('تشخيص الحالات'!$D$2:$D$1001,SUMPRODUCT(('تشخيص الحالات'!$B$2:$B$1001=B573)*('تشخيص الحالات'!$G$2:$G$1001=8)*ROW('تشخيص الحالات'!$B$2:$B$1001))-1),""),"")</f>
        <v/>
      </c>
      <c r="J573" s="1"/>
      <c r="K573" s="1"/>
      <c r="L573" s="1"/>
      <c r="M573" s="1"/>
    </row>
    <row r="574" spans="1:13" x14ac:dyDescent="0.2">
      <c r="A574" s="1"/>
      <c r="B574" s="1"/>
      <c r="C574" s="1"/>
      <c r="D574" s="1"/>
      <c r="E574" s="1"/>
      <c r="F574" s="1"/>
      <c r="G574" s="1"/>
      <c r="H574" s="1"/>
      <c r="I574" t="str">
        <f>IFERROR(INDEX('تشخيص الحالات'!$D$2:$D$1001,SUMPRODUCT(('تشخيص الحالات'!$B$2:$B$1001=B574)*('تشخيص الحالات'!$G$2:$G$1001=1)*ROW('تشخيص الحالات'!$B$2:$B$1001))-1),"")&amp;IF(SUMPRODUCT(('تشخيص الحالات'!$B$2:$B$1001=B574)*('تشخيص الحالات'!$G$2:$G$1001=2))&gt;0,"، "&amp;IFERROR(INDEX('تشخيص الحالات'!$D$2:$D$1001,SUMPRODUCT(('تشخيص الحالات'!$B$2:$B$1001=B574)*('تشخيص الحالات'!$G$2:$G$1001=2)*ROW('تشخيص الحالات'!$B$2:$B$1001))-1),""),"")&amp;IF(SUMPRODUCT(('تشخيص الحالات'!$B$2:$B$1001=B574)*('تشخيص الحالات'!$G$2:$G$1001=3))&gt;0,"، "&amp;IFERROR(INDEX('تشخيص الحالات'!$D$2:$D$1001,SUMPRODUCT(('تشخيص الحالات'!$B$2:$B$1001=B574)*('تشخيص الحالات'!$G$2:$G$1001=3)*ROW('تشخيص الحالات'!$B$2:$B$1001))-1),""),"")&amp;IF(SUMPRODUCT(('تشخيص الحالات'!$B$2:$B$1001=B574)*('تشخيص الحالات'!$G$2:$G$1001=4))&gt;0,"، "&amp;IFERROR(INDEX('تشخيص الحالات'!$D$2:$D$1001,SUMPRODUCT(('تشخيص الحالات'!$B$2:$B$1001=B574)*('تشخيص الحالات'!$G$2:$G$1001=4)*ROW('تشخيص الحالات'!$B$2:$B$1001))-1),""),"")&amp;IF(SUMPRODUCT(('تشخيص الحالات'!$B$2:$B$1001=B574)*('تشخيص الحالات'!$G$2:$G$1001=5))&gt;0,"، "&amp;IFERROR(INDEX('تشخيص الحالات'!$D$2:$D$1001,SUMPRODUCT(('تشخيص الحالات'!$B$2:$B$1001=B574)*('تشخيص الحالات'!$G$2:$G$1001=5)*ROW('تشخيص الحالات'!$B$2:$B$1001))-1),""),"")&amp;IF(SUMPRODUCT(('تشخيص الحالات'!$B$2:$B$1001=B574)*('تشخيص الحالات'!$G$2:$G$1001=6))&gt;0,"، "&amp;IFERROR(INDEX('تشخيص الحالات'!$D$2:$D$1001,SUMPRODUCT(('تشخيص الحالات'!$B$2:$B$1001=B574)*('تشخيص الحالات'!$G$2:$G$1001=6)*ROW('تشخيص الحالات'!$B$2:$B$1001))-1),""),"")&amp;IF(SUMPRODUCT(('تشخيص الحالات'!$B$2:$B$1001=B574)*('تشخيص الحالات'!$G$2:$G$1001=7))&gt;0,"، "&amp;IFERROR(INDEX('تشخيص الحالات'!$D$2:$D$1001,SUMPRODUCT(('تشخيص الحالات'!$B$2:$B$1001=B574)*('تشخيص الحالات'!$G$2:$G$1001=7)*ROW('تشخيص الحالات'!$B$2:$B$1001))-1),""),"")&amp;IF(SUMPRODUCT(('تشخيص الحالات'!$B$2:$B$1001=B574)*('تشخيص الحالات'!$G$2:$G$1001=8))&gt;0,"، "&amp;IFERROR(INDEX('تشخيص الحالات'!$D$2:$D$1001,SUMPRODUCT(('تشخيص الحالات'!$B$2:$B$1001=B574)*('تشخيص الحالات'!$G$2:$G$1001=8)*ROW('تشخيص الحالات'!$B$2:$B$1001))-1),""),"")</f>
        <v/>
      </c>
      <c r="J574" s="1"/>
      <c r="K574" s="1"/>
      <c r="L574" s="1"/>
      <c r="M574" s="1"/>
    </row>
    <row r="575" spans="1:13" x14ac:dyDescent="0.2">
      <c r="A575" s="1"/>
      <c r="B575" s="1"/>
      <c r="C575" s="1"/>
      <c r="D575" s="1"/>
      <c r="E575" s="1"/>
      <c r="F575" s="1"/>
      <c r="G575" s="1"/>
      <c r="H575" s="1"/>
      <c r="I575" t="str">
        <f>IFERROR(INDEX('تشخيص الحالات'!$D$2:$D$1001,SUMPRODUCT(('تشخيص الحالات'!$B$2:$B$1001=B575)*('تشخيص الحالات'!$G$2:$G$1001=1)*ROW('تشخيص الحالات'!$B$2:$B$1001))-1),"")&amp;IF(SUMPRODUCT(('تشخيص الحالات'!$B$2:$B$1001=B575)*('تشخيص الحالات'!$G$2:$G$1001=2))&gt;0,"، "&amp;IFERROR(INDEX('تشخيص الحالات'!$D$2:$D$1001,SUMPRODUCT(('تشخيص الحالات'!$B$2:$B$1001=B575)*('تشخيص الحالات'!$G$2:$G$1001=2)*ROW('تشخيص الحالات'!$B$2:$B$1001))-1),""),"")&amp;IF(SUMPRODUCT(('تشخيص الحالات'!$B$2:$B$1001=B575)*('تشخيص الحالات'!$G$2:$G$1001=3))&gt;0,"، "&amp;IFERROR(INDEX('تشخيص الحالات'!$D$2:$D$1001,SUMPRODUCT(('تشخيص الحالات'!$B$2:$B$1001=B575)*('تشخيص الحالات'!$G$2:$G$1001=3)*ROW('تشخيص الحالات'!$B$2:$B$1001))-1),""),"")&amp;IF(SUMPRODUCT(('تشخيص الحالات'!$B$2:$B$1001=B575)*('تشخيص الحالات'!$G$2:$G$1001=4))&gt;0,"، "&amp;IFERROR(INDEX('تشخيص الحالات'!$D$2:$D$1001,SUMPRODUCT(('تشخيص الحالات'!$B$2:$B$1001=B575)*('تشخيص الحالات'!$G$2:$G$1001=4)*ROW('تشخيص الحالات'!$B$2:$B$1001))-1),""),"")&amp;IF(SUMPRODUCT(('تشخيص الحالات'!$B$2:$B$1001=B575)*('تشخيص الحالات'!$G$2:$G$1001=5))&gt;0,"، "&amp;IFERROR(INDEX('تشخيص الحالات'!$D$2:$D$1001,SUMPRODUCT(('تشخيص الحالات'!$B$2:$B$1001=B575)*('تشخيص الحالات'!$G$2:$G$1001=5)*ROW('تشخيص الحالات'!$B$2:$B$1001))-1),""),"")&amp;IF(SUMPRODUCT(('تشخيص الحالات'!$B$2:$B$1001=B575)*('تشخيص الحالات'!$G$2:$G$1001=6))&gt;0,"، "&amp;IFERROR(INDEX('تشخيص الحالات'!$D$2:$D$1001,SUMPRODUCT(('تشخيص الحالات'!$B$2:$B$1001=B575)*('تشخيص الحالات'!$G$2:$G$1001=6)*ROW('تشخيص الحالات'!$B$2:$B$1001))-1),""),"")&amp;IF(SUMPRODUCT(('تشخيص الحالات'!$B$2:$B$1001=B575)*('تشخيص الحالات'!$G$2:$G$1001=7))&gt;0,"، "&amp;IFERROR(INDEX('تشخيص الحالات'!$D$2:$D$1001,SUMPRODUCT(('تشخيص الحالات'!$B$2:$B$1001=B575)*('تشخيص الحالات'!$G$2:$G$1001=7)*ROW('تشخيص الحالات'!$B$2:$B$1001))-1),""),"")&amp;IF(SUMPRODUCT(('تشخيص الحالات'!$B$2:$B$1001=B575)*('تشخيص الحالات'!$G$2:$G$1001=8))&gt;0,"، "&amp;IFERROR(INDEX('تشخيص الحالات'!$D$2:$D$1001,SUMPRODUCT(('تشخيص الحالات'!$B$2:$B$1001=B575)*('تشخيص الحالات'!$G$2:$G$1001=8)*ROW('تشخيص الحالات'!$B$2:$B$1001))-1),""),"")</f>
        <v/>
      </c>
      <c r="J575" s="1"/>
      <c r="K575" s="1"/>
      <c r="L575" s="1"/>
      <c r="M575" s="1"/>
    </row>
    <row r="576" spans="1:13" x14ac:dyDescent="0.2">
      <c r="A576" s="1"/>
      <c r="B576" s="1"/>
      <c r="C576" s="1"/>
      <c r="D576" s="1"/>
      <c r="E576" s="1"/>
      <c r="F576" s="1"/>
      <c r="G576" s="1"/>
      <c r="H576" s="1"/>
      <c r="I576" t="str">
        <f>IFERROR(INDEX('تشخيص الحالات'!$D$2:$D$1001,SUMPRODUCT(('تشخيص الحالات'!$B$2:$B$1001=B576)*('تشخيص الحالات'!$G$2:$G$1001=1)*ROW('تشخيص الحالات'!$B$2:$B$1001))-1),"")&amp;IF(SUMPRODUCT(('تشخيص الحالات'!$B$2:$B$1001=B576)*('تشخيص الحالات'!$G$2:$G$1001=2))&gt;0,"، "&amp;IFERROR(INDEX('تشخيص الحالات'!$D$2:$D$1001,SUMPRODUCT(('تشخيص الحالات'!$B$2:$B$1001=B576)*('تشخيص الحالات'!$G$2:$G$1001=2)*ROW('تشخيص الحالات'!$B$2:$B$1001))-1),""),"")&amp;IF(SUMPRODUCT(('تشخيص الحالات'!$B$2:$B$1001=B576)*('تشخيص الحالات'!$G$2:$G$1001=3))&gt;0,"، "&amp;IFERROR(INDEX('تشخيص الحالات'!$D$2:$D$1001,SUMPRODUCT(('تشخيص الحالات'!$B$2:$B$1001=B576)*('تشخيص الحالات'!$G$2:$G$1001=3)*ROW('تشخيص الحالات'!$B$2:$B$1001))-1),""),"")&amp;IF(SUMPRODUCT(('تشخيص الحالات'!$B$2:$B$1001=B576)*('تشخيص الحالات'!$G$2:$G$1001=4))&gt;0,"، "&amp;IFERROR(INDEX('تشخيص الحالات'!$D$2:$D$1001,SUMPRODUCT(('تشخيص الحالات'!$B$2:$B$1001=B576)*('تشخيص الحالات'!$G$2:$G$1001=4)*ROW('تشخيص الحالات'!$B$2:$B$1001))-1),""),"")&amp;IF(SUMPRODUCT(('تشخيص الحالات'!$B$2:$B$1001=B576)*('تشخيص الحالات'!$G$2:$G$1001=5))&gt;0,"، "&amp;IFERROR(INDEX('تشخيص الحالات'!$D$2:$D$1001,SUMPRODUCT(('تشخيص الحالات'!$B$2:$B$1001=B576)*('تشخيص الحالات'!$G$2:$G$1001=5)*ROW('تشخيص الحالات'!$B$2:$B$1001))-1),""),"")&amp;IF(SUMPRODUCT(('تشخيص الحالات'!$B$2:$B$1001=B576)*('تشخيص الحالات'!$G$2:$G$1001=6))&gt;0,"، "&amp;IFERROR(INDEX('تشخيص الحالات'!$D$2:$D$1001,SUMPRODUCT(('تشخيص الحالات'!$B$2:$B$1001=B576)*('تشخيص الحالات'!$G$2:$G$1001=6)*ROW('تشخيص الحالات'!$B$2:$B$1001))-1),""),"")&amp;IF(SUMPRODUCT(('تشخيص الحالات'!$B$2:$B$1001=B576)*('تشخيص الحالات'!$G$2:$G$1001=7))&gt;0,"، "&amp;IFERROR(INDEX('تشخيص الحالات'!$D$2:$D$1001,SUMPRODUCT(('تشخيص الحالات'!$B$2:$B$1001=B576)*('تشخيص الحالات'!$G$2:$G$1001=7)*ROW('تشخيص الحالات'!$B$2:$B$1001))-1),""),"")&amp;IF(SUMPRODUCT(('تشخيص الحالات'!$B$2:$B$1001=B576)*('تشخيص الحالات'!$G$2:$G$1001=8))&gt;0,"، "&amp;IFERROR(INDEX('تشخيص الحالات'!$D$2:$D$1001,SUMPRODUCT(('تشخيص الحالات'!$B$2:$B$1001=B576)*('تشخيص الحالات'!$G$2:$G$1001=8)*ROW('تشخيص الحالات'!$B$2:$B$1001))-1),""),"")</f>
        <v/>
      </c>
      <c r="J576" s="1"/>
      <c r="K576" s="1"/>
      <c r="L576" s="1"/>
      <c r="M576" s="1"/>
    </row>
    <row r="577" spans="1:13" x14ac:dyDescent="0.2">
      <c r="A577" s="1"/>
      <c r="B577" s="1"/>
      <c r="C577" s="1"/>
      <c r="D577" s="1"/>
      <c r="E577" s="1"/>
      <c r="F577" s="1"/>
      <c r="G577" s="1"/>
      <c r="H577" s="1"/>
      <c r="I577" t="str">
        <f>IFERROR(INDEX('تشخيص الحالات'!$D$2:$D$1001,SUMPRODUCT(('تشخيص الحالات'!$B$2:$B$1001=B577)*('تشخيص الحالات'!$G$2:$G$1001=1)*ROW('تشخيص الحالات'!$B$2:$B$1001))-1),"")&amp;IF(SUMPRODUCT(('تشخيص الحالات'!$B$2:$B$1001=B577)*('تشخيص الحالات'!$G$2:$G$1001=2))&gt;0,"، "&amp;IFERROR(INDEX('تشخيص الحالات'!$D$2:$D$1001,SUMPRODUCT(('تشخيص الحالات'!$B$2:$B$1001=B577)*('تشخيص الحالات'!$G$2:$G$1001=2)*ROW('تشخيص الحالات'!$B$2:$B$1001))-1),""),"")&amp;IF(SUMPRODUCT(('تشخيص الحالات'!$B$2:$B$1001=B577)*('تشخيص الحالات'!$G$2:$G$1001=3))&gt;0,"، "&amp;IFERROR(INDEX('تشخيص الحالات'!$D$2:$D$1001,SUMPRODUCT(('تشخيص الحالات'!$B$2:$B$1001=B577)*('تشخيص الحالات'!$G$2:$G$1001=3)*ROW('تشخيص الحالات'!$B$2:$B$1001))-1),""),"")&amp;IF(SUMPRODUCT(('تشخيص الحالات'!$B$2:$B$1001=B577)*('تشخيص الحالات'!$G$2:$G$1001=4))&gt;0,"، "&amp;IFERROR(INDEX('تشخيص الحالات'!$D$2:$D$1001,SUMPRODUCT(('تشخيص الحالات'!$B$2:$B$1001=B577)*('تشخيص الحالات'!$G$2:$G$1001=4)*ROW('تشخيص الحالات'!$B$2:$B$1001))-1),""),"")&amp;IF(SUMPRODUCT(('تشخيص الحالات'!$B$2:$B$1001=B577)*('تشخيص الحالات'!$G$2:$G$1001=5))&gt;0,"، "&amp;IFERROR(INDEX('تشخيص الحالات'!$D$2:$D$1001,SUMPRODUCT(('تشخيص الحالات'!$B$2:$B$1001=B577)*('تشخيص الحالات'!$G$2:$G$1001=5)*ROW('تشخيص الحالات'!$B$2:$B$1001))-1),""),"")&amp;IF(SUMPRODUCT(('تشخيص الحالات'!$B$2:$B$1001=B577)*('تشخيص الحالات'!$G$2:$G$1001=6))&gt;0,"، "&amp;IFERROR(INDEX('تشخيص الحالات'!$D$2:$D$1001,SUMPRODUCT(('تشخيص الحالات'!$B$2:$B$1001=B577)*('تشخيص الحالات'!$G$2:$G$1001=6)*ROW('تشخيص الحالات'!$B$2:$B$1001))-1),""),"")&amp;IF(SUMPRODUCT(('تشخيص الحالات'!$B$2:$B$1001=B577)*('تشخيص الحالات'!$G$2:$G$1001=7))&gt;0,"، "&amp;IFERROR(INDEX('تشخيص الحالات'!$D$2:$D$1001,SUMPRODUCT(('تشخيص الحالات'!$B$2:$B$1001=B577)*('تشخيص الحالات'!$G$2:$G$1001=7)*ROW('تشخيص الحالات'!$B$2:$B$1001))-1),""),"")&amp;IF(SUMPRODUCT(('تشخيص الحالات'!$B$2:$B$1001=B577)*('تشخيص الحالات'!$G$2:$G$1001=8))&gt;0,"، "&amp;IFERROR(INDEX('تشخيص الحالات'!$D$2:$D$1001,SUMPRODUCT(('تشخيص الحالات'!$B$2:$B$1001=B577)*('تشخيص الحالات'!$G$2:$G$1001=8)*ROW('تشخيص الحالات'!$B$2:$B$1001))-1),""),"")</f>
        <v/>
      </c>
      <c r="J577" s="1"/>
      <c r="K577" s="1"/>
      <c r="L577" s="1"/>
      <c r="M577" s="1"/>
    </row>
    <row r="578" spans="1:13" x14ac:dyDescent="0.2">
      <c r="A578" s="1"/>
      <c r="B578" s="1"/>
      <c r="C578" s="1"/>
      <c r="D578" s="1"/>
      <c r="E578" s="1"/>
      <c r="F578" s="1"/>
      <c r="G578" s="1"/>
      <c r="H578" s="1"/>
      <c r="I578" t="str">
        <f>IFERROR(INDEX('تشخيص الحالات'!$D$2:$D$1001,SUMPRODUCT(('تشخيص الحالات'!$B$2:$B$1001=B578)*('تشخيص الحالات'!$G$2:$G$1001=1)*ROW('تشخيص الحالات'!$B$2:$B$1001))-1),"")&amp;IF(SUMPRODUCT(('تشخيص الحالات'!$B$2:$B$1001=B578)*('تشخيص الحالات'!$G$2:$G$1001=2))&gt;0,"، "&amp;IFERROR(INDEX('تشخيص الحالات'!$D$2:$D$1001,SUMPRODUCT(('تشخيص الحالات'!$B$2:$B$1001=B578)*('تشخيص الحالات'!$G$2:$G$1001=2)*ROW('تشخيص الحالات'!$B$2:$B$1001))-1),""),"")&amp;IF(SUMPRODUCT(('تشخيص الحالات'!$B$2:$B$1001=B578)*('تشخيص الحالات'!$G$2:$G$1001=3))&gt;0,"، "&amp;IFERROR(INDEX('تشخيص الحالات'!$D$2:$D$1001,SUMPRODUCT(('تشخيص الحالات'!$B$2:$B$1001=B578)*('تشخيص الحالات'!$G$2:$G$1001=3)*ROW('تشخيص الحالات'!$B$2:$B$1001))-1),""),"")&amp;IF(SUMPRODUCT(('تشخيص الحالات'!$B$2:$B$1001=B578)*('تشخيص الحالات'!$G$2:$G$1001=4))&gt;0,"، "&amp;IFERROR(INDEX('تشخيص الحالات'!$D$2:$D$1001,SUMPRODUCT(('تشخيص الحالات'!$B$2:$B$1001=B578)*('تشخيص الحالات'!$G$2:$G$1001=4)*ROW('تشخيص الحالات'!$B$2:$B$1001))-1),""),"")&amp;IF(SUMPRODUCT(('تشخيص الحالات'!$B$2:$B$1001=B578)*('تشخيص الحالات'!$G$2:$G$1001=5))&gt;0,"، "&amp;IFERROR(INDEX('تشخيص الحالات'!$D$2:$D$1001,SUMPRODUCT(('تشخيص الحالات'!$B$2:$B$1001=B578)*('تشخيص الحالات'!$G$2:$G$1001=5)*ROW('تشخيص الحالات'!$B$2:$B$1001))-1),""),"")&amp;IF(SUMPRODUCT(('تشخيص الحالات'!$B$2:$B$1001=B578)*('تشخيص الحالات'!$G$2:$G$1001=6))&gt;0,"، "&amp;IFERROR(INDEX('تشخيص الحالات'!$D$2:$D$1001,SUMPRODUCT(('تشخيص الحالات'!$B$2:$B$1001=B578)*('تشخيص الحالات'!$G$2:$G$1001=6)*ROW('تشخيص الحالات'!$B$2:$B$1001))-1),""),"")&amp;IF(SUMPRODUCT(('تشخيص الحالات'!$B$2:$B$1001=B578)*('تشخيص الحالات'!$G$2:$G$1001=7))&gt;0,"، "&amp;IFERROR(INDEX('تشخيص الحالات'!$D$2:$D$1001,SUMPRODUCT(('تشخيص الحالات'!$B$2:$B$1001=B578)*('تشخيص الحالات'!$G$2:$G$1001=7)*ROW('تشخيص الحالات'!$B$2:$B$1001))-1),""),"")&amp;IF(SUMPRODUCT(('تشخيص الحالات'!$B$2:$B$1001=B578)*('تشخيص الحالات'!$G$2:$G$1001=8))&gt;0,"، "&amp;IFERROR(INDEX('تشخيص الحالات'!$D$2:$D$1001,SUMPRODUCT(('تشخيص الحالات'!$B$2:$B$1001=B578)*('تشخيص الحالات'!$G$2:$G$1001=8)*ROW('تشخيص الحالات'!$B$2:$B$1001))-1),""),"")</f>
        <v/>
      </c>
      <c r="J578" s="1"/>
      <c r="K578" s="1"/>
      <c r="L578" s="1"/>
      <c r="M578" s="1"/>
    </row>
    <row r="579" spans="1:13" x14ac:dyDescent="0.2">
      <c r="A579" s="1"/>
      <c r="B579" s="1"/>
      <c r="C579" s="1"/>
      <c r="D579" s="1"/>
      <c r="E579" s="1"/>
      <c r="F579" s="1"/>
      <c r="G579" s="1"/>
      <c r="H579" s="1"/>
      <c r="I579" t="str">
        <f>IFERROR(INDEX('تشخيص الحالات'!$D$2:$D$1001,SUMPRODUCT(('تشخيص الحالات'!$B$2:$B$1001=B579)*('تشخيص الحالات'!$G$2:$G$1001=1)*ROW('تشخيص الحالات'!$B$2:$B$1001))-1),"")&amp;IF(SUMPRODUCT(('تشخيص الحالات'!$B$2:$B$1001=B579)*('تشخيص الحالات'!$G$2:$G$1001=2))&gt;0,"، "&amp;IFERROR(INDEX('تشخيص الحالات'!$D$2:$D$1001,SUMPRODUCT(('تشخيص الحالات'!$B$2:$B$1001=B579)*('تشخيص الحالات'!$G$2:$G$1001=2)*ROW('تشخيص الحالات'!$B$2:$B$1001))-1),""),"")&amp;IF(SUMPRODUCT(('تشخيص الحالات'!$B$2:$B$1001=B579)*('تشخيص الحالات'!$G$2:$G$1001=3))&gt;0,"، "&amp;IFERROR(INDEX('تشخيص الحالات'!$D$2:$D$1001,SUMPRODUCT(('تشخيص الحالات'!$B$2:$B$1001=B579)*('تشخيص الحالات'!$G$2:$G$1001=3)*ROW('تشخيص الحالات'!$B$2:$B$1001))-1),""),"")&amp;IF(SUMPRODUCT(('تشخيص الحالات'!$B$2:$B$1001=B579)*('تشخيص الحالات'!$G$2:$G$1001=4))&gt;0,"، "&amp;IFERROR(INDEX('تشخيص الحالات'!$D$2:$D$1001,SUMPRODUCT(('تشخيص الحالات'!$B$2:$B$1001=B579)*('تشخيص الحالات'!$G$2:$G$1001=4)*ROW('تشخيص الحالات'!$B$2:$B$1001))-1),""),"")&amp;IF(SUMPRODUCT(('تشخيص الحالات'!$B$2:$B$1001=B579)*('تشخيص الحالات'!$G$2:$G$1001=5))&gt;0,"، "&amp;IFERROR(INDEX('تشخيص الحالات'!$D$2:$D$1001,SUMPRODUCT(('تشخيص الحالات'!$B$2:$B$1001=B579)*('تشخيص الحالات'!$G$2:$G$1001=5)*ROW('تشخيص الحالات'!$B$2:$B$1001))-1),""),"")&amp;IF(SUMPRODUCT(('تشخيص الحالات'!$B$2:$B$1001=B579)*('تشخيص الحالات'!$G$2:$G$1001=6))&gt;0,"، "&amp;IFERROR(INDEX('تشخيص الحالات'!$D$2:$D$1001,SUMPRODUCT(('تشخيص الحالات'!$B$2:$B$1001=B579)*('تشخيص الحالات'!$G$2:$G$1001=6)*ROW('تشخيص الحالات'!$B$2:$B$1001))-1),""),"")&amp;IF(SUMPRODUCT(('تشخيص الحالات'!$B$2:$B$1001=B579)*('تشخيص الحالات'!$G$2:$G$1001=7))&gt;0,"، "&amp;IFERROR(INDEX('تشخيص الحالات'!$D$2:$D$1001,SUMPRODUCT(('تشخيص الحالات'!$B$2:$B$1001=B579)*('تشخيص الحالات'!$G$2:$G$1001=7)*ROW('تشخيص الحالات'!$B$2:$B$1001))-1),""),"")&amp;IF(SUMPRODUCT(('تشخيص الحالات'!$B$2:$B$1001=B579)*('تشخيص الحالات'!$G$2:$G$1001=8))&gt;0,"، "&amp;IFERROR(INDEX('تشخيص الحالات'!$D$2:$D$1001,SUMPRODUCT(('تشخيص الحالات'!$B$2:$B$1001=B579)*('تشخيص الحالات'!$G$2:$G$1001=8)*ROW('تشخيص الحالات'!$B$2:$B$1001))-1),""),"")</f>
        <v/>
      </c>
      <c r="J579" s="1"/>
      <c r="K579" s="1"/>
      <c r="L579" s="1"/>
      <c r="M579" s="1"/>
    </row>
    <row r="580" spans="1:13" x14ac:dyDescent="0.2">
      <c r="A580" s="1"/>
      <c r="B580" s="1"/>
      <c r="C580" s="1"/>
      <c r="D580" s="1"/>
      <c r="E580" s="1"/>
      <c r="F580" s="1"/>
      <c r="G580" s="1"/>
      <c r="H580" s="1"/>
      <c r="I580" t="str">
        <f>IFERROR(INDEX('تشخيص الحالات'!$D$2:$D$1001,SUMPRODUCT(('تشخيص الحالات'!$B$2:$B$1001=B580)*('تشخيص الحالات'!$G$2:$G$1001=1)*ROW('تشخيص الحالات'!$B$2:$B$1001))-1),"")&amp;IF(SUMPRODUCT(('تشخيص الحالات'!$B$2:$B$1001=B580)*('تشخيص الحالات'!$G$2:$G$1001=2))&gt;0,"، "&amp;IFERROR(INDEX('تشخيص الحالات'!$D$2:$D$1001,SUMPRODUCT(('تشخيص الحالات'!$B$2:$B$1001=B580)*('تشخيص الحالات'!$G$2:$G$1001=2)*ROW('تشخيص الحالات'!$B$2:$B$1001))-1),""),"")&amp;IF(SUMPRODUCT(('تشخيص الحالات'!$B$2:$B$1001=B580)*('تشخيص الحالات'!$G$2:$G$1001=3))&gt;0,"، "&amp;IFERROR(INDEX('تشخيص الحالات'!$D$2:$D$1001,SUMPRODUCT(('تشخيص الحالات'!$B$2:$B$1001=B580)*('تشخيص الحالات'!$G$2:$G$1001=3)*ROW('تشخيص الحالات'!$B$2:$B$1001))-1),""),"")&amp;IF(SUMPRODUCT(('تشخيص الحالات'!$B$2:$B$1001=B580)*('تشخيص الحالات'!$G$2:$G$1001=4))&gt;0,"، "&amp;IFERROR(INDEX('تشخيص الحالات'!$D$2:$D$1001,SUMPRODUCT(('تشخيص الحالات'!$B$2:$B$1001=B580)*('تشخيص الحالات'!$G$2:$G$1001=4)*ROW('تشخيص الحالات'!$B$2:$B$1001))-1),""),"")&amp;IF(SUMPRODUCT(('تشخيص الحالات'!$B$2:$B$1001=B580)*('تشخيص الحالات'!$G$2:$G$1001=5))&gt;0,"، "&amp;IFERROR(INDEX('تشخيص الحالات'!$D$2:$D$1001,SUMPRODUCT(('تشخيص الحالات'!$B$2:$B$1001=B580)*('تشخيص الحالات'!$G$2:$G$1001=5)*ROW('تشخيص الحالات'!$B$2:$B$1001))-1),""),"")&amp;IF(SUMPRODUCT(('تشخيص الحالات'!$B$2:$B$1001=B580)*('تشخيص الحالات'!$G$2:$G$1001=6))&gt;0,"، "&amp;IFERROR(INDEX('تشخيص الحالات'!$D$2:$D$1001,SUMPRODUCT(('تشخيص الحالات'!$B$2:$B$1001=B580)*('تشخيص الحالات'!$G$2:$G$1001=6)*ROW('تشخيص الحالات'!$B$2:$B$1001))-1),""),"")&amp;IF(SUMPRODUCT(('تشخيص الحالات'!$B$2:$B$1001=B580)*('تشخيص الحالات'!$G$2:$G$1001=7))&gt;0,"، "&amp;IFERROR(INDEX('تشخيص الحالات'!$D$2:$D$1001,SUMPRODUCT(('تشخيص الحالات'!$B$2:$B$1001=B580)*('تشخيص الحالات'!$G$2:$G$1001=7)*ROW('تشخيص الحالات'!$B$2:$B$1001))-1),""),"")&amp;IF(SUMPRODUCT(('تشخيص الحالات'!$B$2:$B$1001=B580)*('تشخيص الحالات'!$G$2:$G$1001=8))&gt;0,"، "&amp;IFERROR(INDEX('تشخيص الحالات'!$D$2:$D$1001,SUMPRODUCT(('تشخيص الحالات'!$B$2:$B$1001=B580)*('تشخيص الحالات'!$G$2:$G$1001=8)*ROW('تشخيص الحالات'!$B$2:$B$1001))-1),""),"")</f>
        <v/>
      </c>
      <c r="J580" s="1"/>
      <c r="K580" s="1"/>
      <c r="L580" s="1"/>
      <c r="M580" s="1"/>
    </row>
    <row r="581" spans="1:13" x14ac:dyDescent="0.2">
      <c r="A581" s="1"/>
      <c r="B581" s="1"/>
      <c r="C581" s="1"/>
      <c r="D581" s="1"/>
      <c r="E581" s="1"/>
      <c r="F581" s="1"/>
      <c r="G581" s="1"/>
      <c r="H581" s="1"/>
      <c r="I581" t="str">
        <f>IFERROR(INDEX('تشخيص الحالات'!$D$2:$D$1001,SUMPRODUCT(('تشخيص الحالات'!$B$2:$B$1001=B581)*('تشخيص الحالات'!$G$2:$G$1001=1)*ROW('تشخيص الحالات'!$B$2:$B$1001))-1),"")&amp;IF(SUMPRODUCT(('تشخيص الحالات'!$B$2:$B$1001=B581)*('تشخيص الحالات'!$G$2:$G$1001=2))&gt;0,"، "&amp;IFERROR(INDEX('تشخيص الحالات'!$D$2:$D$1001,SUMPRODUCT(('تشخيص الحالات'!$B$2:$B$1001=B581)*('تشخيص الحالات'!$G$2:$G$1001=2)*ROW('تشخيص الحالات'!$B$2:$B$1001))-1),""),"")&amp;IF(SUMPRODUCT(('تشخيص الحالات'!$B$2:$B$1001=B581)*('تشخيص الحالات'!$G$2:$G$1001=3))&gt;0,"، "&amp;IFERROR(INDEX('تشخيص الحالات'!$D$2:$D$1001,SUMPRODUCT(('تشخيص الحالات'!$B$2:$B$1001=B581)*('تشخيص الحالات'!$G$2:$G$1001=3)*ROW('تشخيص الحالات'!$B$2:$B$1001))-1),""),"")&amp;IF(SUMPRODUCT(('تشخيص الحالات'!$B$2:$B$1001=B581)*('تشخيص الحالات'!$G$2:$G$1001=4))&gt;0,"، "&amp;IFERROR(INDEX('تشخيص الحالات'!$D$2:$D$1001,SUMPRODUCT(('تشخيص الحالات'!$B$2:$B$1001=B581)*('تشخيص الحالات'!$G$2:$G$1001=4)*ROW('تشخيص الحالات'!$B$2:$B$1001))-1),""),"")&amp;IF(SUMPRODUCT(('تشخيص الحالات'!$B$2:$B$1001=B581)*('تشخيص الحالات'!$G$2:$G$1001=5))&gt;0,"، "&amp;IFERROR(INDEX('تشخيص الحالات'!$D$2:$D$1001,SUMPRODUCT(('تشخيص الحالات'!$B$2:$B$1001=B581)*('تشخيص الحالات'!$G$2:$G$1001=5)*ROW('تشخيص الحالات'!$B$2:$B$1001))-1),""),"")&amp;IF(SUMPRODUCT(('تشخيص الحالات'!$B$2:$B$1001=B581)*('تشخيص الحالات'!$G$2:$G$1001=6))&gt;0,"، "&amp;IFERROR(INDEX('تشخيص الحالات'!$D$2:$D$1001,SUMPRODUCT(('تشخيص الحالات'!$B$2:$B$1001=B581)*('تشخيص الحالات'!$G$2:$G$1001=6)*ROW('تشخيص الحالات'!$B$2:$B$1001))-1),""),"")&amp;IF(SUMPRODUCT(('تشخيص الحالات'!$B$2:$B$1001=B581)*('تشخيص الحالات'!$G$2:$G$1001=7))&gt;0,"، "&amp;IFERROR(INDEX('تشخيص الحالات'!$D$2:$D$1001,SUMPRODUCT(('تشخيص الحالات'!$B$2:$B$1001=B581)*('تشخيص الحالات'!$G$2:$G$1001=7)*ROW('تشخيص الحالات'!$B$2:$B$1001))-1),""),"")&amp;IF(SUMPRODUCT(('تشخيص الحالات'!$B$2:$B$1001=B581)*('تشخيص الحالات'!$G$2:$G$1001=8))&gt;0,"، "&amp;IFERROR(INDEX('تشخيص الحالات'!$D$2:$D$1001,SUMPRODUCT(('تشخيص الحالات'!$B$2:$B$1001=B581)*('تشخيص الحالات'!$G$2:$G$1001=8)*ROW('تشخيص الحالات'!$B$2:$B$1001))-1),""),"")</f>
        <v/>
      </c>
      <c r="J581" s="1"/>
      <c r="K581" s="1"/>
      <c r="L581" s="1"/>
      <c r="M581" s="1"/>
    </row>
    <row r="582" spans="1:13" x14ac:dyDescent="0.2">
      <c r="A582" s="1"/>
      <c r="B582" s="1"/>
      <c r="C582" s="1"/>
      <c r="D582" s="1"/>
      <c r="E582" s="1"/>
      <c r="F582" s="1"/>
      <c r="G582" s="1"/>
      <c r="H582" s="1"/>
      <c r="I582" t="str">
        <f>IFERROR(INDEX('تشخيص الحالات'!$D$2:$D$1001,SUMPRODUCT(('تشخيص الحالات'!$B$2:$B$1001=B582)*('تشخيص الحالات'!$G$2:$G$1001=1)*ROW('تشخيص الحالات'!$B$2:$B$1001))-1),"")&amp;IF(SUMPRODUCT(('تشخيص الحالات'!$B$2:$B$1001=B582)*('تشخيص الحالات'!$G$2:$G$1001=2))&gt;0,"، "&amp;IFERROR(INDEX('تشخيص الحالات'!$D$2:$D$1001,SUMPRODUCT(('تشخيص الحالات'!$B$2:$B$1001=B582)*('تشخيص الحالات'!$G$2:$G$1001=2)*ROW('تشخيص الحالات'!$B$2:$B$1001))-1),""),"")&amp;IF(SUMPRODUCT(('تشخيص الحالات'!$B$2:$B$1001=B582)*('تشخيص الحالات'!$G$2:$G$1001=3))&gt;0,"، "&amp;IFERROR(INDEX('تشخيص الحالات'!$D$2:$D$1001,SUMPRODUCT(('تشخيص الحالات'!$B$2:$B$1001=B582)*('تشخيص الحالات'!$G$2:$G$1001=3)*ROW('تشخيص الحالات'!$B$2:$B$1001))-1),""),"")&amp;IF(SUMPRODUCT(('تشخيص الحالات'!$B$2:$B$1001=B582)*('تشخيص الحالات'!$G$2:$G$1001=4))&gt;0,"، "&amp;IFERROR(INDEX('تشخيص الحالات'!$D$2:$D$1001,SUMPRODUCT(('تشخيص الحالات'!$B$2:$B$1001=B582)*('تشخيص الحالات'!$G$2:$G$1001=4)*ROW('تشخيص الحالات'!$B$2:$B$1001))-1),""),"")&amp;IF(SUMPRODUCT(('تشخيص الحالات'!$B$2:$B$1001=B582)*('تشخيص الحالات'!$G$2:$G$1001=5))&gt;0,"، "&amp;IFERROR(INDEX('تشخيص الحالات'!$D$2:$D$1001,SUMPRODUCT(('تشخيص الحالات'!$B$2:$B$1001=B582)*('تشخيص الحالات'!$G$2:$G$1001=5)*ROW('تشخيص الحالات'!$B$2:$B$1001))-1),""),"")&amp;IF(SUMPRODUCT(('تشخيص الحالات'!$B$2:$B$1001=B582)*('تشخيص الحالات'!$G$2:$G$1001=6))&gt;0,"، "&amp;IFERROR(INDEX('تشخيص الحالات'!$D$2:$D$1001,SUMPRODUCT(('تشخيص الحالات'!$B$2:$B$1001=B582)*('تشخيص الحالات'!$G$2:$G$1001=6)*ROW('تشخيص الحالات'!$B$2:$B$1001))-1),""),"")&amp;IF(SUMPRODUCT(('تشخيص الحالات'!$B$2:$B$1001=B582)*('تشخيص الحالات'!$G$2:$G$1001=7))&gt;0,"، "&amp;IFERROR(INDEX('تشخيص الحالات'!$D$2:$D$1001,SUMPRODUCT(('تشخيص الحالات'!$B$2:$B$1001=B582)*('تشخيص الحالات'!$G$2:$G$1001=7)*ROW('تشخيص الحالات'!$B$2:$B$1001))-1),""),"")&amp;IF(SUMPRODUCT(('تشخيص الحالات'!$B$2:$B$1001=B582)*('تشخيص الحالات'!$G$2:$G$1001=8))&gt;0,"، "&amp;IFERROR(INDEX('تشخيص الحالات'!$D$2:$D$1001,SUMPRODUCT(('تشخيص الحالات'!$B$2:$B$1001=B582)*('تشخيص الحالات'!$G$2:$G$1001=8)*ROW('تشخيص الحالات'!$B$2:$B$1001))-1),""),"")</f>
        <v/>
      </c>
      <c r="J582" s="1"/>
      <c r="K582" s="1"/>
      <c r="L582" s="1"/>
      <c r="M582" s="1"/>
    </row>
    <row r="583" spans="1:13" x14ac:dyDescent="0.2">
      <c r="A583" s="1"/>
      <c r="B583" s="1"/>
      <c r="C583" s="1"/>
      <c r="D583" s="1"/>
      <c r="E583" s="1"/>
      <c r="F583" s="1"/>
      <c r="G583" s="1"/>
      <c r="H583" s="1"/>
      <c r="I583" t="str">
        <f>IFERROR(INDEX('تشخيص الحالات'!$D$2:$D$1001,SUMPRODUCT(('تشخيص الحالات'!$B$2:$B$1001=B583)*('تشخيص الحالات'!$G$2:$G$1001=1)*ROW('تشخيص الحالات'!$B$2:$B$1001))-1),"")&amp;IF(SUMPRODUCT(('تشخيص الحالات'!$B$2:$B$1001=B583)*('تشخيص الحالات'!$G$2:$G$1001=2))&gt;0,"، "&amp;IFERROR(INDEX('تشخيص الحالات'!$D$2:$D$1001,SUMPRODUCT(('تشخيص الحالات'!$B$2:$B$1001=B583)*('تشخيص الحالات'!$G$2:$G$1001=2)*ROW('تشخيص الحالات'!$B$2:$B$1001))-1),""),"")&amp;IF(SUMPRODUCT(('تشخيص الحالات'!$B$2:$B$1001=B583)*('تشخيص الحالات'!$G$2:$G$1001=3))&gt;0,"، "&amp;IFERROR(INDEX('تشخيص الحالات'!$D$2:$D$1001,SUMPRODUCT(('تشخيص الحالات'!$B$2:$B$1001=B583)*('تشخيص الحالات'!$G$2:$G$1001=3)*ROW('تشخيص الحالات'!$B$2:$B$1001))-1),""),"")&amp;IF(SUMPRODUCT(('تشخيص الحالات'!$B$2:$B$1001=B583)*('تشخيص الحالات'!$G$2:$G$1001=4))&gt;0,"، "&amp;IFERROR(INDEX('تشخيص الحالات'!$D$2:$D$1001,SUMPRODUCT(('تشخيص الحالات'!$B$2:$B$1001=B583)*('تشخيص الحالات'!$G$2:$G$1001=4)*ROW('تشخيص الحالات'!$B$2:$B$1001))-1),""),"")&amp;IF(SUMPRODUCT(('تشخيص الحالات'!$B$2:$B$1001=B583)*('تشخيص الحالات'!$G$2:$G$1001=5))&gt;0,"، "&amp;IFERROR(INDEX('تشخيص الحالات'!$D$2:$D$1001,SUMPRODUCT(('تشخيص الحالات'!$B$2:$B$1001=B583)*('تشخيص الحالات'!$G$2:$G$1001=5)*ROW('تشخيص الحالات'!$B$2:$B$1001))-1),""),"")&amp;IF(SUMPRODUCT(('تشخيص الحالات'!$B$2:$B$1001=B583)*('تشخيص الحالات'!$G$2:$G$1001=6))&gt;0,"، "&amp;IFERROR(INDEX('تشخيص الحالات'!$D$2:$D$1001,SUMPRODUCT(('تشخيص الحالات'!$B$2:$B$1001=B583)*('تشخيص الحالات'!$G$2:$G$1001=6)*ROW('تشخيص الحالات'!$B$2:$B$1001))-1),""),"")&amp;IF(SUMPRODUCT(('تشخيص الحالات'!$B$2:$B$1001=B583)*('تشخيص الحالات'!$G$2:$G$1001=7))&gt;0,"، "&amp;IFERROR(INDEX('تشخيص الحالات'!$D$2:$D$1001,SUMPRODUCT(('تشخيص الحالات'!$B$2:$B$1001=B583)*('تشخيص الحالات'!$G$2:$G$1001=7)*ROW('تشخيص الحالات'!$B$2:$B$1001))-1),""),"")&amp;IF(SUMPRODUCT(('تشخيص الحالات'!$B$2:$B$1001=B583)*('تشخيص الحالات'!$G$2:$G$1001=8))&gt;0,"، "&amp;IFERROR(INDEX('تشخيص الحالات'!$D$2:$D$1001,SUMPRODUCT(('تشخيص الحالات'!$B$2:$B$1001=B583)*('تشخيص الحالات'!$G$2:$G$1001=8)*ROW('تشخيص الحالات'!$B$2:$B$1001))-1),""),"")</f>
        <v/>
      </c>
      <c r="J583" s="1"/>
      <c r="K583" s="1"/>
      <c r="L583" s="1"/>
      <c r="M583" s="1"/>
    </row>
    <row r="584" spans="1:13" x14ac:dyDescent="0.2">
      <c r="A584" s="1"/>
      <c r="B584" s="1"/>
      <c r="C584" s="1"/>
      <c r="D584" s="1"/>
      <c r="E584" s="1"/>
      <c r="F584" s="1"/>
      <c r="G584" s="1"/>
      <c r="H584" s="1"/>
      <c r="I584" t="str">
        <f>IFERROR(INDEX('تشخيص الحالات'!$D$2:$D$1001,SUMPRODUCT(('تشخيص الحالات'!$B$2:$B$1001=B584)*('تشخيص الحالات'!$G$2:$G$1001=1)*ROW('تشخيص الحالات'!$B$2:$B$1001))-1),"")&amp;IF(SUMPRODUCT(('تشخيص الحالات'!$B$2:$B$1001=B584)*('تشخيص الحالات'!$G$2:$G$1001=2))&gt;0,"، "&amp;IFERROR(INDEX('تشخيص الحالات'!$D$2:$D$1001,SUMPRODUCT(('تشخيص الحالات'!$B$2:$B$1001=B584)*('تشخيص الحالات'!$G$2:$G$1001=2)*ROW('تشخيص الحالات'!$B$2:$B$1001))-1),""),"")&amp;IF(SUMPRODUCT(('تشخيص الحالات'!$B$2:$B$1001=B584)*('تشخيص الحالات'!$G$2:$G$1001=3))&gt;0,"، "&amp;IFERROR(INDEX('تشخيص الحالات'!$D$2:$D$1001,SUMPRODUCT(('تشخيص الحالات'!$B$2:$B$1001=B584)*('تشخيص الحالات'!$G$2:$G$1001=3)*ROW('تشخيص الحالات'!$B$2:$B$1001))-1),""),"")&amp;IF(SUMPRODUCT(('تشخيص الحالات'!$B$2:$B$1001=B584)*('تشخيص الحالات'!$G$2:$G$1001=4))&gt;0,"، "&amp;IFERROR(INDEX('تشخيص الحالات'!$D$2:$D$1001,SUMPRODUCT(('تشخيص الحالات'!$B$2:$B$1001=B584)*('تشخيص الحالات'!$G$2:$G$1001=4)*ROW('تشخيص الحالات'!$B$2:$B$1001))-1),""),"")&amp;IF(SUMPRODUCT(('تشخيص الحالات'!$B$2:$B$1001=B584)*('تشخيص الحالات'!$G$2:$G$1001=5))&gt;0,"، "&amp;IFERROR(INDEX('تشخيص الحالات'!$D$2:$D$1001,SUMPRODUCT(('تشخيص الحالات'!$B$2:$B$1001=B584)*('تشخيص الحالات'!$G$2:$G$1001=5)*ROW('تشخيص الحالات'!$B$2:$B$1001))-1),""),"")&amp;IF(SUMPRODUCT(('تشخيص الحالات'!$B$2:$B$1001=B584)*('تشخيص الحالات'!$G$2:$G$1001=6))&gt;0,"، "&amp;IFERROR(INDEX('تشخيص الحالات'!$D$2:$D$1001,SUMPRODUCT(('تشخيص الحالات'!$B$2:$B$1001=B584)*('تشخيص الحالات'!$G$2:$G$1001=6)*ROW('تشخيص الحالات'!$B$2:$B$1001))-1),""),"")&amp;IF(SUMPRODUCT(('تشخيص الحالات'!$B$2:$B$1001=B584)*('تشخيص الحالات'!$G$2:$G$1001=7))&gt;0,"، "&amp;IFERROR(INDEX('تشخيص الحالات'!$D$2:$D$1001,SUMPRODUCT(('تشخيص الحالات'!$B$2:$B$1001=B584)*('تشخيص الحالات'!$G$2:$G$1001=7)*ROW('تشخيص الحالات'!$B$2:$B$1001))-1),""),"")&amp;IF(SUMPRODUCT(('تشخيص الحالات'!$B$2:$B$1001=B584)*('تشخيص الحالات'!$G$2:$G$1001=8))&gt;0,"، "&amp;IFERROR(INDEX('تشخيص الحالات'!$D$2:$D$1001,SUMPRODUCT(('تشخيص الحالات'!$B$2:$B$1001=B584)*('تشخيص الحالات'!$G$2:$G$1001=8)*ROW('تشخيص الحالات'!$B$2:$B$1001))-1),""),"")</f>
        <v/>
      </c>
      <c r="J584" s="1"/>
      <c r="K584" s="1"/>
      <c r="L584" s="1"/>
      <c r="M584" s="1"/>
    </row>
    <row r="585" spans="1:13" x14ac:dyDescent="0.2">
      <c r="A585" s="1"/>
      <c r="B585" s="1"/>
      <c r="C585" s="1"/>
      <c r="D585" s="1"/>
      <c r="E585" s="1"/>
      <c r="F585" s="1"/>
      <c r="G585" s="1"/>
      <c r="H585" s="1"/>
      <c r="I585" t="str">
        <f>IFERROR(INDEX('تشخيص الحالات'!$D$2:$D$1001,SUMPRODUCT(('تشخيص الحالات'!$B$2:$B$1001=B585)*('تشخيص الحالات'!$G$2:$G$1001=1)*ROW('تشخيص الحالات'!$B$2:$B$1001))-1),"")&amp;IF(SUMPRODUCT(('تشخيص الحالات'!$B$2:$B$1001=B585)*('تشخيص الحالات'!$G$2:$G$1001=2))&gt;0,"، "&amp;IFERROR(INDEX('تشخيص الحالات'!$D$2:$D$1001,SUMPRODUCT(('تشخيص الحالات'!$B$2:$B$1001=B585)*('تشخيص الحالات'!$G$2:$G$1001=2)*ROW('تشخيص الحالات'!$B$2:$B$1001))-1),""),"")&amp;IF(SUMPRODUCT(('تشخيص الحالات'!$B$2:$B$1001=B585)*('تشخيص الحالات'!$G$2:$G$1001=3))&gt;0,"، "&amp;IFERROR(INDEX('تشخيص الحالات'!$D$2:$D$1001,SUMPRODUCT(('تشخيص الحالات'!$B$2:$B$1001=B585)*('تشخيص الحالات'!$G$2:$G$1001=3)*ROW('تشخيص الحالات'!$B$2:$B$1001))-1),""),"")&amp;IF(SUMPRODUCT(('تشخيص الحالات'!$B$2:$B$1001=B585)*('تشخيص الحالات'!$G$2:$G$1001=4))&gt;0,"، "&amp;IFERROR(INDEX('تشخيص الحالات'!$D$2:$D$1001,SUMPRODUCT(('تشخيص الحالات'!$B$2:$B$1001=B585)*('تشخيص الحالات'!$G$2:$G$1001=4)*ROW('تشخيص الحالات'!$B$2:$B$1001))-1),""),"")&amp;IF(SUMPRODUCT(('تشخيص الحالات'!$B$2:$B$1001=B585)*('تشخيص الحالات'!$G$2:$G$1001=5))&gt;0,"، "&amp;IFERROR(INDEX('تشخيص الحالات'!$D$2:$D$1001,SUMPRODUCT(('تشخيص الحالات'!$B$2:$B$1001=B585)*('تشخيص الحالات'!$G$2:$G$1001=5)*ROW('تشخيص الحالات'!$B$2:$B$1001))-1),""),"")&amp;IF(SUMPRODUCT(('تشخيص الحالات'!$B$2:$B$1001=B585)*('تشخيص الحالات'!$G$2:$G$1001=6))&gt;0,"، "&amp;IFERROR(INDEX('تشخيص الحالات'!$D$2:$D$1001,SUMPRODUCT(('تشخيص الحالات'!$B$2:$B$1001=B585)*('تشخيص الحالات'!$G$2:$G$1001=6)*ROW('تشخيص الحالات'!$B$2:$B$1001))-1),""),"")&amp;IF(SUMPRODUCT(('تشخيص الحالات'!$B$2:$B$1001=B585)*('تشخيص الحالات'!$G$2:$G$1001=7))&gt;0,"، "&amp;IFERROR(INDEX('تشخيص الحالات'!$D$2:$D$1001,SUMPRODUCT(('تشخيص الحالات'!$B$2:$B$1001=B585)*('تشخيص الحالات'!$G$2:$G$1001=7)*ROW('تشخيص الحالات'!$B$2:$B$1001))-1),""),"")&amp;IF(SUMPRODUCT(('تشخيص الحالات'!$B$2:$B$1001=B585)*('تشخيص الحالات'!$G$2:$G$1001=8))&gt;0,"، "&amp;IFERROR(INDEX('تشخيص الحالات'!$D$2:$D$1001,SUMPRODUCT(('تشخيص الحالات'!$B$2:$B$1001=B585)*('تشخيص الحالات'!$G$2:$G$1001=8)*ROW('تشخيص الحالات'!$B$2:$B$1001))-1),""),"")</f>
        <v/>
      </c>
      <c r="J585" s="1"/>
      <c r="K585" s="1"/>
      <c r="L585" s="1"/>
      <c r="M585" s="1"/>
    </row>
    <row r="586" spans="1:13" x14ac:dyDescent="0.2">
      <c r="A586" s="1"/>
      <c r="B586" s="1"/>
      <c r="C586" s="1"/>
      <c r="D586" s="1"/>
      <c r="E586" s="1"/>
      <c r="F586" s="1"/>
      <c r="G586" s="1"/>
      <c r="H586" s="1"/>
      <c r="I586" t="str">
        <f>IFERROR(INDEX('تشخيص الحالات'!$D$2:$D$1001,SUMPRODUCT(('تشخيص الحالات'!$B$2:$B$1001=B586)*('تشخيص الحالات'!$G$2:$G$1001=1)*ROW('تشخيص الحالات'!$B$2:$B$1001))-1),"")&amp;IF(SUMPRODUCT(('تشخيص الحالات'!$B$2:$B$1001=B586)*('تشخيص الحالات'!$G$2:$G$1001=2))&gt;0,"، "&amp;IFERROR(INDEX('تشخيص الحالات'!$D$2:$D$1001,SUMPRODUCT(('تشخيص الحالات'!$B$2:$B$1001=B586)*('تشخيص الحالات'!$G$2:$G$1001=2)*ROW('تشخيص الحالات'!$B$2:$B$1001))-1),""),"")&amp;IF(SUMPRODUCT(('تشخيص الحالات'!$B$2:$B$1001=B586)*('تشخيص الحالات'!$G$2:$G$1001=3))&gt;0,"، "&amp;IFERROR(INDEX('تشخيص الحالات'!$D$2:$D$1001,SUMPRODUCT(('تشخيص الحالات'!$B$2:$B$1001=B586)*('تشخيص الحالات'!$G$2:$G$1001=3)*ROW('تشخيص الحالات'!$B$2:$B$1001))-1),""),"")&amp;IF(SUMPRODUCT(('تشخيص الحالات'!$B$2:$B$1001=B586)*('تشخيص الحالات'!$G$2:$G$1001=4))&gt;0,"، "&amp;IFERROR(INDEX('تشخيص الحالات'!$D$2:$D$1001,SUMPRODUCT(('تشخيص الحالات'!$B$2:$B$1001=B586)*('تشخيص الحالات'!$G$2:$G$1001=4)*ROW('تشخيص الحالات'!$B$2:$B$1001))-1),""),"")&amp;IF(SUMPRODUCT(('تشخيص الحالات'!$B$2:$B$1001=B586)*('تشخيص الحالات'!$G$2:$G$1001=5))&gt;0,"، "&amp;IFERROR(INDEX('تشخيص الحالات'!$D$2:$D$1001,SUMPRODUCT(('تشخيص الحالات'!$B$2:$B$1001=B586)*('تشخيص الحالات'!$G$2:$G$1001=5)*ROW('تشخيص الحالات'!$B$2:$B$1001))-1),""),"")&amp;IF(SUMPRODUCT(('تشخيص الحالات'!$B$2:$B$1001=B586)*('تشخيص الحالات'!$G$2:$G$1001=6))&gt;0,"، "&amp;IFERROR(INDEX('تشخيص الحالات'!$D$2:$D$1001,SUMPRODUCT(('تشخيص الحالات'!$B$2:$B$1001=B586)*('تشخيص الحالات'!$G$2:$G$1001=6)*ROW('تشخيص الحالات'!$B$2:$B$1001))-1),""),"")&amp;IF(SUMPRODUCT(('تشخيص الحالات'!$B$2:$B$1001=B586)*('تشخيص الحالات'!$G$2:$G$1001=7))&gt;0,"، "&amp;IFERROR(INDEX('تشخيص الحالات'!$D$2:$D$1001,SUMPRODUCT(('تشخيص الحالات'!$B$2:$B$1001=B586)*('تشخيص الحالات'!$G$2:$G$1001=7)*ROW('تشخيص الحالات'!$B$2:$B$1001))-1),""),"")&amp;IF(SUMPRODUCT(('تشخيص الحالات'!$B$2:$B$1001=B586)*('تشخيص الحالات'!$G$2:$G$1001=8))&gt;0,"، "&amp;IFERROR(INDEX('تشخيص الحالات'!$D$2:$D$1001,SUMPRODUCT(('تشخيص الحالات'!$B$2:$B$1001=B586)*('تشخيص الحالات'!$G$2:$G$1001=8)*ROW('تشخيص الحالات'!$B$2:$B$1001))-1),""),"")</f>
        <v/>
      </c>
      <c r="J586" s="1"/>
      <c r="K586" s="1"/>
      <c r="L586" s="1"/>
      <c r="M586" s="1"/>
    </row>
    <row r="587" spans="1:13" x14ac:dyDescent="0.2">
      <c r="A587" s="1"/>
      <c r="B587" s="1"/>
      <c r="C587" s="1"/>
      <c r="D587" s="1"/>
      <c r="E587" s="1"/>
      <c r="F587" s="1"/>
      <c r="G587" s="1"/>
      <c r="H587" s="1"/>
      <c r="I587" t="str">
        <f>IFERROR(INDEX('تشخيص الحالات'!$D$2:$D$1001,SUMPRODUCT(('تشخيص الحالات'!$B$2:$B$1001=B587)*('تشخيص الحالات'!$G$2:$G$1001=1)*ROW('تشخيص الحالات'!$B$2:$B$1001))-1),"")&amp;IF(SUMPRODUCT(('تشخيص الحالات'!$B$2:$B$1001=B587)*('تشخيص الحالات'!$G$2:$G$1001=2))&gt;0,"، "&amp;IFERROR(INDEX('تشخيص الحالات'!$D$2:$D$1001,SUMPRODUCT(('تشخيص الحالات'!$B$2:$B$1001=B587)*('تشخيص الحالات'!$G$2:$G$1001=2)*ROW('تشخيص الحالات'!$B$2:$B$1001))-1),""),"")&amp;IF(SUMPRODUCT(('تشخيص الحالات'!$B$2:$B$1001=B587)*('تشخيص الحالات'!$G$2:$G$1001=3))&gt;0,"، "&amp;IFERROR(INDEX('تشخيص الحالات'!$D$2:$D$1001,SUMPRODUCT(('تشخيص الحالات'!$B$2:$B$1001=B587)*('تشخيص الحالات'!$G$2:$G$1001=3)*ROW('تشخيص الحالات'!$B$2:$B$1001))-1),""),"")&amp;IF(SUMPRODUCT(('تشخيص الحالات'!$B$2:$B$1001=B587)*('تشخيص الحالات'!$G$2:$G$1001=4))&gt;0,"، "&amp;IFERROR(INDEX('تشخيص الحالات'!$D$2:$D$1001,SUMPRODUCT(('تشخيص الحالات'!$B$2:$B$1001=B587)*('تشخيص الحالات'!$G$2:$G$1001=4)*ROW('تشخيص الحالات'!$B$2:$B$1001))-1),""),"")&amp;IF(SUMPRODUCT(('تشخيص الحالات'!$B$2:$B$1001=B587)*('تشخيص الحالات'!$G$2:$G$1001=5))&gt;0,"، "&amp;IFERROR(INDEX('تشخيص الحالات'!$D$2:$D$1001,SUMPRODUCT(('تشخيص الحالات'!$B$2:$B$1001=B587)*('تشخيص الحالات'!$G$2:$G$1001=5)*ROW('تشخيص الحالات'!$B$2:$B$1001))-1),""),"")&amp;IF(SUMPRODUCT(('تشخيص الحالات'!$B$2:$B$1001=B587)*('تشخيص الحالات'!$G$2:$G$1001=6))&gt;0,"، "&amp;IFERROR(INDEX('تشخيص الحالات'!$D$2:$D$1001,SUMPRODUCT(('تشخيص الحالات'!$B$2:$B$1001=B587)*('تشخيص الحالات'!$G$2:$G$1001=6)*ROW('تشخيص الحالات'!$B$2:$B$1001))-1),""),"")&amp;IF(SUMPRODUCT(('تشخيص الحالات'!$B$2:$B$1001=B587)*('تشخيص الحالات'!$G$2:$G$1001=7))&gt;0,"، "&amp;IFERROR(INDEX('تشخيص الحالات'!$D$2:$D$1001,SUMPRODUCT(('تشخيص الحالات'!$B$2:$B$1001=B587)*('تشخيص الحالات'!$G$2:$G$1001=7)*ROW('تشخيص الحالات'!$B$2:$B$1001))-1),""),"")&amp;IF(SUMPRODUCT(('تشخيص الحالات'!$B$2:$B$1001=B587)*('تشخيص الحالات'!$G$2:$G$1001=8))&gt;0,"، "&amp;IFERROR(INDEX('تشخيص الحالات'!$D$2:$D$1001,SUMPRODUCT(('تشخيص الحالات'!$B$2:$B$1001=B587)*('تشخيص الحالات'!$G$2:$G$1001=8)*ROW('تشخيص الحالات'!$B$2:$B$1001))-1),""),"")</f>
        <v/>
      </c>
      <c r="J587" s="1"/>
      <c r="K587" s="1"/>
      <c r="L587" s="1"/>
      <c r="M587" s="1"/>
    </row>
    <row r="588" spans="1:13" x14ac:dyDescent="0.2">
      <c r="A588" s="1"/>
      <c r="B588" s="1"/>
      <c r="C588" s="1"/>
      <c r="D588" s="1"/>
      <c r="E588" s="1"/>
      <c r="F588" s="1"/>
      <c r="G588" s="1"/>
      <c r="H588" s="1"/>
      <c r="I588" t="str">
        <f>IFERROR(INDEX('تشخيص الحالات'!$D$2:$D$1001,SUMPRODUCT(('تشخيص الحالات'!$B$2:$B$1001=B588)*('تشخيص الحالات'!$G$2:$G$1001=1)*ROW('تشخيص الحالات'!$B$2:$B$1001))-1),"")&amp;IF(SUMPRODUCT(('تشخيص الحالات'!$B$2:$B$1001=B588)*('تشخيص الحالات'!$G$2:$G$1001=2))&gt;0,"، "&amp;IFERROR(INDEX('تشخيص الحالات'!$D$2:$D$1001,SUMPRODUCT(('تشخيص الحالات'!$B$2:$B$1001=B588)*('تشخيص الحالات'!$G$2:$G$1001=2)*ROW('تشخيص الحالات'!$B$2:$B$1001))-1),""),"")&amp;IF(SUMPRODUCT(('تشخيص الحالات'!$B$2:$B$1001=B588)*('تشخيص الحالات'!$G$2:$G$1001=3))&gt;0,"، "&amp;IFERROR(INDEX('تشخيص الحالات'!$D$2:$D$1001,SUMPRODUCT(('تشخيص الحالات'!$B$2:$B$1001=B588)*('تشخيص الحالات'!$G$2:$G$1001=3)*ROW('تشخيص الحالات'!$B$2:$B$1001))-1),""),"")&amp;IF(SUMPRODUCT(('تشخيص الحالات'!$B$2:$B$1001=B588)*('تشخيص الحالات'!$G$2:$G$1001=4))&gt;0,"، "&amp;IFERROR(INDEX('تشخيص الحالات'!$D$2:$D$1001,SUMPRODUCT(('تشخيص الحالات'!$B$2:$B$1001=B588)*('تشخيص الحالات'!$G$2:$G$1001=4)*ROW('تشخيص الحالات'!$B$2:$B$1001))-1),""),"")&amp;IF(SUMPRODUCT(('تشخيص الحالات'!$B$2:$B$1001=B588)*('تشخيص الحالات'!$G$2:$G$1001=5))&gt;0,"، "&amp;IFERROR(INDEX('تشخيص الحالات'!$D$2:$D$1001,SUMPRODUCT(('تشخيص الحالات'!$B$2:$B$1001=B588)*('تشخيص الحالات'!$G$2:$G$1001=5)*ROW('تشخيص الحالات'!$B$2:$B$1001))-1),""),"")&amp;IF(SUMPRODUCT(('تشخيص الحالات'!$B$2:$B$1001=B588)*('تشخيص الحالات'!$G$2:$G$1001=6))&gt;0,"، "&amp;IFERROR(INDEX('تشخيص الحالات'!$D$2:$D$1001,SUMPRODUCT(('تشخيص الحالات'!$B$2:$B$1001=B588)*('تشخيص الحالات'!$G$2:$G$1001=6)*ROW('تشخيص الحالات'!$B$2:$B$1001))-1),""),"")&amp;IF(SUMPRODUCT(('تشخيص الحالات'!$B$2:$B$1001=B588)*('تشخيص الحالات'!$G$2:$G$1001=7))&gt;0,"، "&amp;IFERROR(INDEX('تشخيص الحالات'!$D$2:$D$1001,SUMPRODUCT(('تشخيص الحالات'!$B$2:$B$1001=B588)*('تشخيص الحالات'!$G$2:$G$1001=7)*ROW('تشخيص الحالات'!$B$2:$B$1001))-1),""),"")&amp;IF(SUMPRODUCT(('تشخيص الحالات'!$B$2:$B$1001=B588)*('تشخيص الحالات'!$G$2:$G$1001=8))&gt;0,"، "&amp;IFERROR(INDEX('تشخيص الحالات'!$D$2:$D$1001,SUMPRODUCT(('تشخيص الحالات'!$B$2:$B$1001=B588)*('تشخيص الحالات'!$G$2:$G$1001=8)*ROW('تشخيص الحالات'!$B$2:$B$1001))-1),""),"")</f>
        <v/>
      </c>
      <c r="J588" s="1"/>
      <c r="K588" s="1"/>
      <c r="L588" s="1"/>
      <c r="M588" s="1"/>
    </row>
    <row r="589" spans="1:13" x14ac:dyDescent="0.2">
      <c r="A589" s="1"/>
      <c r="B589" s="1"/>
      <c r="C589" s="1"/>
      <c r="D589" s="1"/>
      <c r="E589" s="1"/>
      <c r="F589" s="1"/>
      <c r="G589" s="1"/>
      <c r="H589" s="1"/>
      <c r="I589" t="str">
        <f>IFERROR(INDEX('تشخيص الحالات'!$D$2:$D$1001,SUMPRODUCT(('تشخيص الحالات'!$B$2:$B$1001=B589)*('تشخيص الحالات'!$G$2:$G$1001=1)*ROW('تشخيص الحالات'!$B$2:$B$1001))-1),"")&amp;IF(SUMPRODUCT(('تشخيص الحالات'!$B$2:$B$1001=B589)*('تشخيص الحالات'!$G$2:$G$1001=2))&gt;0,"، "&amp;IFERROR(INDEX('تشخيص الحالات'!$D$2:$D$1001,SUMPRODUCT(('تشخيص الحالات'!$B$2:$B$1001=B589)*('تشخيص الحالات'!$G$2:$G$1001=2)*ROW('تشخيص الحالات'!$B$2:$B$1001))-1),""),"")&amp;IF(SUMPRODUCT(('تشخيص الحالات'!$B$2:$B$1001=B589)*('تشخيص الحالات'!$G$2:$G$1001=3))&gt;0,"، "&amp;IFERROR(INDEX('تشخيص الحالات'!$D$2:$D$1001,SUMPRODUCT(('تشخيص الحالات'!$B$2:$B$1001=B589)*('تشخيص الحالات'!$G$2:$G$1001=3)*ROW('تشخيص الحالات'!$B$2:$B$1001))-1),""),"")&amp;IF(SUMPRODUCT(('تشخيص الحالات'!$B$2:$B$1001=B589)*('تشخيص الحالات'!$G$2:$G$1001=4))&gt;0,"، "&amp;IFERROR(INDEX('تشخيص الحالات'!$D$2:$D$1001,SUMPRODUCT(('تشخيص الحالات'!$B$2:$B$1001=B589)*('تشخيص الحالات'!$G$2:$G$1001=4)*ROW('تشخيص الحالات'!$B$2:$B$1001))-1),""),"")&amp;IF(SUMPRODUCT(('تشخيص الحالات'!$B$2:$B$1001=B589)*('تشخيص الحالات'!$G$2:$G$1001=5))&gt;0,"، "&amp;IFERROR(INDEX('تشخيص الحالات'!$D$2:$D$1001,SUMPRODUCT(('تشخيص الحالات'!$B$2:$B$1001=B589)*('تشخيص الحالات'!$G$2:$G$1001=5)*ROW('تشخيص الحالات'!$B$2:$B$1001))-1),""),"")&amp;IF(SUMPRODUCT(('تشخيص الحالات'!$B$2:$B$1001=B589)*('تشخيص الحالات'!$G$2:$G$1001=6))&gt;0,"، "&amp;IFERROR(INDEX('تشخيص الحالات'!$D$2:$D$1001,SUMPRODUCT(('تشخيص الحالات'!$B$2:$B$1001=B589)*('تشخيص الحالات'!$G$2:$G$1001=6)*ROW('تشخيص الحالات'!$B$2:$B$1001))-1),""),"")&amp;IF(SUMPRODUCT(('تشخيص الحالات'!$B$2:$B$1001=B589)*('تشخيص الحالات'!$G$2:$G$1001=7))&gt;0,"، "&amp;IFERROR(INDEX('تشخيص الحالات'!$D$2:$D$1001,SUMPRODUCT(('تشخيص الحالات'!$B$2:$B$1001=B589)*('تشخيص الحالات'!$G$2:$G$1001=7)*ROW('تشخيص الحالات'!$B$2:$B$1001))-1),""),"")&amp;IF(SUMPRODUCT(('تشخيص الحالات'!$B$2:$B$1001=B589)*('تشخيص الحالات'!$G$2:$G$1001=8))&gt;0,"، "&amp;IFERROR(INDEX('تشخيص الحالات'!$D$2:$D$1001,SUMPRODUCT(('تشخيص الحالات'!$B$2:$B$1001=B589)*('تشخيص الحالات'!$G$2:$G$1001=8)*ROW('تشخيص الحالات'!$B$2:$B$1001))-1),""),"")</f>
        <v/>
      </c>
      <c r="J589" s="1"/>
      <c r="K589" s="1"/>
      <c r="L589" s="1"/>
      <c r="M589" s="1"/>
    </row>
    <row r="590" spans="1:13" x14ac:dyDescent="0.2">
      <c r="A590" s="1"/>
      <c r="B590" s="1"/>
      <c r="C590" s="1"/>
      <c r="D590" s="1"/>
      <c r="E590" s="1"/>
      <c r="F590" s="1"/>
      <c r="G590" s="1"/>
      <c r="H590" s="1"/>
      <c r="I590" t="str">
        <f>IFERROR(INDEX('تشخيص الحالات'!$D$2:$D$1001,SUMPRODUCT(('تشخيص الحالات'!$B$2:$B$1001=B590)*('تشخيص الحالات'!$G$2:$G$1001=1)*ROW('تشخيص الحالات'!$B$2:$B$1001))-1),"")&amp;IF(SUMPRODUCT(('تشخيص الحالات'!$B$2:$B$1001=B590)*('تشخيص الحالات'!$G$2:$G$1001=2))&gt;0,"، "&amp;IFERROR(INDEX('تشخيص الحالات'!$D$2:$D$1001,SUMPRODUCT(('تشخيص الحالات'!$B$2:$B$1001=B590)*('تشخيص الحالات'!$G$2:$G$1001=2)*ROW('تشخيص الحالات'!$B$2:$B$1001))-1),""),"")&amp;IF(SUMPRODUCT(('تشخيص الحالات'!$B$2:$B$1001=B590)*('تشخيص الحالات'!$G$2:$G$1001=3))&gt;0,"، "&amp;IFERROR(INDEX('تشخيص الحالات'!$D$2:$D$1001,SUMPRODUCT(('تشخيص الحالات'!$B$2:$B$1001=B590)*('تشخيص الحالات'!$G$2:$G$1001=3)*ROW('تشخيص الحالات'!$B$2:$B$1001))-1),""),"")&amp;IF(SUMPRODUCT(('تشخيص الحالات'!$B$2:$B$1001=B590)*('تشخيص الحالات'!$G$2:$G$1001=4))&gt;0,"، "&amp;IFERROR(INDEX('تشخيص الحالات'!$D$2:$D$1001,SUMPRODUCT(('تشخيص الحالات'!$B$2:$B$1001=B590)*('تشخيص الحالات'!$G$2:$G$1001=4)*ROW('تشخيص الحالات'!$B$2:$B$1001))-1),""),"")&amp;IF(SUMPRODUCT(('تشخيص الحالات'!$B$2:$B$1001=B590)*('تشخيص الحالات'!$G$2:$G$1001=5))&gt;0,"، "&amp;IFERROR(INDEX('تشخيص الحالات'!$D$2:$D$1001,SUMPRODUCT(('تشخيص الحالات'!$B$2:$B$1001=B590)*('تشخيص الحالات'!$G$2:$G$1001=5)*ROW('تشخيص الحالات'!$B$2:$B$1001))-1),""),"")&amp;IF(SUMPRODUCT(('تشخيص الحالات'!$B$2:$B$1001=B590)*('تشخيص الحالات'!$G$2:$G$1001=6))&gt;0,"، "&amp;IFERROR(INDEX('تشخيص الحالات'!$D$2:$D$1001,SUMPRODUCT(('تشخيص الحالات'!$B$2:$B$1001=B590)*('تشخيص الحالات'!$G$2:$G$1001=6)*ROW('تشخيص الحالات'!$B$2:$B$1001))-1),""),"")&amp;IF(SUMPRODUCT(('تشخيص الحالات'!$B$2:$B$1001=B590)*('تشخيص الحالات'!$G$2:$G$1001=7))&gt;0,"، "&amp;IFERROR(INDEX('تشخيص الحالات'!$D$2:$D$1001,SUMPRODUCT(('تشخيص الحالات'!$B$2:$B$1001=B590)*('تشخيص الحالات'!$G$2:$G$1001=7)*ROW('تشخيص الحالات'!$B$2:$B$1001))-1),""),"")&amp;IF(SUMPRODUCT(('تشخيص الحالات'!$B$2:$B$1001=B590)*('تشخيص الحالات'!$G$2:$G$1001=8))&gt;0,"، "&amp;IFERROR(INDEX('تشخيص الحالات'!$D$2:$D$1001,SUMPRODUCT(('تشخيص الحالات'!$B$2:$B$1001=B590)*('تشخيص الحالات'!$G$2:$G$1001=8)*ROW('تشخيص الحالات'!$B$2:$B$1001))-1),""),"")</f>
        <v/>
      </c>
      <c r="J590" s="1"/>
      <c r="K590" s="1"/>
      <c r="L590" s="1"/>
      <c r="M590" s="1"/>
    </row>
    <row r="591" spans="1:13" x14ac:dyDescent="0.2">
      <c r="A591" s="1"/>
      <c r="B591" s="1"/>
      <c r="C591" s="1"/>
      <c r="D591" s="1"/>
      <c r="E591" s="1"/>
      <c r="F591" s="1"/>
      <c r="G591" s="1"/>
      <c r="H591" s="1"/>
      <c r="I591" t="str">
        <f>IFERROR(INDEX('تشخيص الحالات'!$D$2:$D$1001,SUMPRODUCT(('تشخيص الحالات'!$B$2:$B$1001=B591)*('تشخيص الحالات'!$G$2:$G$1001=1)*ROW('تشخيص الحالات'!$B$2:$B$1001))-1),"")&amp;IF(SUMPRODUCT(('تشخيص الحالات'!$B$2:$B$1001=B591)*('تشخيص الحالات'!$G$2:$G$1001=2))&gt;0,"، "&amp;IFERROR(INDEX('تشخيص الحالات'!$D$2:$D$1001,SUMPRODUCT(('تشخيص الحالات'!$B$2:$B$1001=B591)*('تشخيص الحالات'!$G$2:$G$1001=2)*ROW('تشخيص الحالات'!$B$2:$B$1001))-1),""),"")&amp;IF(SUMPRODUCT(('تشخيص الحالات'!$B$2:$B$1001=B591)*('تشخيص الحالات'!$G$2:$G$1001=3))&gt;0,"، "&amp;IFERROR(INDEX('تشخيص الحالات'!$D$2:$D$1001,SUMPRODUCT(('تشخيص الحالات'!$B$2:$B$1001=B591)*('تشخيص الحالات'!$G$2:$G$1001=3)*ROW('تشخيص الحالات'!$B$2:$B$1001))-1),""),"")&amp;IF(SUMPRODUCT(('تشخيص الحالات'!$B$2:$B$1001=B591)*('تشخيص الحالات'!$G$2:$G$1001=4))&gt;0,"، "&amp;IFERROR(INDEX('تشخيص الحالات'!$D$2:$D$1001,SUMPRODUCT(('تشخيص الحالات'!$B$2:$B$1001=B591)*('تشخيص الحالات'!$G$2:$G$1001=4)*ROW('تشخيص الحالات'!$B$2:$B$1001))-1),""),"")&amp;IF(SUMPRODUCT(('تشخيص الحالات'!$B$2:$B$1001=B591)*('تشخيص الحالات'!$G$2:$G$1001=5))&gt;0,"، "&amp;IFERROR(INDEX('تشخيص الحالات'!$D$2:$D$1001,SUMPRODUCT(('تشخيص الحالات'!$B$2:$B$1001=B591)*('تشخيص الحالات'!$G$2:$G$1001=5)*ROW('تشخيص الحالات'!$B$2:$B$1001))-1),""),"")&amp;IF(SUMPRODUCT(('تشخيص الحالات'!$B$2:$B$1001=B591)*('تشخيص الحالات'!$G$2:$G$1001=6))&gt;0,"، "&amp;IFERROR(INDEX('تشخيص الحالات'!$D$2:$D$1001,SUMPRODUCT(('تشخيص الحالات'!$B$2:$B$1001=B591)*('تشخيص الحالات'!$G$2:$G$1001=6)*ROW('تشخيص الحالات'!$B$2:$B$1001))-1),""),"")&amp;IF(SUMPRODUCT(('تشخيص الحالات'!$B$2:$B$1001=B591)*('تشخيص الحالات'!$G$2:$G$1001=7))&gt;0,"، "&amp;IFERROR(INDEX('تشخيص الحالات'!$D$2:$D$1001,SUMPRODUCT(('تشخيص الحالات'!$B$2:$B$1001=B591)*('تشخيص الحالات'!$G$2:$G$1001=7)*ROW('تشخيص الحالات'!$B$2:$B$1001))-1),""),"")&amp;IF(SUMPRODUCT(('تشخيص الحالات'!$B$2:$B$1001=B591)*('تشخيص الحالات'!$G$2:$G$1001=8))&gt;0,"، "&amp;IFERROR(INDEX('تشخيص الحالات'!$D$2:$D$1001,SUMPRODUCT(('تشخيص الحالات'!$B$2:$B$1001=B591)*('تشخيص الحالات'!$G$2:$G$1001=8)*ROW('تشخيص الحالات'!$B$2:$B$1001))-1),""),"")</f>
        <v/>
      </c>
      <c r="J591" s="1"/>
      <c r="K591" s="1"/>
      <c r="L591" s="1"/>
      <c r="M591" s="1"/>
    </row>
    <row r="592" spans="1:13" x14ac:dyDescent="0.2">
      <c r="A592" s="1"/>
      <c r="B592" s="1"/>
      <c r="C592" s="1"/>
      <c r="D592" s="1"/>
      <c r="E592" s="1"/>
      <c r="F592" s="1"/>
      <c r="G592" s="1"/>
      <c r="H592" s="1"/>
      <c r="I592" t="str">
        <f>IFERROR(INDEX('تشخيص الحالات'!$D$2:$D$1001,SUMPRODUCT(('تشخيص الحالات'!$B$2:$B$1001=B592)*('تشخيص الحالات'!$G$2:$G$1001=1)*ROW('تشخيص الحالات'!$B$2:$B$1001))-1),"")&amp;IF(SUMPRODUCT(('تشخيص الحالات'!$B$2:$B$1001=B592)*('تشخيص الحالات'!$G$2:$G$1001=2))&gt;0,"، "&amp;IFERROR(INDEX('تشخيص الحالات'!$D$2:$D$1001,SUMPRODUCT(('تشخيص الحالات'!$B$2:$B$1001=B592)*('تشخيص الحالات'!$G$2:$G$1001=2)*ROW('تشخيص الحالات'!$B$2:$B$1001))-1),""),"")&amp;IF(SUMPRODUCT(('تشخيص الحالات'!$B$2:$B$1001=B592)*('تشخيص الحالات'!$G$2:$G$1001=3))&gt;0,"، "&amp;IFERROR(INDEX('تشخيص الحالات'!$D$2:$D$1001,SUMPRODUCT(('تشخيص الحالات'!$B$2:$B$1001=B592)*('تشخيص الحالات'!$G$2:$G$1001=3)*ROW('تشخيص الحالات'!$B$2:$B$1001))-1),""),"")&amp;IF(SUMPRODUCT(('تشخيص الحالات'!$B$2:$B$1001=B592)*('تشخيص الحالات'!$G$2:$G$1001=4))&gt;0,"، "&amp;IFERROR(INDEX('تشخيص الحالات'!$D$2:$D$1001,SUMPRODUCT(('تشخيص الحالات'!$B$2:$B$1001=B592)*('تشخيص الحالات'!$G$2:$G$1001=4)*ROW('تشخيص الحالات'!$B$2:$B$1001))-1),""),"")&amp;IF(SUMPRODUCT(('تشخيص الحالات'!$B$2:$B$1001=B592)*('تشخيص الحالات'!$G$2:$G$1001=5))&gt;0,"، "&amp;IFERROR(INDEX('تشخيص الحالات'!$D$2:$D$1001,SUMPRODUCT(('تشخيص الحالات'!$B$2:$B$1001=B592)*('تشخيص الحالات'!$G$2:$G$1001=5)*ROW('تشخيص الحالات'!$B$2:$B$1001))-1),""),"")&amp;IF(SUMPRODUCT(('تشخيص الحالات'!$B$2:$B$1001=B592)*('تشخيص الحالات'!$G$2:$G$1001=6))&gt;0,"، "&amp;IFERROR(INDEX('تشخيص الحالات'!$D$2:$D$1001,SUMPRODUCT(('تشخيص الحالات'!$B$2:$B$1001=B592)*('تشخيص الحالات'!$G$2:$G$1001=6)*ROW('تشخيص الحالات'!$B$2:$B$1001))-1),""),"")&amp;IF(SUMPRODUCT(('تشخيص الحالات'!$B$2:$B$1001=B592)*('تشخيص الحالات'!$G$2:$G$1001=7))&gt;0,"، "&amp;IFERROR(INDEX('تشخيص الحالات'!$D$2:$D$1001,SUMPRODUCT(('تشخيص الحالات'!$B$2:$B$1001=B592)*('تشخيص الحالات'!$G$2:$G$1001=7)*ROW('تشخيص الحالات'!$B$2:$B$1001))-1),""),"")&amp;IF(SUMPRODUCT(('تشخيص الحالات'!$B$2:$B$1001=B592)*('تشخيص الحالات'!$G$2:$G$1001=8))&gt;0,"، "&amp;IFERROR(INDEX('تشخيص الحالات'!$D$2:$D$1001,SUMPRODUCT(('تشخيص الحالات'!$B$2:$B$1001=B592)*('تشخيص الحالات'!$G$2:$G$1001=8)*ROW('تشخيص الحالات'!$B$2:$B$1001))-1),""),"")</f>
        <v/>
      </c>
      <c r="J592" s="1"/>
      <c r="K592" s="1"/>
      <c r="L592" s="1"/>
      <c r="M592" s="1"/>
    </row>
    <row r="593" spans="1:13" x14ac:dyDescent="0.2">
      <c r="A593" s="1"/>
      <c r="B593" s="1"/>
      <c r="C593" s="1"/>
      <c r="D593" s="1"/>
      <c r="E593" s="1"/>
      <c r="F593" s="1"/>
      <c r="G593" s="1"/>
      <c r="H593" s="1"/>
      <c r="I593" t="str">
        <f>IFERROR(INDEX('تشخيص الحالات'!$D$2:$D$1001,SUMPRODUCT(('تشخيص الحالات'!$B$2:$B$1001=B593)*('تشخيص الحالات'!$G$2:$G$1001=1)*ROW('تشخيص الحالات'!$B$2:$B$1001))-1),"")&amp;IF(SUMPRODUCT(('تشخيص الحالات'!$B$2:$B$1001=B593)*('تشخيص الحالات'!$G$2:$G$1001=2))&gt;0,"، "&amp;IFERROR(INDEX('تشخيص الحالات'!$D$2:$D$1001,SUMPRODUCT(('تشخيص الحالات'!$B$2:$B$1001=B593)*('تشخيص الحالات'!$G$2:$G$1001=2)*ROW('تشخيص الحالات'!$B$2:$B$1001))-1),""),"")&amp;IF(SUMPRODUCT(('تشخيص الحالات'!$B$2:$B$1001=B593)*('تشخيص الحالات'!$G$2:$G$1001=3))&gt;0,"، "&amp;IFERROR(INDEX('تشخيص الحالات'!$D$2:$D$1001,SUMPRODUCT(('تشخيص الحالات'!$B$2:$B$1001=B593)*('تشخيص الحالات'!$G$2:$G$1001=3)*ROW('تشخيص الحالات'!$B$2:$B$1001))-1),""),"")&amp;IF(SUMPRODUCT(('تشخيص الحالات'!$B$2:$B$1001=B593)*('تشخيص الحالات'!$G$2:$G$1001=4))&gt;0,"، "&amp;IFERROR(INDEX('تشخيص الحالات'!$D$2:$D$1001,SUMPRODUCT(('تشخيص الحالات'!$B$2:$B$1001=B593)*('تشخيص الحالات'!$G$2:$G$1001=4)*ROW('تشخيص الحالات'!$B$2:$B$1001))-1),""),"")&amp;IF(SUMPRODUCT(('تشخيص الحالات'!$B$2:$B$1001=B593)*('تشخيص الحالات'!$G$2:$G$1001=5))&gt;0,"، "&amp;IFERROR(INDEX('تشخيص الحالات'!$D$2:$D$1001,SUMPRODUCT(('تشخيص الحالات'!$B$2:$B$1001=B593)*('تشخيص الحالات'!$G$2:$G$1001=5)*ROW('تشخيص الحالات'!$B$2:$B$1001))-1),""),"")&amp;IF(SUMPRODUCT(('تشخيص الحالات'!$B$2:$B$1001=B593)*('تشخيص الحالات'!$G$2:$G$1001=6))&gt;0,"، "&amp;IFERROR(INDEX('تشخيص الحالات'!$D$2:$D$1001,SUMPRODUCT(('تشخيص الحالات'!$B$2:$B$1001=B593)*('تشخيص الحالات'!$G$2:$G$1001=6)*ROW('تشخيص الحالات'!$B$2:$B$1001))-1),""),"")&amp;IF(SUMPRODUCT(('تشخيص الحالات'!$B$2:$B$1001=B593)*('تشخيص الحالات'!$G$2:$G$1001=7))&gt;0,"، "&amp;IFERROR(INDEX('تشخيص الحالات'!$D$2:$D$1001,SUMPRODUCT(('تشخيص الحالات'!$B$2:$B$1001=B593)*('تشخيص الحالات'!$G$2:$G$1001=7)*ROW('تشخيص الحالات'!$B$2:$B$1001))-1),""),"")&amp;IF(SUMPRODUCT(('تشخيص الحالات'!$B$2:$B$1001=B593)*('تشخيص الحالات'!$G$2:$G$1001=8))&gt;0,"، "&amp;IFERROR(INDEX('تشخيص الحالات'!$D$2:$D$1001,SUMPRODUCT(('تشخيص الحالات'!$B$2:$B$1001=B593)*('تشخيص الحالات'!$G$2:$G$1001=8)*ROW('تشخيص الحالات'!$B$2:$B$1001))-1),""),"")</f>
        <v/>
      </c>
      <c r="J593" s="1"/>
      <c r="K593" s="1"/>
      <c r="L593" s="1"/>
      <c r="M593" s="1"/>
    </row>
    <row r="594" spans="1:13" x14ac:dyDescent="0.2">
      <c r="A594" s="1"/>
      <c r="B594" s="1"/>
      <c r="C594" s="1"/>
      <c r="D594" s="1"/>
      <c r="E594" s="1"/>
      <c r="F594" s="1"/>
      <c r="G594" s="1"/>
      <c r="H594" s="1"/>
      <c r="I594" t="str">
        <f>IFERROR(INDEX('تشخيص الحالات'!$D$2:$D$1001,SUMPRODUCT(('تشخيص الحالات'!$B$2:$B$1001=B594)*('تشخيص الحالات'!$G$2:$G$1001=1)*ROW('تشخيص الحالات'!$B$2:$B$1001))-1),"")&amp;IF(SUMPRODUCT(('تشخيص الحالات'!$B$2:$B$1001=B594)*('تشخيص الحالات'!$G$2:$G$1001=2))&gt;0,"، "&amp;IFERROR(INDEX('تشخيص الحالات'!$D$2:$D$1001,SUMPRODUCT(('تشخيص الحالات'!$B$2:$B$1001=B594)*('تشخيص الحالات'!$G$2:$G$1001=2)*ROW('تشخيص الحالات'!$B$2:$B$1001))-1),""),"")&amp;IF(SUMPRODUCT(('تشخيص الحالات'!$B$2:$B$1001=B594)*('تشخيص الحالات'!$G$2:$G$1001=3))&gt;0,"، "&amp;IFERROR(INDEX('تشخيص الحالات'!$D$2:$D$1001,SUMPRODUCT(('تشخيص الحالات'!$B$2:$B$1001=B594)*('تشخيص الحالات'!$G$2:$G$1001=3)*ROW('تشخيص الحالات'!$B$2:$B$1001))-1),""),"")&amp;IF(SUMPRODUCT(('تشخيص الحالات'!$B$2:$B$1001=B594)*('تشخيص الحالات'!$G$2:$G$1001=4))&gt;0,"، "&amp;IFERROR(INDEX('تشخيص الحالات'!$D$2:$D$1001,SUMPRODUCT(('تشخيص الحالات'!$B$2:$B$1001=B594)*('تشخيص الحالات'!$G$2:$G$1001=4)*ROW('تشخيص الحالات'!$B$2:$B$1001))-1),""),"")&amp;IF(SUMPRODUCT(('تشخيص الحالات'!$B$2:$B$1001=B594)*('تشخيص الحالات'!$G$2:$G$1001=5))&gt;0,"، "&amp;IFERROR(INDEX('تشخيص الحالات'!$D$2:$D$1001,SUMPRODUCT(('تشخيص الحالات'!$B$2:$B$1001=B594)*('تشخيص الحالات'!$G$2:$G$1001=5)*ROW('تشخيص الحالات'!$B$2:$B$1001))-1),""),"")&amp;IF(SUMPRODUCT(('تشخيص الحالات'!$B$2:$B$1001=B594)*('تشخيص الحالات'!$G$2:$G$1001=6))&gt;0,"، "&amp;IFERROR(INDEX('تشخيص الحالات'!$D$2:$D$1001,SUMPRODUCT(('تشخيص الحالات'!$B$2:$B$1001=B594)*('تشخيص الحالات'!$G$2:$G$1001=6)*ROW('تشخيص الحالات'!$B$2:$B$1001))-1),""),"")&amp;IF(SUMPRODUCT(('تشخيص الحالات'!$B$2:$B$1001=B594)*('تشخيص الحالات'!$G$2:$G$1001=7))&gt;0,"، "&amp;IFERROR(INDEX('تشخيص الحالات'!$D$2:$D$1001,SUMPRODUCT(('تشخيص الحالات'!$B$2:$B$1001=B594)*('تشخيص الحالات'!$G$2:$G$1001=7)*ROW('تشخيص الحالات'!$B$2:$B$1001))-1),""),"")&amp;IF(SUMPRODUCT(('تشخيص الحالات'!$B$2:$B$1001=B594)*('تشخيص الحالات'!$G$2:$G$1001=8))&gt;0,"، "&amp;IFERROR(INDEX('تشخيص الحالات'!$D$2:$D$1001,SUMPRODUCT(('تشخيص الحالات'!$B$2:$B$1001=B594)*('تشخيص الحالات'!$G$2:$G$1001=8)*ROW('تشخيص الحالات'!$B$2:$B$1001))-1),""),"")</f>
        <v/>
      </c>
      <c r="J594" s="1"/>
      <c r="K594" s="1"/>
      <c r="L594" s="1"/>
      <c r="M594" s="1"/>
    </row>
    <row r="595" spans="1:13" x14ac:dyDescent="0.2">
      <c r="A595" s="1"/>
      <c r="B595" s="1"/>
      <c r="C595" s="1"/>
      <c r="D595" s="1"/>
      <c r="E595" s="1"/>
      <c r="F595" s="1"/>
      <c r="G595" s="1"/>
      <c r="H595" s="1"/>
      <c r="I595" t="str">
        <f>IFERROR(INDEX('تشخيص الحالات'!$D$2:$D$1001,SUMPRODUCT(('تشخيص الحالات'!$B$2:$B$1001=B595)*('تشخيص الحالات'!$G$2:$G$1001=1)*ROW('تشخيص الحالات'!$B$2:$B$1001))-1),"")&amp;IF(SUMPRODUCT(('تشخيص الحالات'!$B$2:$B$1001=B595)*('تشخيص الحالات'!$G$2:$G$1001=2))&gt;0,"، "&amp;IFERROR(INDEX('تشخيص الحالات'!$D$2:$D$1001,SUMPRODUCT(('تشخيص الحالات'!$B$2:$B$1001=B595)*('تشخيص الحالات'!$G$2:$G$1001=2)*ROW('تشخيص الحالات'!$B$2:$B$1001))-1),""),"")&amp;IF(SUMPRODUCT(('تشخيص الحالات'!$B$2:$B$1001=B595)*('تشخيص الحالات'!$G$2:$G$1001=3))&gt;0,"، "&amp;IFERROR(INDEX('تشخيص الحالات'!$D$2:$D$1001,SUMPRODUCT(('تشخيص الحالات'!$B$2:$B$1001=B595)*('تشخيص الحالات'!$G$2:$G$1001=3)*ROW('تشخيص الحالات'!$B$2:$B$1001))-1),""),"")&amp;IF(SUMPRODUCT(('تشخيص الحالات'!$B$2:$B$1001=B595)*('تشخيص الحالات'!$G$2:$G$1001=4))&gt;0,"، "&amp;IFERROR(INDEX('تشخيص الحالات'!$D$2:$D$1001,SUMPRODUCT(('تشخيص الحالات'!$B$2:$B$1001=B595)*('تشخيص الحالات'!$G$2:$G$1001=4)*ROW('تشخيص الحالات'!$B$2:$B$1001))-1),""),"")&amp;IF(SUMPRODUCT(('تشخيص الحالات'!$B$2:$B$1001=B595)*('تشخيص الحالات'!$G$2:$G$1001=5))&gt;0,"، "&amp;IFERROR(INDEX('تشخيص الحالات'!$D$2:$D$1001,SUMPRODUCT(('تشخيص الحالات'!$B$2:$B$1001=B595)*('تشخيص الحالات'!$G$2:$G$1001=5)*ROW('تشخيص الحالات'!$B$2:$B$1001))-1),""),"")&amp;IF(SUMPRODUCT(('تشخيص الحالات'!$B$2:$B$1001=B595)*('تشخيص الحالات'!$G$2:$G$1001=6))&gt;0,"، "&amp;IFERROR(INDEX('تشخيص الحالات'!$D$2:$D$1001,SUMPRODUCT(('تشخيص الحالات'!$B$2:$B$1001=B595)*('تشخيص الحالات'!$G$2:$G$1001=6)*ROW('تشخيص الحالات'!$B$2:$B$1001))-1),""),"")&amp;IF(SUMPRODUCT(('تشخيص الحالات'!$B$2:$B$1001=B595)*('تشخيص الحالات'!$G$2:$G$1001=7))&gt;0,"، "&amp;IFERROR(INDEX('تشخيص الحالات'!$D$2:$D$1001,SUMPRODUCT(('تشخيص الحالات'!$B$2:$B$1001=B595)*('تشخيص الحالات'!$G$2:$G$1001=7)*ROW('تشخيص الحالات'!$B$2:$B$1001))-1),""),"")&amp;IF(SUMPRODUCT(('تشخيص الحالات'!$B$2:$B$1001=B595)*('تشخيص الحالات'!$G$2:$G$1001=8))&gt;0,"، "&amp;IFERROR(INDEX('تشخيص الحالات'!$D$2:$D$1001,SUMPRODUCT(('تشخيص الحالات'!$B$2:$B$1001=B595)*('تشخيص الحالات'!$G$2:$G$1001=8)*ROW('تشخيص الحالات'!$B$2:$B$1001))-1),""),"")</f>
        <v/>
      </c>
      <c r="J595" s="1"/>
      <c r="K595" s="1"/>
      <c r="L595" s="1"/>
      <c r="M595" s="1"/>
    </row>
    <row r="596" spans="1:13" x14ac:dyDescent="0.2">
      <c r="A596" s="1"/>
      <c r="B596" s="1"/>
      <c r="C596" s="1"/>
      <c r="D596" s="1"/>
      <c r="E596" s="1"/>
      <c r="F596" s="1"/>
      <c r="G596" s="1"/>
      <c r="H596" s="1"/>
      <c r="I596" t="str">
        <f>IFERROR(INDEX('تشخيص الحالات'!$D$2:$D$1001,SUMPRODUCT(('تشخيص الحالات'!$B$2:$B$1001=B596)*('تشخيص الحالات'!$G$2:$G$1001=1)*ROW('تشخيص الحالات'!$B$2:$B$1001))-1),"")&amp;IF(SUMPRODUCT(('تشخيص الحالات'!$B$2:$B$1001=B596)*('تشخيص الحالات'!$G$2:$G$1001=2))&gt;0,"، "&amp;IFERROR(INDEX('تشخيص الحالات'!$D$2:$D$1001,SUMPRODUCT(('تشخيص الحالات'!$B$2:$B$1001=B596)*('تشخيص الحالات'!$G$2:$G$1001=2)*ROW('تشخيص الحالات'!$B$2:$B$1001))-1),""),"")&amp;IF(SUMPRODUCT(('تشخيص الحالات'!$B$2:$B$1001=B596)*('تشخيص الحالات'!$G$2:$G$1001=3))&gt;0,"، "&amp;IFERROR(INDEX('تشخيص الحالات'!$D$2:$D$1001,SUMPRODUCT(('تشخيص الحالات'!$B$2:$B$1001=B596)*('تشخيص الحالات'!$G$2:$G$1001=3)*ROW('تشخيص الحالات'!$B$2:$B$1001))-1),""),"")&amp;IF(SUMPRODUCT(('تشخيص الحالات'!$B$2:$B$1001=B596)*('تشخيص الحالات'!$G$2:$G$1001=4))&gt;0,"، "&amp;IFERROR(INDEX('تشخيص الحالات'!$D$2:$D$1001,SUMPRODUCT(('تشخيص الحالات'!$B$2:$B$1001=B596)*('تشخيص الحالات'!$G$2:$G$1001=4)*ROW('تشخيص الحالات'!$B$2:$B$1001))-1),""),"")&amp;IF(SUMPRODUCT(('تشخيص الحالات'!$B$2:$B$1001=B596)*('تشخيص الحالات'!$G$2:$G$1001=5))&gt;0,"، "&amp;IFERROR(INDEX('تشخيص الحالات'!$D$2:$D$1001,SUMPRODUCT(('تشخيص الحالات'!$B$2:$B$1001=B596)*('تشخيص الحالات'!$G$2:$G$1001=5)*ROW('تشخيص الحالات'!$B$2:$B$1001))-1),""),"")&amp;IF(SUMPRODUCT(('تشخيص الحالات'!$B$2:$B$1001=B596)*('تشخيص الحالات'!$G$2:$G$1001=6))&gt;0,"، "&amp;IFERROR(INDEX('تشخيص الحالات'!$D$2:$D$1001,SUMPRODUCT(('تشخيص الحالات'!$B$2:$B$1001=B596)*('تشخيص الحالات'!$G$2:$G$1001=6)*ROW('تشخيص الحالات'!$B$2:$B$1001))-1),""),"")&amp;IF(SUMPRODUCT(('تشخيص الحالات'!$B$2:$B$1001=B596)*('تشخيص الحالات'!$G$2:$G$1001=7))&gt;0,"، "&amp;IFERROR(INDEX('تشخيص الحالات'!$D$2:$D$1001,SUMPRODUCT(('تشخيص الحالات'!$B$2:$B$1001=B596)*('تشخيص الحالات'!$G$2:$G$1001=7)*ROW('تشخيص الحالات'!$B$2:$B$1001))-1),""),"")&amp;IF(SUMPRODUCT(('تشخيص الحالات'!$B$2:$B$1001=B596)*('تشخيص الحالات'!$G$2:$G$1001=8))&gt;0,"، "&amp;IFERROR(INDEX('تشخيص الحالات'!$D$2:$D$1001,SUMPRODUCT(('تشخيص الحالات'!$B$2:$B$1001=B596)*('تشخيص الحالات'!$G$2:$G$1001=8)*ROW('تشخيص الحالات'!$B$2:$B$1001))-1),""),"")</f>
        <v/>
      </c>
      <c r="J596" s="1"/>
      <c r="K596" s="1"/>
      <c r="L596" s="1"/>
      <c r="M596" s="1"/>
    </row>
    <row r="597" spans="1:13" x14ac:dyDescent="0.2">
      <c r="A597" s="1"/>
      <c r="B597" s="1"/>
      <c r="C597" s="1"/>
      <c r="D597" s="1"/>
      <c r="E597" s="1"/>
      <c r="F597" s="1"/>
      <c r="G597" s="1"/>
      <c r="H597" s="1"/>
      <c r="I597" t="str">
        <f>IFERROR(INDEX('تشخيص الحالات'!$D$2:$D$1001,SUMPRODUCT(('تشخيص الحالات'!$B$2:$B$1001=B597)*('تشخيص الحالات'!$G$2:$G$1001=1)*ROW('تشخيص الحالات'!$B$2:$B$1001))-1),"")&amp;IF(SUMPRODUCT(('تشخيص الحالات'!$B$2:$B$1001=B597)*('تشخيص الحالات'!$G$2:$G$1001=2))&gt;0,"، "&amp;IFERROR(INDEX('تشخيص الحالات'!$D$2:$D$1001,SUMPRODUCT(('تشخيص الحالات'!$B$2:$B$1001=B597)*('تشخيص الحالات'!$G$2:$G$1001=2)*ROW('تشخيص الحالات'!$B$2:$B$1001))-1),""),"")&amp;IF(SUMPRODUCT(('تشخيص الحالات'!$B$2:$B$1001=B597)*('تشخيص الحالات'!$G$2:$G$1001=3))&gt;0,"، "&amp;IFERROR(INDEX('تشخيص الحالات'!$D$2:$D$1001,SUMPRODUCT(('تشخيص الحالات'!$B$2:$B$1001=B597)*('تشخيص الحالات'!$G$2:$G$1001=3)*ROW('تشخيص الحالات'!$B$2:$B$1001))-1),""),"")&amp;IF(SUMPRODUCT(('تشخيص الحالات'!$B$2:$B$1001=B597)*('تشخيص الحالات'!$G$2:$G$1001=4))&gt;0,"، "&amp;IFERROR(INDEX('تشخيص الحالات'!$D$2:$D$1001,SUMPRODUCT(('تشخيص الحالات'!$B$2:$B$1001=B597)*('تشخيص الحالات'!$G$2:$G$1001=4)*ROW('تشخيص الحالات'!$B$2:$B$1001))-1),""),"")&amp;IF(SUMPRODUCT(('تشخيص الحالات'!$B$2:$B$1001=B597)*('تشخيص الحالات'!$G$2:$G$1001=5))&gt;0,"، "&amp;IFERROR(INDEX('تشخيص الحالات'!$D$2:$D$1001,SUMPRODUCT(('تشخيص الحالات'!$B$2:$B$1001=B597)*('تشخيص الحالات'!$G$2:$G$1001=5)*ROW('تشخيص الحالات'!$B$2:$B$1001))-1),""),"")&amp;IF(SUMPRODUCT(('تشخيص الحالات'!$B$2:$B$1001=B597)*('تشخيص الحالات'!$G$2:$G$1001=6))&gt;0,"، "&amp;IFERROR(INDEX('تشخيص الحالات'!$D$2:$D$1001,SUMPRODUCT(('تشخيص الحالات'!$B$2:$B$1001=B597)*('تشخيص الحالات'!$G$2:$G$1001=6)*ROW('تشخيص الحالات'!$B$2:$B$1001))-1),""),"")&amp;IF(SUMPRODUCT(('تشخيص الحالات'!$B$2:$B$1001=B597)*('تشخيص الحالات'!$G$2:$G$1001=7))&gt;0,"، "&amp;IFERROR(INDEX('تشخيص الحالات'!$D$2:$D$1001,SUMPRODUCT(('تشخيص الحالات'!$B$2:$B$1001=B597)*('تشخيص الحالات'!$G$2:$G$1001=7)*ROW('تشخيص الحالات'!$B$2:$B$1001))-1),""),"")&amp;IF(SUMPRODUCT(('تشخيص الحالات'!$B$2:$B$1001=B597)*('تشخيص الحالات'!$G$2:$G$1001=8))&gt;0,"، "&amp;IFERROR(INDEX('تشخيص الحالات'!$D$2:$D$1001,SUMPRODUCT(('تشخيص الحالات'!$B$2:$B$1001=B597)*('تشخيص الحالات'!$G$2:$G$1001=8)*ROW('تشخيص الحالات'!$B$2:$B$1001))-1),""),"")</f>
        <v/>
      </c>
      <c r="J597" s="1"/>
      <c r="K597" s="1"/>
      <c r="L597" s="1"/>
      <c r="M597" s="1"/>
    </row>
    <row r="598" spans="1:13" x14ac:dyDescent="0.2">
      <c r="A598" s="1"/>
      <c r="B598" s="1"/>
      <c r="C598" s="1"/>
      <c r="D598" s="1"/>
      <c r="E598" s="1"/>
      <c r="F598" s="1"/>
      <c r="G598" s="1"/>
      <c r="H598" s="1"/>
      <c r="I598" t="str">
        <f>IFERROR(INDEX('تشخيص الحالات'!$D$2:$D$1001,SUMPRODUCT(('تشخيص الحالات'!$B$2:$B$1001=B598)*('تشخيص الحالات'!$G$2:$G$1001=1)*ROW('تشخيص الحالات'!$B$2:$B$1001))-1),"")&amp;IF(SUMPRODUCT(('تشخيص الحالات'!$B$2:$B$1001=B598)*('تشخيص الحالات'!$G$2:$G$1001=2))&gt;0,"، "&amp;IFERROR(INDEX('تشخيص الحالات'!$D$2:$D$1001,SUMPRODUCT(('تشخيص الحالات'!$B$2:$B$1001=B598)*('تشخيص الحالات'!$G$2:$G$1001=2)*ROW('تشخيص الحالات'!$B$2:$B$1001))-1),""),"")&amp;IF(SUMPRODUCT(('تشخيص الحالات'!$B$2:$B$1001=B598)*('تشخيص الحالات'!$G$2:$G$1001=3))&gt;0,"، "&amp;IFERROR(INDEX('تشخيص الحالات'!$D$2:$D$1001,SUMPRODUCT(('تشخيص الحالات'!$B$2:$B$1001=B598)*('تشخيص الحالات'!$G$2:$G$1001=3)*ROW('تشخيص الحالات'!$B$2:$B$1001))-1),""),"")&amp;IF(SUMPRODUCT(('تشخيص الحالات'!$B$2:$B$1001=B598)*('تشخيص الحالات'!$G$2:$G$1001=4))&gt;0,"، "&amp;IFERROR(INDEX('تشخيص الحالات'!$D$2:$D$1001,SUMPRODUCT(('تشخيص الحالات'!$B$2:$B$1001=B598)*('تشخيص الحالات'!$G$2:$G$1001=4)*ROW('تشخيص الحالات'!$B$2:$B$1001))-1),""),"")&amp;IF(SUMPRODUCT(('تشخيص الحالات'!$B$2:$B$1001=B598)*('تشخيص الحالات'!$G$2:$G$1001=5))&gt;0,"، "&amp;IFERROR(INDEX('تشخيص الحالات'!$D$2:$D$1001,SUMPRODUCT(('تشخيص الحالات'!$B$2:$B$1001=B598)*('تشخيص الحالات'!$G$2:$G$1001=5)*ROW('تشخيص الحالات'!$B$2:$B$1001))-1),""),"")&amp;IF(SUMPRODUCT(('تشخيص الحالات'!$B$2:$B$1001=B598)*('تشخيص الحالات'!$G$2:$G$1001=6))&gt;0,"، "&amp;IFERROR(INDEX('تشخيص الحالات'!$D$2:$D$1001,SUMPRODUCT(('تشخيص الحالات'!$B$2:$B$1001=B598)*('تشخيص الحالات'!$G$2:$G$1001=6)*ROW('تشخيص الحالات'!$B$2:$B$1001))-1),""),"")&amp;IF(SUMPRODUCT(('تشخيص الحالات'!$B$2:$B$1001=B598)*('تشخيص الحالات'!$G$2:$G$1001=7))&gt;0,"، "&amp;IFERROR(INDEX('تشخيص الحالات'!$D$2:$D$1001,SUMPRODUCT(('تشخيص الحالات'!$B$2:$B$1001=B598)*('تشخيص الحالات'!$G$2:$G$1001=7)*ROW('تشخيص الحالات'!$B$2:$B$1001))-1),""),"")&amp;IF(SUMPRODUCT(('تشخيص الحالات'!$B$2:$B$1001=B598)*('تشخيص الحالات'!$G$2:$G$1001=8))&gt;0,"، "&amp;IFERROR(INDEX('تشخيص الحالات'!$D$2:$D$1001,SUMPRODUCT(('تشخيص الحالات'!$B$2:$B$1001=B598)*('تشخيص الحالات'!$G$2:$G$1001=8)*ROW('تشخيص الحالات'!$B$2:$B$1001))-1),""),"")</f>
        <v/>
      </c>
      <c r="J598" s="1"/>
      <c r="K598" s="1"/>
      <c r="L598" s="1"/>
      <c r="M598" s="1"/>
    </row>
    <row r="599" spans="1:13" x14ac:dyDescent="0.2">
      <c r="A599" s="1"/>
      <c r="B599" s="1"/>
      <c r="C599" s="1"/>
      <c r="D599" s="1"/>
      <c r="E599" s="1"/>
      <c r="F599" s="1"/>
      <c r="G599" s="1"/>
      <c r="H599" s="1"/>
      <c r="I599" t="str">
        <f>IFERROR(INDEX('تشخيص الحالات'!$D$2:$D$1001,SUMPRODUCT(('تشخيص الحالات'!$B$2:$B$1001=B599)*('تشخيص الحالات'!$G$2:$G$1001=1)*ROW('تشخيص الحالات'!$B$2:$B$1001))-1),"")&amp;IF(SUMPRODUCT(('تشخيص الحالات'!$B$2:$B$1001=B599)*('تشخيص الحالات'!$G$2:$G$1001=2))&gt;0,"، "&amp;IFERROR(INDEX('تشخيص الحالات'!$D$2:$D$1001,SUMPRODUCT(('تشخيص الحالات'!$B$2:$B$1001=B599)*('تشخيص الحالات'!$G$2:$G$1001=2)*ROW('تشخيص الحالات'!$B$2:$B$1001))-1),""),"")&amp;IF(SUMPRODUCT(('تشخيص الحالات'!$B$2:$B$1001=B599)*('تشخيص الحالات'!$G$2:$G$1001=3))&gt;0,"، "&amp;IFERROR(INDEX('تشخيص الحالات'!$D$2:$D$1001,SUMPRODUCT(('تشخيص الحالات'!$B$2:$B$1001=B599)*('تشخيص الحالات'!$G$2:$G$1001=3)*ROW('تشخيص الحالات'!$B$2:$B$1001))-1),""),"")&amp;IF(SUMPRODUCT(('تشخيص الحالات'!$B$2:$B$1001=B599)*('تشخيص الحالات'!$G$2:$G$1001=4))&gt;0,"، "&amp;IFERROR(INDEX('تشخيص الحالات'!$D$2:$D$1001,SUMPRODUCT(('تشخيص الحالات'!$B$2:$B$1001=B599)*('تشخيص الحالات'!$G$2:$G$1001=4)*ROW('تشخيص الحالات'!$B$2:$B$1001))-1),""),"")&amp;IF(SUMPRODUCT(('تشخيص الحالات'!$B$2:$B$1001=B599)*('تشخيص الحالات'!$G$2:$G$1001=5))&gt;0,"، "&amp;IFERROR(INDEX('تشخيص الحالات'!$D$2:$D$1001,SUMPRODUCT(('تشخيص الحالات'!$B$2:$B$1001=B599)*('تشخيص الحالات'!$G$2:$G$1001=5)*ROW('تشخيص الحالات'!$B$2:$B$1001))-1),""),"")&amp;IF(SUMPRODUCT(('تشخيص الحالات'!$B$2:$B$1001=B599)*('تشخيص الحالات'!$G$2:$G$1001=6))&gt;0,"، "&amp;IFERROR(INDEX('تشخيص الحالات'!$D$2:$D$1001,SUMPRODUCT(('تشخيص الحالات'!$B$2:$B$1001=B599)*('تشخيص الحالات'!$G$2:$G$1001=6)*ROW('تشخيص الحالات'!$B$2:$B$1001))-1),""),"")&amp;IF(SUMPRODUCT(('تشخيص الحالات'!$B$2:$B$1001=B599)*('تشخيص الحالات'!$G$2:$G$1001=7))&gt;0,"، "&amp;IFERROR(INDEX('تشخيص الحالات'!$D$2:$D$1001,SUMPRODUCT(('تشخيص الحالات'!$B$2:$B$1001=B599)*('تشخيص الحالات'!$G$2:$G$1001=7)*ROW('تشخيص الحالات'!$B$2:$B$1001))-1),""),"")&amp;IF(SUMPRODUCT(('تشخيص الحالات'!$B$2:$B$1001=B599)*('تشخيص الحالات'!$G$2:$G$1001=8))&gt;0,"، "&amp;IFERROR(INDEX('تشخيص الحالات'!$D$2:$D$1001,SUMPRODUCT(('تشخيص الحالات'!$B$2:$B$1001=B599)*('تشخيص الحالات'!$G$2:$G$1001=8)*ROW('تشخيص الحالات'!$B$2:$B$1001))-1),""),"")</f>
        <v/>
      </c>
      <c r="J599" s="1"/>
      <c r="K599" s="1"/>
      <c r="L599" s="1"/>
      <c r="M599" s="1"/>
    </row>
    <row r="600" spans="1:13" x14ac:dyDescent="0.2">
      <c r="A600" s="1"/>
      <c r="B600" s="1"/>
      <c r="C600" s="1"/>
      <c r="D600" s="1"/>
      <c r="E600" s="1"/>
      <c r="F600" s="1"/>
      <c r="G600" s="1"/>
      <c r="H600" s="1"/>
      <c r="I600" t="str">
        <f>IFERROR(INDEX('تشخيص الحالات'!$D$2:$D$1001,SUMPRODUCT(('تشخيص الحالات'!$B$2:$B$1001=B600)*('تشخيص الحالات'!$G$2:$G$1001=1)*ROW('تشخيص الحالات'!$B$2:$B$1001))-1),"")&amp;IF(SUMPRODUCT(('تشخيص الحالات'!$B$2:$B$1001=B600)*('تشخيص الحالات'!$G$2:$G$1001=2))&gt;0,"، "&amp;IFERROR(INDEX('تشخيص الحالات'!$D$2:$D$1001,SUMPRODUCT(('تشخيص الحالات'!$B$2:$B$1001=B600)*('تشخيص الحالات'!$G$2:$G$1001=2)*ROW('تشخيص الحالات'!$B$2:$B$1001))-1),""),"")&amp;IF(SUMPRODUCT(('تشخيص الحالات'!$B$2:$B$1001=B600)*('تشخيص الحالات'!$G$2:$G$1001=3))&gt;0,"، "&amp;IFERROR(INDEX('تشخيص الحالات'!$D$2:$D$1001,SUMPRODUCT(('تشخيص الحالات'!$B$2:$B$1001=B600)*('تشخيص الحالات'!$G$2:$G$1001=3)*ROW('تشخيص الحالات'!$B$2:$B$1001))-1),""),"")&amp;IF(SUMPRODUCT(('تشخيص الحالات'!$B$2:$B$1001=B600)*('تشخيص الحالات'!$G$2:$G$1001=4))&gt;0,"، "&amp;IFERROR(INDEX('تشخيص الحالات'!$D$2:$D$1001,SUMPRODUCT(('تشخيص الحالات'!$B$2:$B$1001=B600)*('تشخيص الحالات'!$G$2:$G$1001=4)*ROW('تشخيص الحالات'!$B$2:$B$1001))-1),""),"")&amp;IF(SUMPRODUCT(('تشخيص الحالات'!$B$2:$B$1001=B600)*('تشخيص الحالات'!$G$2:$G$1001=5))&gt;0,"، "&amp;IFERROR(INDEX('تشخيص الحالات'!$D$2:$D$1001,SUMPRODUCT(('تشخيص الحالات'!$B$2:$B$1001=B600)*('تشخيص الحالات'!$G$2:$G$1001=5)*ROW('تشخيص الحالات'!$B$2:$B$1001))-1),""),"")&amp;IF(SUMPRODUCT(('تشخيص الحالات'!$B$2:$B$1001=B600)*('تشخيص الحالات'!$G$2:$G$1001=6))&gt;0,"، "&amp;IFERROR(INDEX('تشخيص الحالات'!$D$2:$D$1001,SUMPRODUCT(('تشخيص الحالات'!$B$2:$B$1001=B600)*('تشخيص الحالات'!$G$2:$G$1001=6)*ROW('تشخيص الحالات'!$B$2:$B$1001))-1),""),"")&amp;IF(SUMPRODUCT(('تشخيص الحالات'!$B$2:$B$1001=B600)*('تشخيص الحالات'!$G$2:$G$1001=7))&gt;0,"، "&amp;IFERROR(INDEX('تشخيص الحالات'!$D$2:$D$1001,SUMPRODUCT(('تشخيص الحالات'!$B$2:$B$1001=B600)*('تشخيص الحالات'!$G$2:$G$1001=7)*ROW('تشخيص الحالات'!$B$2:$B$1001))-1),""),"")&amp;IF(SUMPRODUCT(('تشخيص الحالات'!$B$2:$B$1001=B600)*('تشخيص الحالات'!$G$2:$G$1001=8))&gt;0,"، "&amp;IFERROR(INDEX('تشخيص الحالات'!$D$2:$D$1001,SUMPRODUCT(('تشخيص الحالات'!$B$2:$B$1001=B600)*('تشخيص الحالات'!$G$2:$G$1001=8)*ROW('تشخيص الحالات'!$B$2:$B$1001))-1),""),"")</f>
        <v/>
      </c>
      <c r="J600" s="1"/>
      <c r="K600" s="1"/>
      <c r="L600" s="1"/>
      <c r="M600" s="1"/>
    </row>
    <row r="601" spans="1:13" x14ac:dyDescent="0.2">
      <c r="A601" s="1"/>
      <c r="B601" s="1"/>
      <c r="C601" s="1"/>
      <c r="D601" s="1"/>
      <c r="E601" s="1"/>
      <c r="F601" s="1"/>
      <c r="G601" s="1"/>
      <c r="H601" s="1"/>
      <c r="I601" t="str">
        <f>IFERROR(INDEX('تشخيص الحالات'!$D$2:$D$1001,SUMPRODUCT(('تشخيص الحالات'!$B$2:$B$1001=B601)*('تشخيص الحالات'!$G$2:$G$1001=1)*ROW('تشخيص الحالات'!$B$2:$B$1001))-1),"")&amp;IF(SUMPRODUCT(('تشخيص الحالات'!$B$2:$B$1001=B601)*('تشخيص الحالات'!$G$2:$G$1001=2))&gt;0,"، "&amp;IFERROR(INDEX('تشخيص الحالات'!$D$2:$D$1001,SUMPRODUCT(('تشخيص الحالات'!$B$2:$B$1001=B601)*('تشخيص الحالات'!$G$2:$G$1001=2)*ROW('تشخيص الحالات'!$B$2:$B$1001))-1),""),"")&amp;IF(SUMPRODUCT(('تشخيص الحالات'!$B$2:$B$1001=B601)*('تشخيص الحالات'!$G$2:$G$1001=3))&gt;0,"، "&amp;IFERROR(INDEX('تشخيص الحالات'!$D$2:$D$1001,SUMPRODUCT(('تشخيص الحالات'!$B$2:$B$1001=B601)*('تشخيص الحالات'!$G$2:$G$1001=3)*ROW('تشخيص الحالات'!$B$2:$B$1001))-1),""),"")&amp;IF(SUMPRODUCT(('تشخيص الحالات'!$B$2:$B$1001=B601)*('تشخيص الحالات'!$G$2:$G$1001=4))&gt;0,"، "&amp;IFERROR(INDEX('تشخيص الحالات'!$D$2:$D$1001,SUMPRODUCT(('تشخيص الحالات'!$B$2:$B$1001=B601)*('تشخيص الحالات'!$G$2:$G$1001=4)*ROW('تشخيص الحالات'!$B$2:$B$1001))-1),""),"")&amp;IF(SUMPRODUCT(('تشخيص الحالات'!$B$2:$B$1001=B601)*('تشخيص الحالات'!$G$2:$G$1001=5))&gt;0,"، "&amp;IFERROR(INDEX('تشخيص الحالات'!$D$2:$D$1001,SUMPRODUCT(('تشخيص الحالات'!$B$2:$B$1001=B601)*('تشخيص الحالات'!$G$2:$G$1001=5)*ROW('تشخيص الحالات'!$B$2:$B$1001))-1),""),"")&amp;IF(SUMPRODUCT(('تشخيص الحالات'!$B$2:$B$1001=B601)*('تشخيص الحالات'!$G$2:$G$1001=6))&gt;0,"، "&amp;IFERROR(INDEX('تشخيص الحالات'!$D$2:$D$1001,SUMPRODUCT(('تشخيص الحالات'!$B$2:$B$1001=B601)*('تشخيص الحالات'!$G$2:$G$1001=6)*ROW('تشخيص الحالات'!$B$2:$B$1001))-1),""),"")&amp;IF(SUMPRODUCT(('تشخيص الحالات'!$B$2:$B$1001=B601)*('تشخيص الحالات'!$G$2:$G$1001=7))&gt;0,"، "&amp;IFERROR(INDEX('تشخيص الحالات'!$D$2:$D$1001,SUMPRODUCT(('تشخيص الحالات'!$B$2:$B$1001=B601)*('تشخيص الحالات'!$G$2:$G$1001=7)*ROW('تشخيص الحالات'!$B$2:$B$1001))-1),""),"")&amp;IF(SUMPRODUCT(('تشخيص الحالات'!$B$2:$B$1001=B601)*('تشخيص الحالات'!$G$2:$G$1001=8))&gt;0,"، "&amp;IFERROR(INDEX('تشخيص الحالات'!$D$2:$D$1001,SUMPRODUCT(('تشخيص الحالات'!$B$2:$B$1001=B601)*('تشخيص الحالات'!$G$2:$G$1001=8)*ROW('تشخيص الحالات'!$B$2:$B$1001))-1),""),"")</f>
        <v/>
      </c>
      <c r="J601" s="1"/>
      <c r="K601" s="1"/>
      <c r="L601" s="1"/>
      <c r="M601" s="1"/>
    </row>
    <row r="602" spans="1:13" x14ac:dyDescent="0.2">
      <c r="A602" s="1"/>
      <c r="B602" s="1"/>
      <c r="C602" s="1"/>
      <c r="D602" s="1"/>
      <c r="E602" s="1"/>
      <c r="F602" s="1"/>
      <c r="G602" s="1"/>
      <c r="H602" s="1"/>
      <c r="I602" t="str">
        <f>IFERROR(INDEX('تشخيص الحالات'!$D$2:$D$1001,SUMPRODUCT(('تشخيص الحالات'!$B$2:$B$1001=B602)*('تشخيص الحالات'!$G$2:$G$1001=1)*ROW('تشخيص الحالات'!$B$2:$B$1001))-1),"")&amp;IF(SUMPRODUCT(('تشخيص الحالات'!$B$2:$B$1001=B602)*('تشخيص الحالات'!$G$2:$G$1001=2))&gt;0,"، "&amp;IFERROR(INDEX('تشخيص الحالات'!$D$2:$D$1001,SUMPRODUCT(('تشخيص الحالات'!$B$2:$B$1001=B602)*('تشخيص الحالات'!$G$2:$G$1001=2)*ROW('تشخيص الحالات'!$B$2:$B$1001))-1),""),"")&amp;IF(SUMPRODUCT(('تشخيص الحالات'!$B$2:$B$1001=B602)*('تشخيص الحالات'!$G$2:$G$1001=3))&gt;0,"، "&amp;IFERROR(INDEX('تشخيص الحالات'!$D$2:$D$1001,SUMPRODUCT(('تشخيص الحالات'!$B$2:$B$1001=B602)*('تشخيص الحالات'!$G$2:$G$1001=3)*ROW('تشخيص الحالات'!$B$2:$B$1001))-1),""),"")&amp;IF(SUMPRODUCT(('تشخيص الحالات'!$B$2:$B$1001=B602)*('تشخيص الحالات'!$G$2:$G$1001=4))&gt;0,"، "&amp;IFERROR(INDEX('تشخيص الحالات'!$D$2:$D$1001,SUMPRODUCT(('تشخيص الحالات'!$B$2:$B$1001=B602)*('تشخيص الحالات'!$G$2:$G$1001=4)*ROW('تشخيص الحالات'!$B$2:$B$1001))-1),""),"")&amp;IF(SUMPRODUCT(('تشخيص الحالات'!$B$2:$B$1001=B602)*('تشخيص الحالات'!$G$2:$G$1001=5))&gt;0,"، "&amp;IFERROR(INDEX('تشخيص الحالات'!$D$2:$D$1001,SUMPRODUCT(('تشخيص الحالات'!$B$2:$B$1001=B602)*('تشخيص الحالات'!$G$2:$G$1001=5)*ROW('تشخيص الحالات'!$B$2:$B$1001))-1),""),"")&amp;IF(SUMPRODUCT(('تشخيص الحالات'!$B$2:$B$1001=B602)*('تشخيص الحالات'!$G$2:$G$1001=6))&gt;0,"، "&amp;IFERROR(INDEX('تشخيص الحالات'!$D$2:$D$1001,SUMPRODUCT(('تشخيص الحالات'!$B$2:$B$1001=B602)*('تشخيص الحالات'!$G$2:$G$1001=6)*ROW('تشخيص الحالات'!$B$2:$B$1001))-1),""),"")&amp;IF(SUMPRODUCT(('تشخيص الحالات'!$B$2:$B$1001=B602)*('تشخيص الحالات'!$G$2:$G$1001=7))&gt;0,"، "&amp;IFERROR(INDEX('تشخيص الحالات'!$D$2:$D$1001,SUMPRODUCT(('تشخيص الحالات'!$B$2:$B$1001=B602)*('تشخيص الحالات'!$G$2:$G$1001=7)*ROW('تشخيص الحالات'!$B$2:$B$1001))-1),""),"")&amp;IF(SUMPRODUCT(('تشخيص الحالات'!$B$2:$B$1001=B602)*('تشخيص الحالات'!$G$2:$G$1001=8))&gt;0,"، "&amp;IFERROR(INDEX('تشخيص الحالات'!$D$2:$D$1001,SUMPRODUCT(('تشخيص الحالات'!$B$2:$B$1001=B602)*('تشخيص الحالات'!$G$2:$G$1001=8)*ROW('تشخيص الحالات'!$B$2:$B$1001))-1),""),"")</f>
        <v/>
      </c>
      <c r="J602" s="1"/>
      <c r="K602" s="1"/>
      <c r="L602" s="1"/>
      <c r="M602" s="1"/>
    </row>
    <row r="603" spans="1:13" x14ac:dyDescent="0.2">
      <c r="A603" s="1"/>
      <c r="B603" s="1"/>
      <c r="C603" s="1"/>
      <c r="D603" s="1"/>
      <c r="E603" s="1"/>
      <c r="F603" s="1"/>
      <c r="G603" s="1"/>
      <c r="H603" s="1"/>
      <c r="I603" t="str">
        <f>IFERROR(INDEX('تشخيص الحالات'!$D$2:$D$1001,SUMPRODUCT(('تشخيص الحالات'!$B$2:$B$1001=B603)*('تشخيص الحالات'!$G$2:$G$1001=1)*ROW('تشخيص الحالات'!$B$2:$B$1001))-1),"")&amp;IF(SUMPRODUCT(('تشخيص الحالات'!$B$2:$B$1001=B603)*('تشخيص الحالات'!$G$2:$G$1001=2))&gt;0,"، "&amp;IFERROR(INDEX('تشخيص الحالات'!$D$2:$D$1001,SUMPRODUCT(('تشخيص الحالات'!$B$2:$B$1001=B603)*('تشخيص الحالات'!$G$2:$G$1001=2)*ROW('تشخيص الحالات'!$B$2:$B$1001))-1),""),"")&amp;IF(SUMPRODUCT(('تشخيص الحالات'!$B$2:$B$1001=B603)*('تشخيص الحالات'!$G$2:$G$1001=3))&gt;0,"، "&amp;IFERROR(INDEX('تشخيص الحالات'!$D$2:$D$1001,SUMPRODUCT(('تشخيص الحالات'!$B$2:$B$1001=B603)*('تشخيص الحالات'!$G$2:$G$1001=3)*ROW('تشخيص الحالات'!$B$2:$B$1001))-1),""),"")&amp;IF(SUMPRODUCT(('تشخيص الحالات'!$B$2:$B$1001=B603)*('تشخيص الحالات'!$G$2:$G$1001=4))&gt;0,"، "&amp;IFERROR(INDEX('تشخيص الحالات'!$D$2:$D$1001,SUMPRODUCT(('تشخيص الحالات'!$B$2:$B$1001=B603)*('تشخيص الحالات'!$G$2:$G$1001=4)*ROW('تشخيص الحالات'!$B$2:$B$1001))-1),""),"")&amp;IF(SUMPRODUCT(('تشخيص الحالات'!$B$2:$B$1001=B603)*('تشخيص الحالات'!$G$2:$G$1001=5))&gt;0,"، "&amp;IFERROR(INDEX('تشخيص الحالات'!$D$2:$D$1001,SUMPRODUCT(('تشخيص الحالات'!$B$2:$B$1001=B603)*('تشخيص الحالات'!$G$2:$G$1001=5)*ROW('تشخيص الحالات'!$B$2:$B$1001))-1),""),"")&amp;IF(SUMPRODUCT(('تشخيص الحالات'!$B$2:$B$1001=B603)*('تشخيص الحالات'!$G$2:$G$1001=6))&gt;0,"، "&amp;IFERROR(INDEX('تشخيص الحالات'!$D$2:$D$1001,SUMPRODUCT(('تشخيص الحالات'!$B$2:$B$1001=B603)*('تشخيص الحالات'!$G$2:$G$1001=6)*ROW('تشخيص الحالات'!$B$2:$B$1001))-1),""),"")&amp;IF(SUMPRODUCT(('تشخيص الحالات'!$B$2:$B$1001=B603)*('تشخيص الحالات'!$G$2:$G$1001=7))&gt;0,"، "&amp;IFERROR(INDEX('تشخيص الحالات'!$D$2:$D$1001,SUMPRODUCT(('تشخيص الحالات'!$B$2:$B$1001=B603)*('تشخيص الحالات'!$G$2:$G$1001=7)*ROW('تشخيص الحالات'!$B$2:$B$1001))-1),""),"")&amp;IF(SUMPRODUCT(('تشخيص الحالات'!$B$2:$B$1001=B603)*('تشخيص الحالات'!$G$2:$G$1001=8))&gt;0,"، "&amp;IFERROR(INDEX('تشخيص الحالات'!$D$2:$D$1001,SUMPRODUCT(('تشخيص الحالات'!$B$2:$B$1001=B603)*('تشخيص الحالات'!$G$2:$G$1001=8)*ROW('تشخيص الحالات'!$B$2:$B$1001))-1),""),"")</f>
        <v/>
      </c>
      <c r="J603" s="1"/>
      <c r="K603" s="1"/>
      <c r="L603" s="1"/>
      <c r="M603" s="1"/>
    </row>
    <row r="604" spans="1:13" x14ac:dyDescent="0.2">
      <c r="A604" s="1"/>
      <c r="B604" s="1"/>
      <c r="C604" s="1"/>
      <c r="D604" s="1"/>
      <c r="E604" s="1"/>
      <c r="F604" s="1"/>
      <c r="G604" s="1"/>
      <c r="H604" s="1"/>
      <c r="I604" t="str">
        <f>IFERROR(INDEX('تشخيص الحالات'!$D$2:$D$1001,SUMPRODUCT(('تشخيص الحالات'!$B$2:$B$1001=B604)*('تشخيص الحالات'!$G$2:$G$1001=1)*ROW('تشخيص الحالات'!$B$2:$B$1001))-1),"")&amp;IF(SUMPRODUCT(('تشخيص الحالات'!$B$2:$B$1001=B604)*('تشخيص الحالات'!$G$2:$G$1001=2))&gt;0,"، "&amp;IFERROR(INDEX('تشخيص الحالات'!$D$2:$D$1001,SUMPRODUCT(('تشخيص الحالات'!$B$2:$B$1001=B604)*('تشخيص الحالات'!$G$2:$G$1001=2)*ROW('تشخيص الحالات'!$B$2:$B$1001))-1),""),"")&amp;IF(SUMPRODUCT(('تشخيص الحالات'!$B$2:$B$1001=B604)*('تشخيص الحالات'!$G$2:$G$1001=3))&gt;0,"، "&amp;IFERROR(INDEX('تشخيص الحالات'!$D$2:$D$1001,SUMPRODUCT(('تشخيص الحالات'!$B$2:$B$1001=B604)*('تشخيص الحالات'!$G$2:$G$1001=3)*ROW('تشخيص الحالات'!$B$2:$B$1001))-1),""),"")&amp;IF(SUMPRODUCT(('تشخيص الحالات'!$B$2:$B$1001=B604)*('تشخيص الحالات'!$G$2:$G$1001=4))&gt;0,"، "&amp;IFERROR(INDEX('تشخيص الحالات'!$D$2:$D$1001,SUMPRODUCT(('تشخيص الحالات'!$B$2:$B$1001=B604)*('تشخيص الحالات'!$G$2:$G$1001=4)*ROW('تشخيص الحالات'!$B$2:$B$1001))-1),""),"")&amp;IF(SUMPRODUCT(('تشخيص الحالات'!$B$2:$B$1001=B604)*('تشخيص الحالات'!$G$2:$G$1001=5))&gt;0,"، "&amp;IFERROR(INDEX('تشخيص الحالات'!$D$2:$D$1001,SUMPRODUCT(('تشخيص الحالات'!$B$2:$B$1001=B604)*('تشخيص الحالات'!$G$2:$G$1001=5)*ROW('تشخيص الحالات'!$B$2:$B$1001))-1),""),"")&amp;IF(SUMPRODUCT(('تشخيص الحالات'!$B$2:$B$1001=B604)*('تشخيص الحالات'!$G$2:$G$1001=6))&gt;0,"، "&amp;IFERROR(INDEX('تشخيص الحالات'!$D$2:$D$1001,SUMPRODUCT(('تشخيص الحالات'!$B$2:$B$1001=B604)*('تشخيص الحالات'!$G$2:$G$1001=6)*ROW('تشخيص الحالات'!$B$2:$B$1001))-1),""),"")&amp;IF(SUMPRODUCT(('تشخيص الحالات'!$B$2:$B$1001=B604)*('تشخيص الحالات'!$G$2:$G$1001=7))&gt;0,"، "&amp;IFERROR(INDEX('تشخيص الحالات'!$D$2:$D$1001,SUMPRODUCT(('تشخيص الحالات'!$B$2:$B$1001=B604)*('تشخيص الحالات'!$G$2:$G$1001=7)*ROW('تشخيص الحالات'!$B$2:$B$1001))-1),""),"")&amp;IF(SUMPRODUCT(('تشخيص الحالات'!$B$2:$B$1001=B604)*('تشخيص الحالات'!$G$2:$G$1001=8))&gt;0,"، "&amp;IFERROR(INDEX('تشخيص الحالات'!$D$2:$D$1001,SUMPRODUCT(('تشخيص الحالات'!$B$2:$B$1001=B604)*('تشخيص الحالات'!$G$2:$G$1001=8)*ROW('تشخيص الحالات'!$B$2:$B$1001))-1),""),"")</f>
        <v/>
      </c>
      <c r="J604" s="1"/>
      <c r="K604" s="1"/>
      <c r="L604" s="1"/>
      <c r="M604" s="1"/>
    </row>
    <row r="605" spans="1:13" x14ac:dyDescent="0.2">
      <c r="A605" s="1"/>
      <c r="B605" s="1"/>
      <c r="C605" s="1"/>
      <c r="D605" s="1"/>
      <c r="E605" s="1"/>
      <c r="F605" s="1"/>
      <c r="G605" s="1"/>
      <c r="H605" s="1"/>
      <c r="I605" t="str">
        <f>IFERROR(INDEX('تشخيص الحالات'!$D$2:$D$1001,SUMPRODUCT(('تشخيص الحالات'!$B$2:$B$1001=B605)*('تشخيص الحالات'!$G$2:$G$1001=1)*ROW('تشخيص الحالات'!$B$2:$B$1001))-1),"")&amp;IF(SUMPRODUCT(('تشخيص الحالات'!$B$2:$B$1001=B605)*('تشخيص الحالات'!$G$2:$G$1001=2))&gt;0,"، "&amp;IFERROR(INDEX('تشخيص الحالات'!$D$2:$D$1001,SUMPRODUCT(('تشخيص الحالات'!$B$2:$B$1001=B605)*('تشخيص الحالات'!$G$2:$G$1001=2)*ROW('تشخيص الحالات'!$B$2:$B$1001))-1),""),"")&amp;IF(SUMPRODUCT(('تشخيص الحالات'!$B$2:$B$1001=B605)*('تشخيص الحالات'!$G$2:$G$1001=3))&gt;0,"، "&amp;IFERROR(INDEX('تشخيص الحالات'!$D$2:$D$1001,SUMPRODUCT(('تشخيص الحالات'!$B$2:$B$1001=B605)*('تشخيص الحالات'!$G$2:$G$1001=3)*ROW('تشخيص الحالات'!$B$2:$B$1001))-1),""),"")&amp;IF(SUMPRODUCT(('تشخيص الحالات'!$B$2:$B$1001=B605)*('تشخيص الحالات'!$G$2:$G$1001=4))&gt;0,"، "&amp;IFERROR(INDEX('تشخيص الحالات'!$D$2:$D$1001,SUMPRODUCT(('تشخيص الحالات'!$B$2:$B$1001=B605)*('تشخيص الحالات'!$G$2:$G$1001=4)*ROW('تشخيص الحالات'!$B$2:$B$1001))-1),""),"")&amp;IF(SUMPRODUCT(('تشخيص الحالات'!$B$2:$B$1001=B605)*('تشخيص الحالات'!$G$2:$G$1001=5))&gt;0,"، "&amp;IFERROR(INDEX('تشخيص الحالات'!$D$2:$D$1001,SUMPRODUCT(('تشخيص الحالات'!$B$2:$B$1001=B605)*('تشخيص الحالات'!$G$2:$G$1001=5)*ROW('تشخيص الحالات'!$B$2:$B$1001))-1),""),"")&amp;IF(SUMPRODUCT(('تشخيص الحالات'!$B$2:$B$1001=B605)*('تشخيص الحالات'!$G$2:$G$1001=6))&gt;0,"، "&amp;IFERROR(INDEX('تشخيص الحالات'!$D$2:$D$1001,SUMPRODUCT(('تشخيص الحالات'!$B$2:$B$1001=B605)*('تشخيص الحالات'!$G$2:$G$1001=6)*ROW('تشخيص الحالات'!$B$2:$B$1001))-1),""),"")&amp;IF(SUMPRODUCT(('تشخيص الحالات'!$B$2:$B$1001=B605)*('تشخيص الحالات'!$G$2:$G$1001=7))&gt;0,"، "&amp;IFERROR(INDEX('تشخيص الحالات'!$D$2:$D$1001,SUMPRODUCT(('تشخيص الحالات'!$B$2:$B$1001=B605)*('تشخيص الحالات'!$G$2:$G$1001=7)*ROW('تشخيص الحالات'!$B$2:$B$1001))-1),""),"")&amp;IF(SUMPRODUCT(('تشخيص الحالات'!$B$2:$B$1001=B605)*('تشخيص الحالات'!$G$2:$G$1001=8))&gt;0,"، "&amp;IFERROR(INDEX('تشخيص الحالات'!$D$2:$D$1001,SUMPRODUCT(('تشخيص الحالات'!$B$2:$B$1001=B605)*('تشخيص الحالات'!$G$2:$G$1001=8)*ROW('تشخيص الحالات'!$B$2:$B$1001))-1),""),"")</f>
        <v/>
      </c>
      <c r="J605" s="1"/>
      <c r="K605" s="1"/>
      <c r="L605" s="1"/>
      <c r="M605" s="1"/>
    </row>
    <row r="606" spans="1:13" x14ac:dyDescent="0.2">
      <c r="A606" s="1"/>
      <c r="B606" s="1"/>
      <c r="C606" s="1"/>
      <c r="D606" s="1"/>
      <c r="E606" s="1"/>
      <c r="F606" s="1"/>
      <c r="G606" s="1"/>
      <c r="H606" s="1"/>
      <c r="I606" t="str">
        <f>IFERROR(INDEX('تشخيص الحالات'!$D$2:$D$1001,SUMPRODUCT(('تشخيص الحالات'!$B$2:$B$1001=B606)*('تشخيص الحالات'!$G$2:$G$1001=1)*ROW('تشخيص الحالات'!$B$2:$B$1001))-1),"")&amp;IF(SUMPRODUCT(('تشخيص الحالات'!$B$2:$B$1001=B606)*('تشخيص الحالات'!$G$2:$G$1001=2))&gt;0,"، "&amp;IFERROR(INDEX('تشخيص الحالات'!$D$2:$D$1001,SUMPRODUCT(('تشخيص الحالات'!$B$2:$B$1001=B606)*('تشخيص الحالات'!$G$2:$G$1001=2)*ROW('تشخيص الحالات'!$B$2:$B$1001))-1),""),"")&amp;IF(SUMPRODUCT(('تشخيص الحالات'!$B$2:$B$1001=B606)*('تشخيص الحالات'!$G$2:$G$1001=3))&gt;0,"، "&amp;IFERROR(INDEX('تشخيص الحالات'!$D$2:$D$1001,SUMPRODUCT(('تشخيص الحالات'!$B$2:$B$1001=B606)*('تشخيص الحالات'!$G$2:$G$1001=3)*ROW('تشخيص الحالات'!$B$2:$B$1001))-1),""),"")&amp;IF(SUMPRODUCT(('تشخيص الحالات'!$B$2:$B$1001=B606)*('تشخيص الحالات'!$G$2:$G$1001=4))&gt;0,"، "&amp;IFERROR(INDEX('تشخيص الحالات'!$D$2:$D$1001,SUMPRODUCT(('تشخيص الحالات'!$B$2:$B$1001=B606)*('تشخيص الحالات'!$G$2:$G$1001=4)*ROW('تشخيص الحالات'!$B$2:$B$1001))-1),""),"")&amp;IF(SUMPRODUCT(('تشخيص الحالات'!$B$2:$B$1001=B606)*('تشخيص الحالات'!$G$2:$G$1001=5))&gt;0,"، "&amp;IFERROR(INDEX('تشخيص الحالات'!$D$2:$D$1001,SUMPRODUCT(('تشخيص الحالات'!$B$2:$B$1001=B606)*('تشخيص الحالات'!$G$2:$G$1001=5)*ROW('تشخيص الحالات'!$B$2:$B$1001))-1),""),"")&amp;IF(SUMPRODUCT(('تشخيص الحالات'!$B$2:$B$1001=B606)*('تشخيص الحالات'!$G$2:$G$1001=6))&gt;0,"، "&amp;IFERROR(INDEX('تشخيص الحالات'!$D$2:$D$1001,SUMPRODUCT(('تشخيص الحالات'!$B$2:$B$1001=B606)*('تشخيص الحالات'!$G$2:$G$1001=6)*ROW('تشخيص الحالات'!$B$2:$B$1001))-1),""),"")&amp;IF(SUMPRODUCT(('تشخيص الحالات'!$B$2:$B$1001=B606)*('تشخيص الحالات'!$G$2:$G$1001=7))&gt;0,"، "&amp;IFERROR(INDEX('تشخيص الحالات'!$D$2:$D$1001,SUMPRODUCT(('تشخيص الحالات'!$B$2:$B$1001=B606)*('تشخيص الحالات'!$G$2:$G$1001=7)*ROW('تشخيص الحالات'!$B$2:$B$1001))-1),""),"")&amp;IF(SUMPRODUCT(('تشخيص الحالات'!$B$2:$B$1001=B606)*('تشخيص الحالات'!$G$2:$G$1001=8))&gt;0,"، "&amp;IFERROR(INDEX('تشخيص الحالات'!$D$2:$D$1001,SUMPRODUCT(('تشخيص الحالات'!$B$2:$B$1001=B606)*('تشخيص الحالات'!$G$2:$G$1001=8)*ROW('تشخيص الحالات'!$B$2:$B$1001))-1),""),"")</f>
        <v/>
      </c>
      <c r="J606" s="1"/>
      <c r="K606" s="1"/>
      <c r="L606" s="1"/>
      <c r="M606" s="1"/>
    </row>
    <row r="607" spans="1:13" x14ac:dyDescent="0.2">
      <c r="A607" s="1"/>
      <c r="B607" s="1"/>
      <c r="C607" s="1"/>
      <c r="D607" s="1"/>
      <c r="E607" s="1"/>
      <c r="F607" s="1"/>
      <c r="G607" s="1"/>
      <c r="H607" s="1"/>
      <c r="I607" t="str">
        <f>IFERROR(INDEX('تشخيص الحالات'!$D$2:$D$1001,SUMPRODUCT(('تشخيص الحالات'!$B$2:$B$1001=B607)*('تشخيص الحالات'!$G$2:$G$1001=1)*ROW('تشخيص الحالات'!$B$2:$B$1001))-1),"")&amp;IF(SUMPRODUCT(('تشخيص الحالات'!$B$2:$B$1001=B607)*('تشخيص الحالات'!$G$2:$G$1001=2))&gt;0,"، "&amp;IFERROR(INDEX('تشخيص الحالات'!$D$2:$D$1001,SUMPRODUCT(('تشخيص الحالات'!$B$2:$B$1001=B607)*('تشخيص الحالات'!$G$2:$G$1001=2)*ROW('تشخيص الحالات'!$B$2:$B$1001))-1),""),"")&amp;IF(SUMPRODUCT(('تشخيص الحالات'!$B$2:$B$1001=B607)*('تشخيص الحالات'!$G$2:$G$1001=3))&gt;0,"، "&amp;IFERROR(INDEX('تشخيص الحالات'!$D$2:$D$1001,SUMPRODUCT(('تشخيص الحالات'!$B$2:$B$1001=B607)*('تشخيص الحالات'!$G$2:$G$1001=3)*ROW('تشخيص الحالات'!$B$2:$B$1001))-1),""),"")&amp;IF(SUMPRODUCT(('تشخيص الحالات'!$B$2:$B$1001=B607)*('تشخيص الحالات'!$G$2:$G$1001=4))&gt;0,"، "&amp;IFERROR(INDEX('تشخيص الحالات'!$D$2:$D$1001,SUMPRODUCT(('تشخيص الحالات'!$B$2:$B$1001=B607)*('تشخيص الحالات'!$G$2:$G$1001=4)*ROW('تشخيص الحالات'!$B$2:$B$1001))-1),""),"")&amp;IF(SUMPRODUCT(('تشخيص الحالات'!$B$2:$B$1001=B607)*('تشخيص الحالات'!$G$2:$G$1001=5))&gt;0,"، "&amp;IFERROR(INDEX('تشخيص الحالات'!$D$2:$D$1001,SUMPRODUCT(('تشخيص الحالات'!$B$2:$B$1001=B607)*('تشخيص الحالات'!$G$2:$G$1001=5)*ROW('تشخيص الحالات'!$B$2:$B$1001))-1),""),"")&amp;IF(SUMPRODUCT(('تشخيص الحالات'!$B$2:$B$1001=B607)*('تشخيص الحالات'!$G$2:$G$1001=6))&gt;0,"، "&amp;IFERROR(INDEX('تشخيص الحالات'!$D$2:$D$1001,SUMPRODUCT(('تشخيص الحالات'!$B$2:$B$1001=B607)*('تشخيص الحالات'!$G$2:$G$1001=6)*ROW('تشخيص الحالات'!$B$2:$B$1001))-1),""),"")&amp;IF(SUMPRODUCT(('تشخيص الحالات'!$B$2:$B$1001=B607)*('تشخيص الحالات'!$G$2:$G$1001=7))&gt;0,"، "&amp;IFERROR(INDEX('تشخيص الحالات'!$D$2:$D$1001,SUMPRODUCT(('تشخيص الحالات'!$B$2:$B$1001=B607)*('تشخيص الحالات'!$G$2:$G$1001=7)*ROW('تشخيص الحالات'!$B$2:$B$1001))-1),""),"")&amp;IF(SUMPRODUCT(('تشخيص الحالات'!$B$2:$B$1001=B607)*('تشخيص الحالات'!$G$2:$G$1001=8))&gt;0,"، "&amp;IFERROR(INDEX('تشخيص الحالات'!$D$2:$D$1001,SUMPRODUCT(('تشخيص الحالات'!$B$2:$B$1001=B607)*('تشخيص الحالات'!$G$2:$G$1001=8)*ROW('تشخيص الحالات'!$B$2:$B$1001))-1),""),"")</f>
        <v/>
      </c>
      <c r="J607" s="1"/>
      <c r="K607" s="1"/>
      <c r="L607" s="1"/>
      <c r="M607" s="1"/>
    </row>
    <row r="608" spans="1:13" x14ac:dyDescent="0.2">
      <c r="A608" s="1"/>
      <c r="B608" s="1"/>
      <c r="C608" s="1"/>
      <c r="D608" s="1"/>
      <c r="E608" s="1"/>
      <c r="F608" s="1"/>
      <c r="G608" s="1"/>
      <c r="H608" s="1"/>
      <c r="I608" t="str">
        <f>IFERROR(INDEX('تشخيص الحالات'!$D$2:$D$1001,SUMPRODUCT(('تشخيص الحالات'!$B$2:$B$1001=B608)*('تشخيص الحالات'!$G$2:$G$1001=1)*ROW('تشخيص الحالات'!$B$2:$B$1001))-1),"")&amp;IF(SUMPRODUCT(('تشخيص الحالات'!$B$2:$B$1001=B608)*('تشخيص الحالات'!$G$2:$G$1001=2))&gt;0,"، "&amp;IFERROR(INDEX('تشخيص الحالات'!$D$2:$D$1001,SUMPRODUCT(('تشخيص الحالات'!$B$2:$B$1001=B608)*('تشخيص الحالات'!$G$2:$G$1001=2)*ROW('تشخيص الحالات'!$B$2:$B$1001))-1),""),"")&amp;IF(SUMPRODUCT(('تشخيص الحالات'!$B$2:$B$1001=B608)*('تشخيص الحالات'!$G$2:$G$1001=3))&gt;0,"، "&amp;IFERROR(INDEX('تشخيص الحالات'!$D$2:$D$1001,SUMPRODUCT(('تشخيص الحالات'!$B$2:$B$1001=B608)*('تشخيص الحالات'!$G$2:$G$1001=3)*ROW('تشخيص الحالات'!$B$2:$B$1001))-1),""),"")&amp;IF(SUMPRODUCT(('تشخيص الحالات'!$B$2:$B$1001=B608)*('تشخيص الحالات'!$G$2:$G$1001=4))&gt;0,"، "&amp;IFERROR(INDEX('تشخيص الحالات'!$D$2:$D$1001,SUMPRODUCT(('تشخيص الحالات'!$B$2:$B$1001=B608)*('تشخيص الحالات'!$G$2:$G$1001=4)*ROW('تشخيص الحالات'!$B$2:$B$1001))-1),""),"")&amp;IF(SUMPRODUCT(('تشخيص الحالات'!$B$2:$B$1001=B608)*('تشخيص الحالات'!$G$2:$G$1001=5))&gt;0,"، "&amp;IFERROR(INDEX('تشخيص الحالات'!$D$2:$D$1001,SUMPRODUCT(('تشخيص الحالات'!$B$2:$B$1001=B608)*('تشخيص الحالات'!$G$2:$G$1001=5)*ROW('تشخيص الحالات'!$B$2:$B$1001))-1),""),"")&amp;IF(SUMPRODUCT(('تشخيص الحالات'!$B$2:$B$1001=B608)*('تشخيص الحالات'!$G$2:$G$1001=6))&gt;0,"، "&amp;IFERROR(INDEX('تشخيص الحالات'!$D$2:$D$1001,SUMPRODUCT(('تشخيص الحالات'!$B$2:$B$1001=B608)*('تشخيص الحالات'!$G$2:$G$1001=6)*ROW('تشخيص الحالات'!$B$2:$B$1001))-1),""),"")&amp;IF(SUMPRODUCT(('تشخيص الحالات'!$B$2:$B$1001=B608)*('تشخيص الحالات'!$G$2:$G$1001=7))&gt;0,"، "&amp;IFERROR(INDEX('تشخيص الحالات'!$D$2:$D$1001,SUMPRODUCT(('تشخيص الحالات'!$B$2:$B$1001=B608)*('تشخيص الحالات'!$G$2:$G$1001=7)*ROW('تشخيص الحالات'!$B$2:$B$1001))-1),""),"")&amp;IF(SUMPRODUCT(('تشخيص الحالات'!$B$2:$B$1001=B608)*('تشخيص الحالات'!$G$2:$G$1001=8))&gt;0,"، "&amp;IFERROR(INDEX('تشخيص الحالات'!$D$2:$D$1001,SUMPRODUCT(('تشخيص الحالات'!$B$2:$B$1001=B608)*('تشخيص الحالات'!$G$2:$G$1001=8)*ROW('تشخيص الحالات'!$B$2:$B$1001))-1),""),"")</f>
        <v/>
      </c>
      <c r="J608" s="1"/>
      <c r="K608" s="1"/>
      <c r="L608" s="1"/>
      <c r="M608" s="1"/>
    </row>
    <row r="609" spans="1:13" x14ac:dyDescent="0.2">
      <c r="A609" s="1"/>
      <c r="B609" s="1"/>
      <c r="C609" s="1"/>
      <c r="D609" s="1"/>
      <c r="E609" s="1"/>
      <c r="F609" s="1"/>
      <c r="G609" s="1"/>
      <c r="H609" s="1"/>
      <c r="I609" t="str">
        <f>IFERROR(INDEX('تشخيص الحالات'!$D$2:$D$1001,SUMPRODUCT(('تشخيص الحالات'!$B$2:$B$1001=B609)*('تشخيص الحالات'!$G$2:$G$1001=1)*ROW('تشخيص الحالات'!$B$2:$B$1001))-1),"")&amp;IF(SUMPRODUCT(('تشخيص الحالات'!$B$2:$B$1001=B609)*('تشخيص الحالات'!$G$2:$G$1001=2))&gt;0,"، "&amp;IFERROR(INDEX('تشخيص الحالات'!$D$2:$D$1001,SUMPRODUCT(('تشخيص الحالات'!$B$2:$B$1001=B609)*('تشخيص الحالات'!$G$2:$G$1001=2)*ROW('تشخيص الحالات'!$B$2:$B$1001))-1),""),"")&amp;IF(SUMPRODUCT(('تشخيص الحالات'!$B$2:$B$1001=B609)*('تشخيص الحالات'!$G$2:$G$1001=3))&gt;0,"، "&amp;IFERROR(INDEX('تشخيص الحالات'!$D$2:$D$1001,SUMPRODUCT(('تشخيص الحالات'!$B$2:$B$1001=B609)*('تشخيص الحالات'!$G$2:$G$1001=3)*ROW('تشخيص الحالات'!$B$2:$B$1001))-1),""),"")&amp;IF(SUMPRODUCT(('تشخيص الحالات'!$B$2:$B$1001=B609)*('تشخيص الحالات'!$G$2:$G$1001=4))&gt;0,"، "&amp;IFERROR(INDEX('تشخيص الحالات'!$D$2:$D$1001,SUMPRODUCT(('تشخيص الحالات'!$B$2:$B$1001=B609)*('تشخيص الحالات'!$G$2:$G$1001=4)*ROW('تشخيص الحالات'!$B$2:$B$1001))-1),""),"")&amp;IF(SUMPRODUCT(('تشخيص الحالات'!$B$2:$B$1001=B609)*('تشخيص الحالات'!$G$2:$G$1001=5))&gt;0,"، "&amp;IFERROR(INDEX('تشخيص الحالات'!$D$2:$D$1001,SUMPRODUCT(('تشخيص الحالات'!$B$2:$B$1001=B609)*('تشخيص الحالات'!$G$2:$G$1001=5)*ROW('تشخيص الحالات'!$B$2:$B$1001))-1),""),"")&amp;IF(SUMPRODUCT(('تشخيص الحالات'!$B$2:$B$1001=B609)*('تشخيص الحالات'!$G$2:$G$1001=6))&gt;0,"، "&amp;IFERROR(INDEX('تشخيص الحالات'!$D$2:$D$1001,SUMPRODUCT(('تشخيص الحالات'!$B$2:$B$1001=B609)*('تشخيص الحالات'!$G$2:$G$1001=6)*ROW('تشخيص الحالات'!$B$2:$B$1001))-1),""),"")&amp;IF(SUMPRODUCT(('تشخيص الحالات'!$B$2:$B$1001=B609)*('تشخيص الحالات'!$G$2:$G$1001=7))&gt;0,"، "&amp;IFERROR(INDEX('تشخيص الحالات'!$D$2:$D$1001,SUMPRODUCT(('تشخيص الحالات'!$B$2:$B$1001=B609)*('تشخيص الحالات'!$G$2:$G$1001=7)*ROW('تشخيص الحالات'!$B$2:$B$1001))-1),""),"")&amp;IF(SUMPRODUCT(('تشخيص الحالات'!$B$2:$B$1001=B609)*('تشخيص الحالات'!$G$2:$G$1001=8))&gt;0,"، "&amp;IFERROR(INDEX('تشخيص الحالات'!$D$2:$D$1001,SUMPRODUCT(('تشخيص الحالات'!$B$2:$B$1001=B609)*('تشخيص الحالات'!$G$2:$G$1001=8)*ROW('تشخيص الحالات'!$B$2:$B$1001))-1),""),"")</f>
        <v/>
      </c>
      <c r="J609" s="1"/>
      <c r="K609" s="1"/>
      <c r="L609" s="1"/>
      <c r="M609" s="1"/>
    </row>
    <row r="610" spans="1:13" x14ac:dyDescent="0.2">
      <c r="A610" s="1"/>
      <c r="B610" s="1"/>
      <c r="C610" s="1"/>
      <c r="D610" s="1"/>
      <c r="E610" s="1"/>
      <c r="F610" s="1"/>
      <c r="G610" s="1"/>
      <c r="H610" s="1"/>
      <c r="I610" t="str">
        <f>IFERROR(INDEX('تشخيص الحالات'!$D$2:$D$1001,SUMPRODUCT(('تشخيص الحالات'!$B$2:$B$1001=B610)*('تشخيص الحالات'!$G$2:$G$1001=1)*ROW('تشخيص الحالات'!$B$2:$B$1001))-1),"")&amp;IF(SUMPRODUCT(('تشخيص الحالات'!$B$2:$B$1001=B610)*('تشخيص الحالات'!$G$2:$G$1001=2))&gt;0,"، "&amp;IFERROR(INDEX('تشخيص الحالات'!$D$2:$D$1001,SUMPRODUCT(('تشخيص الحالات'!$B$2:$B$1001=B610)*('تشخيص الحالات'!$G$2:$G$1001=2)*ROW('تشخيص الحالات'!$B$2:$B$1001))-1),""),"")&amp;IF(SUMPRODUCT(('تشخيص الحالات'!$B$2:$B$1001=B610)*('تشخيص الحالات'!$G$2:$G$1001=3))&gt;0,"، "&amp;IFERROR(INDEX('تشخيص الحالات'!$D$2:$D$1001,SUMPRODUCT(('تشخيص الحالات'!$B$2:$B$1001=B610)*('تشخيص الحالات'!$G$2:$G$1001=3)*ROW('تشخيص الحالات'!$B$2:$B$1001))-1),""),"")&amp;IF(SUMPRODUCT(('تشخيص الحالات'!$B$2:$B$1001=B610)*('تشخيص الحالات'!$G$2:$G$1001=4))&gt;0,"، "&amp;IFERROR(INDEX('تشخيص الحالات'!$D$2:$D$1001,SUMPRODUCT(('تشخيص الحالات'!$B$2:$B$1001=B610)*('تشخيص الحالات'!$G$2:$G$1001=4)*ROW('تشخيص الحالات'!$B$2:$B$1001))-1),""),"")&amp;IF(SUMPRODUCT(('تشخيص الحالات'!$B$2:$B$1001=B610)*('تشخيص الحالات'!$G$2:$G$1001=5))&gt;0,"، "&amp;IFERROR(INDEX('تشخيص الحالات'!$D$2:$D$1001,SUMPRODUCT(('تشخيص الحالات'!$B$2:$B$1001=B610)*('تشخيص الحالات'!$G$2:$G$1001=5)*ROW('تشخيص الحالات'!$B$2:$B$1001))-1),""),"")&amp;IF(SUMPRODUCT(('تشخيص الحالات'!$B$2:$B$1001=B610)*('تشخيص الحالات'!$G$2:$G$1001=6))&gt;0,"، "&amp;IFERROR(INDEX('تشخيص الحالات'!$D$2:$D$1001,SUMPRODUCT(('تشخيص الحالات'!$B$2:$B$1001=B610)*('تشخيص الحالات'!$G$2:$G$1001=6)*ROW('تشخيص الحالات'!$B$2:$B$1001))-1),""),"")&amp;IF(SUMPRODUCT(('تشخيص الحالات'!$B$2:$B$1001=B610)*('تشخيص الحالات'!$G$2:$G$1001=7))&gt;0,"، "&amp;IFERROR(INDEX('تشخيص الحالات'!$D$2:$D$1001,SUMPRODUCT(('تشخيص الحالات'!$B$2:$B$1001=B610)*('تشخيص الحالات'!$G$2:$G$1001=7)*ROW('تشخيص الحالات'!$B$2:$B$1001))-1),""),"")&amp;IF(SUMPRODUCT(('تشخيص الحالات'!$B$2:$B$1001=B610)*('تشخيص الحالات'!$G$2:$G$1001=8))&gt;0,"، "&amp;IFERROR(INDEX('تشخيص الحالات'!$D$2:$D$1001,SUMPRODUCT(('تشخيص الحالات'!$B$2:$B$1001=B610)*('تشخيص الحالات'!$G$2:$G$1001=8)*ROW('تشخيص الحالات'!$B$2:$B$1001))-1),""),"")</f>
        <v/>
      </c>
      <c r="J610" s="1"/>
      <c r="K610" s="1"/>
      <c r="L610" s="1"/>
      <c r="M610" s="1"/>
    </row>
    <row r="611" spans="1:13" x14ac:dyDescent="0.2">
      <c r="A611" s="1"/>
      <c r="B611" s="1"/>
      <c r="C611" s="1"/>
      <c r="D611" s="1"/>
      <c r="E611" s="1"/>
      <c r="F611" s="1"/>
      <c r="G611" s="1"/>
      <c r="H611" s="1"/>
      <c r="I611" t="str">
        <f>IFERROR(INDEX('تشخيص الحالات'!$D$2:$D$1001,SUMPRODUCT(('تشخيص الحالات'!$B$2:$B$1001=B611)*('تشخيص الحالات'!$G$2:$G$1001=1)*ROW('تشخيص الحالات'!$B$2:$B$1001))-1),"")&amp;IF(SUMPRODUCT(('تشخيص الحالات'!$B$2:$B$1001=B611)*('تشخيص الحالات'!$G$2:$G$1001=2))&gt;0,"، "&amp;IFERROR(INDEX('تشخيص الحالات'!$D$2:$D$1001,SUMPRODUCT(('تشخيص الحالات'!$B$2:$B$1001=B611)*('تشخيص الحالات'!$G$2:$G$1001=2)*ROW('تشخيص الحالات'!$B$2:$B$1001))-1),""),"")&amp;IF(SUMPRODUCT(('تشخيص الحالات'!$B$2:$B$1001=B611)*('تشخيص الحالات'!$G$2:$G$1001=3))&gt;0,"، "&amp;IFERROR(INDEX('تشخيص الحالات'!$D$2:$D$1001,SUMPRODUCT(('تشخيص الحالات'!$B$2:$B$1001=B611)*('تشخيص الحالات'!$G$2:$G$1001=3)*ROW('تشخيص الحالات'!$B$2:$B$1001))-1),""),"")&amp;IF(SUMPRODUCT(('تشخيص الحالات'!$B$2:$B$1001=B611)*('تشخيص الحالات'!$G$2:$G$1001=4))&gt;0,"، "&amp;IFERROR(INDEX('تشخيص الحالات'!$D$2:$D$1001,SUMPRODUCT(('تشخيص الحالات'!$B$2:$B$1001=B611)*('تشخيص الحالات'!$G$2:$G$1001=4)*ROW('تشخيص الحالات'!$B$2:$B$1001))-1),""),"")&amp;IF(SUMPRODUCT(('تشخيص الحالات'!$B$2:$B$1001=B611)*('تشخيص الحالات'!$G$2:$G$1001=5))&gt;0,"، "&amp;IFERROR(INDEX('تشخيص الحالات'!$D$2:$D$1001,SUMPRODUCT(('تشخيص الحالات'!$B$2:$B$1001=B611)*('تشخيص الحالات'!$G$2:$G$1001=5)*ROW('تشخيص الحالات'!$B$2:$B$1001))-1),""),"")&amp;IF(SUMPRODUCT(('تشخيص الحالات'!$B$2:$B$1001=B611)*('تشخيص الحالات'!$G$2:$G$1001=6))&gt;0,"، "&amp;IFERROR(INDEX('تشخيص الحالات'!$D$2:$D$1001,SUMPRODUCT(('تشخيص الحالات'!$B$2:$B$1001=B611)*('تشخيص الحالات'!$G$2:$G$1001=6)*ROW('تشخيص الحالات'!$B$2:$B$1001))-1),""),"")&amp;IF(SUMPRODUCT(('تشخيص الحالات'!$B$2:$B$1001=B611)*('تشخيص الحالات'!$G$2:$G$1001=7))&gt;0,"، "&amp;IFERROR(INDEX('تشخيص الحالات'!$D$2:$D$1001,SUMPRODUCT(('تشخيص الحالات'!$B$2:$B$1001=B611)*('تشخيص الحالات'!$G$2:$G$1001=7)*ROW('تشخيص الحالات'!$B$2:$B$1001))-1),""),"")&amp;IF(SUMPRODUCT(('تشخيص الحالات'!$B$2:$B$1001=B611)*('تشخيص الحالات'!$G$2:$G$1001=8))&gt;0,"، "&amp;IFERROR(INDEX('تشخيص الحالات'!$D$2:$D$1001,SUMPRODUCT(('تشخيص الحالات'!$B$2:$B$1001=B611)*('تشخيص الحالات'!$G$2:$G$1001=8)*ROW('تشخيص الحالات'!$B$2:$B$1001))-1),""),"")</f>
        <v/>
      </c>
      <c r="J611" s="1"/>
      <c r="K611" s="1"/>
      <c r="L611" s="1"/>
      <c r="M611" s="1"/>
    </row>
    <row r="612" spans="1:13" x14ac:dyDescent="0.2">
      <c r="A612" s="1"/>
      <c r="B612" s="1"/>
      <c r="C612" s="1"/>
      <c r="D612" s="1"/>
      <c r="E612" s="1"/>
      <c r="F612" s="1"/>
      <c r="G612" s="1"/>
      <c r="H612" s="1"/>
      <c r="I612" t="str">
        <f>IFERROR(INDEX('تشخيص الحالات'!$D$2:$D$1001,SUMPRODUCT(('تشخيص الحالات'!$B$2:$B$1001=B612)*('تشخيص الحالات'!$G$2:$G$1001=1)*ROW('تشخيص الحالات'!$B$2:$B$1001))-1),"")&amp;IF(SUMPRODUCT(('تشخيص الحالات'!$B$2:$B$1001=B612)*('تشخيص الحالات'!$G$2:$G$1001=2))&gt;0,"، "&amp;IFERROR(INDEX('تشخيص الحالات'!$D$2:$D$1001,SUMPRODUCT(('تشخيص الحالات'!$B$2:$B$1001=B612)*('تشخيص الحالات'!$G$2:$G$1001=2)*ROW('تشخيص الحالات'!$B$2:$B$1001))-1),""),"")&amp;IF(SUMPRODUCT(('تشخيص الحالات'!$B$2:$B$1001=B612)*('تشخيص الحالات'!$G$2:$G$1001=3))&gt;0,"، "&amp;IFERROR(INDEX('تشخيص الحالات'!$D$2:$D$1001,SUMPRODUCT(('تشخيص الحالات'!$B$2:$B$1001=B612)*('تشخيص الحالات'!$G$2:$G$1001=3)*ROW('تشخيص الحالات'!$B$2:$B$1001))-1),""),"")&amp;IF(SUMPRODUCT(('تشخيص الحالات'!$B$2:$B$1001=B612)*('تشخيص الحالات'!$G$2:$G$1001=4))&gt;0,"، "&amp;IFERROR(INDEX('تشخيص الحالات'!$D$2:$D$1001,SUMPRODUCT(('تشخيص الحالات'!$B$2:$B$1001=B612)*('تشخيص الحالات'!$G$2:$G$1001=4)*ROW('تشخيص الحالات'!$B$2:$B$1001))-1),""),"")&amp;IF(SUMPRODUCT(('تشخيص الحالات'!$B$2:$B$1001=B612)*('تشخيص الحالات'!$G$2:$G$1001=5))&gt;0,"، "&amp;IFERROR(INDEX('تشخيص الحالات'!$D$2:$D$1001,SUMPRODUCT(('تشخيص الحالات'!$B$2:$B$1001=B612)*('تشخيص الحالات'!$G$2:$G$1001=5)*ROW('تشخيص الحالات'!$B$2:$B$1001))-1),""),"")&amp;IF(SUMPRODUCT(('تشخيص الحالات'!$B$2:$B$1001=B612)*('تشخيص الحالات'!$G$2:$G$1001=6))&gt;0,"، "&amp;IFERROR(INDEX('تشخيص الحالات'!$D$2:$D$1001,SUMPRODUCT(('تشخيص الحالات'!$B$2:$B$1001=B612)*('تشخيص الحالات'!$G$2:$G$1001=6)*ROW('تشخيص الحالات'!$B$2:$B$1001))-1),""),"")&amp;IF(SUMPRODUCT(('تشخيص الحالات'!$B$2:$B$1001=B612)*('تشخيص الحالات'!$G$2:$G$1001=7))&gt;0,"، "&amp;IFERROR(INDEX('تشخيص الحالات'!$D$2:$D$1001,SUMPRODUCT(('تشخيص الحالات'!$B$2:$B$1001=B612)*('تشخيص الحالات'!$G$2:$G$1001=7)*ROW('تشخيص الحالات'!$B$2:$B$1001))-1),""),"")&amp;IF(SUMPRODUCT(('تشخيص الحالات'!$B$2:$B$1001=B612)*('تشخيص الحالات'!$G$2:$G$1001=8))&gt;0,"، "&amp;IFERROR(INDEX('تشخيص الحالات'!$D$2:$D$1001,SUMPRODUCT(('تشخيص الحالات'!$B$2:$B$1001=B612)*('تشخيص الحالات'!$G$2:$G$1001=8)*ROW('تشخيص الحالات'!$B$2:$B$1001))-1),""),"")</f>
        <v/>
      </c>
      <c r="J612" s="1"/>
      <c r="K612" s="1"/>
      <c r="L612" s="1"/>
      <c r="M612" s="1"/>
    </row>
    <row r="613" spans="1:13" x14ac:dyDescent="0.2">
      <c r="A613" s="1"/>
      <c r="B613" s="1"/>
      <c r="C613" s="1"/>
      <c r="D613" s="1"/>
      <c r="E613" s="1"/>
      <c r="F613" s="1"/>
      <c r="G613" s="1"/>
      <c r="H613" s="1"/>
      <c r="I613" t="str">
        <f>IFERROR(INDEX('تشخيص الحالات'!$D$2:$D$1001,SUMPRODUCT(('تشخيص الحالات'!$B$2:$B$1001=B613)*('تشخيص الحالات'!$G$2:$G$1001=1)*ROW('تشخيص الحالات'!$B$2:$B$1001))-1),"")&amp;IF(SUMPRODUCT(('تشخيص الحالات'!$B$2:$B$1001=B613)*('تشخيص الحالات'!$G$2:$G$1001=2))&gt;0,"، "&amp;IFERROR(INDEX('تشخيص الحالات'!$D$2:$D$1001,SUMPRODUCT(('تشخيص الحالات'!$B$2:$B$1001=B613)*('تشخيص الحالات'!$G$2:$G$1001=2)*ROW('تشخيص الحالات'!$B$2:$B$1001))-1),""),"")&amp;IF(SUMPRODUCT(('تشخيص الحالات'!$B$2:$B$1001=B613)*('تشخيص الحالات'!$G$2:$G$1001=3))&gt;0,"، "&amp;IFERROR(INDEX('تشخيص الحالات'!$D$2:$D$1001,SUMPRODUCT(('تشخيص الحالات'!$B$2:$B$1001=B613)*('تشخيص الحالات'!$G$2:$G$1001=3)*ROW('تشخيص الحالات'!$B$2:$B$1001))-1),""),"")&amp;IF(SUMPRODUCT(('تشخيص الحالات'!$B$2:$B$1001=B613)*('تشخيص الحالات'!$G$2:$G$1001=4))&gt;0,"، "&amp;IFERROR(INDEX('تشخيص الحالات'!$D$2:$D$1001,SUMPRODUCT(('تشخيص الحالات'!$B$2:$B$1001=B613)*('تشخيص الحالات'!$G$2:$G$1001=4)*ROW('تشخيص الحالات'!$B$2:$B$1001))-1),""),"")&amp;IF(SUMPRODUCT(('تشخيص الحالات'!$B$2:$B$1001=B613)*('تشخيص الحالات'!$G$2:$G$1001=5))&gt;0,"، "&amp;IFERROR(INDEX('تشخيص الحالات'!$D$2:$D$1001,SUMPRODUCT(('تشخيص الحالات'!$B$2:$B$1001=B613)*('تشخيص الحالات'!$G$2:$G$1001=5)*ROW('تشخيص الحالات'!$B$2:$B$1001))-1),""),"")&amp;IF(SUMPRODUCT(('تشخيص الحالات'!$B$2:$B$1001=B613)*('تشخيص الحالات'!$G$2:$G$1001=6))&gt;0,"، "&amp;IFERROR(INDEX('تشخيص الحالات'!$D$2:$D$1001,SUMPRODUCT(('تشخيص الحالات'!$B$2:$B$1001=B613)*('تشخيص الحالات'!$G$2:$G$1001=6)*ROW('تشخيص الحالات'!$B$2:$B$1001))-1),""),"")&amp;IF(SUMPRODUCT(('تشخيص الحالات'!$B$2:$B$1001=B613)*('تشخيص الحالات'!$G$2:$G$1001=7))&gt;0,"، "&amp;IFERROR(INDEX('تشخيص الحالات'!$D$2:$D$1001,SUMPRODUCT(('تشخيص الحالات'!$B$2:$B$1001=B613)*('تشخيص الحالات'!$G$2:$G$1001=7)*ROW('تشخيص الحالات'!$B$2:$B$1001))-1),""),"")&amp;IF(SUMPRODUCT(('تشخيص الحالات'!$B$2:$B$1001=B613)*('تشخيص الحالات'!$G$2:$G$1001=8))&gt;0,"، "&amp;IFERROR(INDEX('تشخيص الحالات'!$D$2:$D$1001,SUMPRODUCT(('تشخيص الحالات'!$B$2:$B$1001=B613)*('تشخيص الحالات'!$G$2:$G$1001=8)*ROW('تشخيص الحالات'!$B$2:$B$1001))-1),""),"")</f>
        <v/>
      </c>
      <c r="J613" s="1"/>
      <c r="K613" s="1"/>
      <c r="L613" s="1"/>
      <c r="M613" s="1"/>
    </row>
    <row r="614" spans="1:13" x14ac:dyDescent="0.2">
      <c r="A614" s="1"/>
      <c r="B614" s="1"/>
      <c r="C614" s="1"/>
      <c r="D614" s="1"/>
      <c r="E614" s="1"/>
      <c r="F614" s="1"/>
      <c r="G614" s="1"/>
      <c r="H614" s="1"/>
      <c r="I614" t="str">
        <f>IFERROR(INDEX('تشخيص الحالات'!$D$2:$D$1001,SUMPRODUCT(('تشخيص الحالات'!$B$2:$B$1001=B614)*('تشخيص الحالات'!$G$2:$G$1001=1)*ROW('تشخيص الحالات'!$B$2:$B$1001))-1),"")&amp;IF(SUMPRODUCT(('تشخيص الحالات'!$B$2:$B$1001=B614)*('تشخيص الحالات'!$G$2:$G$1001=2))&gt;0,"، "&amp;IFERROR(INDEX('تشخيص الحالات'!$D$2:$D$1001,SUMPRODUCT(('تشخيص الحالات'!$B$2:$B$1001=B614)*('تشخيص الحالات'!$G$2:$G$1001=2)*ROW('تشخيص الحالات'!$B$2:$B$1001))-1),""),"")&amp;IF(SUMPRODUCT(('تشخيص الحالات'!$B$2:$B$1001=B614)*('تشخيص الحالات'!$G$2:$G$1001=3))&gt;0,"، "&amp;IFERROR(INDEX('تشخيص الحالات'!$D$2:$D$1001,SUMPRODUCT(('تشخيص الحالات'!$B$2:$B$1001=B614)*('تشخيص الحالات'!$G$2:$G$1001=3)*ROW('تشخيص الحالات'!$B$2:$B$1001))-1),""),"")&amp;IF(SUMPRODUCT(('تشخيص الحالات'!$B$2:$B$1001=B614)*('تشخيص الحالات'!$G$2:$G$1001=4))&gt;0,"، "&amp;IFERROR(INDEX('تشخيص الحالات'!$D$2:$D$1001,SUMPRODUCT(('تشخيص الحالات'!$B$2:$B$1001=B614)*('تشخيص الحالات'!$G$2:$G$1001=4)*ROW('تشخيص الحالات'!$B$2:$B$1001))-1),""),"")&amp;IF(SUMPRODUCT(('تشخيص الحالات'!$B$2:$B$1001=B614)*('تشخيص الحالات'!$G$2:$G$1001=5))&gt;0,"، "&amp;IFERROR(INDEX('تشخيص الحالات'!$D$2:$D$1001,SUMPRODUCT(('تشخيص الحالات'!$B$2:$B$1001=B614)*('تشخيص الحالات'!$G$2:$G$1001=5)*ROW('تشخيص الحالات'!$B$2:$B$1001))-1),""),"")&amp;IF(SUMPRODUCT(('تشخيص الحالات'!$B$2:$B$1001=B614)*('تشخيص الحالات'!$G$2:$G$1001=6))&gt;0,"، "&amp;IFERROR(INDEX('تشخيص الحالات'!$D$2:$D$1001,SUMPRODUCT(('تشخيص الحالات'!$B$2:$B$1001=B614)*('تشخيص الحالات'!$G$2:$G$1001=6)*ROW('تشخيص الحالات'!$B$2:$B$1001))-1),""),"")&amp;IF(SUMPRODUCT(('تشخيص الحالات'!$B$2:$B$1001=B614)*('تشخيص الحالات'!$G$2:$G$1001=7))&gt;0,"، "&amp;IFERROR(INDEX('تشخيص الحالات'!$D$2:$D$1001,SUMPRODUCT(('تشخيص الحالات'!$B$2:$B$1001=B614)*('تشخيص الحالات'!$G$2:$G$1001=7)*ROW('تشخيص الحالات'!$B$2:$B$1001))-1),""),"")&amp;IF(SUMPRODUCT(('تشخيص الحالات'!$B$2:$B$1001=B614)*('تشخيص الحالات'!$G$2:$G$1001=8))&gt;0,"، "&amp;IFERROR(INDEX('تشخيص الحالات'!$D$2:$D$1001,SUMPRODUCT(('تشخيص الحالات'!$B$2:$B$1001=B614)*('تشخيص الحالات'!$G$2:$G$1001=8)*ROW('تشخيص الحالات'!$B$2:$B$1001))-1),""),"")</f>
        <v/>
      </c>
      <c r="J614" s="1"/>
      <c r="K614" s="1"/>
      <c r="L614" s="1"/>
      <c r="M614" s="1"/>
    </row>
    <row r="615" spans="1:13" x14ac:dyDescent="0.2">
      <c r="A615" s="1"/>
      <c r="B615" s="1"/>
      <c r="C615" s="1"/>
      <c r="D615" s="1"/>
      <c r="E615" s="1"/>
      <c r="F615" s="1"/>
      <c r="G615" s="1"/>
      <c r="H615" s="1"/>
      <c r="I615" t="str">
        <f>IFERROR(INDEX('تشخيص الحالات'!$D$2:$D$1001,SUMPRODUCT(('تشخيص الحالات'!$B$2:$B$1001=B615)*('تشخيص الحالات'!$G$2:$G$1001=1)*ROW('تشخيص الحالات'!$B$2:$B$1001))-1),"")&amp;IF(SUMPRODUCT(('تشخيص الحالات'!$B$2:$B$1001=B615)*('تشخيص الحالات'!$G$2:$G$1001=2))&gt;0,"، "&amp;IFERROR(INDEX('تشخيص الحالات'!$D$2:$D$1001,SUMPRODUCT(('تشخيص الحالات'!$B$2:$B$1001=B615)*('تشخيص الحالات'!$G$2:$G$1001=2)*ROW('تشخيص الحالات'!$B$2:$B$1001))-1),""),"")&amp;IF(SUMPRODUCT(('تشخيص الحالات'!$B$2:$B$1001=B615)*('تشخيص الحالات'!$G$2:$G$1001=3))&gt;0,"، "&amp;IFERROR(INDEX('تشخيص الحالات'!$D$2:$D$1001,SUMPRODUCT(('تشخيص الحالات'!$B$2:$B$1001=B615)*('تشخيص الحالات'!$G$2:$G$1001=3)*ROW('تشخيص الحالات'!$B$2:$B$1001))-1),""),"")&amp;IF(SUMPRODUCT(('تشخيص الحالات'!$B$2:$B$1001=B615)*('تشخيص الحالات'!$G$2:$G$1001=4))&gt;0,"، "&amp;IFERROR(INDEX('تشخيص الحالات'!$D$2:$D$1001,SUMPRODUCT(('تشخيص الحالات'!$B$2:$B$1001=B615)*('تشخيص الحالات'!$G$2:$G$1001=4)*ROW('تشخيص الحالات'!$B$2:$B$1001))-1),""),"")&amp;IF(SUMPRODUCT(('تشخيص الحالات'!$B$2:$B$1001=B615)*('تشخيص الحالات'!$G$2:$G$1001=5))&gt;0,"، "&amp;IFERROR(INDEX('تشخيص الحالات'!$D$2:$D$1001,SUMPRODUCT(('تشخيص الحالات'!$B$2:$B$1001=B615)*('تشخيص الحالات'!$G$2:$G$1001=5)*ROW('تشخيص الحالات'!$B$2:$B$1001))-1),""),"")&amp;IF(SUMPRODUCT(('تشخيص الحالات'!$B$2:$B$1001=B615)*('تشخيص الحالات'!$G$2:$G$1001=6))&gt;0,"، "&amp;IFERROR(INDEX('تشخيص الحالات'!$D$2:$D$1001,SUMPRODUCT(('تشخيص الحالات'!$B$2:$B$1001=B615)*('تشخيص الحالات'!$G$2:$G$1001=6)*ROW('تشخيص الحالات'!$B$2:$B$1001))-1),""),"")&amp;IF(SUMPRODUCT(('تشخيص الحالات'!$B$2:$B$1001=B615)*('تشخيص الحالات'!$G$2:$G$1001=7))&gt;0,"، "&amp;IFERROR(INDEX('تشخيص الحالات'!$D$2:$D$1001,SUMPRODUCT(('تشخيص الحالات'!$B$2:$B$1001=B615)*('تشخيص الحالات'!$G$2:$G$1001=7)*ROW('تشخيص الحالات'!$B$2:$B$1001))-1),""),"")&amp;IF(SUMPRODUCT(('تشخيص الحالات'!$B$2:$B$1001=B615)*('تشخيص الحالات'!$G$2:$G$1001=8))&gt;0,"، "&amp;IFERROR(INDEX('تشخيص الحالات'!$D$2:$D$1001,SUMPRODUCT(('تشخيص الحالات'!$B$2:$B$1001=B615)*('تشخيص الحالات'!$G$2:$G$1001=8)*ROW('تشخيص الحالات'!$B$2:$B$1001))-1),""),"")</f>
        <v/>
      </c>
      <c r="J615" s="1"/>
      <c r="K615" s="1"/>
      <c r="L615" s="1"/>
      <c r="M615" s="1"/>
    </row>
    <row r="616" spans="1:13" x14ac:dyDescent="0.2">
      <c r="A616" s="1"/>
      <c r="B616" s="1"/>
      <c r="C616" s="1"/>
      <c r="D616" s="1"/>
      <c r="E616" s="1"/>
      <c r="F616" s="1"/>
      <c r="G616" s="1"/>
      <c r="H616" s="1"/>
      <c r="I616" t="str">
        <f>IFERROR(INDEX('تشخيص الحالات'!$D$2:$D$1001,SUMPRODUCT(('تشخيص الحالات'!$B$2:$B$1001=B616)*('تشخيص الحالات'!$G$2:$G$1001=1)*ROW('تشخيص الحالات'!$B$2:$B$1001))-1),"")&amp;IF(SUMPRODUCT(('تشخيص الحالات'!$B$2:$B$1001=B616)*('تشخيص الحالات'!$G$2:$G$1001=2))&gt;0,"، "&amp;IFERROR(INDEX('تشخيص الحالات'!$D$2:$D$1001,SUMPRODUCT(('تشخيص الحالات'!$B$2:$B$1001=B616)*('تشخيص الحالات'!$G$2:$G$1001=2)*ROW('تشخيص الحالات'!$B$2:$B$1001))-1),""),"")&amp;IF(SUMPRODUCT(('تشخيص الحالات'!$B$2:$B$1001=B616)*('تشخيص الحالات'!$G$2:$G$1001=3))&gt;0,"، "&amp;IFERROR(INDEX('تشخيص الحالات'!$D$2:$D$1001,SUMPRODUCT(('تشخيص الحالات'!$B$2:$B$1001=B616)*('تشخيص الحالات'!$G$2:$G$1001=3)*ROW('تشخيص الحالات'!$B$2:$B$1001))-1),""),"")&amp;IF(SUMPRODUCT(('تشخيص الحالات'!$B$2:$B$1001=B616)*('تشخيص الحالات'!$G$2:$G$1001=4))&gt;0,"، "&amp;IFERROR(INDEX('تشخيص الحالات'!$D$2:$D$1001,SUMPRODUCT(('تشخيص الحالات'!$B$2:$B$1001=B616)*('تشخيص الحالات'!$G$2:$G$1001=4)*ROW('تشخيص الحالات'!$B$2:$B$1001))-1),""),"")&amp;IF(SUMPRODUCT(('تشخيص الحالات'!$B$2:$B$1001=B616)*('تشخيص الحالات'!$G$2:$G$1001=5))&gt;0,"، "&amp;IFERROR(INDEX('تشخيص الحالات'!$D$2:$D$1001,SUMPRODUCT(('تشخيص الحالات'!$B$2:$B$1001=B616)*('تشخيص الحالات'!$G$2:$G$1001=5)*ROW('تشخيص الحالات'!$B$2:$B$1001))-1),""),"")&amp;IF(SUMPRODUCT(('تشخيص الحالات'!$B$2:$B$1001=B616)*('تشخيص الحالات'!$G$2:$G$1001=6))&gt;0,"، "&amp;IFERROR(INDEX('تشخيص الحالات'!$D$2:$D$1001,SUMPRODUCT(('تشخيص الحالات'!$B$2:$B$1001=B616)*('تشخيص الحالات'!$G$2:$G$1001=6)*ROW('تشخيص الحالات'!$B$2:$B$1001))-1),""),"")&amp;IF(SUMPRODUCT(('تشخيص الحالات'!$B$2:$B$1001=B616)*('تشخيص الحالات'!$G$2:$G$1001=7))&gt;0,"، "&amp;IFERROR(INDEX('تشخيص الحالات'!$D$2:$D$1001,SUMPRODUCT(('تشخيص الحالات'!$B$2:$B$1001=B616)*('تشخيص الحالات'!$G$2:$G$1001=7)*ROW('تشخيص الحالات'!$B$2:$B$1001))-1),""),"")&amp;IF(SUMPRODUCT(('تشخيص الحالات'!$B$2:$B$1001=B616)*('تشخيص الحالات'!$G$2:$G$1001=8))&gt;0,"، "&amp;IFERROR(INDEX('تشخيص الحالات'!$D$2:$D$1001,SUMPRODUCT(('تشخيص الحالات'!$B$2:$B$1001=B616)*('تشخيص الحالات'!$G$2:$G$1001=8)*ROW('تشخيص الحالات'!$B$2:$B$1001))-1),""),"")</f>
        <v/>
      </c>
      <c r="J616" s="1"/>
      <c r="K616" s="1"/>
      <c r="L616" s="1"/>
      <c r="M616" s="1"/>
    </row>
    <row r="617" spans="1:13" x14ac:dyDescent="0.2">
      <c r="A617" s="1"/>
      <c r="B617" s="1"/>
      <c r="C617" s="1"/>
      <c r="D617" s="1"/>
      <c r="E617" s="1"/>
      <c r="F617" s="1"/>
      <c r="G617" s="1"/>
      <c r="H617" s="1"/>
      <c r="I617" t="str">
        <f>IFERROR(INDEX('تشخيص الحالات'!$D$2:$D$1001,SUMPRODUCT(('تشخيص الحالات'!$B$2:$B$1001=B617)*('تشخيص الحالات'!$G$2:$G$1001=1)*ROW('تشخيص الحالات'!$B$2:$B$1001))-1),"")&amp;IF(SUMPRODUCT(('تشخيص الحالات'!$B$2:$B$1001=B617)*('تشخيص الحالات'!$G$2:$G$1001=2))&gt;0,"، "&amp;IFERROR(INDEX('تشخيص الحالات'!$D$2:$D$1001,SUMPRODUCT(('تشخيص الحالات'!$B$2:$B$1001=B617)*('تشخيص الحالات'!$G$2:$G$1001=2)*ROW('تشخيص الحالات'!$B$2:$B$1001))-1),""),"")&amp;IF(SUMPRODUCT(('تشخيص الحالات'!$B$2:$B$1001=B617)*('تشخيص الحالات'!$G$2:$G$1001=3))&gt;0,"، "&amp;IFERROR(INDEX('تشخيص الحالات'!$D$2:$D$1001,SUMPRODUCT(('تشخيص الحالات'!$B$2:$B$1001=B617)*('تشخيص الحالات'!$G$2:$G$1001=3)*ROW('تشخيص الحالات'!$B$2:$B$1001))-1),""),"")&amp;IF(SUMPRODUCT(('تشخيص الحالات'!$B$2:$B$1001=B617)*('تشخيص الحالات'!$G$2:$G$1001=4))&gt;0,"، "&amp;IFERROR(INDEX('تشخيص الحالات'!$D$2:$D$1001,SUMPRODUCT(('تشخيص الحالات'!$B$2:$B$1001=B617)*('تشخيص الحالات'!$G$2:$G$1001=4)*ROW('تشخيص الحالات'!$B$2:$B$1001))-1),""),"")&amp;IF(SUMPRODUCT(('تشخيص الحالات'!$B$2:$B$1001=B617)*('تشخيص الحالات'!$G$2:$G$1001=5))&gt;0,"، "&amp;IFERROR(INDEX('تشخيص الحالات'!$D$2:$D$1001,SUMPRODUCT(('تشخيص الحالات'!$B$2:$B$1001=B617)*('تشخيص الحالات'!$G$2:$G$1001=5)*ROW('تشخيص الحالات'!$B$2:$B$1001))-1),""),"")&amp;IF(SUMPRODUCT(('تشخيص الحالات'!$B$2:$B$1001=B617)*('تشخيص الحالات'!$G$2:$G$1001=6))&gt;0,"، "&amp;IFERROR(INDEX('تشخيص الحالات'!$D$2:$D$1001,SUMPRODUCT(('تشخيص الحالات'!$B$2:$B$1001=B617)*('تشخيص الحالات'!$G$2:$G$1001=6)*ROW('تشخيص الحالات'!$B$2:$B$1001))-1),""),"")&amp;IF(SUMPRODUCT(('تشخيص الحالات'!$B$2:$B$1001=B617)*('تشخيص الحالات'!$G$2:$G$1001=7))&gt;0,"، "&amp;IFERROR(INDEX('تشخيص الحالات'!$D$2:$D$1001,SUMPRODUCT(('تشخيص الحالات'!$B$2:$B$1001=B617)*('تشخيص الحالات'!$G$2:$G$1001=7)*ROW('تشخيص الحالات'!$B$2:$B$1001))-1),""),"")&amp;IF(SUMPRODUCT(('تشخيص الحالات'!$B$2:$B$1001=B617)*('تشخيص الحالات'!$G$2:$G$1001=8))&gt;0,"، "&amp;IFERROR(INDEX('تشخيص الحالات'!$D$2:$D$1001,SUMPRODUCT(('تشخيص الحالات'!$B$2:$B$1001=B617)*('تشخيص الحالات'!$G$2:$G$1001=8)*ROW('تشخيص الحالات'!$B$2:$B$1001))-1),""),"")</f>
        <v/>
      </c>
      <c r="J617" s="1"/>
      <c r="K617" s="1"/>
      <c r="L617" s="1"/>
      <c r="M617" s="1"/>
    </row>
    <row r="618" spans="1:13" x14ac:dyDescent="0.2">
      <c r="A618" s="1"/>
      <c r="B618" s="1"/>
      <c r="C618" s="1"/>
      <c r="D618" s="1"/>
      <c r="E618" s="1"/>
      <c r="F618" s="1"/>
      <c r="G618" s="1"/>
      <c r="H618" s="1"/>
      <c r="I618" t="str">
        <f>IFERROR(INDEX('تشخيص الحالات'!$D$2:$D$1001,SUMPRODUCT(('تشخيص الحالات'!$B$2:$B$1001=B618)*('تشخيص الحالات'!$G$2:$G$1001=1)*ROW('تشخيص الحالات'!$B$2:$B$1001))-1),"")&amp;IF(SUMPRODUCT(('تشخيص الحالات'!$B$2:$B$1001=B618)*('تشخيص الحالات'!$G$2:$G$1001=2))&gt;0,"، "&amp;IFERROR(INDEX('تشخيص الحالات'!$D$2:$D$1001,SUMPRODUCT(('تشخيص الحالات'!$B$2:$B$1001=B618)*('تشخيص الحالات'!$G$2:$G$1001=2)*ROW('تشخيص الحالات'!$B$2:$B$1001))-1),""),"")&amp;IF(SUMPRODUCT(('تشخيص الحالات'!$B$2:$B$1001=B618)*('تشخيص الحالات'!$G$2:$G$1001=3))&gt;0,"، "&amp;IFERROR(INDEX('تشخيص الحالات'!$D$2:$D$1001,SUMPRODUCT(('تشخيص الحالات'!$B$2:$B$1001=B618)*('تشخيص الحالات'!$G$2:$G$1001=3)*ROW('تشخيص الحالات'!$B$2:$B$1001))-1),""),"")&amp;IF(SUMPRODUCT(('تشخيص الحالات'!$B$2:$B$1001=B618)*('تشخيص الحالات'!$G$2:$G$1001=4))&gt;0,"، "&amp;IFERROR(INDEX('تشخيص الحالات'!$D$2:$D$1001,SUMPRODUCT(('تشخيص الحالات'!$B$2:$B$1001=B618)*('تشخيص الحالات'!$G$2:$G$1001=4)*ROW('تشخيص الحالات'!$B$2:$B$1001))-1),""),"")&amp;IF(SUMPRODUCT(('تشخيص الحالات'!$B$2:$B$1001=B618)*('تشخيص الحالات'!$G$2:$G$1001=5))&gt;0,"، "&amp;IFERROR(INDEX('تشخيص الحالات'!$D$2:$D$1001,SUMPRODUCT(('تشخيص الحالات'!$B$2:$B$1001=B618)*('تشخيص الحالات'!$G$2:$G$1001=5)*ROW('تشخيص الحالات'!$B$2:$B$1001))-1),""),"")&amp;IF(SUMPRODUCT(('تشخيص الحالات'!$B$2:$B$1001=B618)*('تشخيص الحالات'!$G$2:$G$1001=6))&gt;0,"، "&amp;IFERROR(INDEX('تشخيص الحالات'!$D$2:$D$1001,SUMPRODUCT(('تشخيص الحالات'!$B$2:$B$1001=B618)*('تشخيص الحالات'!$G$2:$G$1001=6)*ROW('تشخيص الحالات'!$B$2:$B$1001))-1),""),"")&amp;IF(SUMPRODUCT(('تشخيص الحالات'!$B$2:$B$1001=B618)*('تشخيص الحالات'!$G$2:$G$1001=7))&gt;0,"، "&amp;IFERROR(INDEX('تشخيص الحالات'!$D$2:$D$1001,SUMPRODUCT(('تشخيص الحالات'!$B$2:$B$1001=B618)*('تشخيص الحالات'!$G$2:$G$1001=7)*ROW('تشخيص الحالات'!$B$2:$B$1001))-1),""),"")&amp;IF(SUMPRODUCT(('تشخيص الحالات'!$B$2:$B$1001=B618)*('تشخيص الحالات'!$G$2:$G$1001=8))&gt;0,"، "&amp;IFERROR(INDEX('تشخيص الحالات'!$D$2:$D$1001,SUMPRODUCT(('تشخيص الحالات'!$B$2:$B$1001=B618)*('تشخيص الحالات'!$G$2:$G$1001=8)*ROW('تشخيص الحالات'!$B$2:$B$1001))-1),""),"")</f>
        <v/>
      </c>
      <c r="J618" s="1"/>
      <c r="K618" s="1"/>
      <c r="L618" s="1"/>
      <c r="M618" s="1"/>
    </row>
    <row r="619" spans="1:13" x14ac:dyDescent="0.2">
      <c r="A619" s="1"/>
      <c r="B619" s="1"/>
      <c r="C619" s="1"/>
      <c r="D619" s="1"/>
      <c r="E619" s="1"/>
      <c r="F619" s="1"/>
      <c r="G619" s="1"/>
      <c r="H619" s="1"/>
      <c r="I619" t="str">
        <f>IFERROR(INDEX('تشخيص الحالات'!$D$2:$D$1001,SUMPRODUCT(('تشخيص الحالات'!$B$2:$B$1001=B619)*('تشخيص الحالات'!$G$2:$G$1001=1)*ROW('تشخيص الحالات'!$B$2:$B$1001))-1),"")&amp;IF(SUMPRODUCT(('تشخيص الحالات'!$B$2:$B$1001=B619)*('تشخيص الحالات'!$G$2:$G$1001=2))&gt;0,"، "&amp;IFERROR(INDEX('تشخيص الحالات'!$D$2:$D$1001,SUMPRODUCT(('تشخيص الحالات'!$B$2:$B$1001=B619)*('تشخيص الحالات'!$G$2:$G$1001=2)*ROW('تشخيص الحالات'!$B$2:$B$1001))-1),""),"")&amp;IF(SUMPRODUCT(('تشخيص الحالات'!$B$2:$B$1001=B619)*('تشخيص الحالات'!$G$2:$G$1001=3))&gt;0,"، "&amp;IFERROR(INDEX('تشخيص الحالات'!$D$2:$D$1001,SUMPRODUCT(('تشخيص الحالات'!$B$2:$B$1001=B619)*('تشخيص الحالات'!$G$2:$G$1001=3)*ROW('تشخيص الحالات'!$B$2:$B$1001))-1),""),"")&amp;IF(SUMPRODUCT(('تشخيص الحالات'!$B$2:$B$1001=B619)*('تشخيص الحالات'!$G$2:$G$1001=4))&gt;0,"، "&amp;IFERROR(INDEX('تشخيص الحالات'!$D$2:$D$1001,SUMPRODUCT(('تشخيص الحالات'!$B$2:$B$1001=B619)*('تشخيص الحالات'!$G$2:$G$1001=4)*ROW('تشخيص الحالات'!$B$2:$B$1001))-1),""),"")&amp;IF(SUMPRODUCT(('تشخيص الحالات'!$B$2:$B$1001=B619)*('تشخيص الحالات'!$G$2:$G$1001=5))&gt;0,"، "&amp;IFERROR(INDEX('تشخيص الحالات'!$D$2:$D$1001,SUMPRODUCT(('تشخيص الحالات'!$B$2:$B$1001=B619)*('تشخيص الحالات'!$G$2:$G$1001=5)*ROW('تشخيص الحالات'!$B$2:$B$1001))-1),""),"")&amp;IF(SUMPRODUCT(('تشخيص الحالات'!$B$2:$B$1001=B619)*('تشخيص الحالات'!$G$2:$G$1001=6))&gt;0,"، "&amp;IFERROR(INDEX('تشخيص الحالات'!$D$2:$D$1001,SUMPRODUCT(('تشخيص الحالات'!$B$2:$B$1001=B619)*('تشخيص الحالات'!$G$2:$G$1001=6)*ROW('تشخيص الحالات'!$B$2:$B$1001))-1),""),"")&amp;IF(SUMPRODUCT(('تشخيص الحالات'!$B$2:$B$1001=B619)*('تشخيص الحالات'!$G$2:$G$1001=7))&gt;0,"، "&amp;IFERROR(INDEX('تشخيص الحالات'!$D$2:$D$1001,SUMPRODUCT(('تشخيص الحالات'!$B$2:$B$1001=B619)*('تشخيص الحالات'!$G$2:$G$1001=7)*ROW('تشخيص الحالات'!$B$2:$B$1001))-1),""),"")&amp;IF(SUMPRODUCT(('تشخيص الحالات'!$B$2:$B$1001=B619)*('تشخيص الحالات'!$G$2:$G$1001=8))&gt;0,"، "&amp;IFERROR(INDEX('تشخيص الحالات'!$D$2:$D$1001,SUMPRODUCT(('تشخيص الحالات'!$B$2:$B$1001=B619)*('تشخيص الحالات'!$G$2:$G$1001=8)*ROW('تشخيص الحالات'!$B$2:$B$1001))-1),""),"")</f>
        <v/>
      </c>
      <c r="J619" s="1"/>
      <c r="K619" s="1"/>
      <c r="L619" s="1"/>
      <c r="M619" s="1"/>
    </row>
    <row r="620" spans="1:13" x14ac:dyDescent="0.2">
      <c r="A620" s="1"/>
      <c r="B620" s="1"/>
      <c r="C620" s="1"/>
      <c r="D620" s="1"/>
      <c r="E620" s="1"/>
      <c r="F620" s="1"/>
      <c r="G620" s="1"/>
      <c r="H620" s="1"/>
      <c r="I620" t="str">
        <f>IFERROR(INDEX('تشخيص الحالات'!$D$2:$D$1001,SUMPRODUCT(('تشخيص الحالات'!$B$2:$B$1001=B620)*('تشخيص الحالات'!$G$2:$G$1001=1)*ROW('تشخيص الحالات'!$B$2:$B$1001))-1),"")&amp;IF(SUMPRODUCT(('تشخيص الحالات'!$B$2:$B$1001=B620)*('تشخيص الحالات'!$G$2:$G$1001=2))&gt;0,"، "&amp;IFERROR(INDEX('تشخيص الحالات'!$D$2:$D$1001,SUMPRODUCT(('تشخيص الحالات'!$B$2:$B$1001=B620)*('تشخيص الحالات'!$G$2:$G$1001=2)*ROW('تشخيص الحالات'!$B$2:$B$1001))-1),""),"")&amp;IF(SUMPRODUCT(('تشخيص الحالات'!$B$2:$B$1001=B620)*('تشخيص الحالات'!$G$2:$G$1001=3))&gt;0,"، "&amp;IFERROR(INDEX('تشخيص الحالات'!$D$2:$D$1001,SUMPRODUCT(('تشخيص الحالات'!$B$2:$B$1001=B620)*('تشخيص الحالات'!$G$2:$G$1001=3)*ROW('تشخيص الحالات'!$B$2:$B$1001))-1),""),"")&amp;IF(SUMPRODUCT(('تشخيص الحالات'!$B$2:$B$1001=B620)*('تشخيص الحالات'!$G$2:$G$1001=4))&gt;0,"، "&amp;IFERROR(INDEX('تشخيص الحالات'!$D$2:$D$1001,SUMPRODUCT(('تشخيص الحالات'!$B$2:$B$1001=B620)*('تشخيص الحالات'!$G$2:$G$1001=4)*ROW('تشخيص الحالات'!$B$2:$B$1001))-1),""),"")&amp;IF(SUMPRODUCT(('تشخيص الحالات'!$B$2:$B$1001=B620)*('تشخيص الحالات'!$G$2:$G$1001=5))&gt;0,"، "&amp;IFERROR(INDEX('تشخيص الحالات'!$D$2:$D$1001,SUMPRODUCT(('تشخيص الحالات'!$B$2:$B$1001=B620)*('تشخيص الحالات'!$G$2:$G$1001=5)*ROW('تشخيص الحالات'!$B$2:$B$1001))-1),""),"")&amp;IF(SUMPRODUCT(('تشخيص الحالات'!$B$2:$B$1001=B620)*('تشخيص الحالات'!$G$2:$G$1001=6))&gt;0,"، "&amp;IFERROR(INDEX('تشخيص الحالات'!$D$2:$D$1001,SUMPRODUCT(('تشخيص الحالات'!$B$2:$B$1001=B620)*('تشخيص الحالات'!$G$2:$G$1001=6)*ROW('تشخيص الحالات'!$B$2:$B$1001))-1),""),"")&amp;IF(SUMPRODUCT(('تشخيص الحالات'!$B$2:$B$1001=B620)*('تشخيص الحالات'!$G$2:$G$1001=7))&gt;0,"، "&amp;IFERROR(INDEX('تشخيص الحالات'!$D$2:$D$1001,SUMPRODUCT(('تشخيص الحالات'!$B$2:$B$1001=B620)*('تشخيص الحالات'!$G$2:$G$1001=7)*ROW('تشخيص الحالات'!$B$2:$B$1001))-1),""),"")&amp;IF(SUMPRODUCT(('تشخيص الحالات'!$B$2:$B$1001=B620)*('تشخيص الحالات'!$G$2:$G$1001=8))&gt;0,"، "&amp;IFERROR(INDEX('تشخيص الحالات'!$D$2:$D$1001,SUMPRODUCT(('تشخيص الحالات'!$B$2:$B$1001=B620)*('تشخيص الحالات'!$G$2:$G$1001=8)*ROW('تشخيص الحالات'!$B$2:$B$1001))-1),""),"")</f>
        <v/>
      </c>
      <c r="J620" s="1"/>
      <c r="K620" s="1"/>
      <c r="L620" s="1"/>
      <c r="M620" s="1"/>
    </row>
    <row r="621" spans="1:13" x14ac:dyDescent="0.2">
      <c r="A621" s="1"/>
      <c r="B621" s="1"/>
      <c r="C621" s="1"/>
      <c r="D621" s="1"/>
      <c r="E621" s="1"/>
      <c r="F621" s="1"/>
      <c r="G621" s="1"/>
      <c r="H621" s="1"/>
      <c r="I621" t="str">
        <f>IFERROR(INDEX('تشخيص الحالات'!$D$2:$D$1001,SUMPRODUCT(('تشخيص الحالات'!$B$2:$B$1001=B621)*('تشخيص الحالات'!$G$2:$G$1001=1)*ROW('تشخيص الحالات'!$B$2:$B$1001))-1),"")&amp;IF(SUMPRODUCT(('تشخيص الحالات'!$B$2:$B$1001=B621)*('تشخيص الحالات'!$G$2:$G$1001=2))&gt;0,"، "&amp;IFERROR(INDEX('تشخيص الحالات'!$D$2:$D$1001,SUMPRODUCT(('تشخيص الحالات'!$B$2:$B$1001=B621)*('تشخيص الحالات'!$G$2:$G$1001=2)*ROW('تشخيص الحالات'!$B$2:$B$1001))-1),""),"")&amp;IF(SUMPRODUCT(('تشخيص الحالات'!$B$2:$B$1001=B621)*('تشخيص الحالات'!$G$2:$G$1001=3))&gt;0,"، "&amp;IFERROR(INDEX('تشخيص الحالات'!$D$2:$D$1001,SUMPRODUCT(('تشخيص الحالات'!$B$2:$B$1001=B621)*('تشخيص الحالات'!$G$2:$G$1001=3)*ROW('تشخيص الحالات'!$B$2:$B$1001))-1),""),"")&amp;IF(SUMPRODUCT(('تشخيص الحالات'!$B$2:$B$1001=B621)*('تشخيص الحالات'!$G$2:$G$1001=4))&gt;0,"، "&amp;IFERROR(INDEX('تشخيص الحالات'!$D$2:$D$1001,SUMPRODUCT(('تشخيص الحالات'!$B$2:$B$1001=B621)*('تشخيص الحالات'!$G$2:$G$1001=4)*ROW('تشخيص الحالات'!$B$2:$B$1001))-1),""),"")&amp;IF(SUMPRODUCT(('تشخيص الحالات'!$B$2:$B$1001=B621)*('تشخيص الحالات'!$G$2:$G$1001=5))&gt;0,"، "&amp;IFERROR(INDEX('تشخيص الحالات'!$D$2:$D$1001,SUMPRODUCT(('تشخيص الحالات'!$B$2:$B$1001=B621)*('تشخيص الحالات'!$G$2:$G$1001=5)*ROW('تشخيص الحالات'!$B$2:$B$1001))-1),""),"")&amp;IF(SUMPRODUCT(('تشخيص الحالات'!$B$2:$B$1001=B621)*('تشخيص الحالات'!$G$2:$G$1001=6))&gt;0,"، "&amp;IFERROR(INDEX('تشخيص الحالات'!$D$2:$D$1001,SUMPRODUCT(('تشخيص الحالات'!$B$2:$B$1001=B621)*('تشخيص الحالات'!$G$2:$G$1001=6)*ROW('تشخيص الحالات'!$B$2:$B$1001))-1),""),"")&amp;IF(SUMPRODUCT(('تشخيص الحالات'!$B$2:$B$1001=B621)*('تشخيص الحالات'!$G$2:$G$1001=7))&gt;0,"، "&amp;IFERROR(INDEX('تشخيص الحالات'!$D$2:$D$1001,SUMPRODUCT(('تشخيص الحالات'!$B$2:$B$1001=B621)*('تشخيص الحالات'!$G$2:$G$1001=7)*ROW('تشخيص الحالات'!$B$2:$B$1001))-1),""),"")&amp;IF(SUMPRODUCT(('تشخيص الحالات'!$B$2:$B$1001=B621)*('تشخيص الحالات'!$G$2:$G$1001=8))&gt;0,"، "&amp;IFERROR(INDEX('تشخيص الحالات'!$D$2:$D$1001,SUMPRODUCT(('تشخيص الحالات'!$B$2:$B$1001=B621)*('تشخيص الحالات'!$G$2:$G$1001=8)*ROW('تشخيص الحالات'!$B$2:$B$1001))-1),""),"")</f>
        <v/>
      </c>
      <c r="J621" s="1"/>
      <c r="K621" s="1"/>
      <c r="L621" s="1"/>
      <c r="M621" s="1"/>
    </row>
    <row r="622" spans="1:13" x14ac:dyDescent="0.2">
      <c r="A622" s="1"/>
      <c r="B622" s="1"/>
      <c r="C622" s="1"/>
      <c r="D622" s="1"/>
      <c r="E622" s="1"/>
      <c r="F622" s="1"/>
      <c r="G622" s="1"/>
      <c r="H622" s="1"/>
      <c r="I622" t="str">
        <f>IFERROR(INDEX('تشخيص الحالات'!$D$2:$D$1001,SUMPRODUCT(('تشخيص الحالات'!$B$2:$B$1001=B622)*('تشخيص الحالات'!$G$2:$G$1001=1)*ROW('تشخيص الحالات'!$B$2:$B$1001))-1),"")&amp;IF(SUMPRODUCT(('تشخيص الحالات'!$B$2:$B$1001=B622)*('تشخيص الحالات'!$G$2:$G$1001=2))&gt;0,"، "&amp;IFERROR(INDEX('تشخيص الحالات'!$D$2:$D$1001,SUMPRODUCT(('تشخيص الحالات'!$B$2:$B$1001=B622)*('تشخيص الحالات'!$G$2:$G$1001=2)*ROW('تشخيص الحالات'!$B$2:$B$1001))-1),""),"")&amp;IF(SUMPRODUCT(('تشخيص الحالات'!$B$2:$B$1001=B622)*('تشخيص الحالات'!$G$2:$G$1001=3))&gt;0,"، "&amp;IFERROR(INDEX('تشخيص الحالات'!$D$2:$D$1001,SUMPRODUCT(('تشخيص الحالات'!$B$2:$B$1001=B622)*('تشخيص الحالات'!$G$2:$G$1001=3)*ROW('تشخيص الحالات'!$B$2:$B$1001))-1),""),"")&amp;IF(SUMPRODUCT(('تشخيص الحالات'!$B$2:$B$1001=B622)*('تشخيص الحالات'!$G$2:$G$1001=4))&gt;0,"، "&amp;IFERROR(INDEX('تشخيص الحالات'!$D$2:$D$1001,SUMPRODUCT(('تشخيص الحالات'!$B$2:$B$1001=B622)*('تشخيص الحالات'!$G$2:$G$1001=4)*ROW('تشخيص الحالات'!$B$2:$B$1001))-1),""),"")&amp;IF(SUMPRODUCT(('تشخيص الحالات'!$B$2:$B$1001=B622)*('تشخيص الحالات'!$G$2:$G$1001=5))&gt;0,"، "&amp;IFERROR(INDEX('تشخيص الحالات'!$D$2:$D$1001,SUMPRODUCT(('تشخيص الحالات'!$B$2:$B$1001=B622)*('تشخيص الحالات'!$G$2:$G$1001=5)*ROW('تشخيص الحالات'!$B$2:$B$1001))-1),""),"")&amp;IF(SUMPRODUCT(('تشخيص الحالات'!$B$2:$B$1001=B622)*('تشخيص الحالات'!$G$2:$G$1001=6))&gt;0,"، "&amp;IFERROR(INDEX('تشخيص الحالات'!$D$2:$D$1001,SUMPRODUCT(('تشخيص الحالات'!$B$2:$B$1001=B622)*('تشخيص الحالات'!$G$2:$G$1001=6)*ROW('تشخيص الحالات'!$B$2:$B$1001))-1),""),"")&amp;IF(SUMPRODUCT(('تشخيص الحالات'!$B$2:$B$1001=B622)*('تشخيص الحالات'!$G$2:$G$1001=7))&gt;0,"، "&amp;IFERROR(INDEX('تشخيص الحالات'!$D$2:$D$1001,SUMPRODUCT(('تشخيص الحالات'!$B$2:$B$1001=B622)*('تشخيص الحالات'!$G$2:$G$1001=7)*ROW('تشخيص الحالات'!$B$2:$B$1001))-1),""),"")&amp;IF(SUMPRODUCT(('تشخيص الحالات'!$B$2:$B$1001=B622)*('تشخيص الحالات'!$G$2:$G$1001=8))&gt;0,"، "&amp;IFERROR(INDEX('تشخيص الحالات'!$D$2:$D$1001,SUMPRODUCT(('تشخيص الحالات'!$B$2:$B$1001=B622)*('تشخيص الحالات'!$G$2:$G$1001=8)*ROW('تشخيص الحالات'!$B$2:$B$1001))-1),""),"")</f>
        <v/>
      </c>
      <c r="J622" s="1"/>
      <c r="K622" s="1"/>
      <c r="L622" s="1"/>
      <c r="M622" s="1"/>
    </row>
    <row r="623" spans="1:13" x14ac:dyDescent="0.2">
      <c r="A623" s="1"/>
      <c r="B623" s="1"/>
      <c r="C623" s="1"/>
      <c r="D623" s="1"/>
      <c r="E623" s="1"/>
      <c r="F623" s="1"/>
      <c r="G623" s="1"/>
      <c r="H623" s="1"/>
      <c r="I623" t="str">
        <f>IFERROR(INDEX('تشخيص الحالات'!$D$2:$D$1001,SUMPRODUCT(('تشخيص الحالات'!$B$2:$B$1001=B623)*('تشخيص الحالات'!$G$2:$G$1001=1)*ROW('تشخيص الحالات'!$B$2:$B$1001))-1),"")&amp;IF(SUMPRODUCT(('تشخيص الحالات'!$B$2:$B$1001=B623)*('تشخيص الحالات'!$G$2:$G$1001=2))&gt;0,"، "&amp;IFERROR(INDEX('تشخيص الحالات'!$D$2:$D$1001,SUMPRODUCT(('تشخيص الحالات'!$B$2:$B$1001=B623)*('تشخيص الحالات'!$G$2:$G$1001=2)*ROW('تشخيص الحالات'!$B$2:$B$1001))-1),""),"")&amp;IF(SUMPRODUCT(('تشخيص الحالات'!$B$2:$B$1001=B623)*('تشخيص الحالات'!$G$2:$G$1001=3))&gt;0,"، "&amp;IFERROR(INDEX('تشخيص الحالات'!$D$2:$D$1001,SUMPRODUCT(('تشخيص الحالات'!$B$2:$B$1001=B623)*('تشخيص الحالات'!$G$2:$G$1001=3)*ROW('تشخيص الحالات'!$B$2:$B$1001))-1),""),"")&amp;IF(SUMPRODUCT(('تشخيص الحالات'!$B$2:$B$1001=B623)*('تشخيص الحالات'!$G$2:$G$1001=4))&gt;0,"، "&amp;IFERROR(INDEX('تشخيص الحالات'!$D$2:$D$1001,SUMPRODUCT(('تشخيص الحالات'!$B$2:$B$1001=B623)*('تشخيص الحالات'!$G$2:$G$1001=4)*ROW('تشخيص الحالات'!$B$2:$B$1001))-1),""),"")&amp;IF(SUMPRODUCT(('تشخيص الحالات'!$B$2:$B$1001=B623)*('تشخيص الحالات'!$G$2:$G$1001=5))&gt;0,"، "&amp;IFERROR(INDEX('تشخيص الحالات'!$D$2:$D$1001,SUMPRODUCT(('تشخيص الحالات'!$B$2:$B$1001=B623)*('تشخيص الحالات'!$G$2:$G$1001=5)*ROW('تشخيص الحالات'!$B$2:$B$1001))-1),""),"")&amp;IF(SUMPRODUCT(('تشخيص الحالات'!$B$2:$B$1001=B623)*('تشخيص الحالات'!$G$2:$G$1001=6))&gt;0,"، "&amp;IFERROR(INDEX('تشخيص الحالات'!$D$2:$D$1001,SUMPRODUCT(('تشخيص الحالات'!$B$2:$B$1001=B623)*('تشخيص الحالات'!$G$2:$G$1001=6)*ROW('تشخيص الحالات'!$B$2:$B$1001))-1),""),"")&amp;IF(SUMPRODUCT(('تشخيص الحالات'!$B$2:$B$1001=B623)*('تشخيص الحالات'!$G$2:$G$1001=7))&gt;0,"، "&amp;IFERROR(INDEX('تشخيص الحالات'!$D$2:$D$1001,SUMPRODUCT(('تشخيص الحالات'!$B$2:$B$1001=B623)*('تشخيص الحالات'!$G$2:$G$1001=7)*ROW('تشخيص الحالات'!$B$2:$B$1001))-1),""),"")&amp;IF(SUMPRODUCT(('تشخيص الحالات'!$B$2:$B$1001=B623)*('تشخيص الحالات'!$G$2:$G$1001=8))&gt;0,"، "&amp;IFERROR(INDEX('تشخيص الحالات'!$D$2:$D$1001,SUMPRODUCT(('تشخيص الحالات'!$B$2:$B$1001=B623)*('تشخيص الحالات'!$G$2:$G$1001=8)*ROW('تشخيص الحالات'!$B$2:$B$1001))-1),""),"")</f>
        <v/>
      </c>
      <c r="J623" s="1"/>
      <c r="K623" s="1"/>
      <c r="L623" s="1"/>
      <c r="M623" s="1"/>
    </row>
    <row r="624" spans="1:13" x14ac:dyDescent="0.2">
      <c r="A624" s="1"/>
      <c r="B624" s="1"/>
      <c r="C624" s="1"/>
      <c r="D624" s="1"/>
      <c r="E624" s="1"/>
      <c r="F624" s="1"/>
      <c r="G624" s="1"/>
      <c r="H624" s="1"/>
      <c r="I624" t="str">
        <f>IFERROR(INDEX('تشخيص الحالات'!$D$2:$D$1001,SUMPRODUCT(('تشخيص الحالات'!$B$2:$B$1001=B624)*('تشخيص الحالات'!$G$2:$G$1001=1)*ROW('تشخيص الحالات'!$B$2:$B$1001))-1),"")&amp;IF(SUMPRODUCT(('تشخيص الحالات'!$B$2:$B$1001=B624)*('تشخيص الحالات'!$G$2:$G$1001=2))&gt;0,"، "&amp;IFERROR(INDEX('تشخيص الحالات'!$D$2:$D$1001,SUMPRODUCT(('تشخيص الحالات'!$B$2:$B$1001=B624)*('تشخيص الحالات'!$G$2:$G$1001=2)*ROW('تشخيص الحالات'!$B$2:$B$1001))-1),""),"")&amp;IF(SUMPRODUCT(('تشخيص الحالات'!$B$2:$B$1001=B624)*('تشخيص الحالات'!$G$2:$G$1001=3))&gt;0,"، "&amp;IFERROR(INDEX('تشخيص الحالات'!$D$2:$D$1001,SUMPRODUCT(('تشخيص الحالات'!$B$2:$B$1001=B624)*('تشخيص الحالات'!$G$2:$G$1001=3)*ROW('تشخيص الحالات'!$B$2:$B$1001))-1),""),"")&amp;IF(SUMPRODUCT(('تشخيص الحالات'!$B$2:$B$1001=B624)*('تشخيص الحالات'!$G$2:$G$1001=4))&gt;0,"، "&amp;IFERROR(INDEX('تشخيص الحالات'!$D$2:$D$1001,SUMPRODUCT(('تشخيص الحالات'!$B$2:$B$1001=B624)*('تشخيص الحالات'!$G$2:$G$1001=4)*ROW('تشخيص الحالات'!$B$2:$B$1001))-1),""),"")&amp;IF(SUMPRODUCT(('تشخيص الحالات'!$B$2:$B$1001=B624)*('تشخيص الحالات'!$G$2:$G$1001=5))&gt;0,"، "&amp;IFERROR(INDEX('تشخيص الحالات'!$D$2:$D$1001,SUMPRODUCT(('تشخيص الحالات'!$B$2:$B$1001=B624)*('تشخيص الحالات'!$G$2:$G$1001=5)*ROW('تشخيص الحالات'!$B$2:$B$1001))-1),""),"")&amp;IF(SUMPRODUCT(('تشخيص الحالات'!$B$2:$B$1001=B624)*('تشخيص الحالات'!$G$2:$G$1001=6))&gt;0,"، "&amp;IFERROR(INDEX('تشخيص الحالات'!$D$2:$D$1001,SUMPRODUCT(('تشخيص الحالات'!$B$2:$B$1001=B624)*('تشخيص الحالات'!$G$2:$G$1001=6)*ROW('تشخيص الحالات'!$B$2:$B$1001))-1),""),"")&amp;IF(SUMPRODUCT(('تشخيص الحالات'!$B$2:$B$1001=B624)*('تشخيص الحالات'!$G$2:$G$1001=7))&gt;0,"، "&amp;IFERROR(INDEX('تشخيص الحالات'!$D$2:$D$1001,SUMPRODUCT(('تشخيص الحالات'!$B$2:$B$1001=B624)*('تشخيص الحالات'!$G$2:$G$1001=7)*ROW('تشخيص الحالات'!$B$2:$B$1001))-1),""),"")&amp;IF(SUMPRODUCT(('تشخيص الحالات'!$B$2:$B$1001=B624)*('تشخيص الحالات'!$G$2:$G$1001=8))&gt;0,"، "&amp;IFERROR(INDEX('تشخيص الحالات'!$D$2:$D$1001,SUMPRODUCT(('تشخيص الحالات'!$B$2:$B$1001=B624)*('تشخيص الحالات'!$G$2:$G$1001=8)*ROW('تشخيص الحالات'!$B$2:$B$1001))-1),""),"")</f>
        <v/>
      </c>
      <c r="J624" s="1"/>
      <c r="K624" s="1"/>
      <c r="L624" s="1"/>
      <c r="M624" s="1"/>
    </row>
    <row r="625" spans="1:13" x14ac:dyDescent="0.2">
      <c r="A625" s="1"/>
      <c r="B625" s="1"/>
      <c r="C625" s="1"/>
      <c r="D625" s="1"/>
      <c r="E625" s="1"/>
      <c r="F625" s="1"/>
      <c r="G625" s="1"/>
      <c r="H625" s="1"/>
      <c r="I625" t="str">
        <f>IFERROR(INDEX('تشخيص الحالات'!$D$2:$D$1001,SUMPRODUCT(('تشخيص الحالات'!$B$2:$B$1001=B625)*('تشخيص الحالات'!$G$2:$G$1001=1)*ROW('تشخيص الحالات'!$B$2:$B$1001))-1),"")&amp;IF(SUMPRODUCT(('تشخيص الحالات'!$B$2:$B$1001=B625)*('تشخيص الحالات'!$G$2:$G$1001=2))&gt;0,"، "&amp;IFERROR(INDEX('تشخيص الحالات'!$D$2:$D$1001,SUMPRODUCT(('تشخيص الحالات'!$B$2:$B$1001=B625)*('تشخيص الحالات'!$G$2:$G$1001=2)*ROW('تشخيص الحالات'!$B$2:$B$1001))-1),""),"")&amp;IF(SUMPRODUCT(('تشخيص الحالات'!$B$2:$B$1001=B625)*('تشخيص الحالات'!$G$2:$G$1001=3))&gt;0,"، "&amp;IFERROR(INDEX('تشخيص الحالات'!$D$2:$D$1001,SUMPRODUCT(('تشخيص الحالات'!$B$2:$B$1001=B625)*('تشخيص الحالات'!$G$2:$G$1001=3)*ROW('تشخيص الحالات'!$B$2:$B$1001))-1),""),"")&amp;IF(SUMPRODUCT(('تشخيص الحالات'!$B$2:$B$1001=B625)*('تشخيص الحالات'!$G$2:$G$1001=4))&gt;0,"، "&amp;IFERROR(INDEX('تشخيص الحالات'!$D$2:$D$1001,SUMPRODUCT(('تشخيص الحالات'!$B$2:$B$1001=B625)*('تشخيص الحالات'!$G$2:$G$1001=4)*ROW('تشخيص الحالات'!$B$2:$B$1001))-1),""),"")&amp;IF(SUMPRODUCT(('تشخيص الحالات'!$B$2:$B$1001=B625)*('تشخيص الحالات'!$G$2:$G$1001=5))&gt;0,"، "&amp;IFERROR(INDEX('تشخيص الحالات'!$D$2:$D$1001,SUMPRODUCT(('تشخيص الحالات'!$B$2:$B$1001=B625)*('تشخيص الحالات'!$G$2:$G$1001=5)*ROW('تشخيص الحالات'!$B$2:$B$1001))-1),""),"")&amp;IF(SUMPRODUCT(('تشخيص الحالات'!$B$2:$B$1001=B625)*('تشخيص الحالات'!$G$2:$G$1001=6))&gt;0,"، "&amp;IFERROR(INDEX('تشخيص الحالات'!$D$2:$D$1001,SUMPRODUCT(('تشخيص الحالات'!$B$2:$B$1001=B625)*('تشخيص الحالات'!$G$2:$G$1001=6)*ROW('تشخيص الحالات'!$B$2:$B$1001))-1),""),"")&amp;IF(SUMPRODUCT(('تشخيص الحالات'!$B$2:$B$1001=B625)*('تشخيص الحالات'!$G$2:$G$1001=7))&gt;0,"، "&amp;IFERROR(INDEX('تشخيص الحالات'!$D$2:$D$1001,SUMPRODUCT(('تشخيص الحالات'!$B$2:$B$1001=B625)*('تشخيص الحالات'!$G$2:$G$1001=7)*ROW('تشخيص الحالات'!$B$2:$B$1001))-1),""),"")&amp;IF(SUMPRODUCT(('تشخيص الحالات'!$B$2:$B$1001=B625)*('تشخيص الحالات'!$G$2:$G$1001=8))&gt;0,"، "&amp;IFERROR(INDEX('تشخيص الحالات'!$D$2:$D$1001,SUMPRODUCT(('تشخيص الحالات'!$B$2:$B$1001=B625)*('تشخيص الحالات'!$G$2:$G$1001=8)*ROW('تشخيص الحالات'!$B$2:$B$1001))-1),""),"")</f>
        <v/>
      </c>
      <c r="J625" s="1"/>
      <c r="K625" s="1"/>
      <c r="L625" s="1"/>
      <c r="M625" s="1"/>
    </row>
    <row r="626" spans="1:13" x14ac:dyDescent="0.2">
      <c r="A626" s="1"/>
      <c r="B626" s="1"/>
      <c r="C626" s="1"/>
      <c r="D626" s="1"/>
      <c r="E626" s="1"/>
      <c r="F626" s="1"/>
      <c r="G626" s="1"/>
      <c r="H626" s="1"/>
      <c r="I626" t="str">
        <f>IFERROR(INDEX('تشخيص الحالات'!$D$2:$D$1001,SUMPRODUCT(('تشخيص الحالات'!$B$2:$B$1001=B626)*('تشخيص الحالات'!$G$2:$G$1001=1)*ROW('تشخيص الحالات'!$B$2:$B$1001))-1),"")&amp;IF(SUMPRODUCT(('تشخيص الحالات'!$B$2:$B$1001=B626)*('تشخيص الحالات'!$G$2:$G$1001=2))&gt;0,"، "&amp;IFERROR(INDEX('تشخيص الحالات'!$D$2:$D$1001,SUMPRODUCT(('تشخيص الحالات'!$B$2:$B$1001=B626)*('تشخيص الحالات'!$G$2:$G$1001=2)*ROW('تشخيص الحالات'!$B$2:$B$1001))-1),""),"")&amp;IF(SUMPRODUCT(('تشخيص الحالات'!$B$2:$B$1001=B626)*('تشخيص الحالات'!$G$2:$G$1001=3))&gt;0,"، "&amp;IFERROR(INDEX('تشخيص الحالات'!$D$2:$D$1001,SUMPRODUCT(('تشخيص الحالات'!$B$2:$B$1001=B626)*('تشخيص الحالات'!$G$2:$G$1001=3)*ROW('تشخيص الحالات'!$B$2:$B$1001))-1),""),"")&amp;IF(SUMPRODUCT(('تشخيص الحالات'!$B$2:$B$1001=B626)*('تشخيص الحالات'!$G$2:$G$1001=4))&gt;0,"، "&amp;IFERROR(INDEX('تشخيص الحالات'!$D$2:$D$1001,SUMPRODUCT(('تشخيص الحالات'!$B$2:$B$1001=B626)*('تشخيص الحالات'!$G$2:$G$1001=4)*ROW('تشخيص الحالات'!$B$2:$B$1001))-1),""),"")&amp;IF(SUMPRODUCT(('تشخيص الحالات'!$B$2:$B$1001=B626)*('تشخيص الحالات'!$G$2:$G$1001=5))&gt;0,"، "&amp;IFERROR(INDEX('تشخيص الحالات'!$D$2:$D$1001,SUMPRODUCT(('تشخيص الحالات'!$B$2:$B$1001=B626)*('تشخيص الحالات'!$G$2:$G$1001=5)*ROW('تشخيص الحالات'!$B$2:$B$1001))-1),""),"")&amp;IF(SUMPRODUCT(('تشخيص الحالات'!$B$2:$B$1001=B626)*('تشخيص الحالات'!$G$2:$G$1001=6))&gt;0,"، "&amp;IFERROR(INDEX('تشخيص الحالات'!$D$2:$D$1001,SUMPRODUCT(('تشخيص الحالات'!$B$2:$B$1001=B626)*('تشخيص الحالات'!$G$2:$G$1001=6)*ROW('تشخيص الحالات'!$B$2:$B$1001))-1),""),"")&amp;IF(SUMPRODUCT(('تشخيص الحالات'!$B$2:$B$1001=B626)*('تشخيص الحالات'!$G$2:$G$1001=7))&gt;0,"، "&amp;IFERROR(INDEX('تشخيص الحالات'!$D$2:$D$1001,SUMPRODUCT(('تشخيص الحالات'!$B$2:$B$1001=B626)*('تشخيص الحالات'!$G$2:$G$1001=7)*ROW('تشخيص الحالات'!$B$2:$B$1001))-1),""),"")&amp;IF(SUMPRODUCT(('تشخيص الحالات'!$B$2:$B$1001=B626)*('تشخيص الحالات'!$G$2:$G$1001=8))&gt;0,"، "&amp;IFERROR(INDEX('تشخيص الحالات'!$D$2:$D$1001,SUMPRODUCT(('تشخيص الحالات'!$B$2:$B$1001=B626)*('تشخيص الحالات'!$G$2:$G$1001=8)*ROW('تشخيص الحالات'!$B$2:$B$1001))-1),""),"")</f>
        <v/>
      </c>
      <c r="J626" s="1"/>
      <c r="K626" s="1"/>
      <c r="L626" s="1"/>
      <c r="M626" s="1"/>
    </row>
    <row r="627" spans="1:13" x14ac:dyDescent="0.2">
      <c r="A627" s="1"/>
      <c r="B627" s="1"/>
      <c r="C627" s="1"/>
      <c r="D627" s="1"/>
      <c r="E627" s="1"/>
      <c r="F627" s="1"/>
      <c r="G627" s="1"/>
      <c r="H627" s="1"/>
      <c r="I627" t="str">
        <f>IFERROR(INDEX('تشخيص الحالات'!$D$2:$D$1001,SUMPRODUCT(('تشخيص الحالات'!$B$2:$B$1001=B627)*('تشخيص الحالات'!$G$2:$G$1001=1)*ROW('تشخيص الحالات'!$B$2:$B$1001))-1),"")&amp;IF(SUMPRODUCT(('تشخيص الحالات'!$B$2:$B$1001=B627)*('تشخيص الحالات'!$G$2:$G$1001=2))&gt;0,"، "&amp;IFERROR(INDEX('تشخيص الحالات'!$D$2:$D$1001,SUMPRODUCT(('تشخيص الحالات'!$B$2:$B$1001=B627)*('تشخيص الحالات'!$G$2:$G$1001=2)*ROW('تشخيص الحالات'!$B$2:$B$1001))-1),""),"")&amp;IF(SUMPRODUCT(('تشخيص الحالات'!$B$2:$B$1001=B627)*('تشخيص الحالات'!$G$2:$G$1001=3))&gt;0,"، "&amp;IFERROR(INDEX('تشخيص الحالات'!$D$2:$D$1001,SUMPRODUCT(('تشخيص الحالات'!$B$2:$B$1001=B627)*('تشخيص الحالات'!$G$2:$G$1001=3)*ROW('تشخيص الحالات'!$B$2:$B$1001))-1),""),"")&amp;IF(SUMPRODUCT(('تشخيص الحالات'!$B$2:$B$1001=B627)*('تشخيص الحالات'!$G$2:$G$1001=4))&gt;0,"، "&amp;IFERROR(INDEX('تشخيص الحالات'!$D$2:$D$1001,SUMPRODUCT(('تشخيص الحالات'!$B$2:$B$1001=B627)*('تشخيص الحالات'!$G$2:$G$1001=4)*ROW('تشخيص الحالات'!$B$2:$B$1001))-1),""),"")&amp;IF(SUMPRODUCT(('تشخيص الحالات'!$B$2:$B$1001=B627)*('تشخيص الحالات'!$G$2:$G$1001=5))&gt;0,"، "&amp;IFERROR(INDEX('تشخيص الحالات'!$D$2:$D$1001,SUMPRODUCT(('تشخيص الحالات'!$B$2:$B$1001=B627)*('تشخيص الحالات'!$G$2:$G$1001=5)*ROW('تشخيص الحالات'!$B$2:$B$1001))-1),""),"")&amp;IF(SUMPRODUCT(('تشخيص الحالات'!$B$2:$B$1001=B627)*('تشخيص الحالات'!$G$2:$G$1001=6))&gt;0,"، "&amp;IFERROR(INDEX('تشخيص الحالات'!$D$2:$D$1001,SUMPRODUCT(('تشخيص الحالات'!$B$2:$B$1001=B627)*('تشخيص الحالات'!$G$2:$G$1001=6)*ROW('تشخيص الحالات'!$B$2:$B$1001))-1),""),"")&amp;IF(SUMPRODUCT(('تشخيص الحالات'!$B$2:$B$1001=B627)*('تشخيص الحالات'!$G$2:$G$1001=7))&gt;0,"، "&amp;IFERROR(INDEX('تشخيص الحالات'!$D$2:$D$1001,SUMPRODUCT(('تشخيص الحالات'!$B$2:$B$1001=B627)*('تشخيص الحالات'!$G$2:$G$1001=7)*ROW('تشخيص الحالات'!$B$2:$B$1001))-1),""),"")&amp;IF(SUMPRODUCT(('تشخيص الحالات'!$B$2:$B$1001=B627)*('تشخيص الحالات'!$G$2:$G$1001=8))&gt;0,"، "&amp;IFERROR(INDEX('تشخيص الحالات'!$D$2:$D$1001,SUMPRODUCT(('تشخيص الحالات'!$B$2:$B$1001=B627)*('تشخيص الحالات'!$G$2:$G$1001=8)*ROW('تشخيص الحالات'!$B$2:$B$1001))-1),""),"")</f>
        <v/>
      </c>
      <c r="J627" s="1"/>
      <c r="K627" s="1"/>
      <c r="L627" s="1"/>
      <c r="M627" s="1"/>
    </row>
    <row r="628" spans="1:13" x14ac:dyDescent="0.2">
      <c r="A628" s="1"/>
      <c r="B628" s="1"/>
      <c r="C628" s="1"/>
      <c r="D628" s="1"/>
      <c r="E628" s="1"/>
      <c r="F628" s="1"/>
      <c r="G628" s="1"/>
      <c r="H628" s="1"/>
      <c r="I628" t="str">
        <f>IFERROR(INDEX('تشخيص الحالات'!$D$2:$D$1001,SUMPRODUCT(('تشخيص الحالات'!$B$2:$B$1001=B628)*('تشخيص الحالات'!$G$2:$G$1001=1)*ROW('تشخيص الحالات'!$B$2:$B$1001))-1),"")&amp;IF(SUMPRODUCT(('تشخيص الحالات'!$B$2:$B$1001=B628)*('تشخيص الحالات'!$G$2:$G$1001=2))&gt;0,"، "&amp;IFERROR(INDEX('تشخيص الحالات'!$D$2:$D$1001,SUMPRODUCT(('تشخيص الحالات'!$B$2:$B$1001=B628)*('تشخيص الحالات'!$G$2:$G$1001=2)*ROW('تشخيص الحالات'!$B$2:$B$1001))-1),""),"")&amp;IF(SUMPRODUCT(('تشخيص الحالات'!$B$2:$B$1001=B628)*('تشخيص الحالات'!$G$2:$G$1001=3))&gt;0,"، "&amp;IFERROR(INDEX('تشخيص الحالات'!$D$2:$D$1001,SUMPRODUCT(('تشخيص الحالات'!$B$2:$B$1001=B628)*('تشخيص الحالات'!$G$2:$G$1001=3)*ROW('تشخيص الحالات'!$B$2:$B$1001))-1),""),"")&amp;IF(SUMPRODUCT(('تشخيص الحالات'!$B$2:$B$1001=B628)*('تشخيص الحالات'!$G$2:$G$1001=4))&gt;0,"، "&amp;IFERROR(INDEX('تشخيص الحالات'!$D$2:$D$1001,SUMPRODUCT(('تشخيص الحالات'!$B$2:$B$1001=B628)*('تشخيص الحالات'!$G$2:$G$1001=4)*ROW('تشخيص الحالات'!$B$2:$B$1001))-1),""),"")&amp;IF(SUMPRODUCT(('تشخيص الحالات'!$B$2:$B$1001=B628)*('تشخيص الحالات'!$G$2:$G$1001=5))&gt;0,"، "&amp;IFERROR(INDEX('تشخيص الحالات'!$D$2:$D$1001,SUMPRODUCT(('تشخيص الحالات'!$B$2:$B$1001=B628)*('تشخيص الحالات'!$G$2:$G$1001=5)*ROW('تشخيص الحالات'!$B$2:$B$1001))-1),""),"")&amp;IF(SUMPRODUCT(('تشخيص الحالات'!$B$2:$B$1001=B628)*('تشخيص الحالات'!$G$2:$G$1001=6))&gt;0,"، "&amp;IFERROR(INDEX('تشخيص الحالات'!$D$2:$D$1001,SUMPRODUCT(('تشخيص الحالات'!$B$2:$B$1001=B628)*('تشخيص الحالات'!$G$2:$G$1001=6)*ROW('تشخيص الحالات'!$B$2:$B$1001))-1),""),"")&amp;IF(SUMPRODUCT(('تشخيص الحالات'!$B$2:$B$1001=B628)*('تشخيص الحالات'!$G$2:$G$1001=7))&gt;0,"، "&amp;IFERROR(INDEX('تشخيص الحالات'!$D$2:$D$1001,SUMPRODUCT(('تشخيص الحالات'!$B$2:$B$1001=B628)*('تشخيص الحالات'!$G$2:$G$1001=7)*ROW('تشخيص الحالات'!$B$2:$B$1001))-1),""),"")&amp;IF(SUMPRODUCT(('تشخيص الحالات'!$B$2:$B$1001=B628)*('تشخيص الحالات'!$G$2:$G$1001=8))&gt;0,"، "&amp;IFERROR(INDEX('تشخيص الحالات'!$D$2:$D$1001,SUMPRODUCT(('تشخيص الحالات'!$B$2:$B$1001=B628)*('تشخيص الحالات'!$G$2:$G$1001=8)*ROW('تشخيص الحالات'!$B$2:$B$1001))-1),""),"")</f>
        <v/>
      </c>
      <c r="J628" s="1"/>
      <c r="K628" s="1"/>
      <c r="L628" s="1"/>
      <c r="M628" s="1"/>
    </row>
    <row r="629" spans="1:13" x14ac:dyDescent="0.2">
      <c r="A629" s="1"/>
      <c r="B629" s="1"/>
      <c r="C629" s="1"/>
      <c r="D629" s="1"/>
      <c r="E629" s="1"/>
      <c r="F629" s="1"/>
      <c r="G629" s="1"/>
      <c r="H629" s="1"/>
      <c r="I629" t="str">
        <f>IFERROR(INDEX('تشخيص الحالات'!$D$2:$D$1001,SUMPRODUCT(('تشخيص الحالات'!$B$2:$B$1001=B629)*('تشخيص الحالات'!$G$2:$G$1001=1)*ROW('تشخيص الحالات'!$B$2:$B$1001))-1),"")&amp;IF(SUMPRODUCT(('تشخيص الحالات'!$B$2:$B$1001=B629)*('تشخيص الحالات'!$G$2:$G$1001=2))&gt;0,"، "&amp;IFERROR(INDEX('تشخيص الحالات'!$D$2:$D$1001,SUMPRODUCT(('تشخيص الحالات'!$B$2:$B$1001=B629)*('تشخيص الحالات'!$G$2:$G$1001=2)*ROW('تشخيص الحالات'!$B$2:$B$1001))-1),""),"")&amp;IF(SUMPRODUCT(('تشخيص الحالات'!$B$2:$B$1001=B629)*('تشخيص الحالات'!$G$2:$G$1001=3))&gt;0,"، "&amp;IFERROR(INDEX('تشخيص الحالات'!$D$2:$D$1001,SUMPRODUCT(('تشخيص الحالات'!$B$2:$B$1001=B629)*('تشخيص الحالات'!$G$2:$G$1001=3)*ROW('تشخيص الحالات'!$B$2:$B$1001))-1),""),"")&amp;IF(SUMPRODUCT(('تشخيص الحالات'!$B$2:$B$1001=B629)*('تشخيص الحالات'!$G$2:$G$1001=4))&gt;0,"، "&amp;IFERROR(INDEX('تشخيص الحالات'!$D$2:$D$1001,SUMPRODUCT(('تشخيص الحالات'!$B$2:$B$1001=B629)*('تشخيص الحالات'!$G$2:$G$1001=4)*ROW('تشخيص الحالات'!$B$2:$B$1001))-1),""),"")&amp;IF(SUMPRODUCT(('تشخيص الحالات'!$B$2:$B$1001=B629)*('تشخيص الحالات'!$G$2:$G$1001=5))&gt;0,"، "&amp;IFERROR(INDEX('تشخيص الحالات'!$D$2:$D$1001,SUMPRODUCT(('تشخيص الحالات'!$B$2:$B$1001=B629)*('تشخيص الحالات'!$G$2:$G$1001=5)*ROW('تشخيص الحالات'!$B$2:$B$1001))-1),""),"")&amp;IF(SUMPRODUCT(('تشخيص الحالات'!$B$2:$B$1001=B629)*('تشخيص الحالات'!$G$2:$G$1001=6))&gt;0,"، "&amp;IFERROR(INDEX('تشخيص الحالات'!$D$2:$D$1001,SUMPRODUCT(('تشخيص الحالات'!$B$2:$B$1001=B629)*('تشخيص الحالات'!$G$2:$G$1001=6)*ROW('تشخيص الحالات'!$B$2:$B$1001))-1),""),"")&amp;IF(SUMPRODUCT(('تشخيص الحالات'!$B$2:$B$1001=B629)*('تشخيص الحالات'!$G$2:$G$1001=7))&gt;0,"، "&amp;IFERROR(INDEX('تشخيص الحالات'!$D$2:$D$1001,SUMPRODUCT(('تشخيص الحالات'!$B$2:$B$1001=B629)*('تشخيص الحالات'!$G$2:$G$1001=7)*ROW('تشخيص الحالات'!$B$2:$B$1001))-1),""),"")&amp;IF(SUMPRODUCT(('تشخيص الحالات'!$B$2:$B$1001=B629)*('تشخيص الحالات'!$G$2:$G$1001=8))&gt;0,"، "&amp;IFERROR(INDEX('تشخيص الحالات'!$D$2:$D$1001,SUMPRODUCT(('تشخيص الحالات'!$B$2:$B$1001=B629)*('تشخيص الحالات'!$G$2:$G$1001=8)*ROW('تشخيص الحالات'!$B$2:$B$1001))-1),""),"")</f>
        <v/>
      </c>
      <c r="J629" s="1"/>
      <c r="K629" s="1"/>
      <c r="L629" s="1"/>
      <c r="M629" s="1"/>
    </row>
    <row r="630" spans="1:13" x14ac:dyDescent="0.2">
      <c r="A630" s="1"/>
      <c r="B630" s="1"/>
      <c r="C630" s="1"/>
      <c r="D630" s="1"/>
      <c r="E630" s="1"/>
      <c r="F630" s="1"/>
      <c r="G630" s="1"/>
      <c r="H630" s="1"/>
      <c r="I630" t="str">
        <f>IFERROR(INDEX('تشخيص الحالات'!$D$2:$D$1001,SUMPRODUCT(('تشخيص الحالات'!$B$2:$B$1001=B630)*('تشخيص الحالات'!$G$2:$G$1001=1)*ROW('تشخيص الحالات'!$B$2:$B$1001))-1),"")&amp;IF(SUMPRODUCT(('تشخيص الحالات'!$B$2:$B$1001=B630)*('تشخيص الحالات'!$G$2:$G$1001=2))&gt;0,"، "&amp;IFERROR(INDEX('تشخيص الحالات'!$D$2:$D$1001,SUMPRODUCT(('تشخيص الحالات'!$B$2:$B$1001=B630)*('تشخيص الحالات'!$G$2:$G$1001=2)*ROW('تشخيص الحالات'!$B$2:$B$1001))-1),""),"")&amp;IF(SUMPRODUCT(('تشخيص الحالات'!$B$2:$B$1001=B630)*('تشخيص الحالات'!$G$2:$G$1001=3))&gt;0,"، "&amp;IFERROR(INDEX('تشخيص الحالات'!$D$2:$D$1001,SUMPRODUCT(('تشخيص الحالات'!$B$2:$B$1001=B630)*('تشخيص الحالات'!$G$2:$G$1001=3)*ROW('تشخيص الحالات'!$B$2:$B$1001))-1),""),"")&amp;IF(SUMPRODUCT(('تشخيص الحالات'!$B$2:$B$1001=B630)*('تشخيص الحالات'!$G$2:$G$1001=4))&gt;0,"، "&amp;IFERROR(INDEX('تشخيص الحالات'!$D$2:$D$1001,SUMPRODUCT(('تشخيص الحالات'!$B$2:$B$1001=B630)*('تشخيص الحالات'!$G$2:$G$1001=4)*ROW('تشخيص الحالات'!$B$2:$B$1001))-1),""),"")&amp;IF(SUMPRODUCT(('تشخيص الحالات'!$B$2:$B$1001=B630)*('تشخيص الحالات'!$G$2:$G$1001=5))&gt;0,"، "&amp;IFERROR(INDEX('تشخيص الحالات'!$D$2:$D$1001,SUMPRODUCT(('تشخيص الحالات'!$B$2:$B$1001=B630)*('تشخيص الحالات'!$G$2:$G$1001=5)*ROW('تشخيص الحالات'!$B$2:$B$1001))-1),""),"")&amp;IF(SUMPRODUCT(('تشخيص الحالات'!$B$2:$B$1001=B630)*('تشخيص الحالات'!$G$2:$G$1001=6))&gt;0,"، "&amp;IFERROR(INDEX('تشخيص الحالات'!$D$2:$D$1001,SUMPRODUCT(('تشخيص الحالات'!$B$2:$B$1001=B630)*('تشخيص الحالات'!$G$2:$G$1001=6)*ROW('تشخيص الحالات'!$B$2:$B$1001))-1),""),"")&amp;IF(SUMPRODUCT(('تشخيص الحالات'!$B$2:$B$1001=B630)*('تشخيص الحالات'!$G$2:$G$1001=7))&gt;0,"، "&amp;IFERROR(INDEX('تشخيص الحالات'!$D$2:$D$1001,SUMPRODUCT(('تشخيص الحالات'!$B$2:$B$1001=B630)*('تشخيص الحالات'!$G$2:$G$1001=7)*ROW('تشخيص الحالات'!$B$2:$B$1001))-1),""),"")&amp;IF(SUMPRODUCT(('تشخيص الحالات'!$B$2:$B$1001=B630)*('تشخيص الحالات'!$G$2:$G$1001=8))&gt;0,"، "&amp;IFERROR(INDEX('تشخيص الحالات'!$D$2:$D$1001,SUMPRODUCT(('تشخيص الحالات'!$B$2:$B$1001=B630)*('تشخيص الحالات'!$G$2:$G$1001=8)*ROW('تشخيص الحالات'!$B$2:$B$1001))-1),""),"")</f>
        <v/>
      </c>
      <c r="J630" s="1"/>
      <c r="K630" s="1"/>
      <c r="L630" s="1"/>
      <c r="M630" s="1"/>
    </row>
    <row r="631" spans="1:13" x14ac:dyDescent="0.2">
      <c r="A631" s="1"/>
      <c r="B631" s="1"/>
      <c r="C631" s="1"/>
      <c r="D631" s="1"/>
      <c r="E631" s="1"/>
      <c r="F631" s="1"/>
      <c r="G631" s="1"/>
      <c r="H631" s="1"/>
      <c r="I631" t="str">
        <f>IFERROR(INDEX('تشخيص الحالات'!$D$2:$D$1001,SUMPRODUCT(('تشخيص الحالات'!$B$2:$B$1001=B631)*('تشخيص الحالات'!$G$2:$G$1001=1)*ROW('تشخيص الحالات'!$B$2:$B$1001))-1),"")&amp;IF(SUMPRODUCT(('تشخيص الحالات'!$B$2:$B$1001=B631)*('تشخيص الحالات'!$G$2:$G$1001=2))&gt;0,"، "&amp;IFERROR(INDEX('تشخيص الحالات'!$D$2:$D$1001,SUMPRODUCT(('تشخيص الحالات'!$B$2:$B$1001=B631)*('تشخيص الحالات'!$G$2:$G$1001=2)*ROW('تشخيص الحالات'!$B$2:$B$1001))-1),""),"")&amp;IF(SUMPRODUCT(('تشخيص الحالات'!$B$2:$B$1001=B631)*('تشخيص الحالات'!$G$2:$G$1001=3))&gt;0,"، "&amp;IFERROR(INDEX('تشخيص الحالات'!$D$2:$D$1001,SUMPRODUCT(('تشخيص الحالات'!$B$2:$B$1001=B631)*('تشخيص الحالات'!$G$2:$G$1001=3)*ROW('تشخيص الحالات'!$B$2:$B$1001))-1),""),"")&amp;IF(SUMPRODUCT(('تشخيص الحالات'!$B$2:$B$1001=B631)*('تشخيص الحالات'!$G$2:$G$1001=4))&gt;0,"، "&amp;IFERROR(INDEX('تشخيص الحالات'!$D$2:$D$1001,SUMPRODUCT(('تشخيص الحالات'!$B$2:$B$1001=B631)*('تشخيص الحالات'!$G$2:$G$1001=4)*ROW('تشخيص الحالات'!$B$2:$B$1001))-1),""),"")&amp;IF(SUMPRODUCT(('تشخيص الحالات'!$B$2:$B$1001=B631)*('تشخيص الحالات'!$G$2:$G$1001=5))&gt;0,"، "&amp;IFERROR(INDEX('تشخيص الحالات'!$D$2:$D$1001,SUMPRODUCT(('تشخيص الحالات'!$B$2:$B$1001=B631)*('تشخيص الحالات'!$G$2:$G$1001=5)*ROW('تشخيص الحالات'!$B$2:$B$1001))-1),""),"")&amp;IF(SUMPRODUCT(('تشخيص الحالات'!$B$2:$B$1001=B631)*('تشخيص الحالات'!$G$2:$G$1001=6))&gt;0,"، "&amp;IFERROR(INDEX('تشخيص الحالات'!$D$2:$D$1001,SUMPRODUCT(('تشخيص الحالات'!$B$2:$B$1001=B631)*('تشخيص الحالات'!$G$2:$G$1001=6)*ROW('تشخيص الحالات'!$B$2:$B$1001))-1),""),"")&amp;IF(SUMPRODUCT(('تشخيص الحالات'!$B$2:$B$1001=B631)*('تشخيص الحالات'!$G$2:$G$1001=7))&gt;0,"، "&amp;IFERROR(INDEX('تشخيص الحالات'!$D$2:$D$1001,SUMPRODUCT(('تشخيص الحالات'!$B$2:$B$1001=B631)*('تشخيص الحالات'!$G$2:$G$1001=7)*ROW('تشخيص الحالات'!$B$2:$B$1001))-1),""),"")&amp;IF(SUMPRODUCT(('تشخيص الحالات'!$B$2:$B$1001=B631)*('تشخيص الحالات'!$G$2:$G$1001=8))&gt;0,"، "&amp;IFERROR(INDEX('تشخيص الحالات'!$D$2:$D$1001,SUMPRODUCT(('تشخيص الحالات'!$B$2:$B$1001=B631)*('تشخيص الحالات'!$G$2:$G$1001=8)*ROW('تشخيص الحالات'!$B$2:$B$1001))-1),""),"")</f>
        <v/>
      </c>
      <c r="J631" s="1"/>
      <c r="K631" s="1"/>
      <c r="L631" s="1"/>
      <c r="M631" s="1"/>
    </row>
    <row r="632" spans="1:13" x14ac:dyDescent="0.2">
      <c r="A632" s="1"/>
      <c r="B632" s="1"/>
      <c r="C632" s="1"/>
      <c r="D632" s="1"/>
      <c r="E632" s="1"/>
      <c r="F632" s="1"/>
      <c r="G632" s="1"/>
      <c r="H632" s="1"/>
      <c r="I632" t="str">
        <f>IFERROR(INDEX('تشخيص الحالات'!$D$2:$D$1001,SUMPRODUCT(('تشخيص الحالات'!$B$2:$B$1001=B632)*('تشخيص الحالات'!$G$2:$G$1001=1)*ROW('تشخيص الحالات'!$B$2:$B$1001))-1),"")&amp;IF(SUMPRODUCT(('تشخيص الحالات'!$B$2:$B$1001=B632)*('تشخيص الحالات'!$G$2:$G$1001=2))&gt;0,"، "&amp;IFERROR(INDEX('تشخيص الحالات'!$D$2:$D$1001,SUMPRODUCT(('تشخيص الحالات'!$B$2:$B$1001=B632)*('تشخيص الحالات'!$G$2:$G$1001=2)*ROW('تشخيص الحالات'!$B$2:$B$1001))-1),""),"")&amp;IF(SUMPRODUCT(('تشخيص الحالات'!$B$2:$B$1001=B632)*('تشخيص الحالات'!$G$2:$G$1001=3))&gt;0,"، "&amp;IFERROR(INDEX('تشخيص الحالات'!$D$2:$D$1001,SUMPRODUCT(('تشخيص الحالات'!$B$2:$B$1001=B632)*('تشخيص الحالات'!$G$2:$G$1001=3)*ROW('تشخيص الحالات'!$B$2:$B$1001))-1),""),"")&amp;IF(SUMPRODUCT(('تشخيص الحالات'!$B$2:$B$1001=B632)*('تشخيص الحالات'!$G$2:$G$1001=4))&gt;0,"، "&amp;IFERROR(INDEX('تشخيص الحالات'!$D$2:$D$1001,SUMPRODUCT(('تشخيص الحالات'!$B$2:$B$1001=B632)*('تشخيص الحالات'!$G$2:$G$1001=4)*ROW('تشخيص الحالات'!$B$2:$B$1001))-1),""),"")&amp;IF(SUMPRODUCT(('تشخيص الحالات'!$B$2:$B$1001=B632)*('تشخيص الحالات'!$G$2:$G$1001=5))&gt;0,"، "&amp;IFERROR(INDEX('تشخيص الحالات'!$D$2:$D$1001,SUMPRODUCT(('تشخيص الحالات'!$B$2:$B$1001=B632)*('تشخيص الحالات'!$G$2:$G$1001=5)*ROW('تشخيص الحالات'!$B$2:$B$1001))-1),""),"")&amp;IF(SUMPRODUCT(('تشخيص الحالات'!$B$2:$B$1001=B632)*('تشخيص الحالات'!$G$2:$G$1001=6))&gt;0,"، "&amp;IFERROR(INDEX('تشخيص الحالات'!$D$2:$D$1001,SUMPRODUCT(('تشخيص الحالات'!$B$2:$B$1001=B632)*('تشخيص الحالات'!$G$2:$G$1001=6)*ROW('تشخيص الحالات'!$B$2:$B$1001))-1),""),"")&amp;IF(SUMPRODUCT(('تشخيص الحالات'!$B$2:$B$1001=B632)*('تشخيص الحالات'!$G$2:$G$1001=7))&gt;0,"، "&amp;IFERROR(INDEX('تشخيص الحالات'!$D$2:$D$1001,SUMPRODUCT(('تشخيص الحالات'!$B$2:$B$1001=B632)*('تشخيص الحالات'!$G$2:$G$1001=7)*ROW('تشخيص الحالات'!$B$2:$B$1001))-1),""),"")&amp;IF(SUMPRODUCT(('تشخيص الحالات'!$B$2:$B$1001=B632)*('تشخيص الحالات'!$G$2:$G$1001=8))&gt;0,"، "&amp;IFERROR(INDEX('تشخيص الحالات'!$D$2:$D$1001,SUMPRODUCT(('تشخيص الحالات'!$B$2:$B$1001=B632)*('تشخيص الحالات'!$G$2:$G$1001=8)*ROW('تشخيص الحالات'!$B$2:$B$1001))-1),""),"")</f>
        <v/>
      </c>
      <c r="J632" s="1"/>
      <c r="K632" s="1"/>
      <c r="L632" s="1"/>
      <c r="M632" s="1"/>
    </row>
    <row r="633" spans="1:13" x14ac:dyDescent="0.2">
      <c r="A633" s="1"/>
      <c r="B633" s="1"/>
      <c r="C633" s="1"/>
      <c r="D633" s="1"/>
      <c r="E633" s="1"/>
      <c r="F633" s="1"/>
      <c r="G633" s="1"/>
      <c r="H633" s="1"/>
      <c r="I633" t="str">
        <f>IFERROR(INDEX('تشخيص الحالات'!$D$2:$D$1001,SUMPRODUCT(('تشخيص الحالات'!$B$2:$B$1001=B633)*('تشخيص الحالات'!$G$2:$G$1001=1)*ROW('تشخيص الحالات'!$B$2:$B$1001))-1),"")&amp;IF(SUMPRODUCT(('تشخيص الحالات'!$B$2:$B$1001=B633)*('تشخيص الحالات'!$G$2:$G$1001=2))&gt;0,"، "&amp;IFERROR(INDEX('تشخيص الحالات'!$D$2:$D$1001,SUMPRODUCT(('تشخيص الحالات'!$B$2:$B$1001=B633)*('تشخيص الحالات'!$G$2:$G$1001=2)*ROW('تشخيص الحالات'!$B$2:$B$1001))-1),""),"")&amp;IF(SUMPRODUCT(('تشخيص الحالات'!$B$2:$B$1001=B633)*('تشخيص الحالات'!$G$2:$G$1001=3))&gt;0,"، "&amp;IFERROR(INDEX('تشخيص الحالات'!$D$2:$D$1001,SUMPRODUCT(('تشخيص الحالات'!$B$2:$B$1001=B633)*('تشخيص الحالات'!$G$2:$G$1001=3)*ROW('تشخيص الحالات'!$B$2:$B$1001))-1),""),"")&amp;IF(SUMPRODUCT(('تشخيص الحالات'!$B$2:$B$1001=B633)*('تشخيص الحالات'!$G$2:$G$1001=4))&gt;0,"، "&amp;IFERROR(INDEX('تشخيص الحالات'!$D$2:$D$1001,SUMPRODUCT(('تشخيص الحالات'!$B$2:$B$1001=B633)*('تشخيص الحالات'!$G$2:$G$1001=4)*ROW('تشخيص الحالات'!$B$2:$B$1001))-1),""),"")&amp;IF(SUMPRODUCT(('تشخيص الحالات'!$B$2:$B$1001=B633)*('تشخيص الحالات'!$G$2:$G$1001=5))&gt;0,"، "&amp;IFERROR(INDEX('تشخيص الحالات'!$D$2:$D$1001,SUMPRODUCT(('تشخيص الحالات'!$B$2:$B$1001=B633)*('تشخيص الحالات'!$G$2:$G$1001=5)*ROW('تشخيص الحالات'!$B$2:$B$1001))-1),""),"")&amp;IF(SUMPRODUCT(('تشخيص الحالات'!$B$2:$B$1001=B633)*('تشخيص الحالات'!$G$2:$G$1001=6))&gt;0,"، "&amp;IFERROR(INDEX('تشخيص الحالات'!$D$2:$D$1001,SUMPRODUCT(('تشخيص الحالات'!$B$2:$B$1001=B633)*('تشخيص الحالات'!$G$2:$G$1001=6)*ROW('تشخيص الحالات'!$B$2:$B$1001))-1),""),"")&amp;IF(SUMPRODUCT(('تشخيص الحالات'!$B$2:$B$1001=B633)*('تشخيص الحالات'!$G$2:$G$1001=7))&gt;0,"، "&amp;IFERROR(INDEX('تشخيص الحالات'!$D$2:$D$1001,SUMPRODUCT(('تشخيص الحالات'!$B$2:$B$1001=B633)*('تشخيص الحالات'!$G$2:$G$1001=7)*ROW('تشخيص الحالات'!$B$2:$B$1001))-1),""),"")&amp;IF(SUMPRODUCT(('تشخيص الحالات'!$B$2:$B$1001=B633)*('تشخيص الحالات'!$G$2:$G$1001=8))&gt;0,"، "&amp;IFERROR(INDEX('تشخيص الحالات'!$D$2:$D$1001,SUMPRODUCT(('تشخيص الحالات'!$B$2:$B$1001=B633)*('تشخيص الحالات'!$G$2:$G$1001=8)*ROW('تشخيص الحالات'!$B$2:$B$1001))-1),""),"")</f>
        <v/>
      </c>
      <c r="J633" s="1"/>
      <c r="K633" s="1"/>
      <c r="L633" s="1"/>
      <c r="M633" s="1"/>
    </row>
    <row r="634" spans="1:13" x14ac:dyDescent="0.2">
      <c r="A634" s="1"/>
      <c r="B634" s="1"/>
      <c r="C634" s="1"/>
      <c r="D634" s="1"/>
      <c r="E634" s="1"/>
      <c r="F634" s="1"/>
      <c r="G634" s="1"/>
      <c r="H634" s="1"/>
      <c r="I634" t="str">
        <f>IFERROR(INDEX('تشخيص الحالات'!$D$2:$D$1001,SUMPRODUCT(('تشخيص الحالات'!$B$2:$B$1001=B634)*('تشخيص الحالات'!$G$2:$G$1001=1)*ROW('تشخيص الحالات'!$B$2:$B$1001))-1),"")&amp;IF(SUMPRODUCT(('تشخيص الحالات'!$B$2:$B$1001=B634)*('تشخيص الحالات'!$G$2:$G$1001=2))&gt;0,"، "&amp;IFERROR(INDEX('تشخيص الحالات'!$D$2:$D$1001,SUMPRODUCT(('تشخيص الحالات'!$B$2:$B$1001=B634)*('تشخيص الحالات'!$G$2:$G$1001=2)*ROW('تشخيص الحالات'!$B$2:$B$1001))-1),""),"")&amp;IF(SUMPRODUCT(('تشخيص الحالات'!$B$2:$B$1001=B634)*('تشخيص الحالات'!$G$2:$G$1001=3))&gt;0,"، "&amp;IFERROR(INDEX('تشخيص الحالات'!$D$2:$D$1001,SUMPRODUCT(('تشخيص الحالات'!$B$2:$B$1001=B634)*('تشخيص الحالات'!$G$2:$G$1001=3)*ROW('تشخيص الحالات'!$B$2:$B$1001))-1),""),"")&amp;IF(SUMPRODUCT(('تشخيص الحالات'!$B$2:$B$1001=B634)*('تشخيص الحالات'!$G$2:$G$1001=4))&gt;0,"، "&amp;IFERROR(INDEX('تشخيص الحالات'!$D$2:$D$1001,SUMPRODUCT(('تشخيص الحالات'!$B$2:$B$1001=B634)*('تشخيص الحالات'!$G$2:$G$1001=4)*ROW('تشخيص الحالات'!$B$2:$B$1001))-1),""),"")&amp;IF(SUMPRODUCT(('تشخيص الحالات'!$B$2:$B$1001=B634)*('تشخيص الحالات'!$G$2:$G$1001=5))&gt;0,"، "&amp;IFERROR(INDEX('تشخيص الحالات'!$D$2:$D$1001,SUMPRODUCT(('تشخيص الحالات'!$B$2:$B$1001=B634)*('تشخيص الحالات'!$G$2:$G$1001=5)*ROW('تشخيص الحالات'!$B$2:$B$1001))-1),""),"")&amp;IF(SUMPRODUCT(('تشخيص الحالات'!$B$2:$B$1001=B634)*('تشخيص الحالات'!$G$2:$G$1001=6))&gt;0,"، "&amp;IFERROR(INDEX('تشخيص الحالات'!$D$2:$D$1001,SUMPRODUCT(('تشخيص الحالات'!$B$2:$B$1001=B634)*('تشخيص الحالات'!$G$2:$G$1001=6)*ROW('تشخيص الحالات'!$B$2:$B$1001))-1),""),"")&amp;IF(SUMPRODUCT(('تشخيص الحالات'!$B$2:$B$1001=B634)*('تشخيص الحالات'!$G$2:$G$1001=7))&gt;0,"، "&amp;IFERROR(INDEX('تشخيص الحالات'!$D$2:$D$1001,SUMPRODUCT(('تشخيص الحالات'!$B$2:$B$1001=B634)*('تشخيص الحالات'!$G$2:$G$1001=7)*ROW('تشخيص الحالات'!$B$2:$B$1001))-1),""),"")&amp;IF(SUMPRODUCT(('تشخيص الحالات'!$B$2:$B$1001=B634)*('تشخيص الحالات'!$G$2:$G$1001=8))&gt;0,"، "&amp;IFERROR(INDEX('تشخيص الحالات'!$D$2:$D$1001,SUMPRODUCT(('تشخيص الحالات'!$B$2:$B$1001=B634)*('تشخيص الحالات'!$G$2:$G$1001=8)*ROW('تشخيص الحالات'!$B$2:$B$1001))-1),""),"")</f>
        <v/>
      </c>
      <c r="J634" s="1"/>
      <c r="K634" s="1"/>
      <c r="L634" s="1"/>
      <c r="M634" s="1"/>
    </row>
    <row r="635" spans="1:13" x14ac:dyDescent="0.2">
      <c r="A635" s="1"/>
      <c r="B635" s="1"/>
      <c r="C635" s="1"/>
      <c r="D635" s="1"/>
      <c r="E635" s="1"/>
      <c r="F635" s="1"/>
      <c r="G635" s="1"/>
      <c r="H635" s="1"/>
      <c r="I635" t="str">
        <f>IFERROR(INDEX('تشخيص الحالات'!$D$2:$D$1001,SUMPRODUCT(('تشخيص الحالات'!$B$2:$B$1001=B635)*('تشخيص الحالات'!$G$2:$G$1001=1)*ROW('تشخيص الحالات'!$B$2:$B$1001))-1),"")&amp;IF(SUMPRODUCT(('تشخيص الحالات'!$B$2:$B$1001=B635)*('تشخيص الحالات'!$G$2:$G$1001=2))&gt;0,"، "&amp;IFERROR(INDEX('تشخيص الحالات'!$D$2:$D$1001,SUMPRODUCT(('تشخيص الحالات'!$B$2:$B$1001=B635)*('تشخيص الحالات'!$G$2:$G$1001=2)*ROW('تشخيص الحالات'!$B$2:$B$1001))-1),""),"")&amp;IF(SUMPRODUCT(('تشخيص الحالات'!$B$2:$B$1001=B635)*('تشخيص الحالات'!$G$2:$G$1001=3))&gt;0,"، "&amp;IFERROR(INDEX('تشخيص الحالات'!$D$2:$D$1001,SUMPRODUCT(('تشخيص الحالات'!$B$2:$B$1001=B635)*('تشخيص الحالات'!$G$2:$G$1001=3)*ROW('تشخيص الحالات'!$B$2:$B$1001))-1),""),"")&amp;IF(SUMPRODUCT(('تشخيص الحالات'!$B$2:$B$1001=B635)*('تشخيص الحالات'!$G$2:$G$1001=4))&gt;0,"، "&amp;IFERROR(INDEX('تشخيص الحالات'!$D$2:$D$1001,SUMPRODUCT(('تشخيص الحالات'!$B$2:$B$1001=B635)*('تشخيص الحالات'!$G$2:$G$1001=4)*ROW('تشخيص الحالات'!$B$2:$B$1001))-1),""),"")&amp;IF(SUMPRODUCT(('تشخيص الحالات'!$B$2:$B$1001=B635)*('تشخيص الحالات'!$G$2:$G$1001=5))&gt;0,"، "&amp;IFERROR(INDEX('تشخيص الحالات'!$D$2:$D$1001,SUMPRODUCT(('تشخيص الحالات'!$B$2:$B$1001=B635)*('تشخيص الحالات'!$G$2:$G$1001=5)*ROW('تشخيص الحالات'!$B$2:$B$1001))-1),""),"")&amp;IF(SUMPRODUCT(('تشخيص الحالات'!$B$2:$B$1001=B635)*('تشخيص الحالات'!$G$2:$G$1001=6))&gt;0,"، "&amp;IFERROR(INDEX('تشخيص الحالات'!$D$2:$D$1001,SUMPRODUCT(('تشخيص الحالات'!$B$2:$B$1001=B635)*('تشخيص الحالات'!$G$2:$G$1001=6)*ROW('تشخيص الحالات'!$B$2:$B$1001))-1),""),"")&amp;IF(SUMPRODUCT(('تشخيص الحالات'!$B$2:$B$1001=B635)*('تشخيص الحالات'!$G$2:$G$1001=7))&gt;0,"، "&amp;IFERROR(INDEX('تشخيص الحالات'!$D$2:$D$1001,SUMPRODUCT(('تشخيص الحالات'!$B$2:$B$1001=B635)*('تشخيص الحالات'!$G$2:$G$1001=7)*ROW('تشخيص الحالات'!$B$2:$B$1001))-1),""),"")&amp;IF(SUMPRODUCT(('تشخيص الحالات'!$B$2:$B$1001=B635)*('تشخيص الحالات'!$G$2:$G$1001=8))&gt;0,"، "&amp;IFERROR(INDEX('تشخيص الحالات'!$D$2:$D$1001,SUMPRODUCT(('تشخيص الحالات'!$B$2:$B$1001=B635)*('تشخيص الحالات'!$G$2:$G$1001=8)*ROW('تشخيص الحالات'!$B$2:$B$1001))-1),""),"")</f>
        <v/>
      </c>
      <c r="J635" s="1"/>
      <c r="K635" s="1"/>
      <c r="L635" s="1"/>
      <c r="M635" s="1"/>
    </row>
    <row r="636" spans="1:13" x14ac:dyDescent="0.2">
      <c r="A636" s="1"/>
      <c r="B636" s="1"/>
      <c r="C636" s="1"/>
      <c r="D636" s="1"/>
      <c r="E636" s="1"/>
      <c r="F636" s="1"/>
      <c r="G636" s="1"/>
      <c r="H636" s="1"/>
      <c r="I636" t="str">
        <f>IFERROR(INDEX('تشخيص الحالات'!$D$2:$D$1001,SUMPRODUCT(('تشخيص الحالات'!$B$2:$B$1001=B636)*('تشخيص الحالات'!$G$2:$G$1001=1)*ROW('تشخيص الحالات'!$B$2:$B$1001))-1),"")&amp;IF(SUMPRODUCT(('تشخيص الحالات'!$B$2:$B$1001=B636)*('تشخيص الحالات'!$G$2:$G$1001=2))&gt;0,"، "&amp;IFERROR(INDEX('تشخيص الحالات'!$D$2:$D$1001,SUMPRODUCT(('تشخيص الحالات'!$B$2:$B$1001=B636)*('تشخيص الحالات'!$G$2:$G$1001=2)*ROW('تشخيص الحالات'!$B$2:$B$1001))-1),""),"")&amp;IF(SUMPRODUCT(('تشخيص الحالات'!$B$2:$B$1001=B636)*('تشخيص الحالات'!$G$2:$G$1001=3))&gt;0,"، "&amp;IFERROR(INDEX('تشخيص الحالات'!$D$2:$D$1001,SUMPRODUCT(('تشخيص الحالات'!$B$2:$B$1001=B636)*('تشخيص الحالات'!$G$2:$G$1001=3)*ROW('تشخيص الحالات'!$B$2:$B$1001))-1),""),"")&amp;IF(SUMPRODUCT(('تشخيص الحالات'!$B$2:$B$1001=B636)*('تشخيص الحالات'!$G$2:$G$1001=4))&gt;0,"، "&amp;IFERROR(INDEX('تشخيص الحالات'!$D$2:$D$1001,SUMPRODUCT(('تشخيص الحالات'!$B$2:$B$1001=B636)*('تشخيص الحالات'!$G$2:$G$1001=4)*ROW('تشخيص الحالات'!$B$2:$B$1001))-1),""),"")&amp;IF(SUMPRODUCT(('تشخيص الحالات'!$B$2:$B$1001=B636)*('تشخيص الحالات'!$G$2:$G$1001=5))&gt;0,"، "&amp;IFERROR(INDEX('تشخيص الحالات'!$D$2:$D$1001,SUMPRODUCT(('تشخيص الحالات'!$B$2:$B$1001=B636)*('تشخيص الحالات'!$G$2:$G$1001=5)*ROW('تشخيص الحالات'!$B$2:$B$1001))-1),""),"")&amp;IF(SUMPRODUCT(('تشخيص الحالات'!$B$2:$B$1001=B636)*('تشخيص الحالات'!$G$2:$G$1001=6))&gt;0,"، "&amp;IFERROR(INDEX('تشخيص الحالات'!$D$2:$D$1001,SUMPRODUCT(('تشخيص الحالات'!$B$2:$B$1001=B636)*('تشخيص الحالات'!$G$2:$G$1001=6)*ROW('تشخيص الحالات'!$B$2:$B$1001))-1),""),"")&amp;IF(SUMPRODUCT(('تشخيص الحالات'!$B$2:$B$1001=B636)*('تشخيص الحالات'!$G$2:$G$1001=7))&gt;0,"، "&amp;IFERROR(INDEX('تشخيص الحالات'!$D$2:$D$1001,SUMPRODUCT(('تشخيص الحالات'!$B$2:$B$1001=B636)*('تشخيص الحالات'!$G$2:$G$1001=7)*ROW('تشخيص الحالات'!$B$2:$B$1001))-1),""),"")&amp;IF(SUMPRODUCT(('تشخيص الحالات'!$B$2:$B$1001=B636)*('تشخيص الحالات'!$G$2:$G$1001=8))&gt;0,"، "&amp;IFERROR(INDEX('تشخيص الحالات'!$D$2:$D$1001,SUMPRODUCT(('تشخيص الحالات'!$B$2:$B$1001=B636)*('تشخيص الحالات'!$G$2:$G$1001=8)*ROW('تشخيص الحالات'!$B$2:$B$1001))-1),""),"")</f>
        <v/>
      </c>
      <c r="J636" s="1"/>
      <c r="K636" s="1"/>
      <c r="L636" s="1"/>
      <c r="M636" s="1"/>
    </row>
    <row r="637" spans="1:13" x14ac:dyDescent="0.2">
      <c r="A637" s="1"/>
      <c r="B637" s="1"/>
      <c r="C637" s="1"/>
      <c r="D637" s="1"/>
      <c r="E637" s="1"/>
      <c r="F637" s="1"/>
      <c r="G637" s="1"/>
      <c r="H637" s="1"/>
      <c r="I637" t="str">
        <f>IFERROR(INDEX('تشخيص الحالات'!$D$2:$D$1001,SUMPRODUCT(('تشخيص الحالات'!$B$2:$B$1001=B637)*('تشخيص الحالات'!$G$2:$G$1001=1)*ROW('تشخيص الحالات'!$B$2:$B$1001))-1),"")&amp;IF(SUMPRODUCT(('تشخيص الحالات'!$B$2:$B$1001=B637)*('تشخيص الحالات'!$G$2:$G$1001=2))&gt;0,"، "&amp;IFERROR(INDEX('تشخيص الحالات'!$D$2:$D$1001,SUMPRODUCT(('تشخيص الحالات'!$B$2:$B$1001=B637)*('تشخيص الحالات'!$G$2:$G$1001=2)*ROW('تشخيص الحالات'!$B$2:$B$1001))-1),""),"")&amp;IF(SUMPRODUCT(('تشخيص الحالات'!$B$2:$B$1001=B637)*('تشخيص الحالات'!$G$2:$G$1001=3))&gt;0,"، "&amp;IFERROR(INDEX('تشخيص الحالات'!$D$2:$D$1001,SUMPRODUCT(('تشخيص الحالات'!$B$2:$B$1001=B637)*('تشخيص الحالات'!$G$2:$G$1001=3)*ROW('تشخيص الحالات'!$B$2:$B$1001))-1),""),"")&amp;IF(SUMPRODUCT(('تشخيص الحالات'!$B$2:$B$1001=B637)*('تشخيص الحالات'!$G$2:$G$1001=4))&gt;0,"، "&amp;IFERROR(INDEX('تشخيص الحالات'!$D$2:$D$1001,SUMPRODUCT(('تشخيص الحالات'!$B$2:$B$1001=B637)*('تشخيص الحالات'!$G$2:$G$1001=4)*ROW('تشخيص الحالات'!$B$2:$B$1001))-1),""),"")&amp;IF(SUMPRODUCT(('تشخيص الحالات'!$B$2:$B$1001=B637)*('تشخيص الحالات'!$G$2:$G$1001=5))&gt;0,"، "&amp;IFERROR(INDEX('تشخيص الحالات'!$D$2:$D$1001,SUMPRODUCT(('تشخيص الحالات'!$B$2:$B$1001=B637)*('تشخيص الحالات'!$G$2:$G$1001=5)*ROW('تشخيص الحالات'!$B$2:$B$1001))-1),""),"")&amp;IF(SUMPRODUCT(('تشخيص الحالات'!$B$2:$B$1001=B637)*('تشخيص الحالات'!$G$2:$G$1001=6))&gt;0,"، "&amp;IFERROR(INDEX('تشخيص الحالات'!$D$2:$D$1001,SUMPRODUCT(('تشخيص الحالات'!$B$2:$B$1001=B637)*('تشخيص الحالات'!$G$2:$G$1001=6)*ROW('تشخيص الحالات'!$B$2:$B$1001))-1),""),"")&amp;IF(SUMPRODUCT(('تشخيص الحالات'!$B$2:$B$1001=B637)*('تشخيص الحالات'!$G$2:$G$1001=7))&gt;0,"، "&amp;IFERROR(INDEX('تشخيص الحالات'!$D$2:$D$1001,SUMPRODUCT(('تشخيص الحالات'!$B$2:$B$1001=B637)*('تشخيص الحالات'!$G$2:$G$1001=7)*ROW('تشخيص الحالات'!$B$2:$B$1001))-1),""),"")&amp;IF(SUMPRODUCT(('تشخيص الحالات'!$B$2:$B$1001=B637)*('تشخيص الحالات'!$G$2:$G$1001=8))&gt;0,"، "&amp;IFERROR(INDEX('تشخيص الحالات'!$D$2:$D$1001,SUMPRODUCT(('تشخيص الحالات'!$B$2:$B$1001=B637)*('تشخيص الحالات'!$G$2:$G$1001=8)*ROW('تشخيص الحالات'!$B$2:$B$1001))-1),""),"")</f>
        <v/>
      </c>
      <c r="J637" s="1"/>
      <c r="K637" s="1"/>
      <c r="L637" s="1"/>
      <c r="M637" s="1"/>
    </row>
    <row r="638" spans="1:13" x14ac:dyDescent="0.2">
      <c r="A638" s="1"/>
      <c r="B638" s="1"/>
      <c r="C638" s="1"/>
      <c r="D638" s="1"/>
      <c r="E638" s="1"/>
      <c r="F638" s="1"/>
      <c r="G638" s="1"/>
      <c r="H638" s="1"/>
      <c r="I638" t="str">
        <f>IFERROR(INDEX('تشخيص الحالات'!$D$2:$D$1001,SUMPRODUCT(('تشخيص الحالات'!$B$2:$B$1001=B638)*('تشخيص الحالات'!$G$2:$G$1001=1)*ROW('تشخيص الحالات'!$B$2:$B$1001))-1),"")&amp;IF(SUMPRODUCT(('تشخيص الحالات'!$B$2:$B$1001=B638)*('تشخيص الحالات'!$G$2:$G$1001=2))&gt;0,"، "&amp;IFERROR(INDEX('تشخيص الحالات'!$D$2:$D$1001,SUMPRODUCT(('تشخيص الحالات'!$B$2:$B$1001=B638)*('تشخيص الحالات'!$G$2:$G$1001=2)*ROW('تشخيص الحالات'!$B$2:$B$1001))-1),""),"")&amp;IF(SUMPRODUCT(('تشخيص الحالات'!$B$2:$B$1001=B638)*('تشخيص الحالات'!$G$2:$G$1001=3))&gt;0,"، "&amp;IFERROR(INDEX('تشخيص الحالات'!$D$2:$D$1001,SUMPRODUCT(('تشخيص الحالات'!$B$2:$B$1001=B638)*('تشخيص الحالات'!$G$2:$G$1001=3)*ROW('تشخيص الحالات'!$B$2:$B$1001))-1),""),"")&amp;IF(SUMPRODUCT(('تشخيص الحالات'!$B$2:$B$1001=B638)*('تشخيص الحالات'!$G$2:$G$1001=4))&gt;0,"، "&amp;IFERROR(INDEX('تشخيص الحالات'!$D$2:$D$1001,SUMPRODUCT(('تشخيص الحالات'!$B$2:$B$1001=B638)*('تشخيص الحالات'!$G$2:$G$1001=4)*ROW('تشخيص الحالات'!$B$2:$B$1001))-1),""),"")&amp;IF(SUMPRODUCT(('تشخيص الحالات'!$B$2:$B$1001=B638)*('تشخيص الحالات'!$G$2:$G$1001=5))&gt;0,"، "&amp;IFERROR(INDEX('تشخيص الحالات'!$D$2:$D$1001,SUMPRODUCT(('تشخيص الحالات'!$B$2:$B$1001=B638)*('تشخيص الحالات'!$G$2:$G$1001=5)*ROW('تشخيص الحالات'!$B$2:$B$1001))-1),""),"")&amp;IF(SUMPRODUCT(('تشخيص الحالات'!$B$2:$B$1001=B638)*('تشخيص الحالات'!$G$2:$G$1001=6))&gt;0,"، "&amp;IFERROR(INDEX('تشخيص الحالات'!$D$2:$D$1001,SUMPRODUCT(('تشخيص الحالات'!$B$2:$B$1001=B638)*('تشخيص الحالات'!$G$2:$G$1001=6)*ROW('تشخيص الحالات'!$B$2:$B$1001))-1),""),"")&amp;IF(SUMPRODUCT(('تشخيص الحالات'!$B$2:$B$1001=B638)*('تشخيص الحالات'!$G$2:$G$1001=7))&gt;0,"، "&amp;IFERROR(INDEX('تشخيص الحالات'!$D$2:$D$1001,SUMPRODUCT(('تشخيص الحالات'!$B$2:$B$1001=B638)*('تشخيص الحالات'!$G$2:$G$1001=7)*ROW('تشخيص الحالات'!$B$2:$B$1001))-1),""),"")&amp;IF(SUMPRODUCT(('تشخيص الحالات'!$B$2:$B$1001=B638)*('تشخيص الحالات'!$G$2:$G$1001=8))&gt;0,"، "&amp;IFERROR(INDEX('تشخيص الحالات'!$D$2:$D$1001,SUMPRODUCT(('تشخيص الحالات'!$B$2:$B$1001=B638)*('تشخيص الحالات'!$G$2:$G$1001=8)*ROW('تشخيص الحالات'!$B$2:$B$1001))-1),""),"")</f>
        <v/>
      </c>
      <c r="J638" s="1"/>
      <c r="K638" s="1"/>
      <c r="L638" s="1"/>
      <c r="M638" s="1"/>
    </row>
    <row r="639" spans="1:13" x14ac:dyDescent="0.2">
      <c r="A639" s="1"/>
      <c r="B639" s="1"/>
      <c r="C639" s="1"/>
      <c r="D639" s="1"/>
      <c r="E639" s="1"/>
      <c r="F639" s="1"/>
      <c r="G639" s="1"/>
      <c r="H639" s="1"/>
      <c r="I639" t="str">
        <f>IFERROR(INDEX('تشخيص الحالات'!$D$2:$D$1001,SUMPRODUCT(('تشخيص الحالات'!$B$2:$B$1001=B639)*('تشخيص الحالات'!$G$2:$G$1001=1)*ROW('تشخيص الحالات'!$B$2:$B$1001))-1),"")&amp;IF(SUMPRODUCT(('تشخيص الحالات'!$B$2:$B$1001=B639)*('تشخيص الحالات'!$G$2:$G$1001=2))&gt;0,"، "&amp;IFERROR(INDEX('تشخيص الحالات'!$D$2:$D$1001,SUMPRODUCT(('تشخيص الحالات'!$B$2:$B$1001=B639)*('تشخيص الحالات'!$G$2:$G$1001=2)*ROW('تشخيص الحالات'!$B$2:$B$1001))-1),""),"")&amp;IF(SUMPRODUCT(('تشخيص الحالات'!$B$2:$B$1001=B639)*('تشخيص الحالات'!$G$2:$G$1001=3))&gt;0,"، "&amp;IFERROR(INDEX('تشخيص الحالات'!$D$2:$D$1001,SUMPRODUCT(('تشخيص الحالات'!$B$2:$B$1001=B639)*('تشخيص الحالات'!$G$2:$G$1001=3)*ROW('تشخيص الحالات'!$B$2:$B$1001))-1),""),"")&amp;IF(SUMPRODUCT(('تشخيص الحالات'!$B$2:$B$1001=B639)*('تشخيص الحالات'!$G$2:$G$1001=4))&gt;0,"، "&amp;IFERROR(INDEX('تشخيص الحالات'!$D$2:$D$1001,SUMPRODUCT(('تشخيص الحالات'!$B$2:$B$1001=B639)*('تشخيص الحالات'!$G$2:$G$1001=4)*ROW('تشخيص الحالات'!$B$2:$B$1001))-1),""),"")&amp;IF(SUMPRODUCT(('تشخيص الحالات'!$B$2:$B$1001=B639)*('تشخيص الحالات'!$G$2:$G$1001=5))&gt;0,"، "&amp;IFERROR(INDEX('تشخيص الحالات'!$D$2:$D$1001,SUMPRODUCT(('تشخيص الحالات'!$B$2:$B$1001=B639)*('تشخيص الحالات'!$G$2:$G$1001=5)*ROW('تشخيص الحالات'!$B$2:$B$1001))-1),""),"")&amp;IF(SUMPRODUCT(('تشخيص الحالات'!$B$2:$B$1001=B639)*('تشخيص الحالات'!$G$2:$G$1001=6))&gt;0,"، "&amp;IFERROR(INDEX('تشخيص الحالات'!$D$2:$D$1001,SUMPRODUCT(('تشخيص الحالات'!$B$2:$B$1001=B639)*('تشخيص الحالات'!$G$2:$G$1001=6)*ROW('تشخيص الحالات'!$B$2:$B$1001))-1),""),"")&amp;IF(SUMPRODUCT(('تشخيص الحالات'!$B$2:$B$1001=B639)*('تشخيص الحالات'!$G$2:$G$1001=7))&gt;0,"، "&amp;IFERROR(INDEX('تشخيص الحالات'!$D$2:$D$1001,SUMPRODUCT(('تشخيص الحالات'!$B$2:$B$1001=B639)*('تشخيص الحالات'!$G$2:$G$1001=7)*ROW('تشخيص الحالات'!$B$2:$B$1001))-1),""),"")&amp;IF(SUMPRODUCT(('تشخيص الحالات'!$B$2:$B$1001=B639)*('تشخيص الحالات'!$G$2:$G$1001=8))&gt;0,"، "&amp;IFERROR(INDEX('تشخيص الحالات'!$D$2:$D$1001,SUMPRODUCT(('تشخيص الحالات'!$B$2:$B$1001=B639)*('تشخيص الحالات'!$G$2:$G$1001=8)*ROW('تشخيص الحالات'!$B$2:$B$1001))-1),""),"")</f>
        <v/>
      </c>
      <c r="J639" s="1"/>
      <c r="K639" s="1"/>
      <c r="L639" s="1"/>
      <c r="M639" s="1"/>
    </row>
    <row r="640" spans="1:13" x14ac:dyDescent="0.2">
      <c r="A640" s="1"/>
      <c r="B640" s="1"/>
      <c r="C640" s="1"/>
      <c r="D640" s="1"/>
      <c r="E640" s="1"/>
      <c r="F640" s="1"/>
      <c r="G640" s="1"/>
      <c r="H640" s="1"/>
      <c r="I640" t="str">
        <f>IFERROR(INDEX('تشخيص الحالات'!$D$2:$D$1001,SUMPRODUCT(('تشخيص الحالات'!$B$2:$B$1001=B640)*('تشخيص الحالات'!$G$2:$G$1001=1)*ROW('تشخيص الحالات'!$B$2:$B$1001))-1),"")&amp;IF(SUMPRODUCT(('تشخيص الحالات'!$B$2:$B$1001=B640)*('تشخيص الحالات'!$G$2:$G$1001=2))&gt;0,"، "&amp;IFERROR(INDEX('تشخيص الحالات'!$D$2:$D$1001,SUMPRODUCT(('تشخيص الحالات'!$B$2:$B$1001=B640)*('تشخيص الحالات'!$G$2:$G$1001=2)*ROW('تشخيص الحالات'!$B$2:$B$1001))-1),""),"")&amp;IF(SUMPRODUCT(('تشخيص الحالات'!$B$2:$B$1001=B640)*('تشخيص الحالات'!$G$2:$G$1001=3))&gt;0,"، "&amp;IFERROR(INDEX('تشخيص الحالات'!$D$2:$D$1001,SUMPRODUCT(('تشخيص الحالات'!$B$2:$B$1001=B640)*('تشخيص الحالات'!$G$2:$G$1001=3)*ROW('تشخيص الحالات'!$B$2:$B$1001))-1),""),"")&amp;IF(SUMPRODUCT(('تشخيص الحالات'!$B$2:$B$1001=B640)*('تشخيص الحالات'!$G$2:$G$1001=4))&gt;0,"، "&amp;IFERROR(INDEX('تشخيص الحالات'!$D$2:$D$1001,SUMPRODUCT(('تشخيص الحالات'!$B$2:$B$1001=B640)*('تشخيص الحالات'!$G$2:$G$1001=4)*ROW('تشخيص الحالات'!$B$2:$B$1001))-1),""),"")&amp;IF(SUMPRODUCT(('تشخيص الحالات'!$B$2:$B$1001=B640)*('تشخيص الحالات'!$G$2:$G$1001=5))&gt;0,"، "&amp;IFERROR(INDEX('تشخيص الحالات'!$D$2:$D$1001,SUMPRODUCT(('تشخيص الحالات'!$B$2:$B$1001=B640)*('تشخيص الحالات'!$G$2:$G$1001=5)*ROW('تشخيص الحالات'!$B$2:$B$1001))-1),""),"")&amp;IF(SUMPRODUCT(('تشخيص الحالات'!$B$2:$B$1001=B640)*('تشخيص الحالات'!$G$2:$G$1001=6))&gt;0,"، "&amp;IFERROR(INDEX('تشخيص الحالات'!$D$2:$D$1001,SUMPRODUCT(('تشخيص الحالات'!$B$2:$B$1001=B640)*('تشخيص الحالات'!$G$2:$G$1001=6)*ROW('تشخيص الحالات'!$B$2:$B$1001))-1),""),"")&amp;IF(SUMPRODUCT(('تشخيص الحالات'!$B$2:$B$1001=B640)*('تشخيص الحالات'!$G$2:$G$1001=7))&gt;0,"، "&amp;IFERROR(INDEX('تشخيص الحالات'!$D$2:$D$1001,SUMPRODUCT(('تشخيص الحالات'!$B$2:$B$1001=B640)*('تشخيص الحالات'!$G$2:$G$1001=7)*ROW('تشخيص الحالات'!$B$2:$B$1001))-1),""),"")&amp;IF(SUMPRODUCT(('تشخيص الحالات'!$B$2:$B$1001=B640)*('تشخيص الحالات'!$G$2:$G$1001=8))&gt;0,"، "&amp;IFERROR(INDEX('تشخيص الحالات'!$D$2:$D$1001,SUMPRODUCT(('تشخيص الحالات'!$B$2:$B$1001=B640)*('تشخيص الحالات'!$G$2:$G$1001=8)*ROW('تشخيص الحالات'!$B$2:$B$1001))-1),""),"")</f>
        <v/>
      </c>
      <c r="J640" s="1"/>
      <c r="K640" s="1"/>
      <c r="L640" s="1"/>
      <c r="M640" s="1"/>
    </row>
    <row r="641" spans="1:13" x14ac:dyDescent="0.2">
      <c r="A641" s="1"/>
      <c r="B641" s="1"/>
      <c r="C641" s="1"/>
      <c r="D641" s="1"/>
      <c r="E641" s="1"/>
      <c r="F641" s="1"/>
      <c r="G641" s="1"/>
      <c r="H641" s="1"/>
      <c r="I641" t="str">
        <f>IFERROR(INDEX('تشخيص الحالات'!$D$2:$D$1001,SUMPRODUCT(('تشخيص الحالات'!$B$2:$B$1001=B641)*('تشخيص الحالات'!$G$2:$G$1001=1)*ROW('تشخيص الحالات'!$B$2:$B$1001))-1),"")&amp;IF(SUMPRODUCT(('تشخيص الحالات'!$B$2:$B$1001=B641)*('تشخيص الحالات'!$G$2:$G$1001=2))&gt;0,"، "&amp;IFERROR(INDEX('تشخيص الحالات'!$D$2:$D$1001,SUMPRODUCT(('تشخيص الحالات'!$B$2:$B$1001=B641)*('تشخيص الحالات'!$G$2:$G$1001=2)*ROW('تشخيص الحالات'!$B$2:$B$1001))-1),""),"")&amp;IF(SUMPRODUCT(('تشخيص الحالات'!$B$2:$B$1001=B641)*('تشخيص الحالات'!$G$2:$G$1001=3))&gt;0,"، "&amp;IFERROR(INDEX('تشخيص الحالات'!$D$2:$D$1001,SUMPRODUCT(('تشخيص الحالات'!$B$2:$B$1001=B641)*('تشخيص الحالات'!$G$2:$G$1001=3)*ROW('تشخيص الحالات'!$B$2:$B$1001))-1),""),"")&amp;IF(SUMPRODUCT(('تشخيص الحالات'!$B$2:$B$1001=B641)*('تشخيص الحالات'!$G$2:$G$1001=4))&gt;0,"، "&amp;IFERROR(INDEX('تشخيص الحالات'!$D$2:$D$1001,SUMPRODUCT(('تشخيص الحالات'!$B$2:$B$1001=B641)*('تشخيص الحالات'!$G$2:$G$1001=4)*ROW('تشخيص الحالات'!$B$2:$B$1001))-1),""),"")&amp;IF(SUMPRODUCT(('تشخيص الحالات'!$B$2:$B$1001=B641)*('تشخيص الحالات'!$G$2:$G$1001=5))&gt;0,"، "&amp;IFERROR(INDEX('تشخيص الحالات'!$D$2:$D$1001,SUMPRODUCT(('تشخيص الحالات'!$B$2:$B$1001=B641)*('تشخيص الحالات'!$G$2:$G$1001=5)*ROW('تشخيص الحالات'!$B$2:$B$1001))-1),""),"")&amp;IF(SUMPRODUCT(('تشخيص الحالات'!$B$2:$B$1001=B641)*('تشخيص الحالات'!$G$2:$G$1001=6))&gt;0,"، "&amp;IFERROR(INDEX('تشخيص الحالات'!$D$2:$D$1001,SUMPRODUCT(('تشخيص الحالات'!$B$2:$B$1001=B641)*('تشخيص الحالات'!$G$2:$G$1001=6)*ROW('تشخيص الحالات'!$B$2:$B$1001))-1),""),"")&amp;IF(SUMPRODUCT(('تشخيص الحالات'!$B$2:$B$1001=B641)*('تشخيص الحالات'!$G$2:$G$1001=7))&gt;0,"، "&amp;IFERROR(INDEX('تشخيص الحالات'!$D$2:$D$1001,SUMPRODUCT(('تشخيص الحالات'!$B$2:$B$1001=B641)*('تشخيص الحالات'!$G$2:$G$1001=7)*ROW('تشخيص الحالات'!$B$2:$B$1001))-1),""),"")&amp;IF(SUMPRODUCT(('تشخيص الحالات'!$B$2:$B$1001=B641)*('تشخيص الحالات'!$G$2:$G$1001=8))&gt;0,"، "&amp;IFERROR(INDEX('تشخيص الحالات'!$D$2:$D$1001,SUMPRODUCT(('تشخيص الحالات'!$B$2:$B$1001=B641)*('تشخيص الحالات'!$G$2:$G$1001=8)*ROW('تشخيص الحالات'!$B$2:$B$1001))-1),""),"")</f>
        <v/>
      </c>
      <c r="J641" s="1"/>
      <c r="K641" s="1"/>
      <c r="L641" s="1"/>
      <c r="M641" s="1"/>
    </row>
    <row r="642" spans="1:13" x14ac:dyDescent="0.2">
      <c r="A642" s="1"/>
      <c r="B642" s="1"/>
      <c r="C642" s="1"/>
      <c r="D642" s="1"/>
      <c r="E642" s="1"/>
      <c r="F642" s="1"/>
      <c r="G642" s="1"/>
      <c r="H642" s="1"/>
      <c r="I642" t="str">
        <f>IFERROR(INDEX('تشخيص الحالات'!$D$2:$D$1001,SUMPRODUCT(('تشخيص الحالات'!$B$2:$B$1001=B642)*('تشخيص الحالات'!$G$2:$G$1001=1)*ROW('تشخيص الحالات'!$B$2:$B$1001))-1),"")&amp;IF(SUMPRODUCT(('تشخيص الحالات'!$B$2:$B$1001=B642)*('تشخيص الحالات'!$G$2:$G$1001=2))&gt;0,"، "&amp;IFERROR(INDEX('تشخيص الحالات'!$D$2:$D$1001,SUMPRODUCT(('تشخيص الحالات'!$B$2:$B$1001=B642)*('تشخيص الحالات'!$G$2:$G$1001=2)*ROW('تشخيص الحالات'!$B$2:$B$1001))-1),""),"")&amp;IF(SUMPRODUCT(('تشخيص الحالات'!$B$2:$B$1001=B642)*('تشخيص الحالات'!$G$2:$G$1001=3))&gt;0,"، "&amp;IFERROR(INDEX('تشخيص الحالات'!$D$2:$D$1001,SUMPRODUCT(('تشخيص الحالات'!$B$2:$B$1001=B642)*('تشخيص الحالات'!$G$2:$G$1001=3)*ROW('تشخيص الحالات'!$B$2:$B$1001))-1),""),"")&amp;IF(SUMPRODUCT(('تشخيص الحالات'!$B$2:$B$1001=B642)*('تشخيص الحالات'!$G$2:$G$1001=4))&gt;0,"، "&amp;IFERROR(INDEX('تشخيص الحالات'!$D$2:$D$1001,SUMPRODUCT(('تشخيص الحالات'!$B$2:$B$1001=B642)*('تشخيص الحالات'!$G$2:$G$1001=4)*ROW('تشخيص الحالات'!$B$2:$B$1001))-1),""),"")&amp;IF(SUMPRODUCT(('تشخيص الحالات'!$B$2:$B$1001=B642)*('تشخيص الحالات'!$G$2:$G$1001=5))&gt;0,"، "&amp;IFERROR(INDEX('تشخيص الحالات'!$D$2:$D$1001,SUMPRODUCT(('تشخيص الحالات'!$B$2:$B$1001=B642)*('تشخيص الحالات'!$G$2:$G$1001=5)*ROW('تشخيص الحالات'!$B$2:$B$1001))-1),""),"")&amp;IF(SUMPRODUCT(('تشخيص الحالات'!$B$2:$B$1001=B642)*('تشخيص الحالات'!$G$2:$G$1001=6))&gt;0,"، "&amp;IFERROR(INDEX('تشخيص الحالات'!$D$2:$D$1001,SUMPRODUCT(('تشخيص الحالات'!$B$2:$B$1001=B642)*('تشخيص الحالات'!$G$2:$G$1001=6)*ROW('تشخيص الحالات'!$B$2:$B$1001))-1),""),"")&amp;IF(SUMPRODUCT(('تشخيص الحالات'!$B$2:$B$1001=B642)*('تشخيص الحالات'!$G$2:$G$1001=7))&gt;0,"، "&amp;IFERROR(INDEX('تشخيص الحالات'!$D$2:$D$1001,SUMPRODUCT(('تشخيص الحالات'!$B$2:$B$1001=B642)*('تشخيص الحالات'!$G$2:$G$1001=7)*ROW('تشخيص الحالات'!$B$2:$B$1001))-1),""),"")&amp;IF(SUMPRODUCT(('تشخيص الحالات'!$B$2:$B$1001=B642)*('تشخيص الحالات'!$G$2:$G$1001=8))&gt;0,"، "&amp;IFERROR(INDEX('تشخيص الحالات'!$D$2:$D$1001,SUMPRODUCT(('تشخيص الحالات'!$B$2:$B$1001=B642)*('تشخيص الحالات'!$G$2:$G$1001=8)*ROW('تشخيص الحالات'!$B$2:$B$1001))-1),""),"")</f>
        <v/>
      </c>
      <c r="J642" s="1"/>
      <c r="K642" s="1"/>
      <c r="L642" s="1"/>
      <c r="M642" s="1"/>
    </row>
    <row r="643" spans="1:13" x14ac:dyDescent="0.2">
      <c r="A643" s="1"/>
      <c r="B643" s="1"/>
      <c r="C643" s="1"/>
      <c r="D643" s="1"/>
      <c r="E643" s="1"/>
      <c r="F643" s="1"/>
      <c r="G643" s="1"/>
      <c r="H643" s="1"/>
      <c r="I643" t="str">
        <f>IFERROR(INDEX('تشخيص الحالات'!$D$2:$D$1001,SUMPRODUCT(('تشخيص الحالات'!$B$2:$B$1001=B643)*('تشخيص الحالات'!$G$2:$G$1001=1)*ROW('تشخيص الحالات'!$B$2:$B$1001))-1),"")&amp;IF(SUMPRODUCT(('تشخيص الحالات'!$B$2:$B$1001=B643)*('تشخيص الحالات'!$G$2:$G$1001=2))&gt;0,"، "&amp;IFERROR(INDEX('تشخيص الحالات'!$D$2:$D$1001,SUMPRODUCT(('تشخيص الحالات'!$B$2:$B$1001=B643)*('تشخيص الحالات'!$G$2:$G$1001=2)*ROW('تشخيص الحالات'!$B$2:$B$1001))-1),""),"")&amp;IF(SUMPRODUCT(('تشخيص الحالات'!$B$2:$B$1001=B643)*('تشخيص الحالات'!$G$2:$G$1001=3))&gt;0,"، "&amp;IFERROR(INDEX('تشخيص الحالات'!$D$2:$D$1001,SUMPRODUCT(('تشخيص الحالات'!$B$2:$B$1001=B643)*('تشخيص الحالات'!$G$2:$G$1001=3)*ROW('تشخيص الحالات'!$B$2:$B$1001))-1),""),"")&amp;IF(SUMPRODUCT(('تشخيص الحالات'!$B$2:$B$1001=B643)*('تشخيص الحالات'!$G$2:$G$1001=4))&gt;0,"، "&amp;IFERROR(INDEX('تشخيص الحالات'!$D$2:$D$1001,SUMPRODUCT(('تشخيص الحالات'!$B$2:$B$1001=B643)*('تشخيص الحالات'!$G$2:$G$1001=4)*ROW('تشخيص الحالات'!$B$2:$B$1001))-1),""),"")&amp;IF(SUMPRODUCT(('تشخيص الحالات'!$B$2:$B$1001=B643)*('تشخيص الحالات'!$G$2:$G$1001=5))&gt;0,"، "&amp;IFERROR(INDEX('تشخيص الحالات'!$D$2:$D$1001,SUMPRODUCT(('تشخيص الحالات'!$B$2:$B$1001=B643)*('تشخيص الحالات'!$G$2:$G$1001=5)*ROW('تشخيص الحالات'!$B$2:$B$1001))-1),""),"")&amp;IF(SUMPRODUCT(('تشخيص الحالات'!$B$2:$B$1001=B643)*('تشخيص الحالات'!$G$2:$G$1001=6))&gt;0,"، "&amp;IFERROR(INDEX('تشخيص الحالات'!$D$2:$D$1001,SUMPRODUCT(('تشخيص الحالات'!$B$2:$B$1001=B643)*('تشخيص الحالات'!$G$2:$G$1001=6)*ROW('تشخيص الحالات'!$B$2:$B$1001))-1),""),"")&amp;IF(SUMPRODUCT(('تشخيص الحالات'!$B$2:$B$1001=B643)*('تشخيص الحالات'!$G$2:$G$1001=7))&gt;0,"، "&amp;IFERROR(INDEX('تشخيص الحالات'!$D$2:$D$1001,SUMPRODUCT(('تشخيص الحالات'!$B$2:$B$1001=B643)*('تشخيص الحالات'!$G$2:$G$1001=7)*ROW('تشخيص الحالات'!$B$2:$B$1001))-1),""),"")&amp;IF(SUMPRODUCT(('تشخيص الحالات'!$B$2:$B$1001=B643)*('تشخيص الحالات'!$G$2:$G$1001=8))&gt;0,"، "&amp;IFERROR(INDEX('تشخيص الحالات'!$D$2:$D$1001,SUMPRODUCT(('تشخيص الحالات'!$B$2:$B$1001=B643)*('تشخيص الحالات'!$G$2:$G$1001=8)*ROW('تشخيص الحالات'!$B$2:$B$1001))-1),""),"")</f>
        <v/>
      </c>
      <c r="J643" s="1"/>
      <c r="K643" s="1"/>
      <c r="L643" s="1"/>
      <c r="M643" s="1"/>
    </row>
    <row r="644" spans="1:13" x14ac:dyDescent="0.2">
      <c r="A644" s="1"/>
      <c r="B644" s="1"/>
      <c r="C644" s="1"/>
      <c r="D644" s="1"/>
      <c r="E644" s="1"/>
      <c r="F644" s="1"/>
      <c r="G644" s="1"/>
      <c r="H644" s="1"/>
      <c r="I644" t="str">
        <f>IFERROR(INDEX('تشخيص الحالات'!$D$2:$D$1001,SUMPRODUCT(('تشخيص الحالات'!$B$2:$B$1001=B644)*('تشخيص الحالات'!$G$2:$G$1001=1)*ROW('تشخيص الحالات'!$B$2:$B$1001))-1),"")&amp;IF(SUMPRODUCT(('تشخيص الحالات'!$B$2:$B$1001=B644)*('تشخيص الحالات'!$G$2:$G$1001=2))&gt;0,"، "&amp;IFERROR(INDEX('تشخيص الحالات'!$D$2:$D$1001,SUMPRODUCT(('تشخيص الحالات'!$B$2:$B$1001=B644)*('تشخيص الحالات'!$G$2:$G$1001=2)*ROW('تشخيص الحالات'!$B$2:$B$1001))-1),""),"")&amp;IF(SUMPRODUCT(('تشخيص الحالات'!$B$2:$B$1001=B644)*('تشخيص الحالات'!$G$2:$G$1001=3))&gt;0,"، "&amp;IFERROR(INDEX('تشخيص الحالات'!$D$2:$D$1001,SUMPRODUCT(('تشخيص الحالات'!$B$2:$B$1001=B644)*('تشخيص الحالات'!$G$2:$G$1001=3)*ROW('تشخيص الحالات'!$B$2:$B$1001))-1),""),"")&amp;IF(SUMPRODUCT(('تشخيص الحالات'!$B$2:$B$1001=B644)*('تشخيص الحالات'!$G$2:$G$1001=4))&gt;0,"، "&amp;IFERROR(INDEX('تشخيص الحالات'!$D$2:$D$1001,SUMPRODUCT(('تشخيص الحالات'!$B$2:$B$1001=B644)*('تشخيص الحالات'!$G$2:$G$1001=4)*ROW('تشخيص الحالات'!$B$2:$B$1001))-1),""),"")&amp;IF(SUMPRODUCT(('تشخيص الحالات'!$B$2:$B$1001=B644)*('تشخيص الحالات'!$G$2:$G$1001=5))&gt;0,"، "&amp;IFERROR(INDEX('تشخيص الحالات'!$D$2:$D$1001,SUMPRODUCT(('تشخيص الحالات'!$B$2:$B$1001=B644)*('تشخيص الحالات'!$G$2:$G$1001=5)*ROW('تشخيص الحالات'!$B$2:$B$1001))-1),""),"")&amp;IF(SUMPRODUCT(('تشخيص الحالات'!$B$2:$B$1001=B644)*('تشخيص الحالات'!$G$2:$G$1001=6))&gt;0,"، "&amp;IFERROR(INDEX('تشخيص الحالات'!$D$2:$D$1001,SUMPRODUCT(('تشخيص الحالات'!$B$2:$B$1001=B644)*('تشخيص الحالات'!$G$2:$G$1001=6)*ROW('تشخيص الحالات'!$B$2:$B$1001))-1),""),"")&amp;IF(SUMPRODUCT(('تشخيص الحالات'!$B$2:$B$1001=B644)*('تشخيص الحالات'!$G$2:$G$1001=7))&gt;0,"، "&amp;IFERROR(INDEX('تشخيص الحالات'!$D$2:$D$1001,SUMPRODUCT(('تشخيص الحالات'!$B$2:$B$1001=B644)*('تشخيص الحالات'!$G$2:$G$1001=7)*ROW('تشخيص الحالات'!$B$2:$B$1001))-1),""),"")&amp;IF(SUMPRODUCT(('تشخيص الحالات'!$B$2:$B$1001=B644)*('تشخيص الحالات'!$G$2:$G$1001=8))&gt;0,"، "&amp;IFERROR(INDEX('تشخيص الحالات'!$D$2:$D$1001,SUMPRODUCT(('تشخيص الحالات'!$B$2:$B$1001=B644)*('تشخيص الحالات'!$G$2:$G$1001=8)*ROW('تشخيص الحالات'!$B$2:$B$1001))-1),""),"")</f>
        <v/>
      </c>
      <c r="J644" s="1"/>
      <c r="K644" s="1"/>
      <c r="L644" s="1"/>
      <c r="M644" s="1"/>
    </row>
    <row r="645" spans="1:13" x14ac:dyDescent="0.2">
      <c r="A645" s="1"/>
      <c r="B645" s="1"/>
      <c r="C645" s="1"/>
      <c r="D645" s="1"/>
      <c r="E645" s="1"/>
      <c r="F645" s="1"/>
      <c r="G645" s="1"/>
      <c r="H645" s="1"/>
      <c r="I645" t="str">
        <f>IFERROR(INDEX('تشخيص الحالات'!$D$2:$D$1001,SUMPRODUCT(('تشخيص الحالات'!$B$2:$B$1001=B645)*('تشخيص الحالات'!$G$2:$G$1001=1)*ROW('تشخيص الحالات'!$B$2:$B$1001))-1),"")&amp;IF(SUMPRODUCT(('تشخيص الحالات'!$B$2:$B$1001=B645)*('تشخيص الحالات'!$G$2:$G$1001=2))&gt;0,"، "&amp;IFERROR(INDEX('تشخيص الحالات'!$D$2:$D$1001,SUMPRODUCT(('تشخيص الحالات'!$B$2:$B$1001=B645)*('تشخيص الحالات'!$G$2:$G$1001=2)*ROW('تشخيص الحالات'!$B$2:$B$1001))-1),""),"")&amp;IF(SUMPRODUCT(('تشخيص الحالات'!$B$2:$B$1001=B645)*('تشخيص الحالات'!$G$2:$G$1001=3))&gt;0,"، "&amp;IFERROR(INDEX('تشخيص الحالات'!$D$2:$D$1001,SUMPRODUCT(('تشخيص الحالات'!$B$2:$B$1001=B645)*('تشخيص الحالات'!$G$2:$G$1001=3)*ROW('تشخيص الحالات'!$B$2:$B$1001))-1),""),"")&amp;IF(SUMPRODUCT(('تشخيص الحالات'!$B$2:$B$1001=B645)*('تشخيص الحالات'!$G$2:$G$1001=4))&gt;0,"، "&amp;IFERROR(INDEX('تشخيص الحالات'!$D$2:$D$1001,SUMPRODUCT(('تشخيص الحالات'!$B$2:$B$1001=B645)*('تشخيص الحالات'!$G$2:$G$1001=4)*ROW('تشخيص الحالات'!$B$2:$B$1001))-1),""),"")&amp;IF(SUMPRODUCT(('تشخيص الحالات'!$B$2:$B$1001=B645)*('تشخيص الحالات'!$G$2:$G$1001=5))&gt;0,"، "&amp;IFERROR(INDEX('تشخيص الحالات'!$D$2:$D$1001,SUMPRODUCT(('تشخيص الحالات'!$B$2:$B$1001=B645)*('تشخيص الحالات'!$G$2:$G$1001=5)*ROW('تشخيص الحالات'!$B$2:$B$1001))-1),""),"")&amp;IF(SUMPRODUCT(('تشخيص الحالات'!$B$2:$B$1001=B645)*('تشخيص الحالات'!$G$2:$G$1001=6))&gt;0,"، "&amp;IFERROR(INDEX('تشخيص الحالات'!$D$2:$D$1001,SUMPRODUCT(('تشخيص الحالات'!$B$2:$B$1001=B645)*('تشخيص الحالات'!$G$2:$G$1001=6)*ROW('تشخيص الحالات'!$B$2:$B$1001))-1),""),"")&amp;IF(SUMPRODUCT(('تشخيص الحالات'!$B$2:$B$1001=B645)*('تشخيص الحالات'!$G$2:$G$1001=7))&gt;0,"، "&amp;IFERROR(INDEX('تشخيص الحالات'!$D$2:$D$1001,SUMPRODUCT(('تشخيص الحالات'!$B$2:$B$1001=B645)*('تشخيص الحالات'!$G$2:$G$1001=7)*ROW('تشخيص الحالات'!$B$2:$B$1001))-1),""),"")&amp;IF(SUMPRODUCT(('تشخيص الحالات'!$B$2:$B$1001=B645)*('تشخيص الحالات'!$G$2:$G$1001=8))&gt;0,"، "&amp;IFERROR(INDEX('تشخيص الحالات'!$D$2:$D$1001,SUMPRODUCT(('تشخيص الحالات'!$B$2:$B$1001=B645)*('تشخيص الحالات'!$G$2:$G$1001=8)*ROW('تشخيص الحالات'!$B$2:$B$1001))-1),""),"")</f>
        <v/>
      </c>
      <c r="J645" s="1"/>
      <c r="K645" s="1"/>
      <c r="L645" s="1"/>
      <c r="M645" s="1"/>
    </row>
    <row r="646" spans="1:13" x14ac:dyDescent="0.2">
      <c r="A646" s="1"/>
      <c r="B646" s="1"/>
      <c r="C646" s="1"/>
      <c r="D646" s="1"/>
      <c r="E646" s="1"/>
      <c r="F646" s="1"/>
      <c r="G646" s="1"/>
      <c r="H646" s="1"/>
      <c r="I646" t="str">
        <f>IFERROR(INDEX('تشخيص الحالات'!$D$2:$D$1001,SUMPRODUCT(('تشخيص الحالات'!$B$2:$B$1001=B646)*('تشخيص الحالات'!$G$2:$G$1001=1)*ROW('تشخيص الحالات'!$B$2:$B$1001))-1),"")&amp;IF(SUMPRODUCT(('تشخيص الحالات'!$B$2:$B$1001=B646)*('تشخيص الحالات'!$G$2:$G$1001=2))&gt;0,"، "&amp;IFERROR(INDEX('تشخيص الحالات'!$D$2:$D$1001,SUMPRODUCT(('تشخيص الحالات'!$B$2:$B$1001=B646)*('تشخيص الحالات'!$G$2:$G$1001=2)*ROW('تشخيص الحالات'!$B$2:$B$1001))-1),""),"")&amp;IF(SUMPRODUCT(('تشخيص الحالات'!$B$2:$B$1001=B646)*('تشخيص الحالات'!$G$2:$G$1001=3))&gt;0,"، "&amp;IFERROR(INDEX('تشخيص الحالات'!$D$2:$D$1001,SUMPRODUCT(('تشخيص الحالات'!$B$2:$B$1001=B646)*('تشخيص الحالات'!$G$2:$G$1001=3)*ROW('تشخيص الحالات'!$B$2:$B$1001))-1),""),"")&amp;IF(SUMPRODUCT(('تشخيص الحالات'!$B$2:$B$1001=B646)*('تشخيص الحالات'!$G$2:$G$1001=4))&gt;0,"، "&amp;IFERROR(INDEX('تشخيص الحالات'!$D$2:$D$1001,SUMPRODUCT(('تشخيص الحالات'!$B$2:$B$1001=B646)*('تشخيص الحالات'!$G$2:$G$1001=4)*ROW('تشخيص الحالات'!$B$2:$B$1001))-1),""),"")&amp;IF(SUMPRODUCT(('تشخيص الحالات'!$B$2:$B$1001=B646)*('تشخيص الحالات'!$G$2:$G$1001=5))&gt;0,"، "&amp;IFERROR(INDEX('تشخيص الحالات'!$D$2:$D$1001,SUMPRODUCT(('تشخيص الحالات'!$B$2:$B$1001=B646)*('تشخيص الحالات'!$G$2:$G$1001=5)*ROW('تشخيص الحالات'!$B$2:$B$1001))-1),""),"")&amp;IF(SUMPRODUCT(('تشخيص الحالات'!$B$2:$B$1001=B646)*('تشخيص الحالات'!$G$2:$G$1001=6))&gt;0,"، "&amp;IFERROR(INDEX('تشخيص الحالات'!$D$2:$D$1001,SUMPRODUCT(('تشخيص الحالات'!$B$2:$B$1001=B646)*('تشخيص الحالات'!$G$2:$G$1001=6)*ROW('تشخيص الحالات'!$B$2:$B$1001))-1),""),"")&amp;IF(SUMPRODUCT(('تشخيص الحالات'!$B$2:$B$1001=B646)*('تشخيص الحالات'!$G$2:$G$1001=7))&gt;0,"، "&amp;IFERROR(INDEX('تشخيص الحالات'!$D$2:$D$1001,SUMPRODUCT(('تشخيص الحالات'!$B$2:$B$1001=B646)*('تشخيص الحالات'!$G$2:$G$1001=7)*ROW('تشخيص الحالات'!$B$2:$B$1001))-1),""),"")&amp;IF(SUMPRODUCT(('تشخيص الحالات'!$B$2:$B$1001=B646)*('تشخيص الحالات'!$G$2:$G$1001=8))&gt;0,"، "&amp;IFERROR(INDEX('تشخيص الحالات'!$D$2:$D$1001,SUMPRODUCT(('تشخيص الحالات'!$B$2:$B$1001=B646)*('تشخيص الحالات'!$G$2:$G$1001=8)*ROW('تشخيص الحالات'!$B$2:$B$1001))-1),""),"")</f>
        <v/>
      </c>
      <c r="J646" s="1"/>
      <c r="K646" s="1"/>
      <c r="L646" s="1"/>
      <c r="M646" s="1"/>
    </row>
    <row r="647" spans="1:13" x14ac:dyDescent="0.2">
      <c r="A647" s="1"/>
      <c r="B647" s="1"/>
      <c r="C647" s="1"/>
      <c r="D647" s="1"/>
      <c r="E647" s="1"/>
      <c r="F647" s="1"/>
      <c r="G647" s="1"/>
      <c r="H647" s="1"/>
      <c r="I647" t="str">
        <f>IFERROR(INDEX('تشخيص الحالات'!$D$2:$D$1001,SUMPRODUCT(('تشخيص الحالات'!$B$2:$B$1001=B647)*('تشخيص الحالات'!$G$2:$G$1001=1)*ROW('تشخيص الحالات'!$B$2:$B$1001))-1),"")&amp;IF(SUMPRODUCT(('تشخيص الحالات'!$B$2:$B$1001=B647)*('تشخيص الحالات'!$G$2:$G$1001=2))&gt;0,"، "&amp;IFERROR(INDEX('تشخيص الحالات'!$D$2:$D$1001,SUMPRODUCT(('تشخيص الحالات'!$B$2:$B$1001=B647)*('تشخيص الحالات'!$G$2:$G$1001=2)*ROW('تشخيص الحالات'!$B$2:$B$1001))-1),""),"")&amp;IF(SUMPRODUCT(('تشخيص الحالات'!$B$2:$B$1001=B647)*('تشخيص الحالات'!$G$2:$G$1001=3))&gt;0,"، "&amp;IFERROR(INDEX('تشخيص الحالات'!$D$2:$D$1001,SUMPRODUCT(('تشخيص الحالات'!$B$2:$B$1001=B647)*('تشخيص الحالات'!$G$2:$G$1001=3)*ROW('تشخيص الحالات'!$B$2:$B$1001))-1),""),"")&amp;IF(SUMPRODUCT(('تشخيص الحالات'!$B$2:$B$1001=B647)*('تشخيص الحالات'!$G$2:$G$1001=4))&gt;0,"، "&amp;IFERROR(INDEX('تشخيص الحالات'!$D$2:$D$1001,SUMPRODUCT(('تشخيص الحالات'!$B$2:$B$1001=B647)*('تشخيص الحالات'!$G$2:$G$1001=4)*ROW('تشخيص الحالات'!$B$2:$B$1001))-1),""),"")&amp;IF(SUMPRODUCT(('تشخيص الحالات'!$B$2:$B$1001=B647)*('تشخيص الحالات'!$G$2:$G$1001=5))&gt;0,"، "&amp;IFERROR(INDEX('تشخيص الحالات'!$D$2:$D$1001,SUMPRODUCT(('تشخيص الحالات'!$B$2:$B$1001=B647)*('تشخيص الحالات'!$G$2:$G$1001=5)*ROW('تشخيص الحالات'!$B$2:$B$1001))-1),""),"")&amp;IF(SUMPRODUCT(('تشخيص الحالات'!$B$2:$B$1001=B647)*('تشخيص الحالات'!$G$2:$G$1001=6))&gt;0,"، "&amp;IFERROR(INDEX('تشخيص الحالات'!$D$2:$D$1001,SUMPRODUCT(('تشخيص الحالات'!$B$2:$B$1001=B647)*('تشخيص الحالات'!$G$2:$G$1001=6)*ROW('تشخيص الحالات'!$B$2:$B$1001))-1),""),"")&amp;IF(SUMPRODUCT(('تشخيص الحالات'!$B$2:$B$1001=B647)*('تشخيص الحالات'!$G$2:$G$1001=7))&gt;0,"، "&amp;IFERROR(INDEX('تشخيص الحالات'!$D$2:$D$1001,SUMPRODUCT(('تشخيص الحالات'!$B$2:$B$1001=B647)*('تشخيص الحالات'!$G$2:$G$1001=7)*ROW('تشخيص الحالات'!$B$2:$B$1001))-1),""),"")&amp;IF(SUMPRODUCT(('تشخيص الحالات'!$B$2:$B$1001=B647)*('تشخيص الحالات'!$G$2:$G$1001=8))&gt;0,"، "&amp;IFERROR(INDEX('تشخيص الحالات'!$D$2:$D$1001,SUMPRODUCT(('تشخيص الحالات'!$B$2:$B$1001=B647)*('تشخيص الحالات'!$G$2:$G$1001=8)*ROW('تشخيص الحالات'!$B$2:$B$1001))-1),""),"")</f>
        <v/>
      </c>
      <c r="J647" s="1"/>
      <c r="K647" s="1"/>
      <c r="L647" s="1"/>
      <c r="M647" s="1"/>
    </row>
    <row r="648" spans="1:13" x14ac:dyDescent="0.2">
      <c r="A648" s="1"/>
      <c r="B648" s="1"/>
      <c r="C648" s="1"/>
      <c r="D648" s="1"/>
      <c r="E648" s="1"/>
      <c r="F648" s="1"/>
      <c r="G648" s="1"/>
      <c r="H648" s="1"/>
      <c r="I648" t="str">
        <f>IFERROR(INDEX('تشخيص الحالات'!$D$2:$D$1001,SUMPRODUCT(('تشخيص الحالات'!$B$2:$B$1001=B648)*('تشخيص الحالات'!$G$2:$G$1001=1)*ROW('تشخيص الحالات'!$B$2:$B$1001))-1),"")&amp;IF(SUMPRODUCT(('تشخيص الحالات'!$B$2:$B$1001=B648)*('تشخيص الحالات'!$G$2:$G$1001=2))&gt;0,"، "&amp;IFERROR(INDEX('تشخيص الحالات'!$D$2:$D$1001,SUMPRODUCT(('تشخيص الحالات'!$B$2:$B$1001=B648)*('تشخيص الحالات'!$G$2:$G$1001=2)*ROW('تشخيص الحالات'!$B$2:$B$1001))-1),""),"")&amp;IF(SUMPRODUCT(('تشخيص الحالات'!$B$2:$B$1001=B648)*('تشخيص الحالات'!$G$2:$G$1001=3))&gt;0,"، "&amp;IFERROR(INDEX('تشخيص الحالات'!$D$2:$D$1001,SUMPRODUCT(('تشخيص الحالات'!$B$2:$B$1001=B648)*('تشخيص الحالات'!$G$2:$G$1001=3)*ROW('تشخيص الحالات'!$B$2:$B$1001))-1),""),"")&amp;IF(SUMPRODUCT(('تشخيص الحالات'!$B$2:$B$1001=B648)*('تشخيص الحالات'!$G$2:$G$1001=4))&gt;0,"، "&amp;IFERROR(INDEX('تشخيص الحالات'!$D$2:$D$1001,SUMPRODUCT(('تشخيص الحالات'!$B$2:$B$1001=B648)*('تشخيص الحالات'!$G$2:$G$1001=4)*ROW('تشخيص الحالات'!$B$2:$B$1001))-1),""),"")&amp;IF(SUMPRODUCT(('تشخيص الحالات'!$B$2:$B$1001=B648)*('تشخيص الحالات'!$G$2:$G$1001=5))&gt;0,"، "&amp;IFERROR(INDEX('تشخيص الحالات'!$D$2:$D$1001,SUMPRODUCT(('تشخيص الحالات'!$B$2:$B$1001=B648)*('تشخيص الحالات'!$G$2:$G$1001=5)*ROW('تشخيص الحالات'!$B$2:$B$1001))-1),""),"")&amp;IF(SUMPRODUCT(('تشخيص الحالات'!$B$2:$B$1001=B648)*('تشخيص الحالات'!$G$2:$G$1001=6))&gt;0,"، "&amp;IFERROR(INDEX('تشخيص الحالات'!$D$2:$D$1001,SUMPRODUCT(('تشخيص الحالات'!$B$2:$B$1001=B648)*('تشخيص الحالات'!$G$2:$G$1001=6)*ROW('تشخيص الحالات'!$B$2:$B$1001))-1),""),"")&amp;IF(SUMPRODUCT(('تشخيص الحالات'!$B$2:$B$1001=B648)*('تشخيص الحالات'!$G$2:$G$1001=7))&gt;0,"، "&amp;IFERROR(INDEX('تشخيص الحالات'!$D$2:$D$1001,SUMPRODUCT(('تشخيص الحالات'!$B$2:$B$1001=B648)*('تشخيص الحالات'!$G$2:$G$1001=7)*ROW('تشخيص الحالات'!$B$2:$B$1001))-1),""),"")&amp;IF(SUMPRODUCT(('تشخيص الحالات'!$B$2:$B$1001=B648)*('تشخيص الحالات'!$G$2:$G$1001=8))&gt;0,"، "&amp;IFERROR(INDEX('تشخيص الحالات'!$D$2:$D$1001,SUMPRODUCT(('تشخيص الحالات'!$B$2:$B$1001=B648)*('تشخيص الحالات'!$G$2:$G$1001=8)*ROW('تشخيص الحالات'!$B$2:$B$1001))-1),""),"")</f>
        <v/>
      </c>
      <c r="J648" s="1"/>
      <c r="K648" s="1"/>
      <c r="L648" s="1"/>
      <c r="M648" s="1"/>
    </row>
    <row r="649" spans="1:13" x14ac:dyDescent="0.2">
      <c r="A649" s="1"/>
      <c r="B649" s="1"/>
      <c r="C649" s="1"/>
      <c r="D649" s="1"/>
      <c r="E649" s="1"/>
      <c r="F649" s="1"/>
      <c r="G649" s="1"/>
      <c r="H649" s="1"/>
      <c r="I649" t="str">
        <f>IFERROR(INDEX('تشخيص الحالات'!$D$2:$D$1001,SUMPRODUCT(('تشخيص الحالات'!$B$2:$B$1001=B649)*('تشخيص الحالات'!$G$2:$G$1001=1)*ROW('تشخيص الحالات'!$B$2:$B$1001))-1),"")&amp;IF(SUMPRODUCT(('تشخيص الحالات'!$B$2:$B$1001=B649)*('تشخيص الحالات'!$G$2:$G$1001=2))&gt;0,"، "&amp;IFERROR(INDEX('تشخيص الحالات'!$D$2:$D$1001,SUMPRODUCT(('تشخيص الحالات'!$B$2:$B$1001=B649)*('تشخيص الحالات'!$G$2:$G$1001=2)*ROW('تشخيص الحالات'!$B$2:$B$1001))-1),""),"")&amp;IF(SUMPRODUCT(('تشخيص الحالات'!$B$2:$B$1001=B649)*('تشخيص الحالات'!$G$2:$G$1001=3))&gt;0,"، "&amp;IFERROR(INDEX('تشخيص الحالات'!$D$2:$D$1001,SUMPRODUCT(('تشخيص الحالات'!$B$2:$B$1001=B649)*('تشخيص الحالات'!$G$2:$G$1001=3)*ROW('تشخيص الحالات'!$B$2:$B$1001))-1),""),"")&amp;IF(SUMPRODUCT(('تشخيص الحالات'!$B$2:$B$1001=B649)*('تشخيص الحالات'!$G$2:$G$1001=4))&gt;0,"، "&amp;IFERROR(INDEX('تشخيص الحالات'!$D$2:$D$1001,SUMPRODUCT(('تشخيص الحالات'!$B$2:$B$1001=B649)*('تشخيص الحالات'!$G$2:$G$1001=4)*ROW('تشخيص الحالات'!$B$2:$B$1001))-1),""),"")&amp;IF(SUMPRODUCT(('تشخيص الحالات'!$B$2:$B$1001=B649)*('تشخيص الحالات'!$G$2:$G$1001=5))&gt;0,"، "&amp;IFERROR(INDEX('تشخيص الحالات'!$D$2:$D$1001,SUMPRODUCT(('تشخيص الحالات'!$B$2:$B$1001=B649)*('تشخيص الحالات'!$G$2:$G$1001=5)*ROW('تشخيص الحالات'!$B$2:$B$1001))-1),""),"")&amp;IF(SUMPRODUCT(('تشخيص الحالات'!$B$2:$B$1001=B649)*('تشخيص الحالات'!$G$2:$G$1001=6))&gt;0,"، "&amp;IFERROR(INDEX('تشخيص الحالات'!$D$2:$D$1001,SUMPRODUCT(('تشخيص الحالات'!$B$2:$B$1001=B649)*('تشخيص الحالات'!$G$2:$G$1001=6)*ROW('تشخيص الحالات'!$B$2:$B$1001))-1),""),"")&amp;IF(SUMPRODUCT(('تشخيص الحالات'!$B$2:$B$1001=B649)*('تشخيص الحالات'!$G$2:$G$1001=7))&gt;0,"، "&amp;IFERROR(INDEX('تشخيص الحالات'!$D$2:$D$1001,SUMPRODUCT(('تشخيص الحالات'!$B$2:$B$1001=B649)*('تشخيص الحالات'!$G$2:$G$1001=7)*ROW('تشخيص الحالات'!$B$2:$B$1001))-1),""),"")&amp;IF(SUMPRODUCT(('تشخيص الحالات'!$B$2:$B$1001=B649)*('تشخيص الحالات'!$G$2:$G$1001=8))&gt;0,"، "&amp;IFERROR(INDEX('تشخيص الحالات'!$D$2:$D$1001,SUMPRODUCT(('تشخيص الحالات'!$B$2:$B$1001=B649)*('تشخيص الحالات'!$G$2:$G$1001=8)*ROW('تشخيص الحالات'!$B$2:$B$1001))-1),""),"")</f>
        <v/>
      </c>
      <c r="J649" s="1"/>
      <c r="K649" s="1"/>
      <c r="L649" s="1"/>
      <c r="M649" s="1"/>
    </row>
    <row r="650" spans="1:13" x14ac:dyDescent="0.2">
      <c r="A650" s="1"/>
      <c r="B650" s="1"/>
      <c r="C650" s="1"/>
      <c r="D650" s="1"/>
      <c r="E650" s="1"/>
      <c r="F650" s="1"/>
      <c r="G650" s="1"/>
      <c r="H650" s="1"/>
      <c r="I650" t="str">
        <f>IFERROR(INDEX('تشخيص الحالات'!$D$2:$D$1001,SUMPRODUCT(('تشخيص الحالات'!$B$2:$B$1001=B650)*('تشخيص الحالات'!$G$2:$G$1001=1)*ROW('تشخيص الحالات'!$B$2:$B$1001))-1),"")&amp;IF(SUMPRODUCT(('تشخيص الحالات'!$B$2:$B$1001=B650)*('تشخيص الحالات'!$G$2:$G$1001=2))&gt;0,"، "&amp;IFERROR(INDEX('تشخيص الحالات'!$D$2:$D$1001,SUMPRODUCT(('تشخيص الحالات'!$B$2:$B$1001=B650)*('تشخيص الحالات'!$G$2:$G$1001=2)*ROW('تشخيص الحالات'!$B$2:$B$1001))-1),""),"")&amp;IF(SUMPRODUCT(('تشخيص الحالات'!$B$2:$B$1001=B650)*('تشخيص الحالات'!$G$2:$G$1001=3))&gt;0,"، "&amp;IFERROR(INDEX('تشخيص الحالات'!$D$2:$D$1001,SUMPRODUCT(('تشخيص الحالات'!$B$2:$B$1001=B650)*('تشخيص الحالات'!$G$2:$G$1001=3)*ROW('تشخيص الحالات'!$B$2:$B$1001))-1),""),"")&amp;IF(SUMPRODUCT(('تشخيص الحالات'!$B$2:$B$1001=B650)*('تشخيص الحالات'!$G$2:$G$1001=4))&gt;0,"، "&amp;IFERROR(INDEX('تشخيص الحالات'!$D$2:$D$1001,SUMPRODUCT(('تشخيص الحالات'!$B$2:$B$1001=B650)*('تشخيص الحالات'!$G$2:$G$1001=4)*ROW('تشخيص الحالات'!$B$2:$B$1001))-1),""),"")&amp;IF(SUMPRODUCT(('تشخيص الحالات'!$B$2:$B$1001=B650)*('تشخيص الحالات'!$G$2:$G$1001=5))&gt;0,"، "&amp;IFERROR(INDEX('تشخيص الحالات'!$D$2:$D$1001,SUMPRODUCT(('تشخيص الحالات'!$B$2:$B$1001=B650)*('تشخيص الحالات'!$G$2:$G$1001=5)*ROW('تشخيص الحالات'!$B$2:$B$1001))-1),""),"")&amp;IF(SUMPRODUCT(('تشخيص الحالات'!$B$2:$B$1001=B650)*('تشخيص الحالات'!$G$2:$G$1001=6))&gt;0,"، "&amp;IFERROR(INDEX('تشخيص الحالات'!$D$2:$D$1001,SUMPRODUCT(('تشخيص الحالات'!$B$2:$B$1001=B650)*('تشخيص الحالات'!$G$2:$G$1001=6)*ROW('تشخيص الحالات'!$B$2:$B$1001))-1),""),"")&amp;IF(SUMPRODUCT(('تشخيص الحالات'!$B$2:$B$1001=B650)*('تشخيص الحالات'!$G$2:$G$1001=7))&gt;0,"، "&amp;IFERROR(INDEX('تشخيص الحالات'!$D$2:$D$1001,SUMPRODUCT(('تشخيص الحالات'!$B$2:$B$1001=B650)*('تشخيص الحالات'!$G$2:$G$1001=7)*ROW('تشخيص الحالات'!$B$2:$B$1001))-1),""),"")&amp;IF(SUMPRODUCT(('تشخيص الحالات'!$B$2:$B$1001=B650)*('تشخيص الحالات'!$G$2:$G$1001=8))&gt;0,"، "&amp;IFERROR(INDEX('تشخيص الحالات'!$D$2:$D$1001,SUMPRODUCT(('تشخيص الحالات'!$B$2:$B$1001=B650)*('تشخيص الحالات'!$G$2:$G$1001=8)*ROW('تشخيص الحالات'!$B$2:$B$1001))-1),""),"")</f>
        <v/>
      </c>
      <c r="J650" s="1"/>
      <c r="K650" s="1"/>
      <c r="L650" s="1"/>
      <c r="M650" s="1"/>
    </row>
    <row r="651" spans="1:13" x14ac:dyDescent="0.2">
      <c r="A651" s="1"/>
      <c r="B651" s="1"/>
      <c r="C651" s="1"/>
      <c r="D651" s="1"/>
      <c r="E651" s="1"/>
      <c r="F651" s="1"/>
      <c r="G651" s="1"/>
      <c r="H651" s="1"/>
      <c r="I651" t="str">
        <f>IFERROR(INDEX('تشخيص الحالات'!$D$2:$D$1001,SUMPRODUCT(('تشخيص الحالات'!$B$2:$B$1001=B651)*('تشخيص الحالات'!$G$2:$G$1001=1)*ROW('تشخيص الحالات'!$B$2:$B$1001))-1),"")&amp;IF(SUMPRODUCT(('تشخيص الحالات'!$B$2:$B$1001=B651)*('تشخيص الحالات'!$G$2:$G$1001=2))&gt;0,"، "&amp;IFERROR(INDEX('تشخيص الحالات'!$D$2:$D$1001,SUMPRODUCT(('تشخيص الحالات'!$B$2:$B$1001=B651)*('تشخيص الحالات'!$G$2:$G$1001=2)*ROW('تشخيص الحالات'!$B$2:$B$1001))-1),""),"")&amp;IF(SUMPRODUCT(('تشخيص الحالات'!$B$2:$B$1001=B651)*('تشخيص الحالات'!$G$2:$G$1001=3))&gt;0,"، "&amp;IFERROR(INDEX('تشخيص الحالات'!$D$2:$D$1001,SUMPRODUCT(('تشخيص الحالات'!$B$2:$B$1001=B651)*('تشخيص الحالات'!$G$2:$G$1001=3)*ROW('تشخيص الحالات'!$B$2:$B$1001))-1),""),"")&amp;IF(SUMPRODUCT(('تشخيص الحالات'!$B$2:$B$1001=B651)*('تشخيص الحالات'!$G$2:$G$1001=4))&gt;0,"، "&amp;IFERROR(INDEX('تشخيص الحالات'!$D$2:$D$1001,SUMPRODUCT(('تشخيص الحالات'!$B$2:$B$1001=B651)*('تشخيص الحالات'!$G$2:$G$1001=4)*ROW('تشخيص الحالات'!$B$2:$B$1001))-1),""),"")&amp;IF(SUMPRODUCT(('تشخيص الحالات'!$B$2:$B$1001=B651)*('تشخيص الحالات'!$G$2:$G$1001=5))&gt;0,"، "&amp;IFERROR(INDEX('تشخيص الحالات'!$D$2:$D$1001,SUMPRODUCT(('تشخيص الحالات'!$B$2:$B$1001=B651)*('تشخيص الحالات'!$G$2:$G$1001=5)*ROW('تشخيص الحالات'!$B$2:$B$1001))-1),""),"")&amp;IF(SUMPRODUCT(('تشخيص الحالات'!$B$2:$B$1001=B651)*('تشخيص الحالات'!$G$2:$G$1001=6))&gt;0,"، "&amp;IFERROR(INDEX('تشخيص الحالات'!$D$2:$D$1001,SUMPRODUCT(('تشخيص الحالات'!$B$2:$B$1001=B651)*('تشخيص الحالات'!$G$2:$G$1001=6)*ROW('تشخيص الحالات'!$B$2:$B$1001))-1),""),"")&amp;IF(SUMPRODUCT(('تشخيص الحالات'!$B$2:$B$1001=B651)*('تشخيص الحالات'!$G$2:$G$1001=7))&gt;0,"، "&amp;IFERROR(INDEX('تشخيص الحالات'!$D$2:$D$1001,SUMPRODUCT(('تشخيص الحالات'!$B$2:$B$1001=B651)*('تشخيص الحالات'!$G$2:$G$1001=7)*ROW('تشخيص الحالات'!$B$2:$B$1001))-1),""),"")&amp;IF(SUMPRODUCT(('تشخيص الحالات'!$B$2:$B$1001=B651)*('تشخيص الحالات'!$G$2:$G$1001=8))&gt;0,"، "&amp;IFERROR(INDEX('تشخيص الحالات'!$D$2:$D$1001,SUMPRODUCT(('تشخيص الحالات'!$B$2:$B$1001=B651)*('تشخيص الحالات'!$G$2:$G$1001=8)*ROW('تشخيص الحالات'!$B$2:$B$1001))-1),""),"")</f>
        <v/>
      </c>
      <c r="J651" s="1"/>
      <c r="K651" s="1"/>
      <c r="L651" s="1"/>
      <c r="M651" s="1"/>
    </row>
    <row r="652" spans="1:13" x14ac:dyDescent="0.2">
      <c r="A652" s="1"/>
      <c r="B652" s="1"/>
      <c r="C652" s="1"/>
      <c r="D652" s="1"/>
      <c r="E652" s="1"/>
      <c r="F652" s="1"/>
      <c r="G652" s="1"/>
      <c r="H652" s="1"/>
      <c r="I652" t="str">
        <f>IFERROR(INDEX('تشخيص الحالات'!$D$2:$D$1001,SUMPRODUCT(('تشخيص الحالات'!$B$2:$B$1001=B652)*('تشخيص الحالات'!$G$2:$G$1001=1)*ROW('تشخيص الحالات'!$B$2:$B$1001))-1),"")&amp;IF(SUMPRODUCT(('تشخيص الحالات'!$B$2:$B$1001=B652)*('تشخيص الحالات'!$G$2:$G$1001=2))&gt;0,"، "&amp;IFERROR(INDEX('تشخيص الحالات'!$D$2:$D$1001,SUMPRODUCT(('تشخيص الحالات'!$B$2:$B$1001=B652)*('تشخيص الحالات'!$G$2:$G$1001=2)*ROW('تشخيص الحالات'!$B$2:$B$1001))-1),""),"")&amp;IF(SUMPRODUCT(('تشخيص الحالات'!$B$2:$B$1001=B652)*('تشخيص الحالات'!$G$2:$G$1001=3))&gt;0,"، "&amp;IFERROR(INDEX('تشخيص الحالات'!$D$2:$D$1001,SUMPRODUCT(('تشخيص الحالات'!$B$2:$B$1001=B652)*('تشخيص الحالات'!$G$2:$G$1001=3)*ROW('تشخيص الحالات'!$B$2:$B$1001))-1),""),"")&amp;IF(SUMPRODUCT(('تشخيص الحالات'!$B$2:$B$1001=B652)*('تشخيص الحالات'!$G$2:$G$1001=4))&gt;0,"، "&amp;IFERROR(INDEX('تشخيص الحالات'!$D$2:$D$1001,SUMPRODUCT(('تشخيص الحالات'!$B$2:$B$1001=B652)*('تشخيص الحالات'!$G$2:$G$1001=4)*ROW('تشخيص الحالات'!$B$2:$B$1001))-1),""),"")&amp;IF(SUMPRODUCT(('تشخيص الحالات'!$B$2:$B$1001=B652)*('تشخيص الحالات'!$G$2:$G$1001=5))&gt;0,"، "&amp;IFERROR(INDEX('تشخيص الحالات'!$D$2:$D$1001,SUMPRODUCT(('تشخيص الحالات'!$B$2:$B$1001=B652)*('تشخيص الحالات'!$G$2:$G$1001=5)*ROW('تشخيص الحالات'!$B$2:$B$1001))-1),""),"")&amp;IF(SUMPRODUCT(('تشخيص الحالات'!$B$2:$B$1001=B652)*('تشخيص الحالات'!$G$2:$G$1001=6))&gt;0,"، "&amp;IFERROR(INDEX('تشخيص الحالات'!$D$2:$D$1001,SUMPRODUCT(('تشخيص الحالات'!$B$2:$B$1001=B652)*('تشخيص الحالات'!$G$2:$G$1001=6)*ROW('تشخيص الحالات'!$B$2:$B$1001))-1),""),"")&amp;IF(SUMPRODUCT(('تشخيص الحالات'!$B$2:$B$1001=B652)*('تشخيص الحالات'!$G$2:$G$1001=7))&gt;0,"، "&amp;IFERROR(INDEX('تشخيص الحالات'!$D$2:$D$1001,SUMPRODUCT(('تشخيص الحالات'!$B$2:$B$1001=B652)*('تشخيص الحالات'!$G$2:$G$1001=7)*ROW('تشخيص الحالات'!$B$2:$B$1001))-1),""),"")&amp;IF(SUMPRODUCT(('تشخيص الحالات'!$B$2:$B$1001=B652)*('تشخيص الحالات'!$G$2:$G$1001=8))&gt;0,"، "&amp;IFERROR(INDEX('تشخيص الحالات'!$D$2:$D$1001,SUMPRODUCT(('تشخيص الحالات'!$B$2:$B$1001=B652)*('تشخيص الحالات'!$G$2:$G$1001=8)*ROW('تشخيص الحالات'!$B$2:$B$1001))-1),""),"")</f>
        <v/>
      </c>
      <c r="J652" s="1"/>
      <c r="K652" s="1"/>
      <c r="L652" s="1"/>
      <c r="M652" s="1"/>
    </row>
    <row r="653" spans="1:13" x14ac:dyDescent="0.2">
      <c r="A653" s="1"/>
      <c r="B653" s="1"/>
      <c r="C653" s="1"/>
      <c r="D653" s="1"/>
      <c r="E653" s="1"/>
      <c r="F653" s="1"/>
      <c r="G653" s="1"/>
      <c r="H653" s="1"/>
      <c r="I653" t="str">
        <f>IFERROR(INDEX('تشخيص الحالات'!$D$2:$D$1001,SUMPRODUCT(('تشخيص الحالات'!$B$2:$B$1001=B653)*('تشخيص الحالات'!$G$2:$G$1001=1)*ROW('تشخيص الحالات'!$B$2:$B$1001))-1),"")&amp;IF(SUMPRODUCT(('تشخيص الحالات'!$B$2:$B$1001=B653)*('تشخيص الحالات'!$G$2:$G$1001=2))&gt;0,"، "&amp;IFERROR(INDEX('تشخيص الحالات'!$D$2:$D$1001,SUMPRODUCT(('تشخيص الحالات'!$B$2:$B$1001=B653)*('تشخيص الحالات'!$G$2:$G$1001=2)*ROW('تشخيص الحالات'!$B$2:$B$1001))-1),""),"")&amp;IF(SUMPRODUCT(('تشخيص الحالات'!$B$2:$B$1001=B653)*('تشخيص الحالات'!$G$2:$G$1001=3))&gt;0,"، "&amp;IFERROR(INDEX('تشخيص الحالات'!$D$2:$D$1001,SUMPRODUCT(('تشخيص الحالات'!$B$2:$B$1001=B653)*('تشخيص الحالات'!$G$2:$G$1001=3)*ROW('تشخيص الحالات'!$B$2:$B$1001))-1),""),"")&amp;IF(SUMPRODUCT(('تشخيص الحالات'!$B$2:$B$1001=B653)*('تشخيص الحالات'!$G$2:$G$1001=4))&gt;0,"، "&amp;IFERROR(INDEX('تشخيص الحالات'!$D$2:$D$1001,SUMPRODUCT(('تشخيص الحالات'!$B$2:$B$1001=B653)*('تشخيص الحالات'!$G$2:$G$1001=4)*ROW('تشخيص الحالات'!$B$2:$B$1001))-1),""),"")&amp;IF(SUMPRODUCT(('تشخيص الحالات'!$B$2:$B$1001=B653)*('تشخيص الحالات'!$G$2:$G$1001=5))&gt;0,"، "&amp;IFERROR(INDEX('تشخيص الحالات'!$D$2:$D$1001,SUMPRODUCT(('تشخيص الحالات'!$B$2:$B$1001=B653)*('تشخيص الحالات'!$G$2:$G$1001=5)*ROW('تشخيص الحالات'!$B$2:$B$1001))-1),""),"")&amp;IF(SUMPRODUCT(('تشخيص الحالات'!$B$2:$B$1001=B653)*('تشخيص الحالات'!$G$2:$G$1001=6))&gt;0,"، "&amp;IFERROR(INDEX('تشخيص الحالات'!$D$2:$D$1001,SUMPRODUCT(('تشخيص الحالات'!$B$2:$B$1001=B653)*('تشخيص الحالات'!$G$2:$G$1001=6)*ROW('تشخيص الحالات'!$B$2:$B$1001))-1),""),"")&amp;IF(SUMPRODUCT(('تشخيص الحالات'!$B$2:$B$1001=B653)*('تشخيص الحالات'!$G$2:$G$1001=7))&gt;0,"، "&amp;IFERROR(INDEX('تشخيص الحالات'!$D$2:$D$1001,SUMPRODUCT(('تشخيص الحالات'!$B$2:$B$1001=B653)*('تشخيص الحالات'!$G$2:$G$1001=7)*ROW('تشخيص الحالات'!$B$2:$B$1001))-1),""),"")&amp;IF(SUMPRODUCT(('تشخيص الحالات'!$B$2:$B$1001=B653)*('تشخيص الحالات'!$G$2:$G$1001=8))&gt;0,"، "&amp;IFERROR(INDEX('تشخيص الحالات'!$D$2:$D$1001,SUMPRODUCT(('تشخيص الحالات'!$B$2:$B$1001=B653)*('تشخيص الحالات'!$G$2:$G$1001=8)*ROW('تشخيص الحالات'!$B$2:$B$1001))-1),""),"")</f>
        <v/>
      </c>
      <c r="J653" s="1"/>
      <c r="K653" s="1"/>
      <c r="L653" s="1"/>
      <c r="M653" s="1"/>
    </row>
    <row r="654" spans="1:13" x14ac:dyDescent="0.2">
      <c r="A654" s="1"/>
      <c r="B654" s="1"/>
      <c r="C654" s="1"/>
      <c r="D654" s="1"/>
      <c r="E654" s="1"/>
      <c r="F654" s="1"/>
      <c r="G654" s="1"/>
      <c r="H654" s="1"/>
      <c r="I654" t="str">
        <f>IFERROR(INDEX('تشخيص الحالات'!$D$2:$D$1001,SUMPRODUCT(('تشخيص الحالات'!$B$2:$B$1001=B654)*('تشخيص الحالات'!$G$2:$G$1001=1)*ROW('تشخيص الحالات'!$B$2:$B$1001))-1),"")&amp;IF(SUMPRODUCT(('تشخيص الحالات'!$B$2:$B$1001=B654)*('تشخيص الحالات'!$G$2:$G$1001=2))&gt;0,"، "&amp;IFERROR(INDEX('تشخيص الحالات'!$D$2:$D$1001,SUMPRODUCT(('تشخيص الحالات'!$B$2:$B$1001=B654)*('تشخيص الحالات'!$G$2:$G$1001=2)*ROW('تشخيص الحالات'!$B$2:$B$1001))-1),""),"")&amp;IF(SUMPRODUCT(('تشخيص الحالات'!$B$2:$B$1001=B654)*('تشخيص الحالات'!$G$2:$G$1001=3))&gt;0,"، "&amp;IFERROR(INDEX('تشخيص الحالات'!$D$2:$D$1001,SUMPRODUCT(('تشخيص الحالات'!$B$2:$B$1001=B654)*('تشخيص الحالات'!$G$2:$G$1001=3)*ROW('تشخيص الحالات'!$B$2:$B$1001))-1),""),"")&amp;IF(SUMPRODUCT(('تشخيص الحالات'!$B$2:$B$1001=B654)*('تشخيص الحالات'!$G$2:$G$1001=4))&gt;0,"، "&amp;IFERROR(INDEX('تشخيص الحالات'!$D$2:$D$1001,SUMPRODUCT(('تشخيص الحالات'!$B$2:$B$1001=B654)*('تشخيص الحالات'!$G$2:$G$1001=4)*ROW('تشخيص الحالات'!$B$2:$B$1001))-1),""),"")&amp;IF(SUMPRODUCT(('تشخيص الحالات'!$B$2:$B$1001=B654)*('تشخيص الحالات'!$G$2:$G$1001=5))&gt;0,"، "&amp;IFERROR(INDEX('تشخيص الحالات'!$D$2:$D$1001,SUMPRODUCT(('تشخيص الحالات'!$B$2:$B$1001=B654)*('تشخيص الحالات'!$G$2:$G$1001=5)*ROW('تشخيص الحالات'!$B$2:$B$1001))-1),""),"")&amp;IF(SUMPRODUCT(('تشخيص الحالات'!$B$2:$B$1001=B654)*('تشخيص الحالات'!$G$2:$G$1001=6))&gt;0,"، "&amp;IFERROR(INDEX('تشخيص الحالات'!$D$2:$D$1001,SUMPRODUCT(('تشخيص الحالات'!$B$2:$B$1001=B654)*('تشخيص الحالات'!$G$2:$G$1001=6)*ROW('تشخيص الحالات'!$B$2:$B$1001))-1),""),"")&amp;IF(SUMPRODUCT(('تشخيص الحالات'!$B$2:$B$1001=B654)*('تشخيص الحالات'!$G$2:$G$1001=7))&gt;0,"، "&amp;IFERROR(INDEX('تشخيص الحالات'!$D$2:$D$1001,SUMPRODUCT(('تشخيص الحالات'!$B$2:$B$1001=B654)*('تشخيص الحالات'!$G$2:$G$1001=7)*ROW('تشخيص الحالات'!$B$2:$B$1001))-1),""),"")&amp;IF(SUMPRODUCT(('تشخيص الحالات'!$B$2:$B$1001=B654)*('تشخيص الحالات'!$G$2:$G$1001=8))&gt;0,"، "&amp;IFERROR(INDEX('تشخيص الحالات'!$D$2:$D$1001,SUMPRODUCT(('تشخيص الحالات'!$B$2:$B$1001=B654)*('تشخيص الحالات'!$G$2:$G$1001=8)*ROW('تشخيص الحالات'!$B$2:$B$1001))-1),""),"")</f>
        <v/>
      </c>
      <c r="J654" s="1"/>
      <c r="K654" s="1"/>
      <c r="L654" s="1"/>
      <c r="M654" s="1"/>
    </row>
    <row r="655" spans="1:13" x14ac:dyDescent="0.2">
      <c r="A655" s="1"/>
      <c r="B655" s="1"/>
      <c r="C655" s="1"/>
      <c r="D655" s="1"/>
      <c r="E655" s="1"/>
      <c r="F655" s="1"/>
      <c r="G655" s="1"/>
      <c r="H655" s="1"/>
      <c r="I655" t="str">
        <f>IFERROR(INDEX('تشخيص الحالات'!$D$2:$D$1001,SUMPRODUCT(('تشخيص الحالات'!$B$2:$B$1001=B655)*('تشخيص الحالات'!$G$2:$G$1001=1)*ROW('تشخيص الحالات'!$B$2:$B$1001))-1),"")&amp;IF(SUMPRODUCT(('تشخيص الحالات'!$B$2:$B$1001=B655)*('تشخيص الحالات'!$G$2:$G$1001=2))&gt;0,"، "&amp;IFERROR(INDEX('تشخيص الحالات'!$D$2:$D$1001,SUMPRODUCT(('تشخيص الحالات'!$B$2:$B$1001=B655)*('تشخيص الحالات'!$G$2:$G$1001=2)*ROW('تشخيص الحالات'!$B$2:$B$1001))-1),""),"")&amp;IF(SUMPRODUCT(('تشخيص الحالات'!$B$2:$B$1001=B655)*('تشخيص الحالات'!$G$2:$G$1001=3))&gt;0,"، "&amp;IFERROR(INDEX('تشخيص الحالات'!$D$2:$D$1001,SUMPRODUCT(('تشخيص الحالات'!$B$2:$B$1001=B655)*('تشخيص الحالات'!$G$2:$G$1001=3)*ROW('تشخيص الحالات'!$B$2:$B$1001))-1),""),"")&amp;IF(SUMPRODUCT(('تشخيص الحالات'!$B$2:$B$1001=B655)*('تشخيص الحالات'!$G$2:$G$1001=4))&gt;0,"، "&amp;IFERROR(INDEX('تشخيص الحالات'!$D$2:$D$1001,SUMPRODUCT(('تشخيص الحالات'!$B$2:$B$1001=B655)*('تشخيص الحالات'!$G$2:$G$1001=4)*ROW('تشخيص الحالات'!$B$2:$B$1001))-1),""),"")&amp;IF(SUMPRODUCT(('تشخيص الحالات'!$B$2:$B$1001=B655)*('تشخيص الحالات'!$G$2:$G$1001=5))&gt;0,"، "&amp;IFERROR(INDEX('تشخيص الحالات'!$D$2:$D$1001,SUMPRODUCT(('تشخيص الحالات'!$B$2:$B$1001=B655)*('تشخيص الحالات'!$G$2:$G$1001=5)*ROW('تشخيص الحالات'!$B$2:$B$1001))-1),""),"")&amp;IF(SUMPRODUCT(('تشخيص الحالات'!$B$2:$B$1001=B655)*('تشخيص الحالات'!$G$2:$G$1001=6))&gt;0,"، "&amp;IFERROR(INDEX('تشخيص الحالات'!$D$2:$D$1001,SUMPRODUCT(('تشخيص الحالات'!$B$2:$B$1001=B655)*('تشخيص الحالات'!$G$2:$G$1001=6)*ROW('تشخيص الحالات'!$B$2:$B$1001))-1),""),"")&amp;IF(SUMPRODUCT(('تشخيص الحالات'!$B$2:$B$1001=B655)*('تشخيص الحالات'!$G$2:$G$1001=7))&gt;0,"، "&amp;IFERROR(INDEX('تشخيص الحالات'!$D$2:$D$1001,SUMPRODUCT(('تشخيص الحالات'!$B$2:$B$1001=B655)*('تشخيص الحالات'!$G$2:$G$1001=7)*ROW('تشخيص الحالات'!$B$2:$B$1001))-1),""),"")&amp;IF(SUMPRODUCT(('تشخيص الحالات'!$B$2:$B$1001=B655)*('تشخيص الحالات'!$G$2:$G$1001=8))&gt;0,"، "&amp;IFERROR(INDEX('تشخيص الحالات'!$D$2:$D$1001,SUMPRODUCT(('تشخيص الحالات'!$B$2:$B$1001=B655)*('تشخيص الحالات'!$G$2:$G$1001=8)*ROW('تشخيص الحالات'!$B$2:$B$1001))-1),""),"")</f>
        <v/>
      </c>
      <c r="J655" s="1"/>
      <c r="K655" s="1"/>
      <c r="L655" s="1"/>
      <c r="M655" s="1"/>
    </row>
    <row r="656" spans="1:13" x14ac:dyDescent="0.2">
      <c r="A656" s="1"/>
      <c r="B656" s="1"/>
      <c r="C656" s="1"/>
      <c r="D656" s="1"/>
      <c r="E656" s="1"/>
      <c r="F656" s="1"/>
      <c r="G656" s="1"/>
      <c r="H656" s="1"/>
      <c r="I656" t="str">
        <f>IFERROR(INDEX('تشخيص الحالات'!$D$2:$D$1001,SUMPRODUCT(('تشخيص الحالات'!$B$2:$B$1001=B656)*('تشخيص الحالات'!$G$2:$G$1001=1)*ROW('تشخيص الحالات'!$B$2:$B$1001))-1),"")&amp;IF(SUMPRODUCT(('تشخيص الحالات'!$B$2:$B$1001=B656)*('تشخيص الحالات'!$G$2:$G$1001=2))&gt;0,"، "&amp;IFERROR(INDEX('تشخيص الحالات'!$D$2:$D$1001,SUMPRODUCT(('تشخيص الحالات'!$B$2:$B$1001=B656)*('تشخيص الحالات'!$G$2:$G$1001=2)*ROW('تشخيص الحالات'!$B$2:$B$1001))-1),""),"")&amp;IF(SUMPRODUCT(('تشخيص الحالات'!$B$2:$B$1001=B656)*('تشخيص الحالات'!$G$2:$G$1001=3))&gt;0,"، "&amp;IFERROR(INDEX('تشخيص الحالات'!$D$2:$D$1001,SUMPRODUCT(('تشخيص الحالات'!$B$2:$B$1001=B656)*('تشخيص الحالات'!$G$2:$G$1001=3)*ROW('تشخيص الحالات'!$B$2:$B$1001))-1),""),"")&amp;IF(SUMPRODUCT(('تشخيص الحالات'!$B$2:$B$1001=B656)*('تشخيص الحالات'!$G$2:$G$1001=4))&gt;0,"، "&amp;IFERROR(INDEX('تشخيص الحالات'!$D$2:$D$1001,SUMPRODUCT(('تشخيص الحالات'!$B$2:$B$1001=B656)*('تشخيص الحالات'!$G$2:$G$1001=4)*ROW('تشخيص الحالات'!$B$2:$B$1001))-1),""),"")&amp;IF(SUMPRODUCT(('تشخيص الحالات'!$B$2:$B$1001=B656)*('تشخيص الحالات'!$G$2:$G$1001=5))&gt;0,"، "&amp;IFERROR(INDEX('تشخيص الحالات'!$D$2:$D$1001,SUMPRODUCT(('تشخيص الحالات'!$B$2:$B$1001=B656)*('تشخيص الحالات'!$G$2:$G$1001=5)*ROW('تشخيص الحالات'!$B$2:$B$1001))-1),""),"")&amp;IF(SUMPRODUCT(('تشخيص الحالات'!$B$2:$B$1001=B656)*('تشخيص الحالات'!$G$2:$G$1001=6))&gt;0,"، "&amp;IFERROR(INDEX('تشخيص الحالات'!$D$2:$D$1001,SUMPRODUCT(('تشخيص الحالات'!$B$2:$B$1001=B656)*('تشخيص الحالات'!$G$2:$G$1001=6)*ROW('تشخيص الحالات'!$B$2:$B$1001))-1),""),"")&amp;IF(SUMPRODUCT(('تشخيص الحالات'!$B$2:$B$1001=B656)*('تشخيص الحالات'!$G$2:$G$1001=7))&gt;0,"، "&amp;IFERROR(INDEX('تشخيص الحالات'!$D$2:$D$1001,SUMPRODUCT(('تشخيص الحالات'!$B$2:$B$1001=B656)*('تشخيص الحالات'!$G$2:$G$1001=7)*ROW('تشخيص الحالات'!$B$2:$B$1001))-1),""),"")&amp;IF(SUMPRODUCT(('تشخيص الحالات'!$B$2:$B$1001=B656)*('تشخيص الحالات'!$G$2:$G$1001=8))&gt;0,"، "&amp;IFERROR(INDEX('تشخيص الحالات'!$D$2:$D$1001,SUMPRODUCT(('تشخيص الحالات'!$B$2:$B$1001=B656)*('تشخيص الحالات'!$G$2:$G$1001=8)*ROW('تشخيص الحالات'!$B$2:$B$1001))-1),""),"")</f>
        <v/>
      </c>
      <c r="J656" s="1"/>
      <c r="K656" s="1"/>
      <c r="L656" s="1"/>
      <c r="M656" s="1"/>
    </row>
    <row r="657" spans="1:13" x14ac:dyDescent="0.2">
      <c r="A657" s="1"/>
      <c r="B657" s="1"/>
      <c r="C657" s="1"/>
      <c r="D657" s="1"/>
      <c r="E657" s="1"/>
      <c r="F657" s="1"/>
      <c r="G657" s="1"/>
      <c r="H657" s="1"/>
      <c r="I657" t="str">
        <f>IFERROR(INDEX('تشخيص الحالات'!$D$2:$D$1001,SUMPRODUCT(('تشخيص الحالات'!$B$2:$B$1001=B657)*('تشخيص الحالات'!$G$2:$G$1001=1)*ROW('تشخيص الحالات'!$B$2:$B$1001))-1),"")&amp;IF(SUMPRODUCT(('تشخيص الحالات'!$B$2:$B$1001=B657)*('تشخيص الحالات'!$G$2:$G$1001=2))&gt;0,"، "&amp;IFERROR(INDEX('تشخيص الحالات'!$D$2:$D$1001,SUMPRODUCT(('تشخيص الحالات'!$B$2:$B$1001=B657)*('تشخيص الحالات'!$G$2:$G$1001=2)*ROW('تشخيص الحالات'!$B$2:$B$1001))-1),""),"")&amp;IF(SUMPRODUCT(('تشخيص الحالات'!$B$2:$B$1001=B657)*('تشخيص الحالات'!$G$2:$G$1001=3))&gt;0,"، "&amp;IFERROR(INDEX('تشخيص الحالات'!$D$2:$D$1001,SUMPRODUCT(('تشخيص الحالات'!$B$2:$B$1001=B657)*('تشخيص الحالات'!$G$2:$G$1001=3)*ROW('تشخيص الحالات'!$B$2:$B$1001))-1),""),"")&amp;IF(SUMPRODUCT(('تشخيص الحالات'!$B$2:$B$1001=B657)*('تشخيص الحالات'!$G$2:$G$1001=4))&gt;0,"، "&amp;IFERROR(INDEX('تشخيص الحالات'!$D$2:$D$1001,SUMPRODUCT(('تشخيص الحالات'!$B$2:$B$1001=B657)*('تشخيص الحالات'!$G$2:$G$1001=4)*ROW('تشخيص الحالات'!$B$2:$B$1001))-1),""),"")&amp;IF(SUMPRODUCT(('تشخيص الحالات'!$B$2:$B$1001=B657)*('تشخيص الحالات'!$G$2:$G$1001=5))&gt;0,"، "&amp;IFERROR(INDEX('تشخيص الحالات'!$D$2:$D$1001,SUMPRODUCT(('تشخيص الحالات'!$B$2:$B$1001=B657)*('تشخيص الحالات'!$G$2:$G$1001=5)*ROW('تشخيص الحالات'!$B$2:$B$1001))-1),""),"")&amp;IF(SUMPRODUCT(('تشخيص الحالات'!$B$2:$B$1001=B657)*('تشخيص الحالات'!$G$2:$G$1001=6))&gt;0,"، "&amp;IFERROR(INDEX('تشخيص الحالات'!$D$2:$D$1001,SUMPRODUCT(('تشخيص الحالات'!$B$2:$B$1001=B657)*('تشخيص الحالات'!$G$2:$G$1001=6)*ROW('تشخيص الحالات'!$B$2:$B$1001))-1),""),"")&amp;IF(SUMPRODUCT(('تشخيص الحالات'!$B$2:$B$1001=B657)*('تشخيص الحالات'!$G$2:$G$1001=7))&gt;0,"، "&amp;IFERROR(INDEX('تشخيص الحالات'!$D$2:$D$1001,SUMPRODUCT(('تشخيص الحالات'!$B$2:$B$1001=B657)*('تشخيص الحالات'!$G$2:$G$1001=7)*ROW('تشخيص الحالات'!$B$2:$B$1001))-1),""),"")&amp;IF(SUMPRODUCT(('تشخيص الحالات'!$B$2:$B$1001=B657)*('تشخيص الحالات'!$G$2:$G$1001=8))&gt;0,"، "&amp;IFERROR(INDEX('تشخيص الحالات'!$D$2:$D$1001,SUMPRODUCT(('تشخيص الحالات'!$B$2:$B$1001=B657)*('تشخيص الحالات'!$G$2:$G$1001=8)*ROW('تشخيص الحالات'!$B$2:$B$1001))-1),""),"")</f>
        <v/>
      </c>
      <c r="J657" s="1"/>
      <c r="K657" s="1"/>
      <c r="L657" s="1"/>
      <c r="M657" s="1"/>
    </row>
    <row r="658" spans="1:13" x14ac:dyDescent="0.2">
      <c r="A658" s="1"/>
      <c r="B658" s="1"/>
      <c r="C658" s="1"/>
      <c r="D658" s="1"/>
      <c r="E658" s="1"/>
      <c r="F658" s="1"/>
      <c r="G658" s="1"/>
      <c r="H658" s="1"/>
      <c r="I658" t="str">
        <f>IFERROR(INDEX('تشخيص الحالات'!$D$2:$D$1001,SUMPRODUCT(('تشخيص الحالات'!$B$2:$B$1001=B658)*('تشخيص الحالات'!$G$2:$G$1001=1)*ROW('تشخيص الحالات'!$B$2:$B$1001))-1),"")&amp;IF(SUMPRODUCT(('تشخيص الحالات'!$B$2:$B$1001=B658)*('تشخيص الحالات'!$G$2:$G$1001=2))&gt;0,"، "&amp;IFERROR(INDEX('تشخيص الحالات'!$D$2:$D$1001,SUMPRODUCT(('تشخيص الحالات'!$B$2:$B$1001=B658)*('تشخيص الحالات'!$G$2:$G$1001=2)*ROW('تشخيص الحالات'!$B$2:$B$1001))-1),""),"")&amp;IF(SUMPRODUCT(('تشخيص الحالات'!$B$2:$B$1001=B658)*('تشخيص الحالات'!$G$2:$G$1001=3))&gt;0,"، "&amp;IFERROR(INDEX('تشخيص الحالات'!$D$2:$D$1001,SUMPRODUCT(('تشخيص الحالات'!$B$2:$B$1001=B658)*('تشخيص الحالات'!$G$2:$G$1001=3)*ROW('تشخيص الحالات'!$B$2:$B$1001))-1),""),"")&amp;IF(SUMPRODUCT(('تشخيص الحالات'!$B$2:$B$1001=B658)*('تشخيص الحالات'!$G$2:$G$1001=4))&gt;0,"، "&amp;IFERROR(INDEX('تشخيص الحالات'!$D$2:$D$1001,SUMPRODUCT(('تشخيص الحالات'!$B$2:$B$1001=B658)*('تشخيص الحالات'!$G$2:$G$1001=4)*ROW('تشخيص الحالات'!$B$2:$B$1001))-1),""),"")&amp;IF(SUMPRODUCT(('تشخيص الحالات'!$B$2:$B$1001=B658)*('تشخيص الحالات'!$G$2:$G$1001=5))&gt;0,"، "&amp;IFERROR(INDEX('تشخيص الحالات'!$D$2:$D$1001,SUMPRODUCT(('تشخيص الحالات'!$B$2:$B$1001=B658)*('تشخيص الحالات'!$G$2:$G$1001=5)*ROW('تشخيص الحالات'!$B$2:$B$1001))-1),""),"")&amp;IF(SUMPRODUCT(('تشخيص الحالات'!$B$2:$B$1001=B658)*('تشخيص الحالات'!$G$2:$G$1001=6))&gt;0,"، "&amp;IFERROR(INDEX('تشخيص الحالات'!$D$2:$D$1001,SUMPRODUCT(('تشخيص الحالات'!$B$2:$B$1001=B658)*('تشخيص الحالات'!$G$2:$G$1001=6)*ROW('تشخيص الحالات'!$B$2:$B$1001))-1),""),"")&amp;IF(SUMPRODUCT(('تشخيص الحالات'!$B$2:$B$1001=B658)*('تشخيص الحالات'!$G$2:$G$1001=7))&gt;0,"، "&amp;IFERROR(INDEX('تشخيص الحالات'!$D$2:$D$1001,SUMPRODUCT(('تشخيص الحالات'!$B$2:$B$1001=B658)*('تشخيص الحالات'!$G$2:$G$1001=7)*ROW('تشخيص الحالات'!$B$2:$B$1001))-1),""),"")&amp;IF(SUMPRODUCT(('تشخيص الحالات'!$B$2:$B$1001=B658)*('تشخيص الحالات'!$G$2:$G$1001=8))&gt;0,"، "&amp;IFERROR(INDEX('تشخيص الحالات'!$D$2:$D$1001,SUMPRODUCT(('تشخيص الحالات'!$B$2:$B$1001=B658)*('تشخيص الحالات'!$G$2:$G$1001=8)*ROW('تشخيص الحالات'!$B$2:$B$1001))-1),""),"")</f>
        <v/>
      </c>
      <c r="J658" s="1"/>
      <c r="K658" s="1"/>
      <c r="L658" s="1"/>
      <c r="M658" s="1"/>
    </row>
    <row r="659" spans="1:13" x14ac:dyDescent="0.2">
      <c r="A659" s="1"/>
      <c r="B659" s="1"/>
      <c r="C659" s="1"/>
      <c r="D659" s="1"/>
      <c r="E659" s="1"/>
      <c r="F659" s="1"/>
      <c r="G659" s="1"/>
      <c r="H659" s="1"/>
      <c r="I659" t="str">
        <f>IFERROR(INDEX('تشخيص الحالات'!$D$2:$D$1001,SUMPRODUCT(('تشخيص الحالات'!$B$2:$B$1001=B659)*('تشخيص الحالات'!$G$2:$G$1001=1)*ROW('تشخيص الحالات'!$B$2:$B$1001))-1),"")&amp;IF(SUMPRODUCT(('تشخيص الحالات'!$B$2:$B$1001=B659)*('تشخيص الحالات'!$G$2:$G$1001=2))&gt;0,"، "&amp;IFERROR(INDEX('تشخيص الحالات'!$D$2:$D$1001,SUMPRODUCT(('تشخيص الحالات'!$B$2:$B$1001=B659)*('تشخيص الحالات'!$G$2:$G$1001=2)*ROW('تشخيص الحالات'!$B$2:$B$1001))-1),""),"")&amp;IF(SUMPRODUCT(('تشخيص الحالات'!$B$2:$B$1001=B659)*('تشخيص الحالات'!$G$2:$G$1001=3))&gt;0,"، "&amp;IFERROR(INDEX('تشخيص الحالات'!$D$2:$D$1001,SUMPRODUCT(('تشخيص الحالات'!$B$2:$B$1001=B659)*('تشخيص الحالات'!$G$2:$G$1001=3)*ROW('تشخيص الحالات'!$B$2:$B$1001))-1),""),"")&amp;IF(SUMPRODUCT(('تشخيص الحالات'!$B$2:$B$1001=B659)*('تشخيص الحالات'!$G$2:$G$1001=4))&gt;0,"، "&amp;IFERROR(INDEX('تشخيص الحالات'!$D$2:$D$1001,SUMPRODUCT(('تشخيص الحالات'!$B$2:$B$1001=B659)*('تشخيص الحالات'!$G$2:$G$1001=4)*ROW('تشخيص الحالات'!$B$2:$B$1001))-1),""),"")&amp;IF(SUMPRODUCT(('تشخيص الحالات'!$B$2:$B$1001=B659)*('تشخيص الحالات'!$G$2:$G$1001=5))&gt;0,"، "&amp;IFERROR(INDEX('تشخيص الحالات'!$D$2:$D$1001,SUMPRODUCT(('تشخيص الحالات'!$B$2:$B$1001=B659)*('تشخيص الحالات'!$G$2:$G$1001=5)*ROW('تشخيص الحالات'!$B$2:$B$1001))-1),""),"")&amp;IF(SUMPRODUCT(('تشخيص الحالات'!$B$2:$B$1001=B659)*('تشخيص الحالات'!$G$2:$G$1001=6))&gt;0,"، "&amp;IFERROR(INDEX('تشخيص الحالات'!$D$2:$D$1001,SUMPRODUCT(('تشخيص الحالات'!$B$2:$B$1001=B659)*('تشخيص الحالات'!$G$2:$G$1001=6)*ROW('تشخيص الحالات'!$B$2:$B$1001))-1),""),"")&amp;IF(SUMPRODUCT(('تشخيص الحالات'!$B$2:$B$1001=B659)*('تشخيص الحالات'!$G$2:$G$1001=7))&gt;0,"، "&amp;IFERROR(INDEX('تشخيص الحالات'!$D$2:$D$1001,SUMPRODUCT(('تشخيص الحالات'!$B$2:$B$1001=B659)*('تشخيص الحالات'!$G$2:$G$1001=7)*ROW('تشخيص الحالات'!$B$2:$B$1001))-1),""),"")&amp;IF(SUMPRODUCT(('تشخيص الحالات'!$B$2:$B$1001=B659)*('تشخيص الحالات'!$G$2:$G$1001=8))&gt;0,"، "&amp;IFERROR(INDEX('تشخيص الحالات'!$D$2:$D$1001,SUMPRODUCT(('تشخيص الحالات'!$B$2:$B$1001=B659)*('تشخيص الحالات'!$G$2:$G$1001=8)*ROW('تشخيص الحالات'!$B$2:$B$1001))-1),""),"")</f>
        <v/>
      </c>
      <c r="J659" s="1"/>
      <c r="K659" s="1"/>
      <c r="L659" s="1"/>
      <c r="M659" s="1"/>
    </row>
    <row r="660" spans="1:13" x14ac:dyDescent="0.2">
      <c r="A660" s="1"/>
      <c r="B660" s="1"/>
      <c r="C660" s="1"/>
      <c r="D660" s="1"/>
      <c r="E660" s="1"/>
      <c r="F660" s="1"/>
      <c r="G660" s="1"/>
      <c r="H660" s="1"/>
      <c r="I660" t="str">
        <f>IFERROR(INDEX('تشخيص الحالات'!$D$2:$D$1001,SUMPRODUCT(('تشخيص الحالات'!$B$2:$B$1001=B660)*('تشخيص الحالات'!$G$2:$G$1001=1)*ROW('تشخيص الحالات'!$B$2:$B$1001))-1),"")&amp;IF(SUMPRODUCT(('تشخيص الحالات'!$B$2:$B$1001=B660)*('تشخيص الحالات'!$G$2:$G$1001=2))&gt;0,"، "&amp;IFERROR(INDEX('تشخيص الحالات'!$D$2:$D$1001,SUMPRODUCT(('تشخيص الحالات'!$B$2:$B$1001=B660)*('تشخيص الحالات'!$G$2:$G$1001=2)*ROW('تشخيص الحالات'!$B$2:$B$1001))-1),""),"")&amp;IF(SUMPRODUCT(('تشخيص الحالات'!$B$2:$B$1001=B660)*('تشخيص الحالات'!$G$2:$G$1001=3))&gt;0,"، "&amp;IFERROR(INDEX('تشخيص الحالات'!$D$2:$D$1001,SUMPRODUCT(('تشخيص الحالات'!$B$2:$B$1001=B660)*('تشخيص الحالات'!$G$2:$G$1001=3)*ROW('تشخيص الحالات'!$B$2:$B$1001))-1),""),"")&amp;IF(SUMPRODUCT(('تشخيص الحالات'!$B$2:$B$1001=B660)*('تشخيص الحالات'!$G$2:$G$1001=4))&gt;0,"، "&amp;IFERROR(INDEX('تشخيص الحالات'!$D$2:$D$1001,SUMPRODUCT(('تشخيص الحالات'!$B$2:$B$1001=B660)*('تشخيص الحالات'!$G$2:$G$1001=4)*ROW('تشخيص الحالات'!$B$2:$B$1001))-1),""),"")&amp;IF(SUMPRODUCT(('تشخيص الحالات'!$B$2:$B$1001=B660)*('تشخيص الحالات'!$G$2:$G$1001=5))&gt;0,"، "&amp;IFERROR(INDEX('تشخيص الحالات'!$D$2:$D$1001,SUMPRODUCT(('تشخيص الحالات'!$B$2:$B$1001=B660)*('تشخيص الحالات'!$G$2:$G$1001=5)*ROW('تشخيص الحالات'!$B$2:$B$1001))-1),""),"")&amp;IF(SUMPRODUCT(('تشخيص الحالات'!$B$2:$B$1001=B660)*('تشخيص الحالات'!$G$2:$G$1001=6))&gt;0,"، "&amp;IFERROR(INDEX('تشخيص الحالات'!$D$2:$D$1001,SUMPRODUCT(('تشخيص الحالات'!$B$2:$B$1001=B660)*('تشخيص الحالات'!$G$2:$G$1001=6)*ROW('تشخيص الحالات'!$B$2:$B$1001))-1),""),"")&amp;IF(SUMPRODUCT(('تشخيص الحالات'!$B$2:$B$1001=B660)*('تشخيص الحالات'!$G$2:$G$1001=7))&gt;0,"، "&amp;IFERROR(INDEX('تشخيص الحالات'!$D$2:$D$1001,SUMPRODUCT(('تشخيص الحالات'!$B$2:$B$1001=B660)*('تشخيص الحالات'!$G$2:$G$1001=7)*ROW('تشخيص الحالات'!$B$2:$B$1001))-1),""),"")&amp;IF(SUMPRODUCT(('تشخيص الحالات'!$B$2:$B$1001=B660)*('تشخيص الحالات'!$G$2:$G$1001=8))&gt;0,"، "&amp;IFERROR(INDEX('تشخيص الحالات'!$D$2:$D$1001,SUMPRODUCT(('تشخيص الحالات'!$B$2:$B$1001=B660)*('تشخيص الحالات'!$G$2:$G$1001=8)*ROW('تشخيص الحالات'!$B$2:$B$1001))-1),""),"")</f>
        <v/>
      </c>
      <c r="J660" s="1"/>
      <c r="K660" s="1"/>
      <c r="L660" s="1"/>
      <c r="M660" s="1"/>
    </row>
    <row r="661" spans="1:13" x14ac:dyDescent="0.2">
      <c r="A661" s="1"/>
      <c r="B661" s="1"/>
      <c r="C661" s="1"/>
      <c r="D661" s="1"/>
      <c r="E661" s="1"/>
      <c r="F661" s="1"/>
      <c r="G661" s="1"/>
      <c r="H661" s="1"/>
      <c r="I661" t="str">
        <f>IFERROR(INDEX('تشخيص الحالات'!$D$2:$D$1001,SUMPRODUCT(('تشخيص الحالات'!$B$2:$B$1001=B661)*('تشخيص الحالات'!$G$2:$G$1001=1)*ROW('تشخيص الحالات'!$B$2:$B$1001))-1),"")&amp;IF(SUMPRODUCT(('تشخيص الحالات'!$B$2:$B$1001=B661)*('تشخيص الحالات'!$G$2:$G$1001=2))&gt;0,"، "&amp;IFERROR(INDEX('تشخيص الحالات'!$D$2:$D$1001,SUMPRODUCT(('تشخيص الحالات'!$B$2:$B$1001=B661)*('تشخيص الحالات'!$G$2:$G$1001=2)*ROW('تشخيص الحالات'!$B$2:$B$1001))-1),""),"")&amp;IF(SUMPRODUCT(('تشخيص الحالات'!$B$2:$B$1001=B661)*('تشخيص الحالات'!$G$2:$G$1001=3))&gt;0,"، "&amp;IFERROR(INDEX('تشخيص الحالات'!$D$2:$D$1001,SUMPRODUCT(('تشخيص الحالات'!$B$2:$B$1001=B661)*('تشخيص الحالات'!$G$2:$G$1001=3)*ROW('تشخيص الحالات'!$B$2:$B$1001))-1),""),"")&amp;IF(SUMPRODUCT(('تشخيص الحالات'!$B$2:$B$1001=B661)*('تشخيص الحالات'!$G$2:$G$1001=4))&gt;0,"، "&amp;IFERROR(INDEX('تشخيص الحالات'!$D$2:$D$1001,SUMPRODUCT(('تشخيص الحالات'!$B$2:$B$1001=B661)*('تشخيص الحالات'!$G$2:$G$1001=4)*ROW('تشخيص الحالات'!$B$2:$B$1001))-1),""),"")&amp;IF(SUMPRODUCT(('تشخيص الحالات'!$B$2:$B$1001=B661)*('تشخيص الحالات'!$G$2:$G$1001=5))&gt;0,"، "&amp;IFERROR(INDEX('تشخيص الحالات'!$D$2:$D$1001,SUMPRODUCT(('تشخيص الحالات'!$B$2:$B$1001=B661)*('تشخيص الحالات'!$G$2:$G$1001=5)*ROW('تشخيص الحالات'!$B$2:$B$1001))-1),""),"")&amp;IF(SUMPRODUCT(('تشخيص الحالات'!$B$2:$B$1001=B661)*('تشخيص الحالات'!$G$2:$G$1001=6))&gt;0,"، "&amp;IFERROR(INDEX('تشخيص الحالات'!$D$2:$D$1001,SUMPRODUCT(('تشخيص الحالات'!$B$2:$B$1001=B661)*('تشخيص الحالات'!$G$2:$G$1001=6)*ROW('تشخيص الحالات'!$B$2:$B$1001))-1),""),"")&amp;IF(SUMPRODUCT(('تشخيص الحالات'!$B$2:$B$1001=B661)*('تشخيص الحالات'!$G$2:$G$1001=7))&gt;0,"، "&amp;IFERROR(INDEX('تشخيص الحالات'!$D$2:$D$1001,SUMPRODUCT(('تشخيص الحالات'!$B$2:$B$1001=B661)*('تشخيص الحالات'!$G$2:$G$1001=7)*ROW('تشخيص الحالات'!$B$2:$B$1001))-1),""),"")&amp;IF(SUMPRODUCT(('تشخيص الحالات'!$B$2:$B$1001=B661)*('تشخيص الحالات'!$G$2:$G$1001=8))&gt;0,"، "&amp;IFERROR(INDEX('تشخيص الحالات'!$D$2:$D$1001,SUMPRODUCT(('تشخيص الحالات'!$B$2:$B$1001=B661)*('تشخيص الحالات'!$G$2:$G$1001=8)*ROW('تشخيص الحالات'!$B$2:$B$1001))-1),""),"")</f>
        <v/>
      </c>
      <c r="J661" s="1"/>
      <c r="K661" s="1"/>
      <c r="L661" s="1"/>
      <c r="M661" s="1"/>
    </row>
    <row r="662" spans="1:13" x14ac:dyDescent="0.2">
      <c r="A662" s="1"/>
      <c r="B662" s="1"/>
      <c r="C662" s="1"/>
      <c r="D662" s="1"/>
      <c r="E662" s="1"/>
      <c r="F662" s="1"/>
      <c r="G662" s="1"/>
      <c r="H662" s="1"/>
      <c r="I662" t="str">
        <f>IFERROR(INDEX('تشخيص الحالات'!$D$2:$D$1001,SUMPRODUCT(('تشخيص الحالات'!$B$2:$B$1001=B662)*('تشخيص الحالات'!$G$2:$G$1001=1)*ROW('تشخيص الحالات'!$B$2:$B$1001))-1),"")&amp;IF(SUMPRODUCT(('تشخيص الحالات'!$B$2:$B$1001=B662)*('تشخيص الحالات'!$G$2:$G$1001=2))&gt;0,"، "&amp;IFERROR(INDEX('تشخيص الحالات'!$D$2:$D$1001,SUMPRODUCT(('تشخيص الحالات'!$B$2:$B$1001=B662)*('تشخيص الحالات'!$G$2:$G$1001=2)*ROW('تشخيص الحالات'!$B$2:$B$1001))-1),""),"")&amp;IF(SUMPRODUCT(('تشخيص الحالات'!$B$2:$B$1001=B662)*('تشخيص الحالات'!$G$2:$G$1001=3))&gt;0,"، "&amp;IFERROR(INDEX('تشخيص الحالات'!$D$2:$D$1001,SUMPRODUCT(('تشخيص الحالات'!$B$2:$B$1001=B662)*('تشخيص الحالات'!$G$2:$G$1001=3)*ROW('تشخيص الحالات'!$B$2:$B$1001))-1),""),"")&amp;IF(SUMPRODUCT(('تشخيص الحالات'!$B$2:$B$1001=B662)*('تشخيص الحالات'!$G$2:$G$1001=4))&gt;0,"، "&amp;IFERROR(INDEX('تشخيص الحالات'!$D$2:$D$1001,SUMPRODUCT(('تشخيص الحالات'!$B$2:$B$1001=B662)*('تشخيص الحالات'!$G$2:$G$1001=4)*ROW('تشخيص الحالات'!$B$2:$B$1001))-1),""),"")&amp;IF(SUMPRODUCT(('تشخيص الحالات'!$B$2:$B$1001=B662)*('تشخيص الحالات'!$G$2:$G$1001=5))&gt;0,"، "&amp;IFERROR(INDEX('تشخيص الحالات'!$D$2:$D$1001,SUMPRODUCT(('تشخيص الحالات'!$B$2:$B$1001=B662)*('تشخيص الحالات'!$G$2:$G$1001=5)*ROW('تشخيص الحالات'!$B$2:$B$1001))-1),""),"")&amp;IF(SUMPRODUCT(('تشخيص الحالات'!$B$2:$B$1001=B662)*('تشخيص الحالات'!$G$2:$G$1001=6))&gt;0,"، "&amp;IFERROR(INDEX('تشخيص الحالات'!$D$2:$D$1001,SUMPRODUCT(('تشخيص الحالات'!$B$2:$B$1001=B662)*('تشخيص الحالات'!$G$2:$G$1001=6)*ROW('تشخيص الحالات'!$B$2:$B$1001))-1),""),"")&amp;IF(SUMPRODUCT(('تشخيص الحالات'!$B$2:$B$1001=B662)*('تشخيص الحالات'!$G$2:$G$1001=7))&gt;0,"، "&amp;IFERROR(INDEX('تشخيص الحالات'!$D$2:$D$1001,SUMPRODUCT(('تشخيص الحالات'!$B$2:$B$1001=B662)*('تشخيص الحالات'!$G$2:$G$1001=7)*ROW('تشخيص الحالات'!$B$2:$B$1001))-1),""),"")&amp;IF(SUMPRODUCT(('تشخيص الحالات'!$B$2:$B$1001=B662)*('تشخيص الحالات'!$G$2:$G$1001=8))&gt;0,"، "&amp;IFERROR(INDEX('تشخيص الحالات'!$D$2:$D$1001,SUMPRODUCT(('تشخيص الحالات'!$B$2:$B$1001=B662)*('تشخيص الحالات'!$G$2:$G$1001=8)*ROW('تشخيص الحالات'!$B$2:$B$1001))-1),""),"")</f>
        <v/>
      </c>
      <c r="J662" s="1"/>
      <c r="K662" s="1"/>
      <c r="L662" s="1"/>
      <c r="M662" s="1"/>
    </row>
    <row r="663" spans="1:13" x14ac:dyDescent="0.2">
      <c r="A663" s="1"/>
      <c r="B663" s="1"/>
      <c r="C663" s="1"/>
      <c r="D663" s="1"/>
      <c r="E663" s="1"/>
      <c r="F663" s="1"/>
      <c r="G663" s="1"/>
      <c r="H663" s="1"/>
      <c r="I663" t="str">
        <f>IFERROR(INDEX('تشخيص الحالات'!$D$2:$D$1001,SUMPRODUCT(('تشخيص الحالات'!$B$2:$B$1001=B663)*('تشخيص الحالات'!$G$2:$G$1001=1)*ROW('تشخيص الحالات'!$B$2:$B$1001))-1),"")&amp;IF(SUMPRODUCT(('تشخيص الحالات'!$B$2:$B$1001=B663)*('تشخيص الحالات'!$G$2:$G$1001=2))&gt;0,"، "&amp;IFERROR(INDEX('تشخيص الحالات'!$D$2:$D$1001,SUMPRODUCT(('تشخيص الحالات'!$B$2:$B$1001=B663)*('تشخيص الحالات'!$G$2:$G$1001=2)*ROW('تشخيص الحالات'!$B$2:$B$1001))-1),""),"")&amp;IF(SUMPRODUCT(('تشخيص الحالات'!$B$2:$B$1001=B663)*('تشخيص الحالات'!$G$2:$G$1001=3))&gt;0,"، "&amp;IFERROR(INDEX('تشخيص الحالات'!$D$2:$D$1001,SUMPRODUCT(('تشخيص الحالات'!$B$2:$B$1001=B663)*('تشخيص الحالات'!$G$2:$G$1001=3)*ROW('تشخيص الحالات'!$B$2:$B$1001))-1),""),"")&amp;IF(SUMPRODUCT(('تشخيص الحالات'!$B$2:$B$1001=B663)*('تشخيص الحالات'!$G$2:$G$1001=4))&gt;0,"، "&amp;IFERROR(INDEX('تشخيص الحالات'!$D$2:$D$1001,SUMPRODUCT(('تشخيص الحالات'!$B$2:$B$1001=B663)*('تشخيص الحالات'!$G$2:$G$1001=4)*ROW('تشخيص الحالات'!$B$2:$B$1001))-1),""),"")&amp;IF(SUMPRODUCT(('تشخيص الحالات'!$B$2:$B$1001=B663)*('تشخيص الحالات'!$G$2:$G$1001=5))&gt;0,"، "&amp;IFERROR(INDEX('تشخيص الحالات'!$D$2:$D$1001,SUMPRODUCT(('تشخيص الحالات'!$B$2:$B$1001=B663)*('تشخيص الحالات'!$G$2:$G$1001=5)*ROW('تشخيص الحالات'!$B$2:$B$1001))-1),""),"")&amp;IF(SUMPRODUCT(('تشخيص الحالات'!$B$2:$B$1001=B663)*('تشخيص الحالات'!$G$2:$G$1001=6))&gt;0,"، "&amp;IFERROR(INDEX('تشخيص الحالات'!$D$2:$D$1001,SUMPRODUCT(('تشخيص الحالات'!$B$2:$B$1001=B663)*('تشخيص الحالات'!$G$2:$G$1001=6)*ROW('تشخيص الحالات'!$B$2:$B$1001))-1),""),"")&amp;IF(SUMPRODUCT(('تشخيص الحالات'!$B$2:$B$1001=B663)*('تشخيص الحالات'!$G$2:$G$1001=7))&gt;0,"، "&amp;IFERROR(INDEX('تشخيص الحالات'!$D$2:$D$1001,SUMPRODUCT(('تشخيص الحالات'!$B$2:$B$1001=B663)*('تشخيص الحالات'!$G$2:$G$1001=7)*ROW('تشخيص الحالات'!$B$2:$B$1001))-1),""),"")&amp;IF(SUMPRODUCT(('تشخيص الحالات'!$B$2:$B$1001=B663)*('تشخيص الحالات'!$G$2:$G$1001=8))&gt;0,"، "&amp;IFERROR(INDEX('تشخيص الحالات'!$D$2:$D$1001,SUMPRODUCT(('تشخيص الحالات'!$B$2:$B$1001=B663)*('تشخيص الحالات'!$G$2:$G$1001=8)*ROW('تشخيص الحالات'!$B$2:$B$1001))-1),""),"")</f>
        <v/>
      </c>
      <c r="J663" s="1"/>
      <c r="K663" s="1"/>
      <c r="L663" s="1"/>
      <c r="M663" s="1"/>
    </row>
    <row r="664" spans="1:13" x14ac:dyDescent="0.2">
      <c r="A664" s="1"/>
      <c r="B664" s="1"/>
      <c r="C664" s="1"/>
      <c r="D664" s="1"/>
      <c r="E664" s="1"/>
      <c r="F664" s="1"/>
      <c r="G664" s="1"/>
      <c r="H664" s="1"/>
      <c r="I664" t="str">
        <f>IFERROR(INDEX('تشخيص الحالات'!$D$2:$D$1001,SUMPRODUCT(('تشخيص الحالات'!$B$2:$B$1001=B664)*('تشخيص الحالات'!$G$2:$G$1001=1)*ROW('تشخيص الحالات'!$B$2:$B$1001))-1),"")&amp;IF(SUMPRODUCT(('تشخيص الحالات'!$B$2:$B$1001=B664)*('تشخيص الحالات'!$G$2:$G$1001=2))&gt;0,"، "&amp;IFERROR(INDEX('تشخيص الحالات'!$D$2:$D$1001,SUMPRODUCT(('تشخيص الحالات'!$B$2:$B$1001=B664)*('تشخيص الحالات'!$G$2:$G$1001=2)*ROW('تشخيص الحالات'!$B$2:$B$1001))-1),""),"")&amp;IF(SUMPRODUCT(('تشخيص الحالات'!$B$2:$B$1001=B664)*('تشخيص الحالات'!$G$2:$G$1001=3))&gt;0,"، "&amp;IFERROR(INDEX('تشخيص الحالات'!$D$2:$D$1001,SUMPRODUCT(('تشخيص الحالات'!$B$2:$B$1001=B664)*('تشخيص الحالات'!$G$2:$G$1001=3)*ROW('تشخيص الحالات'!$B$2:$B$1001))-1),""),"")&amp;IF(SUMPRODUCT(('تشخيص الحالات'!$B$2:$B$1001=B664)*('تشخيص الحالات'!$G$2:$G$1001=4))&gt;0,"، "&amp;IFERROR(INDEX('تشخيص الحالات'!$D$2:$D$1001,SUMPRODUCT(('تشخيص الحالات'!$B$2:$B$1001=B664)*('تشخيص الحالات'!$G$2:$G$1001=4)*ROW('تشخيص الحالات'!$B$2:$B$1001))-1),""),"")&amp;IF(SUMPRODUCT(('تشخيص الحالات'!$B$2:$B$1001=B664)*('تشخيص الحالات'!$G$2:$G$1001=5))&gt;0,"، "&amp;IFERROR(INDEX('تشخيص الحالات'!$D$2:$D$1001,SUMPRODUCT(('تشخيص الحالات'!$B$2:$B$1001=B664)*('تشخيص الحالات'!$G$2:$G$1001=5)*ROW('تشخيص الحالات'!$B$2:$B$1001))-1),""),"")&amp;IF(SUMPRODUCT(('تشخيص الحالات'!$B$2:$B$1001=B664)*('تشخيص الحالات'!$G$2:$G$1001=6))&gt;0,"، "&amp;IFERROR(INDEX('تشخيص الحالات'!$D$2:$D$1001,SUMPRODUCT(('تشخيص الحالات'!$B$2:$B$1001=B664)*('تشخيص الحالات'!$G$2:$G$1001=6)*ROW('تشخيص الحالات'!$B$2:$B$1001))-1),""),"")&amp;IF(SUMPRODUCT(('تشخيص الحالات'!$B$2:$B$1001=B664)*('تشخيص الحالات'!$G$2:$G$1001=7))&gt;0,"، "&amp;IFERROR(INDEX('تشخيص الحالات'!$D$2:$D$1001,SUMPRODUCT(('تشخيص الحالات'!$B$2:$B$1001=B664)*('تشخيص الحالات'!$G$2:$G$1001=7)*ROW('تشخيص الحالات'!$B$2:$B$1001))-1),""),"")&amp;IF(SUMPRODUCT(('تشخيص الحالات'!$B$2:$B$1001=B664)*('تشخيص الحالات'!$G$2:$G$1001=8))&gt;0,"، "&amp;IFERROR(INDEX('تشخيص الحالات'!$D$2:$D$1001,SUMPRODUCT(('تشخيص الحالات'!$B$2:$B$1001=B664)*('تشخيص الحالات'!$G$2:$G$1001=8)*ROW('تشخيص الحالات'!$B$2:$B$1001))-1),""),"")</f>
        <v/>
      </c>
      <c r="J664" s="1"/>
      <c r="K664" s="1"/>
      <c r="L664" s="1"/>
      <c r="M664" s="1"/>
    </row>
    <row r="665" spans="1:13" x14ac:dyDescent="0.2">
      <c r="A665" s="1"/>
      <c r="B665" s="1"/>
      <c r="C665" s="1"/>
      <c r="D665" s="1"/>
      <c r="E665" s="1"/>
      <c r="F665" s="1"/>
      <c r="G665" s="1"/>
      <c r="H665" s="1"/>
      <c r="I665" t="str">
        <f>IFERROR(INDEX('تشخيص الحالات'!$D$2:$D$1001,SUMPRODUCT(('تشخيص الحالات'!$B$2:$B$1001=B665)*('تشخيص الحالات'!$G$2:$G$1001=1)*ROW('تشخيص الحالات'!$B$2:$B$1001))-1),"")&amp;IF(SUMPRODUCT(('تشخيص الحالات'!$B$2:$B$1001=B665)*('تشخيص الحالات'!$G$2:$G$1001=2))&gt;0,"، "&amp;IFERROR(INDEX('تشخيص الحالات'!$D$2:$D$1001,SUMPRODUCT(('تشخيص الحالات'!$B$2:$B$1001=B665)*('تشخيص الحالات'!$G$2:$G$1001=2)*ROW('تشخيص الحالات'!$B$2:$B$1001))-1),""),"")&amp;IF(SUMPRODUCT(('تشخيص الحالات'!$B$2:$B$1001=B665)*('تشخيص الحالات'!$G$2:$G$1001=3))&gt;0,"، "&amp;IFERROR(INDEX('تشخيص الحالات'!$D$2:$D$1001,SUMPRODUCT(('تشخيص الحالات'!$B$2:$B$1001=B665)*('تشخيص الحالات'!$G$2:$G$1001=3)*ROW('تشخيص الحالات'!$B$2:$B$1001))-1),""),"")&amp;IF(SUMPRODUCT(('تشخيص الحالات'!$B$2:$B$1001=B665)*('تشخيص الحالات'!$G$2:$G$1001=4))&gt;0,"، "&amp;IFERROR(INDEX('تشخيص الحالات'!$D$2:$D$1001,SUMPRODUCT(('تشخيص الحالات'!$B$2:$B$1001=B665)*('تشخيص الحالات'!$G$2:$G$1001=4)*ROW('تشخيص الحالات'!$B$2:$B$1001))-1),""),"")&amp;IF(SUMPRODUCT(('تشخيص الحالات'!$B$2:$B$1001=B665)*('تشخيص الحالات'!$G$2:$G$1001=5))&gt;0,"، "&amp;IFERROR(INDEX('تشخيص الحالات'!$D$2:$D$1001,SUMPRODUCT(('تشخيص الحالات'!$B$2:$B$1001=B665)*('تشخيص الحالات'!$G$2:$G$1001=5)*ROW('تشخيص الحالات'!$B$2:$B$1001))-1),""),"")&amp;IF(SUMPRODUCT(('تشخيص الحالات'!$B$2:$B$1001=B665)*('تشخيص الحالات'!$G$2:$G$1001=6))&gt;0,"، "&amp;IFERROR(INDEX('تشخيص الحالات'!$D$2:$D$1001,SUMPRODUCT(('تشخيص الحالات'!$B$2:$B$1001=B665)*('تشخيص الحالات'!$G$2:$G$1001=6)*ROW('تشخيص الحالات'!$B$2:$B$1001))-1),""),"")&amp;IF(SUMPRODUCT(('تشخيص الحالات'!$B$2:$B$1001=B665)*('تشخيص الحالات'!$G$2:$G$1001=7))&gt;0,"، "&amp;IFERROR(INDEX('تشخيص الحالات'!$D$2:$D$1001,SUMPRODUCT(('تشخيص الحالات'!$B$2:$B$1001=B665)*('تشخيص الحالات'!$G$2:$G$1001=7)*ROW('تشخيص الحالات'!$B$2:$B$1001))-1),""),"")&amp;IF(SUMPRODUCT(('تشخيص الحالات'!$B$2:$B$1001=B665)*('تشخيص الحالات'!$G$2:$G$1001=8))&gt;0,"، "&amp;IFERROR(INDEX('تشخيص الحالات'!$D$2:$D$1001,SUMPRODUCT(('تشخيص الحالات'!$B$2:$B$1001=B665)*('تشخيص الحالات'!$G$2:$G$1001=8)*ROW('تشخيص الحالات'!$B$2:$B$1001))-1),""),"")</f>
        <v/>
      </c>
      <c r="J665" s="1"/>
      <c r="K665" s="1"/>
      <c r="L665" s="1"/>
      <c r="M665" s="1"/>
    </row>
    <row r="666" spans="1:13" x14ac:dyDescent="0.2">
      <c r="A666" s="1"/>
      <c r="B666" s="1"/>
      <c r="C666" s="1"/>
      <c r="D666" s="1"/>
      <c r="E666" s="1"/>
      <c r="F666" s="1"/>
      <c r="G666" s="1"/>
      <c r="H666" s="1"/>
      <c r="I666" t="str">
        <f>IFERROR(INDEX('تشخيص الحالات'!$D$2:$D$1001,SUMPRODUCT(('تشخيص الحالات'!$B$2:$B$1001=B666)*('تشخيص الحالات'!$G$2:$G$1001=1)*ROW('تشخيص الحالات'!$B$2:$B$1001))-1),"")&amp;IF(SUMPRODUCT(('تشخيص الحالات'!$B$2:$B$1001=B666)*('تشخيص الحالات'!$G$2:$G$1001=2))&gt;0,"، "&amp;IFERROR(INDEX('تشخيص الحالات'!$D$2:$D$1001,SUMPRODUCT(('تشخيص الحالات'!$B$2:$B$1001=B666)*('تشخيص الحالات'!$G$2:$G$1001=2)*ROW('تشخيص الحالات'!$B$2:$B$1001))-1),""),"")&amp;IF(SUMPRODUCT(('تشخيص الحالات'!$B$2:$B$1001=B666)*('تشخيص الحالات'!$G$2:$G$1001=3))&gt;0,"، "&amp;IFERROR(INDEX('تشخيص الحالات'!$D$2:$D$1001,SUMPRODUCT(('تشخيص الحالات'!$B$2:$B$1001=B666)*('تشخيص الحالات'!$G$2:$G$1001=3)*ROW('تشخيص الحالات'!$B$2:$B$1001))-1),""),"")&amp;IF(SUMPRODUCT(('تشخيص الحالات'!$B$2:$B$1001=B666)*('تشخيص الحالات'!$G$2:$G$1001=4))&gt;0,"، "&amp;IFERROR(INDEX('تشخيص الحالات'!$D$2:$D$1001,SUMPRODUCT(('تشخيص الحالات'!$B$2:$B$1001=B666)*('تشخيص الحالات'!$G$2:$G$1001=4)*ROW('تشخيص الحالات'!$B$2:$B$1001))-1),""),"")&amp;IF(SUMPRODUCT(('تشخيص الحالات'!$B$2:$B$1001=B666)*('تشخيص الحالات'!$G$2:$G$1001=5))&gt;0,"، "&amp;IFERROR(INDEX('تشخيص الحالات'!$D$2:$D$1001,SUMPRODUCT(('تشخيص الحالات'!$B$2:$B$1001=B666)*('تشخيص الحالات'!$G$2:$G$1001=5)*ROW('تشخيص الحالات'!$B$2:$B$1001))-1),""),"")&amp;IF(SUMPRODUCT(('تشخيص الحالات'!$B$2:$B$1001=B666)*('تشخيص الحالات'!$G$2:$G$1001=6))&gt;0,"، "&amp;IFERROR(INDEX('تشخيص الحالات'!$D$2:$D$1001,SUMPRODUCT(('تشخيص الحالات'!$B$2:$B$1001=B666)*('تشخيص الحالات'!$G$2:$G$1001=6)*ROW('تشخيص الحالات'!$B$2:$B$1001))-1),""),"")&amp;IF(SUMPRODUCT(('تشخيص الحالات'!$B$2:$B$1001=B666)*('تشخيص الحالات'!$G$2:$G$1001=7))&gt;0,"، "&amp;IFERROR(INDEX('تشخيص الحالات'!$D$2:$D$1001,SUMPRODUCT(('تشخيص الحالات'!$B$2:$B$1001=B666)*('تشخيص الحالات'!$G$2:$G$1001=7)*ROW('تشخيص الحالات'!$B$2:$B$1001))-1),""),"")&amp;IF(SUMPRODUCT(('تشخيص الحالات'!$B$2:$B$1001=B666)*('تشخيص الحالات'!$G$2:$G$1001=8))&gt;0,"، "&amp;IFERROR(INDEX('تشخيص الحالات'!$D$2:$D$1001,SUMPRODUCT(('تشخيص الحالات'!$B$2:$B$1001=B666)*('تشخيص الحالات'!$G$2:$G$1001=8)*ROW('تشخيص الحالات'!$B$2:$B$1001))-1),""),"")</f>
        <v/>
      </c>
      <c r="J666" s="1"/>
      <c r="K666" s="1"/>
      <c r="L666" s="1"/>
      <c r="M666" s="1"/>
    </row>
    <row r="667" spans="1:13" x14ac:dyDescent="0.2">
      <c r="A667" s="1"/>
      <c r="B667" s="1"/>
      <c r="C667" s="1"/>
      <c r="D667" s="1"/>
      <c r="E667" s="1"/>
      <c r="F667" s="1"/>
      <c r="G667" s="1"/>
      <c r="H667" s="1"/>
      <c r="I667" t="str">
        <f>IFERROR(INDEX('تشخيص الحالات'!$D$2:$D$1001,SUMPRODUCT(('تشخيص الحالات'!$B$2:$B$1001=B667)*('تشخيص الحالات'!$G$2:$G$1001=1)*ROW('تشخيص الحالات'!$B$2:$B$1001))-1),"")&amp;IF(SUMPRODUCT(('تشخيص الحالات'!$B$2:$B$1001=B667)*('تشخيص الحالات'!$G$2:$G$1001=2))&gt;0,"، "&amp;IFERROR(INDEX('تشخيص الحالات'!$D$2:$D$1001,SUMPRODUCT(('تشخيص الحالات'!$B$2:$B$1001=B667)*('تشخيص الحالات'!$G$2:$G$1001=2)*ROW('تشخيص الحالات'!$B$2:$B$1001))-1),""),"")&amp;IF(SUMPRODUCT(('تشخيص الحالات'!$B$2:$B$1001=B667)*('تشخيص الحالات'!$G$2:$G$1001=3))&gt;0,"، "&amp;IFERROR(INDEX('تشخيص الحالات'!$D$2:$D$1001,SUMPRODUCT(('تشخيص الحالات'!$B$2:$B$1001=B667)*('تشخيص الحالات'!$G$2:$G$1001=3)*ROW('تشخيص الحالات'!$B$2:$B$1001))-1),""),"")&amp;IF(SUMPRODUCT(('تشخيص الحالات'!$B$2:$B$1001=B667)*('تشخيص الحالات'!$G$2:$G$1001=4))&gt;0,"، "&amp;IFERROR(INDEX('تشخيص الحالات'!$D$2:$D$1001,SUMPRODUCT(('تشخيص الحالات'!$B$2:$B$1001=B667)*('تشخيص الحالات'!$G$2:$G$1001=4)*ROW('تشخيص الحالات'!$B$2:$B$1001))-1),""),"")&amp;IF(SUMPRODUCT(('تشخيص الحالات'!$B$2:$B$1001=B667)*('تشخيص الحالات'!$G$2:$G$1001=5))&gt;0,"، "&amp;IFERROR(INDEX('تشخيص الحالات'!$D$2:$D$1001,SUMPRODUCT(('تشخيص الحالات'!$B$2:$B$1001=B667)*('تشخيص الحالات'!$G$2:$G$1001=5)*ROW('تشخيص الحالات'!$B$2:$B$1001))-1),""),"")&amp;IF(SUMPRODUCT(('تشخيص الحالات'!$B$2:$B$1001=B667)*('تشخيص الحالات'!$G$2:$G$1001=6))&gt;0,"، "&amp;IFERROR(INDEX('تشخيص الحالات'!$D$2:$D$1001,SUMPRODUCT(('تشخيص الحالات'!$B$2:$B$1001=B667)*('تشخيص الحالات'!$G$2:$G$1001=6)*ROW('تشخيص الحالات'!$B$2:$B$1001))-1),""),"")&amp;IF(SUMPRODUCT(('تشخيص الحالات'!$B$2:$B$1001=B667)*('تشخيص الحالات'!$G$2:$G$1001=7))&gt;0,"، "&amp;IFERROR(INDEX('تشخيص الحالات'!$D$2:$D$1001,SUMPRODUCT(('تشخيص الحالات'!$B$2:$B$1001=B667)*('تشخيص الحالات'!$G$2:$G$1001=7)*ROW('تشخيص الحالات'!$B$2:$B$1001))-1),""),"")&amp;IF(SUMPRODUCT(('تشخيص الحالات'!$B$2:$B$1001=B667)*('تشخيص الحالات'!$G$2:$G$1001=8))&gt;0,"، "&amp;IFERROR(INDEX('تشخيص الحالات'!$D$2:$D$1001,SUMPRODUCT(('تشخيص الحالات'!$B$2:$B$1001=B667)*('تشخيص الحالات'!$G$2:$G$1001=8)*ROW('تشخيص الحالات'!$B$2:$B$1001))-1),""),"")</f>
        <v/>
      </c>
      <c r="J667" s="1"/>
      <c r="K667" s="1"/>
      <c r="L667" s="1"/>
      <c r="M667" s="1"/>
    </row>
    <row r="668" spans="1:13" x14ac:dyDescent="0.2">
      <c r="A668" s="1"/>
      <c r="B668" s="1"/>
      <c r="C668" s="1"/>
      <c r="D668" s="1"/>
      <c r="E668" s="1"/>
      <c r="F668" s="1"/>
      <c r="G668" s="1"/>
      <c r="H668" s="1"/>
      <c r="I668" t="str">
        <f>IFERROR(INDEX('تشخيص الحالات'!$D$2:$D$1001,SUMPRODUCT(('تشخيص الحالات'!$B$2:$B$1001=B668)*('تشخيص الحالات'!$G$2:$G$1001=1)*ROW('تشخيص الحالات'!$B$2:$B$1001))-1),"")&amp;IF(SUMPRODUCT(('تشخيص الحالات'!$B$2:$B$1001=B668)*('تشخيص الحالات'!$G$2:$G$1001=2))&gt;0,"، "&amp;IFERROR(INDEX('تشخيص الحالات'!$D$2:$D$1001,SUMPRODUCT(('تشخيص الحالات'!$B$2:$B$1001=B668)*('تشخيص الحالات'!$G$2:$G$1001=2)*ROW('تشخيص الحالات'!$B$2:$B$1001))-1),""),"")&amp;IF(SUMPRODUCT(('تشخيص الحالات'!$B$2:$B$1001=B668)*('تشخيص الحالات'!$G$2:$G$1001=3))&gt;0,"، "&amp;IFERROR(INDEX('تشخيص الحالات'!$D$2:$D$1001,SUMPRODUCT(('تشخيص الحالات'!$B$2:$B$1001=B668)*('تشخيص الحالات'!$G$2:$G$1001=3)*ROW('تشخيص الحالات'!$B$2:$B$1001))-1),""),"")&amp;IF(SUMPRODUCT(('تشخيص الحالات'!$B$2:$B$1001=B668)*('تشخيص الحالات'!$G$2:$G$1001=4))&gt;0,"، "&amp;IFERROR(INDEX('تشخيص الحالات'!$D$2:$D$1001,SUMPRODUCT(('تشخيص الحالات'!$B$2:$B$1001=B668)*('تشخيص الحالات'!$G$2:$G$1001=4)*ROW('تشخيص الحالات'!$B$2:$B$1001))-1),""),"")&amp;IF(SUMPRODUCT(('تشخيص الحالات'!$B$2:$B$1001=B668)*('تشخيص الحالات'!$G$2:$G$1001=5))&gt;0,"، "&amp;IFERROR(INDEX('تشخيص الحالات'!$D$2:$D$1001,SUMPRODUCT(('تشخيص الحالات'!$B$2:$B$1001=B668)*('تشخيص الحالات'!$G$2:$G$1001=5)*ROW('تشخيص الحالات'!$B$2:$B$1001))-1),""),"")&amp;IF(SUMPRODUCT(('تشخيص الحالات'!$B$2:$B$1001=B668)*('تشخيص الحالات'!$G$2:$G$1001=6))&gt;0,"، "&amp;IFERROR(INDEX('تشخيص الحالات'!$D$2:$D$1001,SUMPRODUCT(('تشخيص الحالات'!$B$2:$B$1001=B668)*('تشخيص الحالات'!$G$2:$G$1001=6)*ROW('تشخيص الحالات'!$B$2:$B$1001))-1),""),"")&amp;IF(SUMPRODUCT(('تشخيص الحالات'!$B$2:$B$1001=B668)*('تشخيص الحالات'!$G$2:$G$1001=7))&gt;0,"، "&amp;IFERROR(INDEX('تشخيص الحالات'!$D$2:$D$1001,SUMPRODUCT(('تشخيص الحالات'!$B$2:$B$1001=B668)*('تشخيص الحالات'!$G$2:$G$1001=7)*ROW('تشخيص الحالات'!$B$2:$B$1001))-1),""),"")&amp;IF(SUMPRODUCT(('تشخيص الحالات'!$B$2:$B$1001=B668)*('تشخيص الحالات'!$G$2:$G$1001=8))&gt;0,"، "&amp;IFERROR(INDEX('تشخيص الحالات'!$D$2:$D$1001,SUMPRODUCT(('تشخيص الحالات'!$B$2:$B$1001=B668)*('تشخيص الحالات'!$G$2:$G$1001=8)*ROW('تشخيص الحالات'!$B$2:$B$1001))-1),""),"")</f>
        <v/>
      </c>
      <c r="J668" s="1"/>
      <c r="K668" s="1"/>
      <c r="L668" s="1"/>
      <c r="M668" s="1"/>
    </row>
    <row r="669" spans="1:13" x14ac:dyDescent="0.2">
      <c r="A669" s="1"/>
      <c r="B669" s="1"/>
      <c r="C669" s="1"/>
      <c r="D669" s="1"/>
      <c r="E669" s="1"/>
      <c r="F669" s="1"/>
      <c r="G669" s="1"/>
      <c r="H669" s="1"/>
      <c r="I669" t="str">
        <f>IFERROR(INDEX('تشخيص الحالات'!$D$2:$D$1001,SUMPRODUCT(('تشخيص الحالات'!$B$2:$B$1001=B669)*('تشخيص الحالات'!$G$2:$G$1001=1)*ROW('تشخيص الحالات'!$B$2:$B$1001))-1),"")&amp;IF(SUMPRODUCT(('تشخيص الحالات'!$B$2:$B$1001=B669)*('تشخيص الحالات'!$G$2:$G$1001=2))&gt;0,"، "&amp;IFERROR(INDEX('تشخيص الحالات'!$D$2:$D$1001,SUMPRODUCT(('تشخيص الحالات'!$B$2:$B$1001=B669)*('تشخيص الحالات'!$G$2:$G$1001=2)*ROW('تشخيص الحالات'!$B$2:$B$1001))-1),""),"")&amp;IF(SUMPRODUCT(('تشخيص الحالات'!$B$2:$B$1001=B669)*('تشخيص الحالات'!$G$2:$G$1001=3))&gt;0,"، "&amp;IFERROR(INDEX('تشخيص الحالات'!$D$2:$D$1001,SUMPRODUCT(('تشخيص الحالات'!$B$2:$B$1001=B669)*('تشخيص الحالات'!$G$2:$G$1001=3)*ROW('تشخيص الحالات'!$B$2:$B$1001))-1),""),"")&amp;IF(SUMPRODUCT(('تشخيص الحالات'!$B$2:$B$1001=B669)*('تشخيص الحالات'!$G$2:$G$1001=4))&gt;0,"، "&amp;IFERROR(INDEX('تشخيص الحالات'!$D$2:$D$1001,SUMPRODUCT(('تشخيص الحالات'!$B$2:$B$1001=B669)*('تشخيص الحالات'!$G$2:$G$1001=4)*ROW('تشخيص الحالات'!$B$2:$B$1001))-1),""),"")&amp;IF(SUMPRODUCT(('تشخيص الحالات'!$B$2:$B$1001=B669)*('تشخيص الحالات'!$G$2:$G$1001=5))&gt;0,"، "&amp;IFERROR(INDEX('تشخيص الحالات'!$D$2:$D$1001,SUMPRODUCT(('تشخيص الحالات'!$B$2:$B$1001=B669)*('تشخيص الحالات'!$G$2:$G$1001=5)*ROW('تشخيص الحالات'!$B$2:$B$1001))-1),""),"")&amp;IF(SUMPRODUCT(('تشخيص الحالات'!$B$2:$B$1001=B669)*('تشخيص الحالات'!$G$2:$G$1001=6))&gt;0,"، "&amp;IFERROR(INDEX('تشخيص الحالات'!$D$2:$D$1001,SUMPRODUCT(('تشخيص الحالات'!$B$2:$B$1001=B669)*('تشخيص الحالات'!$G$2:$G$1001=6)*ROW('تشخيص الحالات'!$B$2:$B$1001))-1),""),"")&amp;IF(SUMPRODUCT(('تشخيص الحالات'!$B$2:$B$1001=B669)*('تشخيص الحالات'!$G$2:$G$1001=7))&gt;0,"، "&amp;IFERROR(INDEX('تشخيص الحالات'!$D$2:$D$1001,SUMPRODUCT(('تشخيص الحالات'!$B$2:$B$1001=B669)*('تشخيص الحالات'!$G$2:$G$1001=7)*ROW('تشخيص الحالات'!$B$2:$B$1001))-1),""),"")&amp;IF(SUMPRODUCT(('تشخيص الحالات'!$B$2:$B$1001=B669)*('تشخيص الحالات'!$G$2:$G$1001=8))&gt;0,"، "&amp;IFERROR(INDEX('تشخيص الحالات'!$D$2:$D$1001,SUMPRODUCT(('تشخيص الحالات'!$B$2:$B$1001=B669)*('تشخيص الحالات'!$G$2:$G$1001=8)*ROW('تشخيص الحالات'!$B$2:$B$1001))-1),""),"")</f>
        <v/>
      </c>
      <c r="J669" s="1"/>
      <c r="K669" s="1"/>
      <c r="L669" s="1"/>
      <c r="M669" s="1"/>
    </row>
    <row r="670" spans="1:13" x14ac:dyDescent="0.2">
      <c r="A670" s="1"/>
      <c r="B670" s="1"/>
      <c r="C670" s="1"/>
      <c r="D670" s="1"/>
      <c r="E670" s="1"/>
      <c r="F670" s="1"/>
      <c r="G670" s="1"/>
      <c r="H670" s="1"/>
      <c r="I670" t="str">
        <f>IFERROR(INDEX('تشخيص الحالات'!$D$2:$D$1001,SUMPRODUCT(('تشخيص الحالات'!$B$2:$B$1001=B670)*('تشخيص الحالات'!$G$2:$G$1001=1)*ROW('تشخيص الحالات'!$B$2:$B$1001))-1),"")&amp;IF(SUMPRODUCT(('تشخيص الحالات'!$B$2:$B$1001=B670)*('تشخيص الحالات'!$G$2:$G$1001=2))&gt;0,"، "&amp;IFERROR(INDEX('تشخيص الحالات'!$D$2:$D$1001,SUMPRODUCT(('تشخيص الحالات'!$B$2:$B$1001=B670)*('تشخيص الحالات'!$G$2:$G$1001=2)*ROW('تشخيص الحالات'!$B$2:$B$1001))-1),""),"")&amp;IF(SUMPRODUCT(('تشخيص الحالات'!$B$2:$B$1001=B670)*('تشخيص الحالات'!$G$2:$G$1001=3))&gt;0,"، "&amp;IFERROR(INDEX('تشخيص الحالات'!$D$2:$D$1001,SUMPRODUCT(('تشخيص الحالات'!$B$2:$B$1001=B670)*('تشخيص الحالات'!$G$2:$G$1001=3)*ROW('تشخيص الحالات'!$B$2:$B$1001))-1),""),"")&amp;IF(SUMPRODUCT(('تشخيص الحالات'!$B$2:$B$1001=B670)*('تشخيص الحالات'!$G$2:$G$1001=4))&gt;0,"، "&amp;IFERROR(INDEX('تشخيص الحالات'!$D$2:$D$1001,SUMPRODUCT(('تشخيص الحالات'!$B$2:$B$1001=B670)*('تشخيص الحالات'!$G$2:$G$1001=4)*ROW('تشخيص الحالات'!$B$2:$B$1001))-1),""),"")&amp;IF(SUMPRODUCT(('تشخيص الحالات'!$B$2:$B$1001=B670)*('تشخيص الحالات'!$G$2:$G$1001=5))&gt;0,"، "&amp;IFERROR(INDEX('تشخيص الحالات'!$D$2:$D$1001,SUMPRODUCT(('تشخيص الحالات'!$B$2:$B$1001=B670)*('تشخيص الحالات'!$G$2:$G$1001=5)*ROW('تشخيص الحالات'!$B$2:$B$1001))-1),""),"")&amp;IF(SUMPRODUCT(('تشخيص الحالات'!$B$2:$B$1001=B670)*('تشخيص الحالات'!$G$2:$G$1001=6))&gt;0,"، "&amp;IFERROR(INDEX('تشخيص الحالات'!$D$2:$D$1001,SUMPRODUCT(('تشخيص الحالات'!$B$2:$B$1001=B670)*('تشخيص الحالات'!$G$2:$G$1001=6)*ROW('تشخيص الحالات'!$B$2:$B$1001))-1),""),"")&amp;IF(SUMPRODUCT(('تشخيص الحالات'!$B$2:$B$1001=B670)*('تشخيص الحالات'!$G$2:$G$1001=7))&gt;0,"، "&amp;IFERROR(INDEX('تشخيص الحالات'!$D$2:$D$1001,SUMPRODUCT(('تشخيص الحالات'!$B$2:$B$1001=B670)*('تشخيص الحالات'!$G$2:$G$1001=7)*ROW('تشخيص الحالات'!$B$2:$B$1001))-1),""),"")&amp;IF(SUMPRODUCT(('تشخيص الحالات'!$B$2:$B$1001=B670)*('تشخيص الحالات'!$G$2:$G$1001=8))&gt;0,"، "&amp;IFERROR(INDEX('تشخيص الحالات'!$D$2:$D$1001,SUMPRODUCT(('تشخيص الحالات'!$B$2:$B$1001=B670)*('تشخيص الحالات'!$G$2:$G$1001=8)*ROW('تشخيص الحالات'!$B$2:$B$1001))-1),""),"")</f>
        <v/>
      </c>
      <c r="J670" s="1"/>
      <c r="K670" s="1"/>
      <c r="L670" s="1"/>
      <c r="M670" s="1"/>
    </row>
    <row r="671" spans="1:13" x14ac:dyDescent="0.2">
      <c r="A671" s="1"/>
      <c r="B671" s="1"/>
      <c r="C671" s="1"/>
      <c r="D671" s="1"/>
      <c r="E671" s="1"/>
      <c r="F671" s="1"/>
      <c r="G671" s="1"/>
      <c r="H671" s="1"/>
      <c r="I671" t="str">
        <f>IFERROR(INDEX('تشخيص الحالات'!$D$2:$D$1001,SUMPRODUCT(('تشخيص الحالات'!$B$2:$B$1001=B671)*('تشخيص الحالات'!$G$2:$G$1001=1)*ROW('تشخيص الحالات'!$B$2:$B$1001))-1),"")&amp;IF(SUMPRODUCT(('تشخيص الحالات'!$B$2:$B$1001=B671)*('تشخيص الحالات'!$G$2:$G$1001=2))&gt;0,"، "&amp;IFERROR(INDEX('تشخيص الحالات'!$D$2:$D$1001,SUMPRODUCT(('تشخيص الحالات'!$B$2:$B$1001=B671)*('تشخيص الحالات'!$G$2:$G$1001=2)*ROW('تشخيص الحالات'!$B$2:$B$1001))-1),""),"")&amp;IF(SUMPRODUCT(('تشخيص الحالات'!$B$2:$B$1001=B671)*('تشخيص الحالات'!$G$2:$G$1001=3))&gt;0,"، "&amp;IFERROR(INDEX('تشخيص الحالات'!$D$2:$D$1001,SUMPRODUCT(('تشخيص الحالات'!$B$2:$B$1001=B671)*('تشخيص الحالات'!$G$2:$G$1001=3)*ROW('تشخيص الحالات'!$B$2:$B$1001))-1),""),"")&amp;IF(SUMPRODUCT(('تشخيص الحالات'!$B$2:$B$1001=B671)*('تشخيص الحالات'!$G$2:$G$1001=4))&gt;0,"، "&amp;IFERROR(INDEX('تشخيص الحالات'!$D$2:$D$1001,SUMPRODUCT(('تشخيص الحالات'!$B$2:$B$1001=B671)*('تشخيص الحالات'!$G$2:$G$1001=4)*ROW('تشخيص الحالات'!$B$2:$B$1001))-1),""),"")&amp;IF(SUMPRODUCT(('تشخيص الحالات'!$B$2:$B$1001=B671)*('تشخيص الحالات'!$G$2:$G$1001=5))&gt;0,"، "&amp;IFERROR(INDEX('تشخيص الحالات'!$D$2:$D$1001,SUMPRODUCT(('تشخيص الحالات'!$B$2:$B$1001=B671)*('تشخيص الحالات'!$G$2:$G$1001=5)*ROW('تشخيص الحالات'!$B$2:$B$1001))-1),""),"")&amp;IF(SUMPRODUCT(('تشخيص الحالات'!$B$2:$B$1001=B671)*('تشخيص الحالات'!$G$2:$G$1001=6))&gt;0,"، "&amp;IFERROR(INDEX('تشخيص الحالات'!$D$2:$D$1001,SUMPRODUCT(('تشخيص الحالات'!$B$2:$B$1001=B671)*('تشخيص الحالات'!$G$2:$G$1001=6)*ROW('تشخيص الحالات'!$B$2:$B$1001))-1),""),"")&amp;IF(SUMPRODUCT(('تشخيص الحالات'!$B$2:$B$1001=B671)*('تشخيص الحالات'!$G$2:$G$1001=7))&gt;0,"، "&amp;IFERROR(INDEX('تشخيص الحالات'!$D$2:$D$1001,SUMPRODUCT(('تشخيص الحالات'!$B$2:$B$1001=B671)*('تشخيص الحالات'!$G$2:$G$1001=7)*ROW('تشخيص الحالات'!$B$2:$B$1001))-1),""),"")&amp;IF(SUMPRODUCT(('تشخيص الحالات'!$B$2:$B$1001=B671)*('تشخيص الحالات'!$G$2:$G$1001=8))&gt;0,"، "&amp;IFERROR(INDEX('تشخيص الحالات'!$D$2:$D$1001,SUMPRODUCT(('تشخيص الحالات'!$B$2:$B$1001=B671)*('تشخيص الحالات'!$G$2:$G$1001=8)*ROW('تشخيص الحالات'!$B$2:$B$1001))-1),""),"")</f>
        <v/>
      </c>
      <c r="J671" s="1"/>
      <c r="K671" s="1"/>
      <c r="L671" s="1"/>
      <c r="M671" s="1"/>
    </row>
    <row r="672" spans="1:13" x14ac:dyDescent="0.2">
      <c r="A672" s="1"/>
      <c r="B672" s="1"/>
      <c r="C672" s="1"/>
      <c r="D672" s="1"/>
      <c r="E672" s="1"/>
      <c r="F672" s="1"/>
      <c r="G672" s="1"/>
      <c r="H672" s="1"/>
      <c r="I672" t="str">
        <f>IFERROR(INDEX('تشخيص الحالات'!$D$2:$D$1001,SUMPRODUCT(('تشخيص الحالات'!$B$2:$B$1001=B672)*('تشخيص الحالات'!$G$2:$G$1001=1)*ROW('تشخيص الحالات'!$B$2:$B$1001))-1),"")&amp;IF(SUMPRODUCT(('تشخيص الحالات'!$B$2:$B$1001=B672)*('تشخيص الحالات'!$G$2:$G$1001=2))&gt;0,"، "&amp;IFERROR(INDEX('تشخيص الحالات'!$D$2:$D$1001,SUMPRODUCT(('تشخيص الحالات'!$B$2:$B$1001=B672)*('تشخيص الحالات'!$G$2:$G$1001=2)*ROW('تشخيص الحالات'!$B$2:$B$1001))-1),""),"")&amp;IF(SUMPRODUCT(('تشخيص الحالات'!$B$2:$B$1001=B672)*('تشخيص الحالات'!$G$2:$G$1001=3))&gt;0,"، "&amp;IFERROR(INDEX('تشخيص الحالات'!$D$2:$D$1001,SUMPRODUCT(('تشخيص الحالات'!$B$2:$B$1001=B672)*('تشخيص الحالات'!$G$2:$G$1001=3)*ROW('تشخيص الحالات'!$B$2:$B$1001))-1),""),"")&amp;IF(SUMPRODUCT(('تشخيص الحالات'!$B$2:$B$1001=B672)*('تشخيص الحالات'!$G$2:$G$1001=4))&gt;0,"، "&amp;IFERROR(INDEX('تشخيص الحالات'!$D$2:$D$1001,SUMPRODUCT(('تشخيص الحالات'!$B$2:$B$1001=B672)*('تشخيص الحالات'!$G$2:$G$1001=4)*ROW('تشخيص الحالات'!$B$2:$B$1001))-1),""),"")&amp;IF(SUMPRODUCT(('تشخيص الحالات'!$B$2:$B$1001=B672)*('تشخيص الحالات'!$G$2:$G$1001=5))&gt;0,"، "&amp;IFERROR(INDEX('تشخيص الحالات'!$D$2:$D$1001,SUMPRODUCT(('تشخيص الحالات'!$B$2:$B$1001=B672)*('تشخيص الحالات'!$G$2:$G$1001=5)*ROW('تشخيص الحالات'!$B$2:$B$1001))-1),""),"")&amp;IF(SUMPRODUCT(('تشخيص الحالات'!$B$2:$B$1001=B672)*('تشخيص الحالات'!$G$2:$G$1001=6))&gt;0,"، "&amp;IFERROR(INDEX('تشخيص الحالات'!$D$2:$D$1001,SUMPRODUCT(('تشخيص الحالات'!$B$2:$B$1001=B672)*('تشخيص الحالات'!$G$2:$G$1001=6)*ROW('تشخيص الحالات'!$B$2:$B$1001))-1),""),"")&amp;IF(SUMPRODUCT(('تشخيص الحالات'!$B$2:$B$1001=B672)*('تشخيص الحالات'!$G$2:$G$1001=7))&gt;0,"، "&amp;IFERROR(INDEX('تشخيص الحالات'!$D$2:$D$1001,SUMPRODUCT(('تشخيص الحالات'!$B$2:$B$1001=B672)*('تشخيص الحالات'!$G$2:$G$1001=7)*ROW('تشخيص الحالات'!$B$2:$B$1001))-1),""),"")&amp;IF(SUMPRODUCT(('تشخيص الحالات'!$B$2:$B$1001=B672)*('تشخيص الحالات'!$G$2:$G$1001=8))&gt;0,"، "&amp;IFERROR(INDEX('تشخيص الحالات'!$D$2:$D$1001,SUMPRODUCT(('تشخيص الحالات'!$B$2:$B$1001=B672)*('تشخيص الحالات'!$G$2:$G$1001=8)*ROW('تشخيص الحالات'!$B$2:$B$1001))-1),""),"")</f>
        <v/>
      </c>
      <c r="J672" s="1"/>
      <c r="K672" s="1"/>
      <c r="L672" s="1"/>
      <c r="M672" s="1"/>
    </row>
    <row r="673" spans="1:13" x14ac:dyDescent="0.2">
      <c r="A673" s="1"/>
      <c r="B673" s="1"/>
      <c r="C673" s="1"/>
      <c r="D673" s="1"/>
      <c r="E673" s="1"/>
      <c r="F673" s="1"/>
      <c r="G673" s="1"/>
      <c r="H673" s="1"/>
      <c r="I673" t="str">
        <f>IFERROR(INDEX('تشخيص الحالات'!$D$2:$D$1001,SUMPRODUCT(('تشخيص الحالات'!$B$2:$B$1001=B673)*('تشخيص الحالات'!$G$2:$G$1001=1)*ROW('تشخيص الحالات'!$B$2:$B$1001))-1),"")&amp;IF(SUMPRODUCT(('تشخيص الحالات'!$B$2:$B$1001=B673)*('تشخيص الحالات'!$G$2:$G$1001=2))&gt;0,"، "&amp;IFERROR(INDEX('تشخيص الحالات'!$D$2:$D$1001,SUMPRODUCT(('تشخيص الحالات'!$B$2:$B$1001=B673)*('تشخيص الحالات'!$G$2:$G$1001=2)*ROW('تشخيص الحالات'!$B$2:$B$1001))-1),""),"")&amp;IF(SUMPRODUCT(('تشخيص الحالات'!$B$2:$B$1001=B673)*('تشخيص الحالات'!$G$2:$G$1001=3))&gt;0,"، "&amp;IFERROR(INDEX('تشخيص الحالات'!$D$2:$D$1001,SUMPRODUCT(('تشخيص الحالات'!$B$2:$B$1001=B673)*('تشخيص الحالات'!$G$2:$G$1001=3)*ROW('تشخيص الحالات'!$B$2:$B$1001))-1),""),"")&amp;IF(SUMPRODUCT(('تشخيص الحالات'!$B$2:$B$1001=B673)*('تشخيص الحالات'!$G$2:$G$1001=4))&gt;0,"، "&amp;IFERROR(INDEX('تشخيص الحالات'!$D$2:$D$1001,SUMPRODUCT(('تشخيص الحالات'!$B$2:$B$1001=B673)*('تشخيص الحالات'!$G$2:$G$1001=4)*ROW('تشخيص الحالات'!$B$2:$B$1001))-1),""),"")&amp;IF(SUMPRODUCT(('تشخيص الحالات'!$B$2:$B$1001=B673)*('تشخيص الحالات'!$G$2:$G$1001=5))&gt;0,"، "&amp;IFERROR(INDEX('تشخيص الحالات'!$D$2:$D$1001,SUMPRODUCT(('تشخيص الحالات'!$B$2:$B$1001=B673)*('تشخيص الحالات'!$G$2:$G$1001=5)*ROW('تشخيص الحالات'!$B$2:$B$1001))-1),""),"")&amp;IF(SUMPRODUCT(('تشخيص الحالات'!$B$2:$B$1001=B673)*('تشخيص الحالات'!$G$2:$G$1001=6))&gt;0,"، "&amp;IFERROR(INDEX('تشخيص الحالات'!$D$2:$D$1001,SUMPRODUCT(('تشخيص الحالات'!$B$2:$B$1001=B673)*('تشخيص الحالات'!$G$2:$G$1001=6)*ROW('تشخيص الحالات'!$B$2:$B$1001))-1),""),"")&amp;IF(SUMPRODUCT(('تشخيص الحالات'!$B$2:$B$1001=B673)*('تشخيص الحالات'!$G$2:$G$1001=7))&gt;0,"، "&amp;IFERROR(INDEX('تشخيص الحالات'!$D$2:$D$1001,SUMPRODUCT(('تشخيص الحالات'!$B$2:$B$1001=B673)*('تشخيص الحالات'!$G$2:$G$1001=7)*ROW('تشخيص الحالات'!$B$2:$B$1001))-1),""),"")&amp;IF(SUMPRODUCT(('تشخيص الحالات'!$B$2:$B$1001=B673)*('تشخيص الحالات'!$G$2:$G$1001=8))&gt;0,"، "&amp;IFERROR(INDEX('تشخيص الحالات'!$D$2:$D$1001,SUMPRODUCT(('تشخيص الحالات'!$B$2:$B$1001=B673)*('تشخيص الحالات'!$G$2:$G$1001=8)*ROW('تشخيص الحالات'!$B$2:$B$1001))-1),""),"")</f>
        <v/>
      </c>
      <c r="J673" s="1"/>
      <c r="K673" s="1"/>
      <c r="L673" s="1"/>
      <c r="M673" s="1"/>
    </row>
    <row r="674" spans="1:13" x14ac:dyDescent="0.2">
      <c r="A674" s="1"/>
      <c r="B674" s="1"/>
      <c r="C674" s="1"/>
      <c r="D674" s="1"/>
      <c r="E674" s="1"/>
      <c r="F674" s="1"/>
      <c r="G674" s="1"/>
      <c r="H674" s="1"/>
      <c r="I674" t="str">
        <f>IFERROR(INDEX('تشخيص الحالات'!$D$2:$D$1001,SUMPRODUCT(('تشخيص الحالات'!$B$2:$B$1001=B674)*('تشخيص الحالات'!$G$2:$G$1001=1)*ROW('تشخيص الحالات'!$B$2:$B$1001))-1),"")&amp;IF(SUMPRODUCT(('تشخيص الحالات'!$B$2:$B$1001=B674)*('تشخيص الحالات'!$G$2:$G$1001=2))&gt;0,"، "&amp;IFERROR(INDEX('تشخيص الحالات'!$D$2:$D$1001,SUMPRODUCT(('تشخيص الحالات'!$B$2:$B$1001=B674)*('تشخيص الحالات'!$G$2:$G$1001=2)*ROW('تشخيص الحالات'!$B$2:$B$1001))-1),""),"")&amp;IF(SUMPRODUCT(('تشخيص الحالات'!$B$2:$B$1001=B674)*('تشخيص الحالات'!$G$2:$G$1001=3))&gt;0,"، "&amp;IFERROR(INDEX('تشخيص الحالات'!$D$2:$D$1001,SUMPRODUCT(('تشخيص الحالات'!$B$2:$B$1001=B674)*('تشخيص الحالات'!$G$2:$G$1001=3)*ROW('تشخيص الحالات'!$B$2:$B$1001))-1),""),"")&amp;IF(SUMPRODUCT(('تشخيص الحالات'!$B$2:$B$1001=B674)*('تشخيص الحالات'!$G$2:$G$1001=4))&gt;0,"، "&amp;IFERROR(INDEX('تشخيص الحالات'!$D$2:$D$1001,SUMPRODUCT(('تشخيص الحالات'!$B$2:$B$1001=B674)*('تشخيص الحالات'!$G$2:$G$1001=4)*ROW('تشخيص الحالات'!$B$2:$B$1001))-1),""),"")&amp;IF(SUMPRODUCT(('تشخيص الحالات'!$B$2:$B$1001=B674)*('تشخيص الحالات'!$G$2:$G$1001=5))&gt;0,"، "&amp;IFERROR(INDEX('تشخيص الحالات'!$D$2:$D$1001,SUMPRODUCT(('تشخيص الحالات'!$B$2:$B$1001=B674)*('تشخيص الحالات'!$G$2:$G$1001=5)*ROW('تشخيص الحالات'!$B$2:$B$1001))-1),""),"")&amp;IF(SUMPRODUCT(('تشخيص الحالات'!$B$2:$B$1001=B674)*('تشخيص الحالات'!$G$2:$G$1001=6))&gt;0,"، "&amp;IFERROR(INDEX('تشخيص الحالات'!$D$2:$D$1001,SUMPRODUCT(('تشخيص الحالات'!$B$2:$B$1001=B674)*('تشخيص الحالات'!$G$2:$G$1001=6)*ROW('تشخيص الحالات'!$B$2:$B$1001))-1),""),"")&amp;IF(SUMPRODUCT(('تشخيص الحالات'!$B$2:$B$1001=B674)*('تشخيص الحالات'!$G$2:$G$1001=7))&gt;0,"، "&amp;IFERROR(INDEX('تشخيص الحالات'!$D$2:$D$1001,SUMPRODUCT(('تشخيص الحالات'!$B$2:$B$1001=B674)*('تشخيص الحالات'!$G$2:$G$1001=7)*ROW('تشخيص الحالات'!$B$2:$B$1001))-1),""),"")&amp;IF(SUMPRODUCT(('تشخيص الحالات'!$B$2:$B$1001=B674)*('تشخيص الحالات'!$G$2:$G$1001=8))&gt;0,"، "&amp;IFERROR(INDEX('تشخيص الحالات'!$D$2:$D$1001,SUMPRODUCT(('تشخيص الحالات'!$B$2:$B$1001=B674)*('تشخيص الحالات'!$G$2:$G$1001=8)*ROW('تشخيص الحالات'!$B$2:$B$1001))-1),""),"")</f>
        <v/>
      </c>
      <c r="J674" s="1"/>
      <c r="K674" s="1"/>
      <c r="L674" s="1"/>
      <c r="M674" s="1"/>
    </row>
    <row r="675" spans="1:13" x14ac:dyDescent="0.2">
      <c r="A675" s="1"/>
      <c r="B675" s="1"/>
      <c r="C675" s="1"/>
      <c r="D675" s="1"/>
      <c r="E675" s="1"/>
      <c r="F675" s="1"/>
      <c r="G675" s="1"/>
      <c r="H675" s="1"/>
      <c r="I675" t="str">
        <f>IFERROR(INDEX('تشخيص الحالات'!$D$2:$D$1001,SUMPRODUCT(('تشخيص الحالات'!$B$2:$B$1001=B675)*('تشخيص الحالات'!$G$2:$G$1001=1)*ROW('تشخيص الحالات'!$B$2:$B$1001))-1),"")&amp;IF(SUMPRODUCT(('تشخيص الحالات'!$B$2:$B$1001=B675)*('تشخيص الحالات'!$G$2:$G$1001=2))&gt;0,"، "&amp;IFERROR(INDEX('تشخيص الحالات'!$D$2:$D$1001,SUMPRODUCT(('تشخيص الحالات'!$B$2:$B$1001=B675)*('تشخيص الحالات'!$G$2:$G$1001=2)*ROW('تشخيص الحالات'!$B$2:$B$1001))-1),""),"")&amp;IF(SUMPRODUCT(('تشخيص الحالات'!$B$2:$B$1001=B675)*('تشخيص الحالات'!$G$2:$G$1001=3))&gt;0,"، "&amp;IFERROR(INDEX('تشخيص الحالات'!$D$2:$D$1001,SUMPRODUCT(('تشخيص الحالات'!$B$2:$B$1001=B675)*('تشخيص الحالات'!$G$2:$G$1001=3)*ROW('تشخيص الحالات'!$B$2:$B$1001))-1),""),"")&amp;IF(SUMPRODUCT(('تشخيص الحالات'!$B$2:$B$1001=B675)*('تشخيص الحالات'!$G$2:$G$1001=4))&gt;0,"، "&amp;IFERROR(INDEX('تشخيص الحالات'!$D$2:$D$1001,SUMPRODUCT(('تشخيص الحالات'!$B$2:$B$1001=B675)*('تشخيص الحالات'!$G$2:$G$1001=4)*ROW('تشخيص الحالات'!$B$2:$B$1001))-1),""),"")&amp;IF(SUMPRODUCT(('تشخيص الحالات'!$B$2:$B$1001=B675)*('تشخيص الحالات'!$G$2:$G$1001=5))&gt;0,"، "&amp;IFERROR(INDEX('تشخيص الحالات'!$D$2:$D$1001,SUMPRODUCT(('تشخيص الحالات'!$B$2:$B$1001=B675)*('تشخيص الحالات'!$G$2:$G$1001=5)*ROW('تشخيص الحالات'!$B$2:$B$1001))-1),""),"")&amp;IF(SUMPRODUCT(('تشخيص الحالات'!$B$2:$B$1001=B675)*('تشخيص الحالات'!$G$2:$G$1001=6))&gt;0,"، "&amp;IFERROR(INDEX('تشخيص الحالات'!$D$2:$D$1001,SUMPRODUCT(('تشخيص الحالات'!$B$2:$B$1001=B675)*('تشخيص الحالات'!$G$2:$G$1001=6)*ROW('تشخيص الحالات'!$B$2:$B$1001))-1),""),"")&amp;IF(SUMPRODUCT(('تشخيص الحالات'!$B$2:$B$1001=B675)*('تشخيص الحالات'!$G$2:$G$1001=7))&gt;0,"، "&amp;IFERROR(INDEX('تشخيص الحالات'!$D$2:$D$1001,SUMPRODUCT(('تشخيص الحالات'!$B$2:$B$1001=B675)*('تشخيص الحالات'!$G$2:$G$1001=7)*ROW('تشخيص الحالات'!$B$2:$B$1001))-1),""),"")&amp;IF(SUMPRODUCT(('تشخيص الحالات'!$B$2:$B$1001=B675)*('تشخيص الحالات'!$G$2:$G$1001=8))&gt;0,"، "&amp;IFERROR(INDEX('تشخيص الحالات'!$D$2:$D$1001,SUMPRODUCT(('تشخيص الحالات'!$B$2:$B$1001=B675)*('تشخيص الحالات'!$G$2:$G$1001=8)*ROW('تشخيص الحالات'!$B$2:$B$1001))-1),""),"")</f>
        <v/>
      </c>
      <c r="J675" s="1"/>
      <c r="K675" s="1"/>
      <c r="L675" s="1"/>
      <c r="M675" s="1"/>
    </row>
    <row r="676" spans="1:13" x14ac:dyDescent="0.2">
      <c r="A676" s="1"/>
      <c r="B676" s="1"/>
      <c r="C676" s="1"/>
      <c r="D676" s="1"/>
      <c r="E676" s="1"/>
      <c r="F676" s="1"/>
      <c r="G676" s="1"/>
      <c r="H676" s="1"/>
      <c r="I676" t="str">
        <f>IFERROR(INDEX('تشخيص الحالات'!$D$2:$D$1001,SUMPRODUCT(('تشخيص الحالات'!$B$2:$B$1001=B676)*('تشخيص الحالات'!$G$2:$G$1001=1)*ROW('تشخيص الحالات'!$B$2:$B$1001))-1),"")&amp;IF(SUMPRODUCT(('تشخيص الحالات'!$B$2:$B$1001=B676)*('تشخيص الحالات'!$G$2:$G$1001=2))&gt;0,"، "&amp;IFERROR(INDEX('تشخيص الحالات'!$D$2:$D$1001,SUMPRODUCT(('تشخيص الحالات'!$B$2:$B$1001=B676)*('تشخيص الحالات'!$G$2:$G$1001=2)*ROW('تشخيص الحالات'!$B$2:$B$1001))-1),""),"")&amp;IF(SUMPRODUCT(('تشخيص الحالات'!$B$2:$B$1001=B676)*('تشخيص الحالات'!$G$2:$G$1001=3))&gt;0,"، "&amp;IFERROR(INDEX('تشخيص الحالات'!$D$2:$D$1001,SUMPRODUCT(('تشخيص الحالات'!$B$2:$B$1001=B676)*('تشخيص الحالات'!$G$2:$G$1001=3)*ROW('تشخيص الحالات'!$B$2:$B$1001))-1),""),"")&amp;IF(SUMPRODUCT(('تشخيص الحالات'!$B$2:$B$1001=B676)*('تشخيص الحالات'!$G$2:$G$1001=4))&gt;0,"، "&amp;IFERROR(INDEX('تشخيص الحالات'!$D$2:$D$1001,SUMPRODUCT(('تشخيص الحالات'!$B$2:$B$1001=B676)*('تشخيص الحالات'!$G$2:$G$1001=4)*ROW('تشخيص الحالات'!$B$2:$B$1001))-1),""),"")&amp;IF(SUMPRODUCT(('تشخيص الحالات'!$B$2:$B$1001=B676)*('تشخيص الحالات'!$G$2:$G$1001=5))&gt;0,"، "&amp;IFERROR(INDEX('تشخيص الحالات'!$D$2:$D$1001,SUMPRODUCT(('تشخيص الحالات'!$B$2:$B$1001=B676)*('تشخيص الحالات'!$G$2:$G$1001=5)*ROW('تشخيص الحالات'!$B$2:$B$1001))-1),""),"")&amp;IF(SUMPRODUCT(('تشخيص الحالات'!$B$2:$B$1001=B676)*('تشخيص الحالات'!$G$2:$G$1001=6))&gt;0,"، "&amp;IFERROR(INDEX('تشخيص الحالات'!$D$2:$D$1001,SUMPRODUCT(('تشخيص الحالات'!$B$2:$B$1001=B676)*('تشخيص الحالات'!$G$2:$G$1001=6)*ROW('تشخيص الحالات'!$B$2:$B$1001))-1),""),"")&amp;IF(SUMPRODUCT(('تشخيص الحالات'!$B$2:$B$1001=B676)*('تشخيص الحالات'!$G$2:$G$1001=7))&gt;0,"، "&amp;IFERROR(INDEX('تشخيص الحالات'!$D$2:$D$1001,SUMPRODUCT(('تشخيص الحالات'!$B$2:$B$1001=B676)*('تشخيص الحالات'!$G$2:$G$1001=7)*ROW('تشخيص الحالات'!$B$2:$B$1001))-1),""),"")&amp;IF(SUMPRODUCT(('تشخيص الحالات'!$B$2:$B$1001=B676)*('تشخيص الحالات'!$G$2:$G$1001=8))&gt;0,"، "&amp;IFERROR(INDEX('تشخيص الحالات'!$D$2:$D$1001,SUMPRODUCT(('تشخيص الحالات'!$B$2:$B$1001=B676)*('تشخيص الحالات'!$G$2:$G$1001=8)*ROW('تشخيص الحالات'!$B$2:$B$1001))-1),""),"")</f>
        <v/>
      </c>
      <c r="J676" s="1"/>
      <c r="K676" s="1"/>
      <c r="L676" s="1"/>
      <c r="M676" s="1"/>
    </row>
    <row r="677" spans="1:13" x14ac:dyDescent="0.2">
      <c r="A677" s="1"/>
      <c r="B677" s="1"/>
      <c r="C677" s="1"/>
      <c r="D677" s="1"/>
      <c r="E677" s="1"/>
      <c r="F677" s="1"/>
      <c r="G677" s="1"/>
      <c r="H677" s="1"/>
      <c r="I677" t="str">
        <f>IFERROR(INDEX('تشخيص الحالات'!$D$2:$D$1001,SUMPRODUCT(('تشخيص الحالات'!$B$2:$B$1001=B677)*('تشخيص الحالات'!$G$2:$G$1001=1)*ROW('تشخيص الحالات'!$B$2:$B$1001))-1),"")&amp;IF(SUMPRODUCT(('تشخيص الحالات'!$B$2:$B$1001=B677)*('تشخيص الحالات'!$G$2:$G$1001=2))&gt;0,"، "&amp;IFERROR(INDEX('تشخيص الحالات'!$D$2:$D$1001,SUMPRODUCT(('تشخيص الحالات'!$B$2:$B$1001=B677)*('تشخيص الحالات'!$G$2:$G$1001=2)*ROW('تشخيص الحالات'!$B$2:$B$1001))-1),""),"")&amp;IF(SUMPRODUCT(('تشخيص الحالات'!$B$2:$B$1001=B677)*('تشخيص الحالات'!$G$2:$G$1001=3))&gt;0,"، "&amp;IFERROR(INDEX('تشخيص الحالات'!$D$2:$D$1001,SUMPRODUCT(('تشخيص الحالات'!$B$2:$B$1001=B677)*('تشخيص الحالات'!$G$2:$G$1001=3)*ROW('تشخيص الحالات'!$B$2:$B$1001))-1),""),"")&amp;IF(SUMPRODUCT(('تشخيص الحالات'!$B$2:$B$1001=B677)*('تشخيص الحالات'!$G$2:$G$1001=4))&gt;0,"، "&amp;IFERROR(INDEX('تشخيص الحالات'!$D$2:$D$1001,SUMPRODUCT(('تشخيص الحالات'!$B$2:$B$1001=B677)*('تشخيص الحالات'!$G$2:$G$1001=4)*ROW('تشخيص الحالات'!$B$2:$B$1001))-1),""),"")&amp;IF(SUMPRODUCT(('تشخيص الحالات'!$B$2:$B$1001=B677)*('تشخيص الحالات'!$G$2:$G$1001=5))&gt;0,"، "&amp;IFERROR(INDEX('تشخيص الحالات'!$D$2:$D$1001,SUMPRODUCT(('تشخيص الحالات'!$B$2:$B$1001=B677)*('تشخيص الحالات'!$G$2:$G$1001=5)*ROW('تشخيص الحالات'!$B$2:$B$1001))-1),""),"")&amp;IF(SUMPRODUCT(('تشخيص الحالات'!$B$2:$B$1001=B677)*('تشخيص الحالات'!$G$2:$G$1001=6))&gt;0,"، "&amp;IFERROR(INDEX('تشخيص الحالات'!$D$2:$D$1001,SUMPRODUCT(('تشخيص الحالات'!$B$2:$B$1001=B677)*('تشخيص الحالات'!$G$2:$G$1001=6)*ROW('تشخيص الحالات'!$B$2:$B$1001))-1),""),"")&amp;IF(SUMPRODUCT(('تشخيص الحالات'!$B$2:$B$1001=B677)*('تشخيص الحالات'!$G$2:$G$1001=7))&gt;0,"، "&amp;IFERROR(INDEX('تشخيص الحالات'!$D$2:$D$1001,SUMPRODUCT(('تشخيص الحالات'!$B$2:$B$1001=B677)*('تشخيص الحالات'!$G$2:$G$1001=7)*ROW('تشخيص الحالات'!$B$2:$B$1001))-1),""),"")&amp;IF(SUMPRODUCT(('تشخيص الحالات'!$B$2:$B$1001=B677)*('تشخيص الحالات'!$G$2:$G$1001=8))&gt;0,"، "&amp;IFERROR(INDEX('تشخيص الحالات'!$D$2:$D$1001,SUMPRODUCT(('تشخيص الحالات'!$B$2:$B$1001=B677)*('تشخيص الحالات'!$G$2:$G$1001=8)*ROW('تشخيص الحالات'!$B$2:$B$1001))-1),""),"")</f>
        <v/>
      </c>
      <c r="J677" s="1"/>
      <c r="K677" s="1"/>
      <c r="L677" s="1"/>
      <c r="M677" s="1"/>
    </row>
    <row r="678" spans="1:13" x14ac:dyDescent="0.2">
      <c r="A678" s="1"/>
      <c r="B678" s="1"/>
      <c r="C678" s="1"/>
      <c r="D678" s="1"/>
      <c r="E678" s="1"/>
      <c r="F678" s="1"/>
      <c r="G678" s="1"/>
      <c r="H678" s="1"/>
      <c r="I678" t="str">
        <f>IFERROR(INDEX('تشخيص الحالات'!$D$2:$D$1001,SUMPRODUCT(('تشخيص الحالات'!$B$2:$B$1001=B678)*('تشخيص الحالات'!$G$2:$G$1001=1)*ROW('تشخيص الحالات'!$B$2:$B$1001))-1),"")&amp;IF(SUMPRODUCT(('تشخيص الحالات'!$B$2:$B$1001=B678)*('تشخيص الحالات'!$G$2:$G$1001=2))&gt;0,"، "&amp;IFERROR(INDEX('تشخيص الحالات'!$D$2:$D$1001,SUMPRODUCT(('تشخيص الحالات'!$B$2:$B$1001=B678)*('تشخيص الحالات'!$G$2:$G$1001=2)*ROW('تشخيص الحالات'!$B$2:$B$1001))-1),""),"")&amp;IF(SUMPRODUCT(('تشخيص الحالات'!$B$2:$B$1001=B678)*('تشخيص الحالات'!$G$2:$G$1001=3))&gt;0,"، "&amp;IFERROR(INDEX('تشخيص الحالات'!$D$2:$D$1001,SUMPRODUCT(('تشخيص الحالات'!$B$2:$B$1001=B678)*('تشخيص الحالات'!$G$2:$G$1001=3)*ROW('تشخيص الحالات'!$B$2:$B$1001))-1),""),"")&amp;IF(SUMPRODUCT(('تشخيص الحالات'!$B$2:$B$1001=B678)*('تشخيص الحالات'!$G$2:$G$1001=4))&gt;0,"، "&amp;IFERROR(INDEX('تشخيص الحالات'!$D$2:$D$1001,SUMPRODUCT(('تشخيص الحالات'!$B$2:$B$1001=B678)*('تشخيص الحالات'!$G$2:$G$1001=4)*ROW('تشخيص الحالات'!$B$2:$B$1001))-1),""),"")&amp;IF(SUMPRODUCT(('تشخيص الحالات'!$B$2:$B$1001=B678)*('تشخيص الحالات'!$G$2:$G$1001=5))&gt;0,"، "&amp;IFERROR(INDEX('تشخيص الحالات'!$D$2:$D$1001,SUMPRODUCT(('تشخيص الحالات'!$B$2:$B$1001=B678)*('تشخيص الحالات'!$G$2:$G$1001=5)*ROW('تشخيص الحالات'!$B$2:$B$1001))-1),""),"")&amp;IF(SUMPRODUCT(('تشخيص الحالات'!$B$2:$B$1001=B678)*('تشخيص الحالات'!$G$2:$G$1001=6))&gt;0,"، "&amp;IFERROR(INDEX('تشخيص الحالات'!$D$2:$D$1001,SUMPRODUCT(('تشخيص الحالات'!$B$2:$B$1001=B678)*('تشخيص الحالات'!$G$2:$G$1001=6)*ROW('تشخيص الحالات'!$B$2:$B$1001))-1),""),"")&amp;IF(SUMPRODUCT(('تشخيص الحالات'!$B$2:$B$1001=B678)*('تشخيص الحالات'!$G$2:$G$1001=7))&gt;0,"، "&amp;IFERROR(INDEX('تشخيص الحالات'!$D$2:$D$1001,SUMPRODUCT(('تشخيص الحالات'!$B$2:$B$1001=B678)*('تشخيص الحالات'!$G$2:$G$1001=7)*ROW('تشخيص الحالات'!$B$2:$B$1001))-1),""),"")&amp;IF(SUMPRODUCT(('تشخيص الحالات'!$B$2:$B$1001=B678)*('تشخيص الحالات'!$G$2:$G$1001=8))&gt;0,"، "&amp;IFERROR(INDEX('تشخيص الحالات'!$D$2:$D$1001,SUMPRODUCT(('تشخيص الحالات'!$B$2:$B$1001=B678)*('تشخيص الحالات'!$G$2:$G$1001=8)*ROW('تشخيص الحالات'!$B$2:$B$1001))-1),""),"")</f>
        <v/>
      </c>
      <c r="J678" s="1"/>
      <c r="K678" s="1"/>
      <c r="L678" s="1"/>
      <c r="M678" s="1"/>
    </row>
    <row r="679" spans="1:13" x14ac:dyDescent="0.2">
      <c r="A679" s="1"/>
      <c r="B679" s="1"/>
      <c r="C679" s="1"/>
      <c r="D679" s="1"/>
      <c r="E679" s="1"/>
      <c r="F679" s="1"/>
      <c r="G679" s="1"/>
      <c r="H679" s="1"/>
      <c r="I679" t="str">
        <f>IFERROR(INDEX('تشخيص الحالات'!$D$2:$D$1001,SUMPRODUCT(('تشخيص الحالات'!$B$2:$B$1001=B679)*('تشخيص الحالات'!$G$2:$G$1001=1)*ROW('تشخيص الحالات'!$B$2:$B$1001))-1),"")&amp;IF(SUMPRODUCT(('تشخيص الحالات'!$B$2:$B$1001=B679)*('تشخيص الحالات'!$G$2:$G$1001=2))&gt;0,"، "&amp;IFERROR(INDEX('تشخيص الحالات'!$D$2:$D$1001,SUMPRODUCT(('تشخيص الحالات'!$B$2:$B$1001=B679)*('تشخيص الحالات'!$G$2:$G$1001=2)*ROW('تشخيص الحالات'!$B$2:$B$1001))-1),""),"")&amp;IF(SUMPRODUCT(('تشخيص الحالات'!$B$2:$B$1001=B679)*('تشخيص الحالات'!$G$2:$G$1001=3))&gt;0,"، "&amp;IFERROR(INDEX('تشخيص الحالات'!$D$2:$D$1001,SUMPRODUCT(('تشخيص الحالات'!$B$2:$B$1001=B679)*('تشخيص الحالات'!$G$2:$G$1001=3)*ROW('تشخيص الحالات'!$B$2:$B$1001))-1),""),"")&amp;IF(SUMPRODUCT(('تشخيص الحالات'!$B$2:$B$1001=B679)*('تشخيص الحالات'!$G$2:$G$1001=4))&gt;0,"، "&amp;IFERROR(INDEX('تشخيص الحالات'!$D$2:$D$1001,SUMPRODUCT(('تشخيص الحالات'!$B$2:$B$1001=B679)*('تشخيص الحالات'!$G$2:$G$1001=4)*ROW('تشخيص الحالات'!$B$2:$B$1001))-1),""),"")&amp;IF(SUMPRODUCT(('تشخيص الحالات'!$B$2:$B$1001=B679)*('تشخيص الحالات'!$G$2:$G$1001=5))&gt;0,"، "&amp;IFERROR(INDEX('تشخيص الحالات'!$D$2:$D$1001,SUMPRODUCT(('تشخيص الحالات'!$B$2:$B$1001=B679)*('تشخيص الحالات'!$G$2:$G$1001=5)*ROW('تشخيص الحالات'!$B$2:$B$1001))-1),""),"")&amp;IF(SUMPRODUCT(('تشخيص الحالات'!$B$2:$B$1001=B679)*('تشخيص الحالات'!$G$2:$G$1001=6))&gt;0,"، "&amp;IFERROR(INDEX('تشخيص الحالات'!$D$2:$D$1001,SUMPRODUCT(('تشخيص الحالات'!$B$2:$B$1001=B679)*('تشخيص الحالات'!$G$2:$G$1001=6)*ROW('تشخيص الحالات'!$B$2:$B$1001))-1),""),"")&amp;IF(SUMPRODUCT(('تشخيص الحالات'!$B$2:$B$1001=B679)*('تشخيص الحالات'!$G$2:$G$1001=7))&gt;0,"، "&amp;IFERROR(INDEX('تشخيص الحالات'!$D$2:$D$1001,SUMPRODUCT(('تشخيص الحالات'!$B$2:$B$1001=B679)*('تشخيص الحالات'!$G$2:$G$1001=7)*ROW('تشخيص الحالات'!$B$2:$B$1001))-1),""),"")&amp;IF(SUMPRODUCT(('تشخيص الحالات'!$B$2:$B$1001=B679)*('تشخيص الحالات'!$G$2:$G$1001=8))&gt;0,"، "&amp;IFERROR(INDEX('تشخيص الحالات'!$D$2:$D$1001,SUMPRODUCT(('تشخيص الحالات'!$B$2:$B$1001=B679)*('تشخيص الحالات'!$G$2:$G$1001=8)*ROW('تشخيص الحالات'!$B$2:$B$1001))-1),""),"")</f>
        <v/>
      </c>
      <c r="J679" s="1"/>
      <c r="K679" s="1"/>
      <c r="L679" s="1"/>
      <c r="M679" s="1"/>
    </row>
    <row r="680" spans="1:13" x14ac:dyDescent="0.2">
      <c r="A680" s="1"/>
      <c r="B680" s="1"/>
      <c r="C680" s="1"/>
      <c r="D680" s="1"/>
      <c r="E680" s="1"/>
      <c r="F680" s="1"/>
      <c r="G680" s="1"/>
      <c r="H680" s="1"/>
      <c r="I680" t="str">
        <f>IFERROR(INDEX('تشخيص الحالات'!$D$2:$D$1001,SUMPRODUCT(('تشخيص الحالات'!$B$2:$B$1001=B680)*('تشخيص الحالات'!$G$2:$G$1001=1)*ROW('تشخيص الحالات'!$B$2:$B$1001))-1),"")&amp;IF(SUMPRODUCT(('تشخيص الحالات'!$B$2:$B$1001=B680)*('تشخيص الحالات'!$G$2:$G$1001=2))&gt;0,"، "&amp;IFERROR(INDEX('تشخيص الحالات'!$D$2:$D$1001,SUMPRODUCT(('تشخيص الحالات'!$B$2:$B$1001=B680)*('تشخيص الحالات'!$G$2:$G$1001=2)*ROW('تشخيص الحالات'!$B$2:$B$1001))-1),""),"")&amp;IF(SUMPRODUCT(('تشخيص الحالات'!$B$2:$B$1001=B680)*('تشخيص الحالات'!$G$2:$G$1001=3))&gt;0,"، "&amp;IFERROR(INDEX('تشخيص الحالات'!$D$2:$D$1001,SUMPRODUCT(('تشخيص الحالات'!$B$2:$B$1001=B680)*('تشخيص الحالات'!$G$2:$G$1001=3)*ROW('تشخيص الحالات'!$B$2:$B$1001))-1),""),"")&amp;IF(SUMPRODUCT(('تشخيص الحالات'!$B$2:$B$1001=B680)*('تشخيص الحالات'!$G$2:$G$1001=4))&gt;0,"، "&amp;IFERROR(INDEX('تشخيص الحالات'!$D$2:$D$1001,SUMPRODUCT(('تشخيص الحالات'!$B$2:$B$1001=B680)*('تشخيص الحالات'!$G$2:$G$1001=4)*ROW('تشخيص الحالات'!$B$2:$B$1001))-1),""),"")&amp;IF(SUMPRODUCT(('تشخيص الحالات'!$B$2:$B$1001=B680)*('تشخيص الحالات'!$G$2:$G$1001=5))&gt;0,"، "&amp;IFERROR(INDEX('تشخيص الحالات'!$D$2:$D$1001,SUMPRODUCT(('تشخيص الحالات'!$B$2:$B$1001=B680)*('تشخيص الحالات'!$G$2:$G$1001=5)*ROW('تشخيص الحالات'!$B$2:$B$1001))-1),""),"")&amp;IF(SUMPRODUCT(('تشخيص الحالات'!$B$2:$B$1001=B680)*('تشخيص الحالات'!$G$2:$G$1001=6))&gt;0,"، "&amp;IFERROR(INDEX('تشخيص الحالات'!$D$2:$D$1001,SUMPRODUCT(('تشخيص الحالات'!$B$2:$B$1001=B680)*('تشخيص الحالات'!$G$2:$G$1001=6)*ROW('تشخيص الحالات'!$B$2:$B$1001))-1),""),"")&amp;IF(SUMPRODUCT(('تشخيص الحالات'!$B$2:$B$1001=B680)*('تشخيص الحالات'!$G$2:$G$1001=7))&gt;0,"، "&amp;IFERROR(INDEX('تشخيص الحالات'!$D$2:$D$1001,SUMPRODUCT(('تشخيص الحالات'!$B$2:$B$1001=B680)*('تشخيص الحالات'!$G$2:$G$1001=7)*ROW('تشخيص الحالات'!$B$2:$B$1001))-1),""),"")&amp;IF(SUMPRODUCT(('تشخيص الحالات'!$B$2:$B$1001=B680)*('تشخيص الحالات'!$G$2:$G$1001=8))&gt;0,"، "&amp;IFERROR(INDEX('تشخيص الحالات'!$D$2:$D$1001,SUMPRODUCT(('تشخيص الحالات'!$B$2:$B$1001=B680)*('تشخيص الحالات'!$G$2:$G$1001=8)*ROW('تشخيص الحالات'!$B$2:$B$1001))-1),""),"")</f>
        <v/>
      </c>
      <c r="J680" s="1"/>
      <c r="K680" s="1"/>
      <c r="L680" s="1"/>
      <c r="M680" s="1"/>
    </row>
    <row r="681" spans="1:13" x14ac:dyDescent="0.2">
      <c r="A681" s="1"/>
      <c r="B681" s="1"/>
      <c r="C681" s="1"/>
      <c r="D681" s="1"/>
      <c r="E681" s="1"/>
      <c r="F681" s="1"/>
      <c r="G681" s="1"/>
      <c r="H681" s="1"/>
      <c r="I681" t="str">
        <f>IFERROR(INDEX('تشخيص الحالات'!$D$2:$D$1001,SUMPRODUCT(('تشخيص الحالات'!$B$2:$B$1001=B681)*('تشخيص الحالات'!$G$2:$G$1001=1)*ROW('تشخيص الحالات'!$B$2:$B$1001))-1),"")&amp;IF(SUMPRODUCT(('تشخيص الحالات'!$B$2:$B$1001=B681)*('تشخيص الحالات'!$G$2:$G$1001=2))&gt;0,"، "&amp;IFERROR(INDEX('تشخيص الحالات'!$D$2:$D$1001,SUMPRODUCT(('تشخيص الحالات'!$B$2:$B$1001=B681)*('تشخيص الحالات'!$G$2:$G$1001=2)*ROW('تشخيص الحالات'!$B$2:$B$1001))-1),""),"")&amp;IF(SUMPRODUCT(('تشخيص الحالات'!$B$2:$B$1001=B681)*('تشخيص الحالات'!$G$2:$G$1001=3))&gt;0,"، "&amp;IFERROR(INDEX('تشخيص الحالات'!$D$2:$D$1001,SUMPRODUCT(('تشخيص الحالات'!$B$2:$B$1001=B681)*('تشخيص الحالات'!$G$2:$G$1001=3)*ROW('تشخيص الحالات'!$B$2:$B$1001))-1),""),"")&amp;IF(SUMPRODUCT(('تشخيص الحالات'!$B$2:$B$1001=B681)*('تشخيص الحالات'!$G$2:$G$1001=4))&gt;0,"، "&amp;IFERROR(INDEX('تشخيص الحالات'!$D$2:$D$1001,SUMPRODUCT(('تشخيص الحالات'!$B$2:$B$1001=B681)*('تشخيص الحالات'!$G$2:$G$1001=4)*ROW('تشخيص الحالات'!$B$2:$B$1001))-1),""),"")&amp;IF(SUMPRODUCT(('تشخيص الحالات'!$B$2:$B$1001=B681)*('تشخيص الحالات'!$G$2:$G$1001=5))&gt;0,"، "&amp;IFERROR(INDEX('تشخيص الحالات'!$D$2:$D$1001,SUMPRODUCT(('تشخيص الحالات'!$B$2:$B$1001=B681)*('تشخيص الحالات'!$G$2:$G$1001=5)*ROW('تشخيص الحالات'!$B$2:$B$1001))-1),""),"")&amp;IF(SUMPRODUCT(('تشخيص الحالات'!$B$2:$B$1001=B681)*('تشخيص الحالات'!$G$2:$G$1001=6))&gt;0,"، "&amp;IFERROR(INDEX('تشخيص الحالات'!$D$2:$D$1001,SUMPRODUCT(('تشخيص الحالات'!$B$2:$B$1001=B681)*('تشخيص الحالات'!$G$2:$G$1001=6)*ROW('تشخيص الحالات'!$B$2:$B$1001))-1),""),"")&amp;IF(SUMPRODUCT(('تشخيص الحالات'!$B$2:$B$1001=B681)*('تشخيص الحالات'!$G$2:$G$1001=7))&gt;0,"، "&amp;IFERROR(INDEX('تشخيص الحالات'!$D$2:$D$1001,SUMPRODUCT(('تشخيص الحالات'!$B$2:$B$1001=B681)*('تشخيص الحالات'!$G$2:$G$1001=7)*ROW('تشخيص الحالات'!$B$2:$B$1001))-1),""),"")&amp;IF(SUMPRODUCT(('تشخيص الحالات'!$B$2:$B$1001=B681)*('تشخيص الحالات'!$G$2:$G$1001=8))&gt;0,"، "&amp;IFERROR(INDEX('تشخيص الحالات'!$D$2:$D$1001,SUMPRODUCT(('تشخيص الحالات'!$B$2:$B$1001=B681)*('تشخيص الحالات'!$G$2:$G$1001=8)*ROW('تشخيص الحالات'!$B$2:$B$1001))-1),""),"")</f>
        <v/>
      </c>
      <c r="J681" s="1"/>
      <c r="K681" s="1"/>
      <c r="L681" s="1"/>
      <c r="M681" s="1"/>
    </row>
    <row r="682" spans="1:13" x14ac:dyDescent="0.2">
      <c r="A682" s="1"/>
      <c r="B682" s="1"/>
      <c r="C682" s="1"/>
      <c r="D682" s="1"/>
      <c r="E682" s="1"/>
      <c r="F682" s="1"/>
      <c r="G682" s="1"/>
      <c r="H682" s="1"/>
      <c r="I682" t="str">
        <f>IFERROR(INDEX('تشخيص الحالات'!$D$2:$D$1001,SUMPRODUCT(('تشخيص الحالات'!$B$2:$B$1001=B682)*('تشخيص الحالات'!$G$2:$G$1001=1)*ROW('تشخيص الحالات'!$B$2:$B$1001))-1),"")&amp;IF(SUMPRODUCT(('تشخيص الحالات'!$B$2:$B$1001=B682)*('تشخيص الحالات'!$G$2:$G$1001=2))&gt;0,"، "&amp;IFERROR(INDEX('تشخيص الحالات'!$D$2:$D$1001,SUMPRODUCT(('تشخيص الحالات'!$B$2:$B$1001=B682)*('تشخيص الحالات'!$G$2:$G$1001=2)*ROW('تشخيص الحالات'!$B$2:$B$1001))-1),""),"")&amp;IF(SUMPRODUCT(('تشخيص الحالات'!$B$2:$B$1001=B682)*('تشخيص الحالات'!$G$2:$G$1001=3))&gt;0,"، "&amp;IFERROR(INDEX('تشخيص الحالات'!$D$2:$D$1001,SUMPRODUCT(('تشخيص الحالات'!$B$2:$B$1001=B682)*('تشخيص الحالات'!$G$2:$G$1001=3)*ROW('تشخيص الحالات'!$B$2:$B$1001))-1),""),"")&amp;IF(SUMPRODUCT(('تشخيص الحالات'!$B$2:$B$1001=B682)*('تشخيص الحالات'!$G$2:$G$1001=4))&gt;0,"، "&amp;IFERROR(INDEX('تشخيص الحالات'!$D$2:$D$1001,SUMPRODUCT(('تشخيص الحالات'!$B$2:$B$1001=B682)*('تشخيص الحالات'!$G$2:$G$1001=4)*ROW('تشخيص الحالات'!$B$2:$B$1001))-1),""),"")&amp;IF(SUMPRODUCT(('تشخيص الحالات'!$B$2:$B$1001=B682)*('تشخيص الحالات'!$G$2:$G$1001=5))&gt;0,"، "&amp;IFERROR(INDEX('تشخيص الحالات'!$D$2:$D$1001,SUMPRODUCT(('تشخيص الحالات'!$B$2:$B$1001=B682)*('تشخيص الحالات'!$G$2:$G$1001=5)*ROW('تشخيص الحالات'!$B$2:$B$1001))-1),""),"")&amp;IF(SUMPRODUCT(('تشخيص الحالات'!$B$2:$B$1001=B682)*('تشخيص الحالات'!$G$2:$G$1001=6))&gt;0,"، "&amp;IFERROR(INDEX('تشخيص الحالات'!$D$2:$D$1001,SUMPRODUCT(('تشخيص الحالات'!$B$2:$B$1001=B682)*('تشخيص الحالات'!$G$2:$G$1001=6)*ROW('تشخيص الحالات'!$B$2:$B$1001))-1),""),"")&amp;IF(SUMPRODUCT(('تشخيص الحالات'!$B$2:$B$1001=B682)*('تشخيص الحالات'!$G$2:$G$1001=7))&gt;0,"، "&amp;IFERROR(INDEX('تشخيص الحالات'!$D$2:$D$1001,SUMPRODUCT(('تشخيص الحالات'!$B$2:$B$1001=B682)*('تشخيص الحالات'!$G$2:$G$1001=7)*ROW('تشخيص الحالات'!$B$2:$B$1001))-1),""),"")&amp;IF(SUMPRODUCT(('تشخيص الحالات'!$B$2:$B$1001=B682)*('تشخيص الحالات'!$G$2:$G$1001=8))&gt;0,"، "&amp;IFERROR(INDEX('تشخيص الحالات'!$D$2:$D$1001,SUMPRODUCT(('تشخيص الحالات'!$B$2:$B$1001=B682)*('تشخيص الحالات'!$G$2:$G$1001=8)*ROW('تشخيص الحالات'!$B$2:$B$1001))-1),""),"")</f>
        <v/>
      </c>
      <c r="J682" s="1"/>
      <c r="K682" s="1"/>
      <c r="L682" s="1"/>
      <c r="M682" s="1"/>
    </row>
    <row r="683" spans="1:13" x14ac:dyDescent="0.2">
      <c r="A683" s="1"/>
      <c r="B683" s="1"/>
      <c r="C683" s="1"/>
      <c r="D683" s="1"/>
      <c r="E683" s="1"/>
      <c r="F683" s="1"/>
      <c r="G683" s="1"/>
      <c r="H683" s="1"/>
      <c r="I683" t="str">
        <f>IFERROR(INDEX('تشخيص الحالات'!$D$2:$D$1001,SUMPRODUCT(('تشخيص الحالات'!$B$2:$B$1001=B683)*('تشخيص الحالات'!$G$2:$G$1001=1)*ROW('تشخيص الحالات'!$B$2:$B$1001))-1),"")&amp;IF(SUMPRODUCT(('تشخيص الحالات'!$B$2:$B$1001=B683)*('تشخيص الحالات'!$G$2:$G$1001=2))&gt;0,"، "&amp;IFERROR(INDEX('تشخيص الحالات'!$D$2:$D$1001,SUMPRODUCT(('تشخيص الحالات'!$B$2:$B$1001=B683)*('تشخيص الحالات'!$G$2:$G$1001=2)*ROW('تشخيص الحالات'!$B$2:$B$1001))-1),""),"")&amp;IF(SUMPRODUCT(('تشخيص الحالات'!$B$2:$B$1001=B683)*('تشخيص الحالات'!$G$2:$G$1001=3))&gt;0,"، "&amp;IFERROR(INDEX('تشخيص الحالات'!$D$2:$D$1001,SUMPRODUCT(('تشخيص الحالات'!$B$2:$B$1001=B683)*('تشخيص الحالات'!$G$2:$G$1001=3)*ROW('تشخيص الحالات'!$B$2:$B$1001))-1),""),"")&amp;IF(SUMPRODUCT(('تشخيص الحالات'!$B$2:$B$1001=B683)*('تشخيص الحالات'!$G$2:$G$1001=4))&gt;0,"، "&amp;IFERROR(INDEX('تشخيص الحالات'!$D$2:$D$1001,SUMPRODUCT(('تشخيص الحالات'!$B$2:$B$1001=B683)*('تشخيص الحالات'!$G$2:$G$1001=4)*ROW('تشخيص الحالات'!$B$2:$B$1001))-1),""),"")&amp;IF(SUMPRODUCT(('تشخيص الحالات'!$B$2:$B$1001=B683)*('تشخيص الحالات'!$G$2:$G$1001=5))&gt;0,"، "&amp;IFERROR(INDEX('تشخيص الحالات'!$D$2:$D$1001,SUMPRODUCT(('تشخيص الحالات'!$B$2:$B$1001=B683)*('تشخيص الحالات'!$G$2:$G$1001=5)*ROW('تشخيص الحالات'!$B$2:$B$1001))-1),""),"")&amp;IF(SUMPRODUCT(('تشخيص الحالات'!$B$2:$B$1001=B683)*('تشخيص الحالات'!$G$2:$G$1001=6))&gt;0,"، "&amp;IFERROR(INDEX('تشخيص الحالات'!$D$2:$D$1001,SUMPRODUCT(('تشخيص الحالات'!$B$2:$B$1001=B683)*('تشخيص الحالات'!$G$2:$G$1001=6)*ROW('تشخيص الحالات'!$B$2:$B$1001))-1),""),"")&amp;IF(SUMPRODUCT(('تشخيص الحالات'!$B$2:$B$1001=B683)*('تشخيص الحالات'!$G$2:$G$1001=7))&gt;0,"، "&amp;IFERROR(INDEX('تشخيص الحالات'!$D$2:$D$1001,SUMPRODUCT(('تشخيص الحالات'!$B$2:$B$1001=B683)*('تشخيص الحالات'!$G$2:$G$1001=7)*ROW('تشخيص الحالات'!$B$2:$B$1001))-1),""),"")&amp;IF(SUMPRODUCT(('تشخيص الحالات'!$B$2:$B$1001=B683)*('تشخيص الحالات'!$G$2:$G$1001=8))&gt;0,"، "&amp;IFERROR(INDEX('تشخيص الحالات'!$D$2:$D$1001,SUMPRODUCT(('تشخيص الحالات'!$B$2:$B$1001=B683)*('تشخيص الحالات'!$G$2:$G$1001=8)*ROW('تشخيص الحالات'!$B$2:$B$1001))-1),""),"")</f>
        <v/>
      </c>
      <c r="J683" s="1"/>
      <c r="K683" s="1"/>
      <c r="L683" s="1"/>
      <c r="M683" s="1"/>
    </row>
    <row r="684" spans="1:13" x14ac:dyDescent="0.2">
      <c r="A684" s="1"/>
      <c r="B684" s="1"/>
      <c r="C684" s="1"/>
      <c r="D684" s="1"/>
      <c r="E684" s="1"/>
      <c r="F684" s="1"/>
      <c r="G684" s="1"/>
      <c r="H684" s="1"/>
      <c r="I684" t="str">
        <f>IFERROR(INDEX('تشخيص الحالات'!$D$2:$D$1001,SUMPRODUCT(('تشخيص الحالات'!$B$2:$B$1001=B684)*('تشخيص الحالات'!$G$2:$G$1001=1)*ROW('تشخيص الحالات'!$B$2:$B$1001))-1),"")&amp;IF(SUMPRODUCT(('تشخيص الحالات'!$B$2:$B$1001=B684)*('تشخيص الحالات'!$G$2:$G$1001=2))&gt;0,"، "&amp;IFERROR(INDEX('تشخيص الحالات'!$D$2:$D$1001,SUMPRODUCT(('تشخيص الحالات'!$B$2:$B$1001=B684)*('تشخيص الحالات'!$G$2:$G$1001=2)*ROW('تشخيص الحالات'!$B$2:$B$1001))-1),""),"")&amp;IF(SUMPRODUCT(('تشخيص الحالات'!$B$2:$B$1001=B684)*('تشخيص الحالات'!$G$2:$G$1001=3))&gt;0,"، "&amp;IFERROR(INDEX('تشخيص الحالات'!$D$2:$D$1001,SUMPRODUCT(('تشخيص الحالات'!$B$2:$B$1001=B684)*('تشخيص الحالات'!$G$2:$G$1001=3)*ROW('تشخيص الحالات'!$B$2:$B$1001))-1),""),"")&amp;IF(SUMPRODUCT(('تشخيص الحالات'!$B$2:$B$1001=B684)*('تشخيص الحالات'!$G$2:$G$1001=4))&gt;0,"، "&amp;IFERROR(INDEX('تشخيص الحالات'!$D$2:$D$1001,SUMPRODUCT(('تشخيص الحالات'!$B$2:$B$1001=B684)*('تشخيص الحالات'!$G$2:$G$1001=4)*ROW('تشخيص الحالات'!$B$2:$B$1001))-1),""),"")&amp;IF(SUMPRODUCT(('تشخيص الحالات'!$B$2:$B$1001=B684)*('تشخيص الحالات'!$G$2:$G$1001=5))&gt;0,"، "&amp;IFERROR(INDEX('تشخيص الحالات'!$D$2:$D$1001,SUMPRODUCT(('تشخيص الحالات'!$B$2:$B$1001=B684)*('تشخيص الحالات'!$G$2:$G$1001=5)*ROW('تشخيص الحالات'!$B$2:$B$1001))-1),""),"")&amp;IF(SUMPRODUCT(('تشخيص الحالات'!$B$2:$B$1001=B684)*('تشخيص الحالات'!$G$2:$G$1001=6))&gt;0,"، "&amp;IFERROR(INDEX('تشخيص الحالات'!$D$2:$D$1001,SUMPRODUCT(('تشخيص الحالات'!$B$2:$B$1001=B684)*('تشخيص الحالات'!$G$2:$G$1001=6)*ROW('تشخيص الحالات'!$B$2:$B$1001))-1),""),"")&amp;IF(SUMPRODUCT(('تشخيص الحالات'!$B$2:$B$1001=B684)*('تشخيص الحالات'!$G$2:$G$1001=7))&gt;0,"، "&amp;IFERROR(INDEX('تشخيص الحالات'!$D$2:$D$1001,SUMPRODUCT(('تشخيص الحالات'!$B$2:$B$1001=B684)*('تشخيص الحالات'!$G$2:$G$1001=7)*ROW('تشخيص الحالات'!$B$2:$B$1001))-1),""),"")&amp;IF(SUMPRODUCT(('تشخيص الحالات'!$B$2:$B$1001=B684)*('تشخيص الحالات'!$G$2:$G$1001=8))&gt;0,"، "&amp;IFERROR(INDEX('تشخيص الحالات'!$D$2:$D$1001,SUMPRODUCT(('تشخيص الحالات'!$B$2:$B$1001=B684)*('تشخيص الحالات'!$G$2:$G$1001=8)*ROW('تشخيص الحالات'!$B$2:$B$1001))-1),""),"")</f>
        <v/>
      </c>
      <c r="J684" s="1"/>
      <c r="K684" s="1"/>
      <c r="L684" s="1"/>
      <c r="M684" s="1"/>
    </row>
    <row r="685" spans="1:13" x14ac:dyDescent="0.2">
      <c r="A685" s="1"/>
      <c r="B685" s="1"/>
      <c r="C685" s="1"/>
      <c r="D685" s="1"/>
      <c r="E685" s="1"/>
      <c r="F685" s="1"/>
      <c r="G685" s="1"/>
      <c r="H685" s="1"/>
      <c r="I685" t="str">
        <f>IFERROR(INDEX('تشخيص الحالات'!$D$2:$D$1001,SUMPRODUCT(('تشخيص الحالات'!$B$2:$B$1001=B685)*('تشخيص الحالات'!$G$2:$G$1001=1)*ROW('تشخيص الحالات'!$B$2:$B$1001))-1),"")&amp;IF(SUMPRODUCT(('تشخيص الحالات'!$B$2:$B$1001=B685)*('تشخيص الحالات'!$G$2:$G$1001=2))&gt;0,"، "&amp;IFERROR(INDEX('تشخيص الحالات'!$D$2:$D$1001,SUMPRODUCT(('تشخيص الحالات'!$B$2:$B$1001=B685)*('تشخيص الحالات'!$G$2:$G$1001=2)*ROW('تشخيص الحالات'!$B$2:$B$1001))-1),""),"")&amp;IF(SUMPRODUCT(('تشخيص الحالات'!$B$2:$B$1001=B685)*('تشخيص الحالات'!$G$2:$G$1001=3))&gt;0,"، "&amp;IFERROR(INDEX('تشخيص الحالات'!$D$2:$D$1001,SUMPRODUCT(('تشخيص الحالات'!$B$2:$B$1001=B685)*('تشخيص الحالات'!$G$2:$G$1001=3)*ROW('تشخيص الحالات'!$B$2:$B$1001))-1),""),"")&amp;IF(SUMPRODUCT(('تشخيص الحالات'!$B$2:$B$1001=B685)*('تشخيص الحالات'!$G$2:$G$1001=4))&gt;0,"، "&amp;IFERROR(INDEX('تشخيص الحالات'!$D$2:$D$1001,SUMPRODUCT(('تشخيص الحالات'!$B$2:$B$1001=B685)*('تشخيص الحالات'!$G$2:$G$1001=4)*ROW('تشخيص الحالات'!$B$2:$B$1001))-1),""),"")&amp;IF(SUMPRODUCT(('تشخيص الحالات'!$B$2:$B$1001=B685)*('تشخيص الحالات'!$G$2:$G$1001=5))&gt;0,"، "&amp;IFERROR(INDEX('تشخيص الحالات'!$D$2:$D$1001,SUMPRODUCT(('تشخيص الحالات'!$B$2:$B$1001=B685)*('تشخيص الحالات'!$G$2:$G$1001=5)*ROW('تشخيص الحالات'!$B$2:$B$1001))-1),""),"")&amp;IF(SUMPRODUCT(('تشخيص الحالات'!$B$2:$B$1001=B685)*('تشخيص الحالات'!$G$2:$G$1001=6))&gt;0,"، "&amp;IFERROR(INDEX('تشخيص الحالات'!$D$2:$D$1001,SUMPRODUCT(('تشخيص الحالات'!$B$2:$B$1001=B685)*('تشخيص الحالات'!$G$2:$G$1001=6)*ROW('تشخيص الحالات'!$B$2:$B$1001))-1),""),"")&amp;IF(SUMPRODUCT(('تشخيص الحالات'!$B$2:$B$1001=B685)*('تشخيص الحالات'!$G$2:$G$1001=7))&gt;0,"، "&amp;IFERROR(INDEX('تشخيص الحالات'!$D$2:$D$1001,SUMPRODUCT(('تشخيص الحالات'!$B$2:$B$1001=B685)*('تشخيص الحالات'!$G$2:$G$1001=7)*ROW('تشخيص الحالات'!$B$2:$B$1001))-1),""),"")&amp;IF(SUMPRODUCT(('تشخيص الحالات'!$B$2:$B$1001=B685)*('تشخيص الحالات'!$G$2:$G$1001=8))&gt;0,"، "&amp;IFERROR(INDEX('تشخيص الحالات'!$D$2:$D$1001,SUMPRODUCT(('تشخيص الحالات'!$B$2:$B$1001=B685)*('تشخيص الحالات'!$G$2:$G$1001=8)*ROW('تشخيص الحالات'!$B$2:$B$1001))-1),""),"")</f>
        <v/>
      </c>
      <c r="J685" s="1"/>
      <c r="K685" s="1"/>
      <c r="L685" s="1"/>
      <c r="M685" s="1"/>
    </row>
    <row r="686" spans="1:13" x14ac:dyDescent="0.2">
      <c r="A686" s="1"/>
      <c r="B686" s="1"/>
      <c r="C686" s="1"/>
      <c r="D686" s="1"/>
      <c r="E686" s="1"/>
      <c r="F686" s="1"/>
      <c r="G686" s="1"/>
      <c r="H686" s="1"/>
      <c r="I686" t="str">
        <f>IFERROR(INDEX('تشخيص الحالات'!$D$2:$D$1001,SUMPRODUCT(('تشخيص الحالات'!$B$2:$B$1001=B686)*('تشخيص الحالات'!$G$2:$G$1001=1)*ROW('تشخيص الحالات'!$B$2:$B$1001))-1),"")&amp;IF(SUMPRODUCT(('تشخيص الحالات'!$B$2:$B$1001=B686)*('تشخيص الحالات'!$G$2:$G$1001=2))&gt;0,"، "&amp;IFERROR(INDEX('تشخيص الحالات'!$D$2:$D$1001,SUMPRODUCT(('تشخيص الحالات'!$B$2:$B$1001=B686)*('تشخيص الحالات'!$G$2:$G$1001=2)*ROW('تشخيص الحالات'!$B$2:$B$1001))-1),""),"")&amp;IF(SUMPRODUCT(('تشخيص الحالات'!$B$2:$B$1001=B686)*('تشخيص الحالات'!$G$2:$G$1001=3))&gt;0,"، "&amp;IFERROR(INDEX('تشخيص الحالات'!$D$2:$D$1001,SUMPRODUCT(('تشخيص الحالات'!$B$2:$B$1001=B686)*('تشخيص الحالات'!$G$2:$G$1001=3)*ROW('تشخيص الحالات'!$B$2:$B$1001))-1),""),"")&amp;IF(SUMPRODUCT(('تشخيص الحالات'!$B$2:$B$1001=B686)*('تشخيص الحالات'!$G$2:$G$1001=4))&gt;0,"، "&amp;IFERROR(INDEX('تشخيص الحالات'!$D$2:$D$1001,SUMPRODUCT(('تشخيص الحالات'!$B$2:$B$1001=B686)*('تشخيص الحالات'!$G$2:$G$1001=4)*ROW('تشخيص الحالات'!$B$2:$B$1001))-1),""),"")&amp;IF(SUMPRODUCT(('تشخيص الحالات'!$B$2:$B$1001=B686)*('تشخيص الحالات'!$G$2:$G$1001=5))&gt;0,"، "&amp;IFERROR(INDEX('تشخيص الحالات'!$D$2:$D$1001,SUMPRODUCT(('تشخيص الحالات'!$B$2:$B$1001=B686)*('تشخيص الحالات'!$G$2:$G$1001=5)*ROW('تشخيص الحالات'!$B$2:$B$1001))-1),""),"")&amp;IF(SUMPRODUCT(('تشخيص الحالات'!$B$2:$B$1001=B686)*('تشخيص الحالات'!$G$2:$G$1001=6))&gt;0,"، "&amp;IFERROR(INDEX('تشخيص الحالات'!$D$2:$D$1001,SUMPRODUCT(('تشخيص الحالات'!$B$2:$B$1001=B686)*('تشخيص الحالات'!$G$2:$G$1001=6)*ROW('تشخيص الحالات'!$B$2:$B$1001))-1),""),"")&amp;IF(SUMPRODUCT(('تشخيص الحالات'!$B$2:$B$1001=B686)*('تشخيص الحالات'!$G$2:$G$1001=7))&gt;0,"، "&amp;IFERROR(INDEX('تشخيص الحالات'!$D$2:$D$1001,SUMPRODUCT(('تشخيص الحالات'!$B$2:$B$1001=B686)*('تشخيص الحالات'!$G$2:$G$1001=7)*ROW('تشخيص الحالات'!$B$2:$B$1001))-1),""),"")&amp;IF(SUMPRODUCT(('تشخيص الحالات'!$B$2:$B$1001=B686)*('تشخيص الحالات'!$G$2:$G$1001=8))&gt;0,"، "&amp;IFERROR(INDEX('تشخيص الحالات'!$D$2:$D$1001,SUMPRODUCT(('تشخيص الحالات'!$B$2:$B$1001=B686)*('تشخيص الحالات'!$G$2:$G$1001=8)*ROW('تشخيص الحالات'!$B$2:$B$1001))-1),""),"")</f>
        <v/>
      </c>
      <c r="J686" s="1"/>
      <c r="K686" s="1"/>
      <c r="L686" s="1"/>
      <c r="M686" s="1"/>
    </row>
    <row r="687" spans="1:13" x14ac:dyDescent="0.2">
      <c r="A687" s="1"/>
      <c r="B687" s="1"/>
      <c r="C687" s="1"/>
      <c r="D687" s="1"/>
      <c r="E687" s="1"/>
      <c r="F687" s="1"/>
      <c r="G687" s="1"/>
      <c r="H687" s="1"/>
      <c r="I687" t="str">
        <f>IFERROR(INDEX('تشخيص الحالات'!$D$2:$D$1001,SUMPRODUCT(('تشخيص الحالات'!$B$2:$B$1001=B687)*('تشخيص الحالات'!$G$2:$G$1001=1)*ROW('تشخيص الحالات'!$B$2:$B$1001))-1),"")&amp;IF(SUMPRODUCT(('تشخيص الحالات'!$B$2:$B$1001=B687)*('تشخيص الحالات'!$G$2:$G$1001=2))&gt;0,"، "&amp;IFERROR(INDEX('تشخيص الحالات'!$D$2:$D$1001,SUMPRODUCT(('تشخيص الحالات'!$B$2:$B$1001=B687)*('تشخيص الحالات'!$G$2:$G$1001=2)*ROW('تشخيص الحالات'!$B$2:$B$1001))-1),""),"")&amp;IF(SUMPRODUCT(('تشخيص الحالات'!$B$2:$B$1001=B687)*('تشخيص الحالات'!$G$2:$G$1001=3))&gt;0,"، "&amp;IFERROR(INDEX('تشخيص الحالات'!$D$2:$D$1001,SUMPRODUCT(('تشخيص الحالات'!$B$2:$B$1001=B687)*('تشخيص الحالات'!$G$2:$G$1001=3)*ROW('تشخيص الحالات'!$B$2:$B$1001))-1),""),"")&amp;IF(SUMPRODUCT(('تشخيص الحالات'!$B$2:$B$1001=B687)*('تشخيص الحالات'!$G$2:$G$1001=4))&gt;0,"، "&amp;IFERROR(INDEX('تشخيص الحالات'!$D$2:$D$1001,SUMPRODUCT(('تشخيص الحالات'!$B$2:$B$1001=B687)*('تشخيص الحالات'!$G$2:$G$1001=4)*ROW('تشخيص الحالات'!$B$2:$B$1001))-1),""),"")&amp;IF(SUMPRODUCT(('تشخيص الحالات'!$B$2:$B$1001=B687)*('تشخيص الحالات'!$G$2:$G$1001=5))&gt;0,"، "&amp;IFERROR(INDEX('تشخيص الحالات'!$D$2:$D$1001,SUMPRODUCT(('تشخيص الحالات'!$B$2:$B$1001=B687)*('تشخيص الحالات'!$G$2:$G$1001=5)*ROW('تشخيص الحالات'!$B$2:$B$1001))-1),""),"")&amp;IF(SUMPRODUCT(('تشخيص الحالات'!$B$2:$B$1001=B687)*('تشخيص الحالات'!$G$2:$G$1001=6))&gt;0,"، "&amp;IFERROR(INDEX('تشخيص الحالات'!$D$2:$D$1001,SUMPRODUCT(('تشخيص الحالات'!$B$2:$B$1001=B687)*('تشخيص الحالات'!$G$2:$G$1001=6)*ROW('تشخيص الحالات'!$B$2:$B$1001))-1),""),"")&amp;IF(SUMPRODUCT(('تشخيص الحالات'!$B$2:$B$1001=B687)*('تشخيص الحالات'!$G$2:$G$1001=7))&gt;0,"، "&amp;IFERROR(INDEX('تشخيص الحالات'!$D$2:$D$1001,SUMPRODUCT(('تشخيص الحالات'!$B$2:$B$1001=B687)*('تشخيص الحالات'!$G$2:$G$1001=7)*ROW('تشخيص الحالات'!$B$2:$B$1001))-1),""),"")&amp;IF(SUMPRODUCT(('تشخيص الحالات'!$B$2:$B$1001=B687)*('تشخيص الحالات'!$G$2:$G$1001=8))&gt;0,"، "&amp;IFERROR(INDEX('تشخيص الحالات'!$D$2:$D$1001,SUMPRODUCT(('تشخيص الحالات'!$B$2:$B$1001=B687)*('تشخيص الحالات'!$G$2:$G$1001=8)*ROW('تشخيص الحالات'!$B$2:$B$1001))-1),""),"")</f>
        <v/>
      </c>
      <c r="J687" s="1"/>
      <c r="K687" s="1"/>
      <c r="L687" s="1"/>
      <c r="M687" s="1"/>
    </row>
    <row r="688" spans="1:13" x14ac:dyDescent="0.2">
      <c r="A688" s="1"/>
      <c r="B688" s="1"/>
      <c r="C688" s="1"/>
      <c r="D688" s="1"/>
      <c r="E688" s="1"/>
      <c r="F688" s="1"/>
      <c r="G688" s="1"/>
      <c r="H688" s="1"/>
      <c r="I688" t="str">
        <f>IFERROR(INDEX('تشخيص الحالات'!$D$2:$D$1001,SUMPRODUCT(('تشخيص الحالات'!$B$2:$B$1001=B688)*('تشخيص الحالات'!$G$2:$G$1001=1)*ROW('تشخيص الحالات'!$B$2:$B$1001))-1),"")&amp;IF(SUMPRODUCT(('تشخيص الحالات'!$B$2:$B$1001=B688)*('تشخيص الحالات'!$G$2:$G$1001=2))&gt;0,"، "&amp;IFERROR(INDEX('تشخيص الحالات'!$D$2:$D$1001,SUMPRODUCT(('تشخيص الحالات'!$B$2:$B$1001=B688)*('تشخيص الحالات'!$G$2:$G$1001=2)*ROW('تشخيص الحالات'!$B$2:$B$1001))-1),""),"")&amp;IF(SUMPRODUCT(('تشخيص الحالات'!$B$2:$B$1001=B688)*('تشخيص الحالات'!$G$2:$G$1001=3))&gt;0,"، "&amp;IFERROR(INDEX('تشخيص الحالات'!$D$2:$D$1001,SUMPRODUCT(('تشخيص الحالات'!$B$2:$B$1001=B688)*('تشخيص الحالات'!$G$2:$G$1001=3)*ROW('تشخيص الحالات'!$B$2:$B$1001))-1),""),"")&amp;IF(SUMPRODUCT(('تشخيص الحالات'!$B$2:$B$1001=B688)*('تشخيص الحالات'!$G$2:$G$1001=4))&gt;0,"، "&amp;IFERROR(INDEX('تشخيص الحالات'!$D$2:$D$1001,SUMPRODUCT(('تشخيص الحالات'!$B$2:$B$1001=B688)*('تشخيص الحالات'!$G$2:$G$1001=4)*ROW('تشخيص الحالات'!$B$2:$B$1001))-1),""),"")&amp;IF(SUMPRODUCT(('تشخيص الحالات'!$B$2:$B$1001=B688)*('تشخيص الحالات'!$G$2:$G$1001=5))&gt;0,"، "&amp;IFERROR(INDEX('تشخيص الحالات'!$D$2:$D$1001,SUMPRODUCT(('تشخيص الحالات'!$B$2:$B$1001=B688)*('تشخيص الحالات'!$G$2:$G$1001=5)*ROW('تشخيص الحالات'!$B$2:$B$1001))-1),""),"")&amp;IF(SUMPRODUCT(('تشخيص الحالات'!$B$2:$B$1001=B688)*('تشخيص الحالات'!$G$2:$G$1001=6))&gt;0,"، "&amp;IFERROR(INDEX('تشخيص الحالات'!$D$2:$D$1001,SUMPRODUCT(('تشخيص الحالات'!$B$2:$B$1001=B688)*('تشخيص الحالات'!$G$2:$G$1001=6)*ROW('تشخيص الحالات'!$B$2:$B$1001))-1),""),"")&amp;IF(SUMPRODUCT(('تشخيص الحالات'!$B$2:$B$1001=B688)*('تشخيص الحالات'!$G$2:$G$1001=7))&gt;0,"، "&amp;IFERROR(INDEX('تشخيص الحالات'!$D$2:$D$1001,SUMPRODUCT(('تشخيص الحالات'!$B$2:$B$1001=B688)*('تشخيص الحالات'!$G$2:$G$1001=7)*ROW('تشخيص الحالات'!$B$2:$B$1001))-1),""),"")&amp;IF(SUMPRODUCT(('تشخيص الحالات'!$B$2:$B$1001=B688)*('تشخيص الحالات'!$G$2:$G$1001=8))&gt;0,"، "&amp;IFERROR(INDEX('تشخيص الحالات'!$D$2:$D$1001,SUMPRODUCT(('تشخيص الحالات'!$B$2:$B$1001=B688)*('تشخيص الحالات'!$G$2:$G$1001=8)*ROW('تشخيص الحالات'!$B$2:$B$1001))-1),""),"")</f>
        <v/>
      </c>
      <c r="J688" s="1"/>
      <c r="K688" s="1"/>
      <c r="L688" s="1"/>
      <c r="M688" s="1"/>
    </row>
    <row r="689" spans="1:13" x14ac:dyDescent="0.2">
      <c r="A689" s="1"/>
      <c r="B689" s="1"/>
      <c r="C689" s="1"/>
      <c r="D689" s="1"/>
      <c r="E689" s="1"/>
      <c r="F689" s="1"/>
      <c r="G689" s="1"/>
      <c r="H689" s="1"/>
      <c r="I689" t="str">
        <f>IFERROR(INDEX('تشخيص الحالات'!$D$2:$D$1001,SUMPRODUCT(('تشخيص الحالات'!$B$2:$B$1001=B689)*('تشخيص الحالات'!$G$2:$G$1001=1)*ROW('تشخيص الحالات'!$B$2:$B$1001))-1),"")&amp;IF(SUMPRODUCT(('تشخيص الحالات'!$B$2:$B$1001=B689)*('تشخيص الحالات'!$G$2:$G$1001=2))&gt;0,"، "&amp;IFERROR(INDEX('تشخيص الحالات'!$D$2:$D$1001,SUMPRODUCT(('تشخيص الحالات'!$B$2:$B$1001=B689)*('تشخيص الحالات'!$G$2:$G$1001=2)*ROW('تشخيص الحالات'!$B$2:$B$1001))-1),""),"")&amp;IF(SUMPRODUCT(('تشخيص الحالات'!$B$2:$B$1001=B689)*('تشخيص الحالات'!$G$2:$G$1001=3))&gt;0,"، "&amp;IFERROR(INDEX('تشخيص الحالات'!$D$2:$D$1001,SUMPRODUCT(('تشخيص الحالات'!$B$2:$B$1001=B689)*('تشخيص الحالات'!$G$2:$G$1001=3)*ROW('تشخيص الحالات'!$B$2:$B$1001))-1),""),"")&amp;IF(SUMPRODUCT(('تشخيص الحالات'!$B$2:$B$1001=B689)*('تشخيص الحالات'!$G$2:$G$1001=4))&gt;0,"، "&amp;IFERROR(INDEX('تشخيص الحالات'!$D$2:$D$1001,SUMPRODUCT(('تشخيص الحالات'!$B$2:$B$1001=B689)*('تشخيص الحالات'!$G$2:$G$1001=4)*ROW('تشخيص الحالات'!$B$2:$B$1001))-1),""),"")&amp;IF(SUMPRODUCT(('تشخيص الحالات'!$B$2:$B$1001=B689)*('تشخيص الحالات'!$G$2:$G$1001=5))&gt;0,"، "&amp;IFERROR(INDEX('تشخيص الحالات'!$D$2:$D$1001,SUMPRODUCT(('تشخيص الحالات'!$B$2:$B$1001=B689)*('تشخيص الحالات'!$G$2:$G$1001=5)*ROW('تشخيص الحالات'!$B$2:$B$1001))-1),""),"")&amp;IF(SUMPRODUCT(('تشخيص الحالات'!$B$2:$B$1001=B689)*('تشخيص الحالات'!$G$2:$G$1001=6))&gt;0,"، "&amp;IFERROR(INDEX('تشخيص الحالات'!$D$2:$D$1001,SUMPRODUCT(('تشخيص الحالات'!$B$2:$B$1001=B689)*('تشخيص الحالات'!$G$2:$G$1001=6)*ROW('تشخيص الحالات'!$B$2:$B$1001))-1),""),"")&amp;IF(SUMPRODUCT(('تشخيص الحالات'!$B$2:$B$1001=B689)*('تشخيص الحالات'!$G$2:$G$1001=7))&gt;0,"، "&amp;IFERROR(INDEX('تشخيص الحالات'!$D$2:$D$1001,SUMPRODUCT(('تشخيص الحالات'!$B$2:$B$1001=B689)*('تشخيص الحالات'!$G$2:$G$1001=7)*ROW('تشخيص الحالات'!$B$2:$B$1001))-1),""),"")&amp;IF(SUMPRODUCT(('تشخيص الحالات'!$B$2:$B$1001=B689)*('تشخيص الحالات'!$G$2:$G$1001=8))&gt;0,"، "&amp;IFERROR(INDEX('تشخيص الحالات'!$D$2:$D$1001,SUMPRODUCT(('تشخيص الحالات'!$B$2:$B$1001=B689)*('تشخيص الحالات'!$G$2:$G$1001=8)*ROW('تشخيص الحالات'!$B$2:$B$1001))-1),""),"")</f>
        <v/>
      </c>
      <c r="J689" s="1"/>
      <c r="K689" s="1"/>
      <c r="L689" s="1"/>
      <c r="M689" s="1"/>
    </row>
    <row r="690" spans="1:13" x14ac:dyDescent="0.2">
      <c r="A690" s="1"/>
      <c r="B690" s="1"/>
      <c r="C690" s="1"/>
      <c r="D690" s="1"/>
      <c r="E690" s="1"/>
      <c r="F690" s="1"/>
      <c r="G690" s="1"/>
      <c r="H690" s="1"/>
      <c r="I690" t="str">
        <f>IFERROR(INDEX('تشخيص الحالات'!$D$2:$D$1001,SUMPRODUCT(('تشخيص الحالات'!$B$2:$B$1001=B690)*('تشخيص الحالات'!$G$2:$G$1001=1)*ROW('تشخيص الحالات'!$B$2:$B$1001))-1),"")&amp;IF(SUMPRODUCT(('تشخيص الحالات'!$B$2:$B$1001=B690)*('تشخيص الحالات'!$G$2:$G$1001=2))&gt;0,"، "&amp;IFERROR(INDEX('تشخيص الحالات'!$D$2:$D$1001,SUMPRODUCT(('تشخيص الحالات'!$B$2:$B$1001=B690)*('تشخيص الحالات'!$G$2:$G$1001=2)*ROW('تشخيص الحالات'!$B$2:$B$1001))-1),""),"")&amp;IF(SUMPRODUCT(('تشخيص الحالات'!$B$2:$B$1001=B690)*('تشخيص الحالات'!$G$2:$G$1001=3))&gt;0,"، "&amp;IFERROR(INDEX('تشخيص الحالات'!$D$2:$D$1001,SUMPRODUCT(('تشخيص الحالات'!$B$2:$B$1001=B690)*('تشخيص الحالات'!$G$2:$G$1001=3)*ROW('تشخيص الحالات'!$B$2:$B$1001))-1),""),"")&amp;IF(SUMPRODUCT(('تشخيص الحالات'!$B$2:$B$1001=B690)*('تشخيص الحالات'!$G$2:$G$1001=4))&gt;0,"، "&amp;IFERROR(INDEX('تشخيص الحالات'!$D$2:$D$1001,SUMPRODUCT(('تشخيص الحالات'!$B$2:$B$1001=B690)*('تشخيص الحالات'!$G$2:$G$1001=4)*ROW('تشخيص الحالات'!$B$2:$B$1001))-1),""),"")&amp;IF(SUMPRODUCT(('تشخيص الحالات'!$B$2:$B$1001=B690)*('تشخيص الحالات'!$G$2:$G$1001=5))&gt;0,"، "&amp;IFERROR(INDEX('تشخيص الحالات'!$D$2:$D$1001,SUMPRODUCT(('تشخيص الحالات'!$B$2:$B$1001=B690)*('تشخيص الحالات'!$G$2:$G$1001=5)*ROW('تشخيص الحالات'!$B$2:$B$1001))-1),""),"")&amp;IF(SUMPRODUCT(('تشخيص الحالات'!$B$2:$B$1001=B690)*('تشخيص الحالات'!$G$2:$G$1001=6))&gt;0,"، "&amp;IFERROR(INDEX('تشخيص الحالات'!$D$2:$D$1001,SUMPRODUCT(('تشخيص الحالات'!$B$2:$B$1001=B690)*('تشخيص الحالات'!$G$2:$G$1001=6)*ROW('تشخيص الحالات'!$B$2:$B$1001))-1),""),"")&amp;IF(SUMPRODUCT(('تشخيص الحالات'!$B$2:$B$1001=B690)*('تشخيص الحالات'!$G$2:$G$1001=7))&gt;0,"، "&amp;IFERROR(INDEX('تشخيص الحالات'!$D$2:$D$1001,SUMPRODUCT(('تشخيص الحالات'!$B$2:$B$1001=B690)*('تشخيص الحالات'!$G$2:$G$1001=7)*ROW('تشخيص الحالات'!$B$2:$B$1001))-1),""),"")&amp;IF(SUMPRODUCT(('تشخيص الحالات'!$B$2:$B$1001=B690)*('تشخيص الحالات'!$G$2:$G$1001=8))&gt;0,"، "&amp;IFERROR(INDEX('تشخيص الحالات'!$D$2:$D$1001,SUMPRODUCT(('تشخيص الحالات'!$B$2:$B$1001=B690)*('تشخيص الحالات'!$G$2:$G$1001=8)*ROW('تشخيص الحالات'!$B$2:$B$1001))-1),""),"")</f>
        <v/>
      </c>
      <c r="J690" s="1"/>
      <c r="K690" s="1"/>
      <c r="L690" s="1"/>
      <c r="M690" s="1"/>
    </row>
    <row r="691" spans="1:13" x14ac:dyDescent="0.2">
      <c r="A691" s="1"/>
      <c r="B691" s="1"/>
      <c r="C691" s="1"/>
      <c r="D691" s="1"/>
      <c r="E691" s="1"/>
      <c r="F691" s="1"/>
      <c r="G691" s="1"/>
      <c r="H691" s="1"/>
      <c r="I691" t="str">
        <f>IFERROR(INDEX('تشخيص الحالات'!$D$2:$D$1001,SUMPRODUCT(('تشخيص الحالات'!$B$2:$B$1001=B691)*('تشخيص الحالات'!$G$2:$G$1001=1)*ROW('تشخيص الحالات'!$B$2:$B$1001))-1),"")&amp;IF(SUMPRODUCT(('تشخيص الحالات'!$B$2:$B$1001=B691)*('تشخيص الحالات'!$G$2:$G$1001=2))&gt;0,"، "&amp;IFERROR(INDEX('تشخيص الحالات'!$D$2:$D$1001,SUMPRODUCT(('تشخيص الحالات'!$B$2:$B$1001=B691)*('تشخيص الحالات'!$G$2:$G$1001=2)*ROW('تشخيص الحالات'!$B$2:$B$1001))-1),""),"")&amp;IF(SUMPRODUCT(('تشخيص الحالات'!$B$2:$B$1001=B691)*('تشخيص الحالات'!$G$2:$G$1001=3))&gt;0,"، "&amp;IFERROR(INDEX('تشخيص الحالات'!$D$2:$D$1001,SUMPRODUCT(('تشخيص الحالات'!$B$2:$B$1001=B691)*('تشخيص الحالات'!$G$2:$G$1001=3)*ROW('تشخيص الحالات'!$B$2:$B$1001))-1),""),"")&amp;IF(SUMPRODUCT(('تشخيص الحالات'!$B$2:$B$1001=B691)*('تشخيص الحالات'!$G$2:$G$1001=4))&gt;0,"، "&amp;IFERROR(INDEX('تشخيص الحالات'!$D$2:$D$1001,SUMPRODUCT(('تشخيص الحالات'!$B$2:$B$1001=B691)*('تشخيص الحالات'!$G$2:$G$1001=4)*ROW('تشخيص الحالات'!$B$2:$B$1001))-1),""),"")&amp;IF(SUMPRODUCT(('تشخيص الحالات'!$B$2:$B$1001=B691)*('تشخيص الحالات'!$G$2:$G$1001=5))&gt;0,"، "&amp;IFERROR(INDEX('تشخيص الحالات'!$D$2:$D$1001,SUMPRODUCT(('تشخيص الحالات'!$B$2:$B$1001=B691)*('تشخيص الحالات'!$G$2:$G$1001=5)*ROW('تشخيص الحالات'!$B$2:$B$1001))-1),""),"")&amp;IF(SUMPRODUCT(('تشخيص الحالات'!$B$2:$B$1001=B691)*('تشخيص الحالات'!$G$2:$G$1001=6))&gt;0,"، "&amp;IFERROR(INDEX('تشخيص الحالات'!$D$2:$D$1001,SUMPRODUCT(('تشخيص الحالات'!$B$2:$B$1001=B691)*('تشخيص الحالات'!$G$2:$G$1001=6)*ROW('تشخيص الحالات'!$B$2:$B$1001))-1),""),"")&amp;IF(SUMPRODUCT(('تشخيص الحالات'!$B$2:$B$1001=B691)*('تشخيص الحالات'!$G$2:$G$1001=7))&gt;0,"، "&amp;IFERROR(INDEX('تشخيص الحالات'!$D$2:$D$1001,SUMPRODUCT(('تشخيص الحالات'!$B$2:$B$1001=B691)*('تشخيص الحالات'!$G$2:$G$1001=7)*ROW('تشخيص الحالات'!$B$2:$B$1001))-1),""),"")&amp;IF(SUMPRODUCT(('تشخيص الحالات'!$B$2:$B$1001=B691)*('تشخيص الحالات'!$G$2:$G$1001=8))&gt;0,"، "&amp;IFERROR(INDEX('تشخيص الحالات'!$D$2:$D$1001,SUMPRODUCT(('تشخيص الحالات'!$B$2:$B$1001=B691)*('تشخيص الحالات'!$G$2:$G$1001=8)*ROW('تشخيص الحالات'!$B$2:$B$1001))-1),""),"")</f>
        <v/>
      </c>
      <c r="J691" s="1"/>
      <c r="K691" s="1"/>
      <c r="L691" s="1"/>
      <c r="M691" s="1"/>
    </row>
    <row r="692" spans="1:13" x14ac:dyDescent="0.2">
      <c r="A692" s="1"/>
      <c r="B692" s="1"/>
      <c r="C692" s="1"/>
      <c r="D692" s="1"/>
      <c r="E692" s="1"/>
      <c r="F692" s="1"/>
      <c r="G692" s="1"/>
      <c r="H692" s="1"/>
      <c r="I692" t="str">
        <f>IFERROR(INDEX('تشخيص الحالات'!$D$2:$D$1001,SUMPRODUCT(('تشخيص الحالات'!$B$2:$B$1001=B692)*('تشخيص الحالات'!$G$2:$G$1001=1)*ROW('تشخيص الحالات'!$B$2:$B$1001))-1),"")&amp;IF(SUMPRODUCT(('تشخيص الحالات'!$B$2:$B$1001=B692)*('تشخيص الحالات'!$G$2:$G$1001=2))&gt;0,"، "&amp;IFERROR(INDEX('تشخيص الحالات'!$D$2:$D$1001,SUMPRODUCT(('تشخيص الحالات'!$B$2:$B$1001=B692)*('تشخيص الحالات'!$G$2:$G$1001=2)*ROW('تشخيص الحالات'!$B$2:$B$1001))-1),""),"")&amp;IF(SUMPRODUCT(('تشخيص الحالات'!$B$2:$B$1001=B692)*('تشخيص الحالات'!$G$2:$G$1001=3))&gt;0,"، "&amp;IFERROR(INDEX('تشخيص الحالات'!$D$2:$D$1001,SUMPRODUCT(('تشخيص الحالات'!$B$2:$B$1001=B692)*('تشخيص الحالات'!$G$2:$G$1001=3)*ROW('تشخيص الحالات'!$B$2:$B$1001))-1),""),"")&amp;IF(SUMPRODUCT(('تشخيص الحالات'!$B$2:$B$1001=B692)*('تشخيص الحالات'!$G$2:$G$1001=4))&gt;0,"، "&amp;IFERROR(INDEX('تشخيص الحالات'!$D$2:$D$1001,SUMPRODUCT(('تشخيص الحالات'!$B$2:$B$1001=B692)*('تشخيص الحالات'!$G$2:$G$1001=4)*ROW('تشخيص الحالات'!$B$2:$B$1001))-1),""),"")&amp;IF(SUMPRODUCT(('تشخيص الحالات'!$B$2:$B$1001=B692)*('تشخيص الحالات'!$G$2:$G$1001=5))&gt;0,"، "&amp;IFERROR(INDEX('تشخيص الحالات'!$D$2:$D$1001,SUMPRODUCT(('تشخيص الحالات'!$B$2:$B$1001=B692)*('تشخيص الحالات'!$G$2:$G$1001=5)*ROW('تشخيص الحالات'!$B$2:$B$1001))-1),""),"")&amp;IF(SUMPRODUCT(('تشخيص الحالات'!$B$2:$B$1001=B692)*('تشخيص الحالات'!$G$2:$G$1001=6))&gt;0,"، "&amp;IFERROR(INDEX('تشخيص الحالات'!$D$2:$D$1001,SUMPRODUCT(('تشخيص الحالات'!$B$2:$B$1001=B692)*('تشخيص الحالات'!$G$2:$G$1001=6)*ROW('تشخيص الحالات'!$B$2:$B$1001))-1),""),"")&amp;IF(SUMPRODUCT(('تشخيص الحالات'!$B$2:$B$1001=B692)*('تشخيص الحالات'!$G$2:$G$1001=7))&gt;0,"، "&amp;IFERROR(INDEX('تشخيص الحالات'!$D$2:$D$1001,SUMPRODUCT(('تشخيص الحالات'!$B$2:$B$1001=B692)*('تشخيص الحالات'!$G$2:$G$1001=7)*ROW('تشخيص الحالات'!$B$2:$B$1001))-1),""),"")&amp;IF(SUMPRODUCT(('تشخيص الحالات'!$B$2:$B$1001=B692)*('تشخيص الحالات'!$G$2:$G$1001=8))&gt;0,"، "&amp;IFERROR(INDEX('تشخيص الحالات'!$D$2:$D$1001,SUMPRODUCT(('تشخيص الحالات'!$B$2:$B$1001=B692)*('تشخيص الحالات'!$G$2:$G$1001=8)*ROW('تشخيص الحالات'!$B$2:$B$1001))-1),""),"")</f>
        <v/>
      </c>
      <c r="J692" s="1"/>
      <c r="K692" s="1"/>
      <c r="L692" s="1"/>
      <c r="M692" s="1"/>
    </row>
    <row r="693" spans="1:13" x14ac:dyDescent="0.2">
      <c r="A693" s="1"/>
      <c r="B693" s="1"/>
      <c r="C693" s="1"/>
      <c r="D693" s="1"/>
      <c r="E693" s="1"/>
      <c r="F693" s="1"/>
      <c r="G693" s="1"/>
      <c r="H693" s="1"/>
      <c r="I693" t="str">
        <f>IFERROR(INDEX('تشخيص الحالات'!$D$2:$D$1001,SUMPRODUCT(('تشخيص الحالات'!$B$2:$B$1001=B693)*('تشخيص الحالات'!$G$2:$G$1001=1)*ROW('تشخيص الحالات'!$B$2:$B$1001))-1),"")&amp;IF(SUMPRODUCT(('تشخيص الحالات'!$B$2:$B$1001=B693)*('تشخيص الحالات'!$G$2:$G$1001=2))&gt;0,"، "&amp;IFERROR(INDEX('تشخيص الحالات'!$D$2:$D$1001,SUMPRODUCT(('تشخيص الحالات'!$B$2:$B$1001=B693)*('تشخيص الحالات'!$G$2:$G$1001=2)*ROW('تشخيص الحالات'!$B$2:$B$1001))-1),""),"")&amp;IF(SUMPRODUCT(('تشخيص الحالات'!$B$2:$B$1001=B693)*('تشخيص الحالات'!$G$2:$G$1001=3))&gt;0,"، "&amp;IFERROR(INDEX('تشخيص الحالات'!$D$2:$D$1001,SUMPRODUCT(('تشخيص الحالات'!$B$2:$B$1001=B693)*('تشخيص الحالات'!$G$2:$G$1001=3)*ROW('تشخيص الحالات'!$B$2:$B$1001))-1),""),"")&amp;IF(SUMPRODUCT(('تشخيص الحالات'!$B$2:$B$1001=B693)*('تشخيص الحالات'!$G$2:$G$1001=4))&gt;0,"، "&amp;IFERROR(INDEX('تشخيص الحالات'!$D$2:$D$1001,SUMPRODUCT(('تشخيص الحالات'!$B$2:$B$1001=B693)*('تشخيص الحالات'!$G$2:$G$1001=4)*ROW('تشخيص الحالات'!$B$2:$B$1001))-1),""),"")&amp;IF(SUMPRODUCT(('تشخيص الحالات'!$B$2:$B$1001=B693)*('تشخيص الحالات'!$G$2:$G$1001=5))&gt;0,"، "&amp;IFERROR(INDEX('تشخيص الحالات'!$D$2:$D$1001,SUMPRODUCT(('تشخيص الحالات'!$B$2:$B$1001=B693)*('تشخيص الحالات'!$G$2:$G$1001=5)*ROW('تشخيص الحالات'!$B$2:$B$1001))-1),""),"")&amp;IF(SUMPRODUCT(('تشخيص الحالات'!$B$2:$B$1001=B693)*('تشخيص الحالات'!$G$2:$G$1001=6))&gt;0,"، "&amp;IFERROR(INDEX('تشخيص الحالات'!$D$2:$D$1001,SUMPRODUCT(('تشخيص الحالات'!$B$2:$B$1001=B693)*('تشخيص الحالات'!$G$2:$G$1001=6)*ROW('تشخيص الحالات'!$B$2:$B$1001))-1),""),"")&amp;IF(SUMPRODUCT(('تشخيص الحالات'!$B$2:$B$1001=B693)*('تشخيص الحالات'!$G$2:$G$1001=7))&gt;0,"، "&amp;IFERROR(INDEX('تشخيص الحالات'!$D$2:$D$1001,SUMPRODUCT(('تشخيص الحالات'!$B$2:$B$1001=B693)*('تشخيص الحالات'!$G$2:$G$1001=7)*ROW('تشخيص الحالات'!$B$2:$B$1001))-1),""),"")&amp;IF(SUMPRODUCT(('تشخيص الحالات'!$B$2:$B$1001=B693)*('تشخيص الحالات'!$G$2:$G$1001=8))&gt;0,"، "&amp;IFERROR(INDEX('تشخيص الحالات'!$D$2:$D$1001,SUMPRODUCT(('تشخيص الحالات'!$B$2:$B$1001=B693)*('تشخيص الحالات'!$G$2:$G$1001=8)*ROW('تشخيص الحالات'!$B$2:$B$1001))-1),""),"")</f>
        <v/>
      </c>
      <c r="J693" s="1"/>
      <c r="K693" s="1"/>
      <c r="L693" s="1"/>
      <c r="M693" s="1"/>
    </row>
    <row r="694" spans="1:13" x14ac:dyDescent="0.2">
      <c r="A694" s="1"/>
      <c r="B694" s="1"/>
      <c r="C694" s="1"/>
      <c r="D694" s="1"/>
      <c r="E694" s="1"/>
      <c r="F694" s="1"/>
      <c r="G694" s="1"/>
      <c r="H694" s="1"/>
      <c r="I694" t="str">
        <f>IFERROR(INDEX('تشخيص الحالات'!$D$2:$D$1001,SUMPRODUCT(('تشخيص الحالات'!$B$2:$B$1001=B694)*('تشخيص الحالات'!$G$2:$G$1001=1)*ROW('تشخيص الحالات'!$B$2:$B$1001))-1),"")&amp;IF(SUMPRODUCT(('تشخيص الحالات'!$B$2:$B$1001=B694)*('تشخيص الحالات'!$G$2:$G$1001=2))&gt;0,"، "&amp;IFERROR(INDEX('تشخيص الحالات'!$D$2:$D$1001,SUMPRODUCT(('تشخيص الحالات'!$B$2:$B$1001=B694)*('تشخيص الحالات'!$G$2:$G$1001=2)*ROW('تشخيص الحالات'!$B$2:$B$1001))-1),""),"")&amp;IF(SUMPRODUCT(('تشخيص الحالات'!$B$2:$B$1001=B694)*('تشخيص الحالات'!$G$2:$G$1001=3))&gt;0,"، "&amp;IFERROR(INDEX('تشخيص الحالات'!$D$2:$D$1001,SUMPRODUCT(('تشخيص الحالات'!$B$2:$B$1001=B694)*('تشخيص الحالات'!$G$2:$G$1001=3)*ROW('تشخيص الحالات'!$B$2:$B$1001))-1),""),"")&amp;IF(SUMPRODUCT(('تشخيص الحالات'!$B$2:$B$1001=B694)*('تشخيص الحالات'!$G$2:$G$1001=4))&gt;0,"، "&amp;IFERROR(INDEX('تشخيص الحالات'!$D$2:$D$1001,SUMPRODUCT(('تشخيص الحالات'!$B$2:$B$1001=B694)*('تشخيص الحالات'!$G$2:$G$1001=4)*ROW('تشخيص الحالات'!$B$2:$B$1001))-1),""),"")&amp;IF(SUMPRODUCT(('تشخيص الحالات'!$B$2:$B$1001=B694)*('تشخيص الحالات'!$G$2:$G$1001=5))&gt;0,"، "&amp;IFERROR(INDEX('تشخيص الحالات'!$D$2:$D$1001,SUMPRODUCT(('تشخيص الحالات'!$B$2:$B$1001=B694)*('تشخيص الحالات'!$G$2:$G$1001=5)*ROW('تشخيص الحالات'!$B$2:$B$1001))-1),""),"")&amp;IF(SUMPRODUCT(('تشخيص الحالات'!$B$2:$B$1001=B694)*('تشخيص الحالات'!$G$2:$G$1001=6))&gt;0,"، "&amp;IFERROR(INDEX('تشخيص الحالات'!$D$2:$D$1001,SUMPRODUCT(('تشخيص الحالات'!$B$2:$B$1001=B694)*('تشخيص الحالات'!$G$2:$G$1001=6)*ROW('تشخيص الحالات'!$B$2:$B$1001))-1),""),"")&amp;IF(SUMPRODUCT(('تشخيص الحالات'!$B$2:$B$1001=B694)*('تشخيص الحالات'!$G$2:$G$1001=7))&gt;0,"، "&amp;IFERROR(INDEX('تشخيص الحالات'!$D$2:$D$1001,SUMPRODUCT(('تشخيص الحالات'!$B$2:$B$1001=B694)*('تشخيص الحالات'!$G$2:$G$1001=7)*ROW('تشخيص الحالات'!$B$2:$B$1001))-1),""),"")&amp;IF(SUMPRODUCT(('تشخيص الحالات'!$B$2:$B$1001=B694)*('تشخيص الحالات'!$G$2:$G$1001=8))&gt;0,"، "&amp;IFERROR(INDEX('تشخيص الحالات'!$D$2:$D$1001,SUMPRODUCT(('تشخيص الحالات'!$B$2:$B$1001=B694)*('تشخيص الحالات'!$G$2:$G$1001=8)*ROW('تشخيص الحالات'!$B$2:$B$1001))-1),""),"")</f>
        <v/>
      </c>
      <c r="J694" s="1"/>
      <c r="K694" s="1"/>
      <c r="L694" s="1"/>
      <c r="M694" s="1"/>
    </row>
    <row r="695" spans="1:13" x14ac:dyDescent="0.2">
      <c r="A695" s="1"/>
      <c r="B695" s="1"/>
      <c r="C695" s="1"/>
      <c r="D695" s="1"/>
      <c r="E695" s="1"/>
      <c r="F695" s="1"/>
      <c r="G695" s="1"/>
      <c r="H695" s="1"/>
      <c r="I695" t="str">
        <f>IFERROR(INDEX('تشخيص الحالات'!$D$2:$D$1001,SUMPRODUCT(('تشخيص الحالات'!$B$2:$B$1001=B695)*('تشخيص الحالات'!$G$2:$G$1001=1)*ROW('تشخيص الحالات'!$B$2:$B$1001))-1),"")&amp;IF(SUMPRODUCT(('تشخيص الحالات'!$B$2:$B$1001=B695)*('تشخيص الحالات'!$G$2:$G$1001=2))&gt;0,"، "&amp;IFERROR(INDEX('تشخيص الحالات'!$D$2:$D$1001,SUMPRODUCT(('تشخيص الحالات'!$B$2:$B$1001=B695)*('تشخيص الحالات'!$G$2:$G$1001=2)*ROW('تشخيص الحالات'!$B$2:$B$1001))-1),""),"")&amp;IF(SUMPRODUCT(('تشخيص الحالات'!$B$2:$B$1001=B695)*('تشخيص الحالات'!$G$2:$G$1001=3))&gt;0,"، "&amp;IFERROR(INDEX('تشخيص الحالات'!$D$2:$D$1001,SUMPRODUCT(('تشخيص الحالات'!$B$2:$B$1001=B695)*('تشخيص الحالات'!$G$2:$G$1001=3)*ROW('تشخيص الحالات'!$B$2:$B$1001))-1),""),"")&amp;IF(SUMPRODUCT(('تشخيص الحالات'!$B$2:$B$1001=B695)*('تشخيص الحالات'!$G$2:$G$1001=4))&gt;0,"، "&amp;IFERROR(INDEX('تشخيص الحالات'!$D$2:$D$1001,SUMPRODUCT(('تشخيص الحالات'!$B$2:$B$1001=B695)*('تشخيص الحالات'!$G$2:$G$1001=4)*ROW('تشخيص الحالات'!$B$2:$B$1001))-1),""),"")&amp;IF(SUMPRODUCT(('تشخيص الحالات'!$B$2:$B$1001=B695)*('تشخيص الحالات'!$G$2:$G$1001=5))&gt;0,"، "&amp;IFERROR(INDEX('تشخيص الحالات'!$D$2:$D$1001,SUMPRODUCT(('تشخيص الحالات'!$B$2:$B$1001=B695)*('تشخيص الحالات'!$G$2:$G$1001=5)*ROW('تشخيص الحالات'!$B$2:$B$1001))-1),""),"")&amp;IF(SUMPRODUCT(('تشخيص الحالات'!$B$2:$B$1001=B695)*('تشخيص الحالات'!$G$2:$G$1001=6))&gt;0,"، "&amp;IFERROR(INDEX('تشخيص الحالات'!$D$2:$D$1001,SUMPRODUCT(('تشخيص الحالات'!$B$2:$B$1001=B695)*('تشخيص الحالات'!$G$2:$G$1001=6)*ROW('تشخيص الحالات'!$B$2:$B$1001))-1),""),"")&amp;IF(SUMPRODUCT(('تشخيص الحالات'!$B$2:$B$1001=B695)*('تشخيص الحالات'!$G$2:$G$1001=7))&gt;0,"، "&amp;IFERROR(INDEX('تشخيص الحالات'!$D$2:$D$1001,SUMPRODUCT(('تشخيص الحالات'!$B$2:$B$1001=B695)*('تشخيص الحالات'!$G$2:$G$1001=7)*ROW('تشخيص الحالات'!$B$2:$B$1001))-1),""),"")&amp;IF(SUMPRODUCT(('تشخيص الحالات'!$B$2:$B$1001=B695)*('تشخيص الحالات'!$G$2:$G$1001=8))&gt;0,"، "&amp;IFERROR(INDEX('تشخيص الحالات'!$D$2:$D$1001,SUMPRODUCT(('تشخيص الحالات'!$B$2:$B$1001=B695)*('تشخيص الحالات'!$G$2:$G$1001=8)*ROW('تشخيص الحالات'!$B$2:$B$1001))-1),""),"")</f>
        <v/>
      </c>
      <c r="J695" s="1"/>
      <c r="K695" s="1"/>
      <c r="L695" s="1"/>
      <c r="M695" s="1"/>
    </row>
    <row r="696" spans="1:13" x14ac:dyDescent="0.2">
      <c r="A696" s="1"/>
      <c r="B696" s="1"/>
      <c r="C696" s="1"/>
      <c r="D696" s="1"/>
      <c r="E696" s="1"/>
      <c r="F696" s="1"/>
      <c r="G696" s="1"/>
      <c r="H696" s="1"/>
      <c r="I696" t="str">
        <f>IFERROR(INDEX('تشخيص الحالات'!$D$2:$D$1001,SUMPRODUCT(('تشخيص الحالات'!$B$2:$B$1001=B696)*('تشخيص الحالات'!$G$2:$G$1001=1)*ROW('تشخيص الحالات'!$B$2:$B$1001))-1),"")&amp;IF(SUMPRODUCT(('تشخيص الحالات'!$B$2:$B$1001=B696)*('تشخيص الحالات'!$G$2:$G$1001=2))&gt;0,"، "&amp;IFERROR(INDEX('تشخيص الحالات'!$D$2:$D$1001,SUMPRODUCT(('تشخيص الحالات'!$B$2:$B$1001=B696)*('تشخيص الحالات'!$G$2:$G$1001=2)*ROW('تشخيص الحالات'!$B$2:$B$1001))-1),""),"")&amp;IF(SUMPRODUCT(('تشخيص الحالات'!$B$2:$B$1001=B696)*('تشخيص الحالات'!$G$2:$G$1001=3))&gt;0,"، "&amp;IFERROR(INDEX('تشخيص الحالات'!$D$2:$D$1001,SUMPRODUCT(('تشخيص الحالات'!$B$2:$B$1001=B696)*('تشخيص الحالات'!$G$2:$G$1001=3)*ROW('تشخيص الحالات'!$B$2:$B$1001))-1),""),"")&amp;IF(SUMPRODUCT(('تشخيص الحالات'!$B$2:$B$1001=B696)*('تشخيص الحالات'!$G$2:$G$1001=4))&gt;0,"، "&amp;IFERROR(INDEX('تشخيص الحالات'!$D$2:$D$1001,SUMPRODUCT(('تشخيص الحالات'!$B$2:$B$1001=B696)*('تشخيص الحالات'!$G$2:$G$1001=4)*ROW('تشخيص الحالات'!$B$2:$B$1001))-1),""),"")&amp;IF(SUMPRODUCT(('تشخيص الحالات'!$B$2:$B$1001=B696)*('تشخيص الحالات'!$G$2:$G$1001=5))&gt;0,"، "&amp;IFERROR(INDEX('تشخيص الحالات'!$D$2:$D$1001,SUMPRODUCT(('تشخيص الحالات'!$B$2:$B$1001=B696)*('تشخيص الحالات'!$G$2:$G$1001=5)*ROW('تشخيص الحالات'!$B$2:$B$1001))-1),""),"")&amp;IF(SUMPRODUCT(('تشخيص الحالات'!$B$2:$B$1001=B696)*('تشخيص الحالات'!$G$2:$G$1001=6))&gt;0,"، "&amp;IFERROR(INDEX('تشخيص الحالات'!$D$2:$D$1001,SUMPRODUCT(('تشخيص الحالات'!$B$2:$B$1001=B696)*('تشخيص الحالات'!$G$2:$G$1001=6)*ROW('تشخيص الحالات'!$B$2:$B$1001))-1),""),"")&amp;IF(SUMPRODUCT(('تشخيص الحالات'!$B$2:$B$1001=B696)*('تشخيص الحالات'!$G$2:$G$1001=7))&gt;0,"، "&amp;IFERROR(INDEX('تشخيص الحالات'!$D$2:$D$1001,SUMPRODUCT(('تشخيص الحالات'!$B$2:$B$1001=B696)*('تشخيص الحالات'!$G$2:$G$1001=7)*ROW('تشخيص الحالات'!$B$2:$B$1001))-1),""),"")&amp;IF(SUMPRODUCT(('تشخيص الحالات'!$B$2:$B$1001=B696)*('تشخيص الحالات'!$G$2:$G$1001=8))&gt;0,"، "&amp;IFERROR(INDEX('تشخيص الحالات'!$D$2:$D$1001,SUMPRODUCT(('تشخيص الحالات'!$B$2:$B$1001=B696)*('تشخيص الحالات'!$G$2:$G$1001=8)*ROW('تشخيص الحالات'!$B$2:$B$1001))-1),""),"")</f>
        <v/>
      </c>
      <c r="J696" s="1"/>
      <c r="K696" s="1"/>
      <c r="L696" s="1"/>
      <c r="M696" s="1"/>
    </row>
    <row r="697" spans="1:13" x14ac:dyDescent="0.2">
      <c r="A697" s="1"/>
      <c r="B697" s="1"/>
      <c r="C697" s="1"/>
      <c r="D697" s="1"/>
      <c r="E697" s="1"/>
      <c r="F697" s="1"/>
      <c r="G697" s="1"/>
      <c r="H697" s="1"/>
      <c r="I697" t="str">
        <f>IFERROR(INDEX('تشخيص الحالات'!$D$2:$D$1001,SUMPRODUCT(('تشخيص الحالات'!$B$2:$B$1001=B697)*('تشخيص الحالات'!$G$2:$G$1001=1)*ROW('تشخيص الحالات'!$B$2:$B$1001))-1),"")&amp;IF(SUMPRODUCT(('تشخيص الحالات'!$B$2:$B$1001=B697)*('تشخيص الحالات'!$G$2:$G$1001=2))&gt;0,"، "&amp;IFERROR(INDEX('تشخيص الحالات'!$D$2:$D$1001,SUMPRODUCT(('تشخيص الحالات'!$B$2:$B$1001=B697)*('تشخيص الحالات'!$G$2:$G$1001=2)*ROW('تشخيص الحالات'!$B$2:$B$1001))-1),""),"")&amp;IF(SUMPRODUCT(('تشخيص الحالات'!$B$2:$B$1001=B697)*('تشخيص الحالات'!$G$2:$G$1001=3))&gt;0,"، "&amp;IFERROR(INDEX('تشخيص الحالات'!$D$2:$D$1001,SUMPRODUCT(('تشخيص الحالات'!$B$2:$B$1001=B697)*('تشخيص الحالات'!$G$2:$G$1001=3)*ROW('تشخيص الحالات'!$B$2:$B$1001))-1),""),"")&amp;IF(SUMPRODUCT(('تشخيص الحالات'!$B$2:$B$1001=B697)*('تشخيص الحالات'!$G$2:$G$1001=4))&gt;0,"، "&amp;IFERROR(INDEX('تشخيص الحالات'!$D$2:$D$1001,SUMPRODUCT(('تشخيص الحالات'!$B$2:$B$1001=B697)*('تشخيص الحالات'!$G$2:$G$1001=4)*ROW('تشخيص الحالات'!$B$2:$B$1001))-1),""),"")&amp;IF(SUMPRODUCT(('تشخيص الحالات'!$B$2:$B$1001=B697)*('تشخيص الحالات'!$G$2:$G$1001=5))&gt;0,"، "&amp;IFERROR(INDEX('تشخيص الحالات'!$D$2:$D$1001,SUMPRODUCT(('تشخيص الحالات'!$B$2:$B$1001=B697)*('تشخيص الحالات'!$G$2:$G$1001=5)*ROW('تشخيص الحالات'!$B$2:$B$1001))-1),""),"")&amp;IF(SUMPRODUCT(('تشخيص الحالات'!$B$2:$B$1001=B697)*('تشخيص الحالات'!$G$2:$G$1001=6))&gt;0,"، "&amp;IFERROR(INDEX('تشخيص الحالات'!$D$2:$D$1001,SUMPRODUCT(('تشخيص الحالات'!$B$2:$B$1001=B697)*('تشخيص الحالات'!$G$2:$G$1001=6)*ROW('تشخيص الحالات'!$B$2:$B$1001))-1),""),"")&amp;IF(SUMPRODUCT(('تشخيص الحالات'!$B$2:$B$1001=B697)*('تشخيص الحالات'!$G$2:$G$1001=7))&gt;0,"، "&amp;IFERROR(INDEX('تشخيص الحالات'!$D$2:$D$1001,SUMPRODUCT(('تشخيص الحالات'!$B$2:$B$1001=B697)*('تشخيص الحالات'!$G$2:$G$1001=7)*ROW('تشخيص الحالات'!$B$2:$B$1001))-1),""),"")&amp;IF(SUMPRODUCT(('تشخيص الحالات'!$B$2:$B$1001=B697)*('تشخيص الحالات'!$G$2:$G$1001=8))&gt;0,"، "&amp;IFERROR(INDEX('تشخيص الحالات'!$D$2:$D$1001,SUMPRODUCT(('تشخيص الحالات'!$B$2:$B$1001=B697)*('تشخيص الحالات'!$G$2:$G$1001=8)*ROW('تشخيص الحالات'!$B$2:$B$1001))-1),""),"")</f>
        <v/>
      </c>
      <c r="J697" s="1"/>
      <c r="K697" s="1"/>
      <c r="L697" s="1"/>
      <c r="M697" s="1"/>
    </row>
    <row r="698" spans="1:13" x14ac:dyDescent="0.2">
      <c r="A698" s="1"/>
      <c r="B698" s="1"/>
      <c r="C698" s="1"/>
      <c r="D698" s="1"/>
      <c r="E698" s="1"/>
      <c r="F698" s="1"/>
      <c r="G698" s="1"/>
      <c r="H698" s="1"/>
      <c r="I698" t="str">
        <f>IFERROR(INDEX('تشخيص الحالات'!$D$2:$D$1001,SUMPRODUCT(('تشخيص الحالات'!$B$2:$B$1001=B698)*('تشخيص الحالات'!$G$2:$G$1001=1)*ROW('تشخيص الحالات'!$B$2:$B$1001))-1),"")&amp;IF(SUMPRODUCT(('تشخيص الحالات'!$B$2:$B$1001=B698)*('تشخيص الحالات'!$G$2:$G$1001=2))&gt;0,"، "&amp;IFERROR(INDEX('تشخيص الحالات'!$D$2:$D$1001,SUMPRODUCT(('تشخيص الحالات'!$B$2:$B$1001=B698)*('تشخيص الحالات'!$G$2:$G$1001=2)*ROW('تشخيص الحالات'!$B$2:$B$1001))-1),""),"")&amp;IF(SUMPRODUCT(('تشخيص الحالات'!$B$2:$B$1001=B698)*('تشخيص الحالات'!$G$2:$G$1001=3))&gt;0,"، "&amp;IFERROR(INDEX('تشخيص الحالات'!$D$2:$D$1001,SUMPRODUCT(('تشخيص الحالات'!$B$2:$B$1001=B698)*('تشخيص الحالات'!$G$2:$G$1001=3)*ROW('تشخيص الحالات'!$B$2:$B$1001))-1),""),"")&amp;IF(SUMPRODUCT(('تشخيص الحالات'!$B$2:$B$1001=B698)*('تشخيص الحالات'!$G$2:$G$1001=4))&gt;0,"، "&amp;IFERROR(INDEX('تشخيص الحالات'!$D$2:$D$1001,SUMPRODUCT(('تشخيص الحالات'!$B$2:$B$1001=B698)*('تشخيص الحالات'!$G$2:$G$1001=4)*ROW('تشخيص الحالات'!$B$2:$B$1001))-1),""),"")&amp;IF(SUMPRODUCT(('تشخيص الحالات'!$B$2:$B$1001=B698)*('تشخيص الحالات'!$G$2:$G$1001=5))&gt;0,"، "&amp;IFERROR(INDEX('تشخيص الحالات'!$D$2:$D$1001,SUMPRODUCT(('تشخيص الحالات'!$B$2:$B$1001=B698)*('تشخيص الحالات'!$G$2:$G$1001=5)*ROW('تشخيص الحالات'!$B$2:$B$1001))-1),""),"")&amp;IF(SUMPRODUCT(('تشخيص الحالات'!$B$2:$B$1001=B698)*('تشخيص الحالات'!$G$2:$G$1001=6))&gt;0,"، "&amp;IFERROR(INDEX('تشخيص الحالات'!$D$2:$D$1001,SUMPRODUCT(('تشخيص الحالات'!$B$2:$B$1001=B698)*('تشخيص الحالات'!$G$2:$G$1001=6)*ROW('تشخيص الحالات'!$B$2:$B$1001))-1),""),"")&amp;IF(SUMPRODUCT(('تشخيص الحالات'!$B$2:$B$1001=B698)*('تشخيص الحالات'!$G$2:$G$1001=7))&gt;0,"، "&amp;IFERROR(INDEX('تشخيص الحالات'!$D$2:$D$1001,SUMPRODUCT(('تشخيص الحالات'!$B$2:$B$1001=B698)*('تشخيص الحالات'!$G$2:$G$1001=7)*ROW('تشخيص الحالات'!$B$2:$B$1001))-1),""),"")&amp;IF(SUMPRODUCT(('تشخيص الحالات'!$B$2:$B$1001=B698)*('تشخيص الحالات'!$G$2:$G$1001=8))&gt;0,"، "&amp;IFERROR(INDEX('تشخيص الحالات'!$D$2:$D$1001,SUMPRODUCT(('تشخيص الحالات'!$B$2:$B$1001=B698)*('تشخيص الحالات'!$G$2:$G$1001=8)*ROW('تشخيص الحالات'!$B$2:$B$1001))-1),""),"")</f>
        <v/>
      </c>
      <c r="J698" s="1"/>
      <c r="K698" s="1"/>
      <c r="L698" s="1"/>
      <c r="M698" s="1"/>
    </row>
    <row r="699" spans="1:13" x14ac:dyDescent="0.2">
      <c r="A699" s="1"/>
      <c r="B699" s="1"/>
      <c r="C699" s="1"/>
      <c r="D699" s="1"/>
      <c r="E699" s="1"/>
      <c r="F699" s="1"/>
      <c r="G699" s="1"/>
      <c r="H699" s="1"/>
      <c r="I699" t="str">
        <f>IFERROR(INDEX('تشخيص الحالات'!$D$2:$D$1001,SUMPRODUCT(('تشخيص الحالات'!$B$2:$B$1001=B699)*('تشخيص الحالات'!$G$2:$G$1001=1)*ROW('تشخيص الحالات'!$B$2:$B$1001))-1),"")&amp;IF(SUMPRODUCT(('تشخيص الحالات'!$B$2:$B$1001=B699)*('تشخيص الحالات'!$G$2:$G$1001=2))&gt;0,"، "&amp;IFERROR(INDEX('تشخيص الحالات'!$D$2:$D$1001,SUMPRODUCT(('تشخيص الحالات'!$B$2:$B$1001=B699)*('تشخيص الحالات'!$G$2:$G$1001=2)*ROW('تشخيص الحالات'!$B$2:$B$1001))-1),""),"")&amp;IF(SUMPRODUCT(('تشخيص الحالات'!$B$2:$B$1001=B699)*('تشخيص الحالات'!$G$2:$G$1001=3))&gt;0,"، "&amp;IFERROR(INDEX('تشخيص الحالات'!$D$2:$D$1001,SUMPRODUCT(('تشخيص الحالات'!$B$2:$B$1001=B699)*('تشخيص الحالات'!$G$2:$G$1001=3)*ROW('تشخيص الحالات'!$B$2:$B$1001))-1),""),"")&amp;IF(SUMPRODUCT(('تشخيص الحالات'!$B$2:$B$1001=B699)*('تشخيص الحالات'!$G$2:$G$1001=4))&gt;0,"، "&amp;IFERROR(INDEX('تشخيص الحالات'!$D$2:$D$1001,SUMPRODUCT(('تشخيص الحالات'!$B$2:$B$1001=B699)*('تشخيص الحالات'!$G$2:$G$1001=4)*ROW('تشخيص الحالات'!$B$2:$B$1001))-1),""),"")&amp;IF(SUMPRODUCT(('تشخيص الحالات'!$B$2:$B$1001=B699)*('تشخيص الحالات'!$G$2:$G$1001=5))&gt;0,"، "&amp;IFERROR(INDEX('تشخيص الحالات'!$D$2:$D$1001,SUMPRODUCT(('تشخيص الحالات'!$B$2:$B$1001=B699)*('تشخيص الحالات'!$G$2:$G$1001=5)*ROW('تشخيص الحالات'!$B$2:$B$1001))-1),""),"")&amp;IF(SUMPRODUCT(('تشخيص الحالات'!$B$2:$B$1001=B699)*('تشخيص الحالات'!$G$2:$G$1001=6))&gt;0,"، "&amp;IFERROR(INDEX('تشخيص الحالات'!$D$2:$D$1001,SUMPRODUCT(('تشخيص الحالات'!$B$2:$B$1001=B699)*('تشخيص الحالات'!$G$2:$G$1001=6)*ROW('تشخيص الحالات'!$B$2:$B$1001))-1),""),"")&amp;IF(SUMPRODUCT(('تشخيص الحالات'!$B$2:$B$1001=B699)*('تشخيص الحالات'!$G$2:$G$1001=7))&gt;0,"، "&amp;IFERROR(INDEX('تشخيص الحالات'!$D$2:$D$1001,SUMPRODUCT(('تشخيص الحالات'!$B$2:$B$1001=B699)*('تشخيص الحالات'!$G$2:$G$1001=7)*ROW('تشخيص الحالات'!$B$2:$B$1001))-1),""),"")&amp;IF(SUMPRODUCT(('تشخيص الحالات'!$B$2:$B$1001=B699)*('تشخيص الحالات'!$G$2:$G$1001=8))&gt;0,"، "&amp;IFERROR(INDEX('تشخيص الحالات'!$D$2:$D$1001,SUMPRODUCT(('تشخيص الحالات'!$B$2:$B$1001=B699)*('تشخيص الحالات'!$G$2:$G$1001=8)*ROW('تشخيص الحالات'!$B$2:$B$1001))-1),""),"")</f>
        <v/>
      </c>
      <c r="J699" s="1"/>
      <c r="K699" s="1"/>
      <c r="L699" s="1"/>
      <c r="M699" s="1"/>
    </row>
    <row r="700" spans="1:13" x14ac:dyDescent="0.2">
      <c r="A700" s="1"/>
      <c r="B700" s="1"/>
      <c r="C700" s="1"/>
      <c r="D700" s="1"/>
      <c r="E700" s="1"/>
      <c r="F700" s="1"/>
      <c r="G700" s="1"/>
      <c r="H700" s="1"/>
      <c r="I700" t="str">
        <f>IFERROR(INDEX('تشخيص الحالات'!$D$2:$D$1001,SUMPRODUCT(('تشخيص الحالات'!$B$2:$B$1001=B700)*('تشخيص الحالات'!$G$2:$G$1001=1)*ROW('تشخيص الحالات'!$B$2:$B$1001))-1),"")&amp;IF(SUMPRODUCT(('تشخيص الحالات'!$B$2:$B$1001=B700)*('تشخيص الحالات'!$G$2:$G$1001=2))&gt;0,"، "&amp;IFERROR(INDEX('تشخيص الحالات'!$D$2:$D$1001,SUMPRODUCT(('تشخيص الحالات'!$B$2:$B$1001=B700)*('تشخيص الحالات'!$G$2:$G$1001=2)*ROW('تشخيص الحالات'!$B$2:$B$1001))-1),""),"")&amp;IF(SUMPRODUCT(('تشخيص الحالات'!$B$2:$B$1001=B700)*('تشخيص الحالات'!$G$2:$G$1001=3))&gt;0,"، "&amp;IFERROR(INDEX('تشخيص الحالات'!$D$2:$D$1001,SUMPRODUCT(('تشخيص الحالات'!$B$2:$B$1001=B700)*('تشخيص الحالات'!$G$2:$G$1001=3)*ROW('تشخيص الحالات'!$B$2:$B$1001))-1),""),"")&amp;IF(SUMPRODUCT(('تشخيص الحالات'!$B$2:$B$1001=B700)*('تشخيص الحالات'!$G$2:$G$1001=4))&gt;0,"، "&amp;IFERROR(INDEX('تشخيص الحالات'!$D$2:$D$1001,SUMPRODUCT(('تشخيص الحالات'!$B$2:$B$1001=B700)*('تشخيص الحالات'!$G$2:$G$1001=4)*ROW('تشخيص الحالات'!$B$2:$B$1001))-1),""),"")&amp;IF(SUMPRODUCT(('تشخيص الحالات'!$B$2:$B$1001=B700)*('تشخيص الحالات'!$G$2:$G$1001=5))&gt;0,"، "&amp;IFERROR(INDEX('تشخيص الحالات'!$D$2:$D$1001,SUMPRODUCT(('تشخيص الحالات'!$B$2:$B$1001=B700)*('تشخيص الحالات'!$G$2:$G$1001=5)*ROW('تشخيص الحالات'!$B$2:$B$1001))-1),""),"")&amp;IF(SUMPRODUCT(('تشخيص الحالات'!$B$2:$B$1001=B700)*('تشخيص الحالات'!$G$2:$G$1001=6))&gt;0,"، "&amp;IFERROR(INDEX('تشخيص الحالات'!$D$2:$D$1001,SUMPRODUCT(('تشخيص الحالات'!$B$2:$B$1001=B700)*('تشخيص الحالات'!$G$2:$G$1001=6)*ROW('تشخيص الحالات'!$B$2:$B$1001))-1),""),"")&amp;IF(SUMPRODUCT(('تشخيص الحالات'!$B$2:$B$1001=B700)*('تشخيص الحالات'!$G$2:$G$1001=7))&gt;0,"، "&amp;IFERROR(INDEX('تشخيص الحالات'!$D$2:$D$1001,SUMPRODUCT(('تشخيص الحالات'!$B$2:$B$1001=B700)*('تشخيص الحالات'!$G$2:$G$1001=7)*ROW('تشخيص الحالات'!$B$2:$B$1001))-1),""),"")&amp;IF(SUMPRODUCT(('تشخيص الحالات'!$B$2:$B$1001=B700)*('تشخيص الحالات'!$G$2:$G$1001=8))&gt;0,"، "&amp;IFERROR(INDEX('تشخيص الحالات'!$D$2:$D$1001,SUMPRODUCT(('تشخيص الحالات'!$B$2:$B$1001=B700)*('تشخيص الحالات'!$G$2:$G$1001=8)*ROW('تشخيص الحالات'!$B$2:$B$1001))-1),""),"")</f>
        <v/>
      </c>
      <c r="J700" s="1"/>
      <c r="K700" s="1"/>
      <c r="L700" s="1"/>
      <c r="M700" s="1"/>
    </row>
    <row r="701" spans="1:13" x14ac:dyDescent="0.2">
      <c r="A701" s="1"/>
      <c r="B701" s="1"/>
      <c r="C701" s="1"/>
      <c r="D701" s="1"/>
      <c r="E701" s="1"/>
      <c r="F701" s="1"/>
      <c r="G701" s="1"/>
      <c r="H701" s="1"/>
      <c r="I701" t="str">
        <f>IFERROR(INDEX('تشخيص الحالات'!$D$2:$D$1001,SUMPRODUCT(('تشخيص الحالات'!$B$2:$B$1001=B701)*('تشخيص الحالات'!$G$2:$G$1001=1)*ROW('تشخيص الحالات'!$B$2:$B$1001))-1),"")&amp;IF(SUMPRODUCT(('تشخيص الحالات'!$B$2:$B$1001=B701)*('تشخيص الحالات'!$G$2:$G$1001=2))&gt;0,"، "&amp;IFERROR(INDEX('تشخيص الحالات'!$D$2:$D$1001,SUMPRODUCT(('تشخيص الحالات'!$B$2:$B$1001=B701)*('تشخيص الحالات'!$G$2:$G$1001=2)*ROW('تشخيص الحالات'!$B$2:$B$1001))-1),""),"")&amp;IF(SUMPRODUCT(('تشخيص الحالات'!$B$2:$B$1001=B701)*('تشخيص الحالات'!$G$2:$G$1001=3))&gt;0,"، "&amp;IFERROR(INDEX('تشخيص الحالات'!$D$2:$D$1001,SUMPRODUCT(('تشخيص الحالات'!$B$2:$B$1001=B701)*('تشخيص الحالات'!$G$2:$G$1001=3)*ROW('تشخيص الحالات'!$B$2:$B$1001))-1),""),"")&amp;IF(SUMPRODUCT(('تشخيص الحالات'!$B$2:$B$1001=B701)*('تشخيص الحالات'!$G$2:$G$1001=4))&gt;0,"، "&amp;IFERROR(INDEX('تشخيص الحالات'!$D$2:$D$1001,SUMPRODUCT(('تشخيص الحالات'!$B$2:$B$1001=B701)*('تشخيص الحالات'!$G$2:$G$1001=4)*ROW('تشخيص الحالات'!$B$2:$B$1001))-1),""),"")&amp;IF(SUMPRODUCT(('تشخيص الحالات'!$B$2:$B$1001=B701)*('تشخيص الحالات'!$G$2:$G$1001=5))&gt;0,"، "&amp;IFERROR(INDEX('تشخيص الحالات'!$D$2:$D$1001,SUMPRODUCT(('تشخيص الحالات'!$B$2:$B$1001=B701)*('تشخيص الحالات'!$G$2:$G$1001=5)*ROW('تشخيص الحالات'!$B$2:$B$1001))-1),""),"")&amp;IF(SUMPRODUCT(('تشخيص الحالات'!$B$2:$B$1001=B701)*('تشخيص الحالات'!$G$2:$G$1001=6))&gt;0,"، "&amp;IFERROR(INDEX('تشخيص الحالات'!$D$2:$D$1001,SUMPRODUCT(('تشخيص الحالات'!$B$2:$B$1001=B701)*('تشخيص الحالات'!$G$2:$G$1001=6)*ROW('تشخيص الحالات'!$B$2:$B$1001))-1),""),"")&amp;IF(SUMPRODUCT(('تشخيص الحالات'!$B$2:$B$1001=B701)*('تشخيص الحالات'!$G$2:$G$1001=7))&gt;0,"، "&amp;IFERROR(INDEX('تشخيص الحالات'!$D$2:$D$1001,SUMPRODUCT(('تشخيص الحالات'!$B$2:$B$1001=B701)*('تشخيص الحالات'!$G$2:$G$1001=7)*ROW('تشخيص الحالات'!$B$2:$B$1001))-1),""),"")&amp;IF(SUMPRODUCT(('تشخيص الحالات'!$B$2:$B$1001=B701)*('تشخيص الحالات'!$G$2:$G$1001=8))&gt;0,"، "&amp;IFERROR(INDEX('تشخيص الحالات'!$D$2:$D$1001,SUMPRODUCT(('تشخيص الحالات'!$B$2:$B$1001=B701)*('تشخيص الحالات'!$G$2:$G$1001=8)*ROW('تشخيص الحالات'!$B$2:$B$1001))-1),""),"")</f>
        <v/>
      </c>
      <c r="J701" s="1"/>
      <c r="K701" s="1"/>
      <c r="L701" s="1"/>
      <c r="M701" s="1"/>
    </row>
    <row r="702" spans="1:13" x14ac:dyDescent="0.2">
      <c r="A702" s="1"/>
      <c r="B702" s="1"/>
      <c r="C702" s="1"/>
      <c r="D702" s="1"/>
      <c r="E702" s="1"/>
      <c r="F702" s="1"/>
      <c r="G702" s="1"/>
      <c r="H702" s="1"/>
      <c r="I702" t="str">
        <f>IFERROR(INDEX('تشخيص الحالات'!$D$2:$D$1001,SUMPRODUCT(('تشخيص الحالات'!$B$2:$B$1001=B702)*('تشخيص الحالات'!$G$2:$G$1001=1)*ROW('تشخيص الحالات'!$B$2:$B$1001))-1),"")&amp;IF(SUMPRODUCT(('تشخيص الحالات'!$B$2:$B$1001=B702)*('تشخيص الحالات'!$G$2:$G$1001=2))&gt;0,"، "&amp;IFERROR(INDEX('تشخيص الحالات'!$D$2:$D$1001,SUMPRODUCT(('تشخيص الحالات'!$B$2:$B$1001=B702)*('تشخيص الحالات'!$G$2:$G$1001=2)*ROW('تشخيص الحالات'!$B$2:$B$1001))-1),""),"")&amp;IF(SUMPRODUCT(('تشخيص الحالات'!$B$2:$B$1001=B702)*('تشخيص الحالات'!$G$2:$G$1001=3))&gt;0,"، "&amp;IFERROR(INDEX('تشخيص الحالات'!$D$2:$D$1001,SUMPRODUCT(('تشخيص الحالات'!$B$2:$B$1001=B702)*('تشخيص الحالات'!$G$2:$G$1001=3)*ROW('تشخيص الحالات'!$B$2:$B$1001))-1),""),"")&amp;IF(SUMPRODUCT(('تشخيص الحالات'!$B$2:$B$1001=B702)*('تشخيص الحالات'!$G$2:$G$1001=4))&gt;0,"، "&amp;IFERROR(INDEX('تشخيص الحالات'!$D$2:$D$1001,SUMPRODUCT(('تشخيص الحالات'!$B$2:$B$1001=B702)*('تشخيص الحالات'!$G$2:$G$1001=4)*ROW('تشخيص الحالات'!$B$2:$B$1001))-1),""),"")&amp;IF(SUMPRODUCT(('تشخيص الحالات'!$B$2:$B$1001=B702)*('تشخيص الحالات'!$G$2:$G$1001=5))&gt;0,"، "&amp;IFERROR(INDEX('تشخيص الحالات'!$D$2:$D$1001,SUMPRODUCT(('تشخيص الحالات'!$B$2:$B$1001=B702)*('تشخيص الحالات'!$G$2:$G$1001=5)*ROW('تشخيص الحالات'!$B$2:$B$1001))-1),""),"")&amp;IF(SUMPRODUCT(('تشخيص الحالات'!$B$2:$B$1001=B702)*('تشخيص الحالات'!$G$2:$G$1001=6))&gt;0,"، "&amp;IFERROR(INDEX('تشخيص الحالات'!$D$2:$D$1001,SUMPRODUCT(('تشخيص الحالات'!$B$2:$B$1001=B702)*('تشخيص الحالات'!$G$2:$G$1001=6)*ROW('تشخيص الحالات'!$B$2:$B$1001))-1),""),"")&amp;IF(SUMPRODUCT(('تشخيص الحالات'!$B$2:$B$1001=B702)*('تشخيص الحالات'!$G$2:$G$1001=7))&gt;0,"، "&amp;IFERROR(INDEX('تشخيص الحالات'!$D$2:$D$1001,SUMPRODUCT(('تشخيص الحالات'!$B$2:$B$1001=B702)*('تشخيص الحالات'!$G$2:$G$1001=7)*ROW('تشخيص الحالات'!$B$2:$B$1001))-1),""),"")&amp;IF(SUMPRODUCT(('تشخيص الحالات'!$B$2:$B$1001=B702)*('تشخيص الحالات'!$G$2:$G$1001=8))&gt;0,"، "&amp;IFERROR(INDEX('تشخيص الحالات'!$D$2:$D$1001,SUMPRODUCT(('تشخيص الحالات'!$B$2:$B$1001=B702)*('تشخيص الحالات'!$G$2:$G$1001=8)*ROW('تشخيص الحالات'!$B$2:$B$1001))-1),""),"")</f>
        <v/>
      </c>
      <c r="J702" s="1"/>
      <c r="K702" s="1"/>
      <c r="L702" s="1"/>
      <c r="M702" s="1"/>
    </row>
    <row r="703" spans="1:13" x14ac:dyDescent="0.2">
      <c r="A703" s="1"/>
      <c r="B703" s="1"/>
      <c r="C703" s="1"/>
      <c r="D703" s="1"/>
      <c r="E703" s="1"/>
      <c r="F703" s="1"/>
      <c r="G703" s="1"/>
      <c r="H703" s="1"/>
      <c r="I703" t="str">
        <f>IFERROR(INDEX('تشخيص الحالات'!$D$2:$D$1001,SUMPRODUCT(('تشخيص الحالات'!$B$2:$B$1001=B703)*('تشخيص الحالات'!$G$2:$G$1001=1)*ROW('تشخيص الحالات'!$B$2:$B$1001))-1),"")&amp;IF(SUMPRODUCT(('تشخيص الحالات'!$B$2:$B$1001=B703)*('تشخيص الحالات'!$G$2:$G$1001=2))&gt;0,"، "&amp;IFERROR(INDEX('تشخيص الحالات'!$D$2:$D$1001,SUMPRODUCT(('تشخيص الحالات'!$B$2:$B$1001=B703)*('تشخيص الحالات'!$G$2:$G$1001=2)*ROW('تشخيص الحالات'!$B$2:$B$1001))-1),""),"")&amp;IF(SUMPRODUCT(('تشخيص الحالات'!$B$2:$B$1001=B703)*('تشخيص الحالات'!$G$2:$G$1001=3))&gt;0,"، "&amp;IFERROR(INDEX('تشخيص الحالات'!$D$2:$D$1001,SUMPRODUCT(('تشخيص الحالات'!$B$2:$B$1001=B703)*('تشخيص الحالات'!$G$2:$G$1001=3)*ROW('تشخيص الحالات'!$B$2:$B$1001))-1),""),"")&amp;IF(SUMPRODUCT(('تشخيص الحالات'!$B$2:$B$1001=B703)*('تشخيص الحالات'!$G$2:$G$1001=4))&gt;0,"، "&amp;IFERROR(INDEX('تشخيص الحالات'!$D$2:$D$1001,SUMPRODUCT(('تشخيص الحالات'!$B$2:$B$1001=B703)*('تشخيص الحالات'!$G$2:$G$1001=4)*ROW('تشخيص الحالات'!$B$2:$B$1001))-1),""),"")&amp;IF(SUMPRODUCT(('تشخيص الحالات'!$B$2:$B$1001=B703)*('تشخيص الحالات'!$G$2:$G$1001=5))&gt;0,"، "&amp;IFERROR(INDEX('تشخيص الحالات'!$D$2:$D$1001,SUMPRODUCT(('تشخيص الحالات'!$B$2:$B$1001=B703)*('تشخيص الحالات'!$G$2:$G$1001=5)*ROW('تشخيص الحالات'!$B$2:$B$1001))-1),""),"")&amp;IF(SUMPRODUCT(('تشخيص الحالات'!$B$2:$B$1001=B703)*('تشخيص الحالات'!$G$2:$G$1001=6))&gt;0,"، "&amp;IFERROR(INDEX('تشخيص الحالات'!$D$2:$D$1001,SUMPRODUCT(('تشخيص الحالات'!$B$2:$B$1001=B703)*('تشخيص الحالات'!$G$2:$G$1001=6)*ROW('تشخيص الحالات'!$B$2:$B$1001))-1),""),"")&amp;IF(SUMPRODUCT(('تشخيص الحالات'!$B$2:$B$1001=B703)*('تشخيص الحالات'!$G$2:$G$1001=7))&gt;0,"، "&amp;IFERROR(INDEX('تشخيص الحالات'!$D$2:$D$1001,SUMPRODUCT(('تشخيص الحالات'!$B$2:$B$1001=B703)*('تشخيص الحالات'!$G$2:$G$1001=7)*ROW('تشخيص الحالات'!$B$2:$B$1001))-1),""),"")&amp;IF(SUMPRODUCT(('تشخيص الحالات'!$B$2:$B$1001=B703)*('تشخيص الحالات'!$G$2:$G$1001=8))&gt;0,"، "&amp;IFERROR(INDEX('تشخيص الحالات'!$D$2:$D$1001,SUMPRODUCT(('تشخيص الحالات'!$B$2:$B$1001=B703)*('تشخيص الحالات'!$G$2:$G$1001=8)*ROW('تشخيص الحالات'!$B$2:$B$1001))-1),""),"")</f>
        <v/>
      </c>
      <c r="J703" s="1"/>
      <c r="K703" s="1"/>
      <c r="L703" s="1"/>
      <c r="M703" s="1"/>
    </row>
    <row r="704" spans="1:13" x14ac:dyDescent="0.2">
      <c r="A704" s="1"/>
      <c r="B704" s="1"/>
      <c r="C704" s="1"/>
      <c r="D704" s="1"/>
      <c r="E704" s="1"/>
      <c r="F704" s="1"/>
      <c r="G704" s="1"/>
      <c r="H704" s="1"/>
      <c r="I704" t="str">
        <f>IFERROR(INDEX('تشخيص الحالات'!$D$2:$D$1001,SUMPRODUCT(('تشخيص الحالات'!$B$2:$B$1001=B704)*('تشخيص الحالات'!$G$2:$G$1001=1)*ROW('تشخيص الحالات'!$B$2:$B$1001))-1),"")&amp;IF(SUMPRODUCT(('تشخيص الحالات'!$B$2:$B$1001=B704)*('تشخيص الحالات'!$G$2:$G$1001=2))&gt;0,"، "&amp;IFERROR(INDEX('تشخيص الحالات'!$D$2:$D$1001,SUMPRODUCT(('تشخيص الحالات'!$B$2:$B$1001=B704)*('تشخيص الحالات'!$G$2:$G$1001=2)*ROW('تشخيص الحالات'!$B$2:$B$1001))-1),""),"")&amp;IF(SUMPRODUCT(('تشخيص الحالات'!$B$2:$B$1001=B704)*('تشخيص الحالات'!$G$2:$G$1001=3))&gt;0,"، "&amp;IFERROR(INDEX('تشخيص الحالات'!$D$2:$D$1001,SUMPRODUCT(('تشخيص الحالات'!$B$2:$B$1001=B704)*('تشخيص الحالات'!$G$2:$G$1001=3)*ROW('تشخيص الحالات'!$B$2:$B$1001))-1),""),"")&amp;IF(SUMPRODUCT(('تشخيص الحالات'!$B$2:$B$1001=B704)*('تشخيص الحالات'!$G$2:$G$1001=4))&gt;0,"، "&amp;IFERROR(INDEX('تشخيص الحالات'!$D$2:$D$1001,SUMPRODUCT(('تشخيص الحالات'!$B$2:$B$1001=B704)*('تشخيص الحالات'!$G$2:$G$1001=4)*ROW('تشخيص الحالات'!$B$2:$B$1001))-1),""),"")&amp;IF(SUMPRODUCT(('تشخيص الحالات'!$B$2:$B$1001=B704)*('تشخيص الحالات'!$G$2:$G$1001=5))&gt;0,"، "&amp;IFERROR(INDEX('تشخيص الحالات'!$D$2:$D$1001,SUMPRODUCT(('تشخيص الحالات'!$B$2:$B$1001=B704)*('تشخيص الحالات'!$G$2:$G$1001=5)*ROW('تشخيص الحالات'!$B$2:$B$1001))-1),""),"")&amp;IF(SUMPRODUCT(('تشخيص الحالات'!$B$2:$B$1001=B704)*('تشخيص الحالات'!$G$2:$G$1001=6))&gt;0,"، "&amp;IFERROR(INDEX('تشخيص الحالات'!$D$2:$D$1001,SUMPRODUCT(('تشخيص الحالات'!$B$2:$B$1001=B704)*('تشخيص الحالات'!$G$2:$G$1001=6)*ROW('تشخيص الحالات'!$B$2:$B$1001))-1),""),"")&amp;IF(SUMPRODUCT(('تشخيص الحالات'!$B$2:$B$1001=B704)*('تشخيص الحالات'!$G$2:$G$1001=7))&gt;0,"، "&amp;IFERROR(INDEX('تشخيص الحالات'!$D$2:$D$1001,SUMPRODUCT(('تشخيص الحالات'!$B$2:$B$1001=B704)*('تشخيص الحالات'!$G$2:$G$1001=7)*ROW('تشخيص الحالات'!$B$2:$B$1001))-1),""),"")&amp;IF(SUMPRODUCT(('تشخيص الحالات'!$B$2:$B$1001=B704)*('تشخيص الحالات'!$G$2:$G$1001=8))&gt;0,"، "&amp;IFERROR(INDEX('تشخيص الحالات'!$D$2:$D$1001,SUMPRODUCT(('تشخيص الحالات'!$B$2:$B$1001=B704)*('تشخيص الحالات'!$G$2:$G$1001=8)*ROW('تشخيص الحالات'!$B$2:$B$1001))-1),""),"")</f>
        <v/>
      </c>
      <c r="J704" s="1"/>
      <c r="K704" s="1"/>
      <c r="L704" s="1"/>
      <c r="M704" s="1"/>
    </row>
    <row r="705" spans="1:13" x14ac:dyDescent="0.2">
      <c r="A705" s="1"/>
      <c r="B705" s="1"/>
      <c r="C705" s="1"/>
      <c r="D705" s="1"/>
      <c r="E705" s="1"/>
      <c r="F705" s="1"/>
      <c r="G705" s="1"/>
      <c r="H705" s="1"/>
      <c r="I705" t="str">
        <f>IFERROR(INDEX('تشخيص الحالات'!$D$2:$D$1001,SUMPRODUCT(('تشخيص الحالات'!$B$2:$B$1001=B705)*('تشخيص الحالات'!$G$2:$G$1001=1)*ROW('تشخيص الحالات'!$B$2:$B$1001))-1),"")&amp;IF(SUMPRODUCT(('تشخيص الحالات'!$B$2:$B$1001=B705)*('تشخيص الحالات'!$G$2:$G$1001=2))&gt;0,"، "&amp;IFERROR(INDEX('تشخيص الحالات'!$D$2:$D$1001,SUMPRODUCT(('تشخيص الحالات'!$B$2:$B$1001=B705)*('تشخيص الحالات'!$G$2:$G$1001=2)*ROW('تشخيص الحالات'!$B$2:$B$1001))-1),""),"")&amp;IF(SUMPRODUCT(('تشخيص الحالات'!$B$2:$B$1001=B705)*('تشخيص الحالات'!$G$2:$G$1001=3))&gt;0,"، "&amp;IFERROR(INDEX('تشخيص الحالات'!$D$2:$D$1001,SUMPRODUCT(('تشخيص الحالات'!$B$2:$B$1001=B705)*('تشخيص الحالات'!$G$2:$G$1001=3)*ROW('تشخيص الحالات'!$B$2:$B$1001))-1),""),"")&amp;IF(SUMPRODUCT(('تشخيص الحالات'!$B$2:$B$1001=B705)*('تشخيص الحالات'!$G$2:$G$1001=4))&gt;0,"، "&amp;IFERROR(INDEX('تشخيص الحالات'!$D$2:$D$1001,SUMPRODUCT(('تشخيص الحالات'!$B$2:$B$1001=B705)*('تشخيص الحالات'!$G$2:$G$1001=4)*ROW('تشخيص الحالات'!$B$2:$B$1001))-1),""),"")&amp;IF(SUMPRODUCT(('تشخيص الحالات'!$B$2:$B$1001=B705)*('تشخيص الحالات'!$G$2:$G$1001=5))&gt;0,"، "&amp;IFERROR(INDEX('تشخيص الحالات'!$D$2:$D$1001,SUMPRODUCT(('تشخيص الحالات'!$B$2:$B$1001=B705)*('تشخيص الحالات'!$G$2:$G$1001=5)*ROW('تشخيص الحالات'!$B$2:$B$1001))-1),""),"")&amp;IF(SUMPRODUCT(('تشخيص الحالات'!$B$2:$B$1001=B705)*('تشخيص الحالات'!$G$2:$G$1001=6))&gt;0,"، "&amp;IFERROR(INDEX('تشخيص الحالات'!$D$2:$D$1001,SUMPRODUCT(('تشخيص الحالات'!$B$2:$B$1001=B705)*('تشخيص الحالات'!$G$2:$G$1001=6)*ROW('تشخيص الحالات'!$B$2:$B$1001))-1),""),"")&amp;IF(SUMPRODUCT(('تشخيص الحالات'!$B$2:$B$1001=B705)*('تشخيص الحالات'!$G$2:$G$1001=7))&gt;0,"، "&amp;IFERROR(INDEX('تشخيص الحالات'!$D$2:$D$1001,SUMPRODUCT(('تشخيص الحالات'!$B$2:$B$1001=B705)*('تشخيص الحالات'!$G$2:$G$1001=7)*ROW('تشخيص الحالات'!$B$2:$B$1001))-1),""),"")&amp;IF(SUMPRODUCT(('تشخيص الحالات'!$B$2:$B$1001=B705)*('تشخيص الحالات'!$G$2:$G$1001=8))&gt;0,"، "&amp;IFERROR(INDEX('تشخيص الحالات'!$D$2:$D$1001,SUMPRODUCT(('تشخيص الحالات'!$B$2:$B$1001=B705)*('تشخيص الحالات'!$G$2:$G$1001=8)*ROW('تشخيص الحالات'!$B$2:$B$1001))-1),""),"")</f>
        <v/>
      </c>
      <c r="J705" s="1"/>
      <c r="K705" s="1"/>
      <c r="L705" s="1"/>
      <c r="M705" s="1"/>
    </row>
    <row r="706" spans="1:13" x14ac:dyDescent="0.2">
      <c r="A706" s="1"/>
      <c r="B706" s="1"/>
      <c r="C706" s="1"/>
      <c r="D706" s="1"/>
      <c r="E706" s="1"/>
      <c r="F706" s="1"/>
      <c r="G706" s="1"/>
      <c r="H706" s="1"/>
      <c r="I706" t="str">
        <f>IFERROR(INDEX('تشخيص الحالات'!$D$2:$D$1001,SUMPRODUCT(('تشخيص الحالات'!$B$2:$B$1001=B706)*('تشخيص الحالات'!$G$2:$G$1001=1)*ROW('تشخيص الحالات'!$B$2:$B$1001))-1),"")&amp;IF(SUMPRODUCT(('تشخيص الحالات'!$B$2:$B$1001=B706)*('تشخيص الحالات'!$G$2:$G$1001=2))&gt;0,"، "&amp;IFERROR(INDEX('تشخيص الحالات'!$D$2:$D$1001,SUMPRODUCT(('تشخيص الحالات'!$B$2:$B$1001=B706)*('تشخيص الحالات'!$G$2:$G$1001=2)*ROW('تشخيص الحالات'!$B$2:$B$1001))-1),""),"")&amp;IF(SUMPRODUCT(('تشخيص الحالات'!$B$2:$B$1001=B706)*('تشخيص الحالات'!$G$2:$G$1001=3))&gt;0,"، "&amp;IFERROR(INDEX('تشخيص الحالات'!$D$2:$D$1001,SUMPRODUCT(('تشخيص الحالات'!$B$2:$B$1001=B706)*('تشخيص الحالات'!$G$2:$G$1001=3)*ROW('تشخيص الحالات'!$B$2:$B$1001))-1),""),"")&amp;IF(SUMPRODUCT(('تشخيص الحالات'!$B$2:$B$1001=B706)*('تشخيص الحالات'!$G$2:$G$1001=4))&gt;0,"، "&amp;IFERROR(INDEX('تشخيص الحالات'!$D$2:$D$1001,SUMPRODUCT(('تشخيص الحالات'!$B$2:$B$1001=B706)*('تشخيص الحالات'!$G$2:$G$1001=4)*ROW('تشخيص الحالات'!$B$2:$B$1001))-1),""),"")&amp;IF(SUMPRODUCT(('تشخيص الحالات'!$B$2:$B$1001=B706)*('تشخيص الحالات'!$G$2:$G$1001=5))&gt;0,"، "&amp;IFERROR(INDEX('تشخيص الحالات'!$D$2:$D$1001,SUMPRODUCT(('تشخيص الحالات'!$B$2:$B$1001=B706)*('تشخيص الحالات'!$G$2:$G$1001=5)*ROW('تشخيص الحالات'!$B$2:$B$1001))-1),""),"")&amp;IF(SUMPRODUCT(('تشخيص الحالات'!$B$2:$B$1001=B706)*('تشخيص الحالات'!$G$2:$G$1001=6))&gt;0,"، "&amp;IFERROR(INDEX('تشخيص الحالات'!$D$2:$D$1001,SUMPRODUCT(('تشخيص الحالات'!$B$2:$B$1001=B706)*('تشخيص الحالات'!$G$2:$G$1001=6)*ROW('تشخيص الحالات'!$B$2:$B$1001))-1),""),"")&amp;IF(SUMPRODUCT(('تشخيص الحالات'!$B$2:$B$1001=B706)*('تشخيص الحالات'!$G$2:$G$1001=7))&gt;0,"، "&amp;IFERROR(INDEX('تشخيص الحالات'!$D$2:$D$1001,SUMPRODUCT(('تشخيص الحالات'!$B$2:$B$1001=B706)*('تشخيص الحالات'!$G$2:$G$1001=7)*ROW('تشخيص الحالات'!$B$2:$B$1001))-1),""),"")&amp;IF(SUMPRODUCT(('تشخيص الحالات'!$B$2:$B$1001=B706)*('تشخيص الحالات'!$G$2:$G$1001=8))&gt;0,"، "&amp;IFERROR(INDEX('تشخيص الحالات'!$D$2:$D$1001,SUMPRODUCT(('تشخيص الحالات'!$B$2:$B$1001=B706)*('تشخيص الحالات'!$G$2:$G$1001=8)*ROW('تشخيص الحالات'!$B$2:$B$1001))-1),""),"")</f>
        <v/>
      </c>
      <c r="J706" s="1"/>
      <c r="K706" s="1"/>
      <c r="L706" s="1"/>
      <c r="M706" s="1"/>
    </row>
    <row r="707" spans="1:13" x14ac:dyDescent="0.2">
      <c r="A707" s="1"/>
      <c r="B707" s="1"/>
      <c r="C707" s="1"/>
      <c r="D707" s="1"/>
      <c r="E707" s="1"/>
      <c r="F707" s="1"/>
      <c r="G707" s="1"/>
      <c r="H707" s="1"/>
      <c r="I707" t="str">
        <f>IFERROR(INDEX('تشخيص الحالات'!$D$2:$D$1001,SUMPRODUCT(('تشخيص الحالات'!$B$2:$B$1001=B707)*('تشخيص الحالات'!$G$2:$G$1001=1)*ROW('تشخيص الحالات'!$B$2:$B$1001))-1),"")&amp;IF(SUMPRODUCT(('تشخيص الحالات'!$B$2:$B$1001=B707)*('تشخيص الحالات'!$G$2:$G$1001=2))&gt;0,"، "&amp;IFERROR(INDEX('تشخيص الحالات'!$D$2:$D$1001,SUMPRODUCT(('تشخيص الحالات'!$B$2:$B$1001=B707)*('تشخيص الحالات'!$G$2:$G$1001=2)*ROW('تشخيص الحالات'!$B$2:$B$1001))-1),""),"")&amp;IF(SUMPRODUCT(('تشخيص الحالات'!$B$2:$B$1001=B707)*('تشخيص الحالات'!$G$2:$G$1001=3))&gt;0,"، "&amp;IFERROR(INDEX('تشخيص الحالات'!$D$2:$D$1001,SUMPRODUCT(('تشخيص الحالات'!$B$2:$B$1001=B707)*('تشخيص الحالات'!$G$2:$G$1001=3)*ROW('تشخيص الحالات'!$B$2:$B$1001))-1),""),"")&amp;IF(SUMPRODUCT(('تشخيص الحالات'!$B$2:$B$1001=B707)*('تشخيص الحالات'!$G$2:$G$1001=4))&gt;0,"، "&amp;IFERROR(INDEX('تشخيص الحالات'!$D$2:$D$1001,SUMPRODUCT(('تشخيص الحالات'!$B$2:$B$1001=B707)*('تشخيص الحالات'!$G$2:$G$1001=4)*ROW('تشخيص الحالات'!$B$2:$B$1001))-1),""),"")&amp;IF(SUMPRODUCT(('تشخيص الحالات'!$B$2:$B$1001=B707)*('تشخيص الحالات'!$G$2:$G$1001=5))&gt;0,"، "&amp;IFERROR(INDEX('تشخيص الحالات'!$D$2:$D$1001,SUMPRODUCT(('تشخيص الحالات'!$B$2:$B$1001=B707)*('تشخيص الحالات'!$G$2:$G$1001=5)*ROW('تشخيص الحالات'!$B$2:$B$1001))-1),""),"")&amp;IF(SUMPRODUCT(('تشخيص الحالات'!$B$2:$B$1001=B707)*('تشخيص الحالات'!$G$2:$G$1001=6))&gt;0,"، "&amp;IFERROR(INDEX('تشخيص الحالات'!$D$2:$D$1001,SUMPRODUCT(('تشخيص الحالات'!$B$2:$B$1001=B707)*('تشخيص الحالات'!$G$2:$G$1001=6)*ROW('تشخيص الحالات'!$B$2:$B$1001))-1),""),"")&amp;IF(SUMPRODUCT(('تشخيص الحالات'!$B$2:$B$1001=B707)*('تشخيص الحالات'!$G$2:$G$1001=7))&gt;0,"، "&amp;IFERROR(INDEX('تشخيص الحالات'!$D$2:$D$1001,SUMPRODUCT(('تشخيص الحالات'!$B$2:$B$1001=B707)*('تشخيص الحالات'!$G$2:$G$1001=7)*ROW('تشخيص الحالات'!$B$2:$B$1001))-1),""),"")&amp;IF(SUMPRODUCT(('تشخيص الحالات'!$B$2:$B$1001=B707)*('تشخيص الحالات'!$G$2:$G$1001=8))&gt;0,"، "&amp;IFERROR(INDEX('تشخيص الحالات'!$D$2:$D$1001,SUMPRODUCT(('تشخيص الحالات'!$B$2:$B$1001=B707)*('تشخيص الحالات'!$G$2:$G$1001=8)*ROW('تشخيص الحالات'!$B$2:$B$1001))-1),""),"")</f>
        <v/>
      </c>
      <c r="J707" s="1"/>
      <c r="K707" s="1"/>
      <c r="L707" s="1"/>
      <c r="M707" s="1"/>
    </row>
    <row r="708" spans="1:13" x14ac:dyDescent="0.2">
      <c r="A708" s="1"/>
      <c r="B708" s="1"/>
      <c r="C708" s="1"/>
      <c r="D708" s="1"/>
      <c r="E708" s="1"/>
      <c r="F708" s="1"/>
      <c r="G708" s="1"/>
      <c r="H708" s="1"/>
      <c r="I708" t="str">
        <f>IFERROR(INDEX('تشخيص الحالات'!$D$2:$D$1001,SUMPRODUCT(('تشخيص الحالات'!$B$2:$B$1001=B708)*('تشخيص الحالات'!$G$2:$G$1001=1)*ROW('تشخيص الحالات'!$B$2:$B$1001))-1),"")&amp;IF(SUMPRODUCT(('تشخيص الحالات'!$B$2:$B$1001=B708)*('تشخيص الحالات'!$G$2:$G$1001=2))&gt;0,"، "&amp;IFERROR(INDEX('تشخيص الحالات'!$D$2:$D$1001,SUMPRODUCT(('تشخيص الحالات'!$B$2:$B$1001=B708)*('تشخيص الحالات'!$G$2:$G$1001=2)*ROW('تشخيص الحالات'!$B$2:$B$1001))-1),""),"")&amp;IF(SUMPRODUCT(('تشخيص الحالات'!$B$2:$B$1001=B708)*('تشخيص الحالات'!$G$2:$G$1001=3))&gt;0,"، "&amp;IFERROR(INDEX('تشخيص الحالات'!$D$2:$D$1001,SUMPRODUCT(('تشخيص الحالات'!$B$2:$B$1001=B708)*('تشخيص الحالات'!$G$2:$G$1001=3)*ROW('تشخيص الحالات'!$B$2:$B$1001))-1),""),"")&amp;IF(SUMPRODUCT(('تشخيص الحالات'!$B$2:$B$1001=B708)*('تشخيص الحالات'!$G$2:$G$1001=4))&gt;0,"، "&amp;IFERROR(INDEX('تشخيص الحالات'!$D$2:$D$1001,SUMPRODUCT(('تشخيص الحالات'!$B$2:$B$1001=B708)*('تشخيص الحالات'!$G$2:$G$1001=4)*ROW('تشخيص الحالات'!$B$2:$B$1001))-1),""),"")&amp;IF(SUMPRODUCT(('تشخيص الحالات'!$B$2:$B$1001=B708)*('تشخيص الحالات'!$G$2:$G$1001=5))&gt;0,"، "&amp;IFERROR(INDEX('تشخيص الحالات'!$D$2:$D$1001,SUMPRODUCT(('تشخيص الحالات'!$B$2:$B$1001=B708)*('تشخيص الحالات'!$G$2:$G$1001=5)*ROW('تشخيص الحالات'!$B$2:$B$1001))-1),""),"")&amp;IF(SUMPRODUCT(('تشخيص الحالات'!$B$2:$B$1001=B708)*('تشخيص الحالات'!$G$2:$G$1001=6))&gt;0,"، "&amp;IFERROR(INDEX('تشخيص الحالات'!$D$2:$D$1001,SUMPRODUCT(('تشخيص الحالات'!$B$2:$B$1001=B708)*('تشخيص الحالات'!$G$2:$G$1001=6)*ROW('تشخيص الحالات'!$B$2:$B$1001))-1),""),"")&amp;IF(SUMPRODUCT(('تشخيص الحالات'!$B$2:$B$1001=B708)*('تشخيص الحالات'!$G$2:$G$1001=7))&gt;0,"، "&amp;IFERROR(INDEX('تشخيص الحالات'!$D$2:$D$1001,SUMPRODUCT(('تشخيص الحالات'!$B$2:$B$1001=B708)*('تشخيص الحالات'!$G$2:$G$1001=7)*ROW('تشخيص الحالات'!$B$2:$B$1001))-1),""),"")&amp;IF(SUMPRODUCT(('تشخيص الحالات'!$B$2:$B$1001=B708)*('تشخيص الحالات'!$G$2:$G$1001=8))&gt;0,"، "&amp;IFERROR(INDEX('تشخيص الحالات'!$D$2:$D$1001,SUMPRODUCT(('تشخيص الحالات'!$B$2:$B$1001=B708)*('تشخيص الحالات'!$G$2:$G$1001=8)*ROW('تشخيص الحالات'!$B$2:$B$1001))-1),""),"")</f>
        <v/>
      </c>
      <c r="J708" s="1"/>
      <c r="K708" s="1"/>
      <c r="L708" s="1"/>
      <c r="M708" s="1"/>
    </row>
    <row r="709" spans="1:13" x14ac:dyDescent="0.2">
      <c r="A709" s="1"/>
      <c r="B709" s="1"/>
      <c r="C709" s="1"/>
      <c r="D709" s="1"/>
      <c r="E709" s="1"/>
      <c r="F709" s="1"/>
      <c r="G709" s="1"/>
      <c r="H709" s="1"/>
      <c r="I709" t="str">
        <f>IFERROR(INDEX('تشخيص الحالات'!$D$2:$D$1001,SUMPRODUCT(('تشخيص الحالات'!$B$2:$B$1001=B709)*('تشخيص الحالات'!$G$2:$G$1001=1)*ROW('تشخيص الحالات'!$B$2:$B$1001))-1),"")&amp;IF(SUMPRODUCT(('تشخيص الحالات'!$B$2:$B$1001=B709)*('تشخيص الحالات'!$G$2:$G$1001=2))&gt;0,"، "&amp;IFERROR(INDEX('تشخيص الحالات'!$D$2:$D$1001,SUMPRODUCT(('تشخيص الحالات'!$B$2:$B$1001=B709)*('تشخيص الحالات'!$G$2:$G$1001=2)*ROW('تشخيص الحالات'!$B$2:$B$1001))-1),""),"")&amp;IF(SUMPRODUCT(('تشخيص الحالات'!$B$2:$B$1001=B709)*('تشخيص الحالات'!$G$2:$G$1001=3))&gt;0,"، "&amp;IFERROR(INDEX('تشخيص الحالات'!$D$2:$D$1001,SUMPRODUCT(('تشخيص الحالات'!$B$2:$B$1001=B709)*('تشخيص الحالات'!$G$2:$G$1001=3)*ROW('تشخيص الحالات'!$B$2:$B$1001))-1),""),"")&amp;IF(SUMPRODUCT(('تشخيص الحالات'!$B$2:$B$1001=B709)*('تشخيص الحالات'!$G$2:$G$1001=4))&gt;0,"، "&amp;IFERROR(INDEX('تشخيص الحالات'!$D$2:$D$1001,SUMPRODUCT(('تشخيص الحالات'!$B$2:$B$1001=B709)*('تشخيص الحالات'!$G$2:$G$1001=4)*ROW('تشخيص الحالات'!$B$2:$B$1001))-1),""),"")&amp;IF(SUMPRODUCT(('تشخيص الحالات'!$B$2:$B$1001=B709)*('تشخيص الحالات'!$G$2:$G$1001=5))&gt;0,"، "&amp;IFERROR(INDEX('تشخيص الحالات'!$D$2:$D$1001,SUMPRODUCT(('تشخيص الحالات'!$B$2:$B$1001=B709)*('تشخيص الحالات'!$G$2:$G$1001=5)*ROW('تشخيص الحالات'!$B$2:$B$1001))-1),""),"")&amp;IF(SUMPRODUCT(('تشخيص الحالات'!$B$2:$B$1001=B709)*('تشخيص الحالات'!$G$2:$G$1001=6))&gt;0,"، "&amp;IFERROR(INDEX('تشخيص الحالات'!$D$2:$D$1001,SUMPRODUCT(('تشخيص الحالات'!$B$2:$B$1001=B709)*('تشخيص الحالات'!$G$2:$G$1001=6)*ROW('تشخيص الحالات'!$B$2:$B$1001))-1),""),"")&amp;IF(SUMPRODUCT(('تشخيص الحالات'!$B$2:$B$1001=B709)*('تشخيص الحالات'!$G$2:$G$1001=7))&gt;0,"، "&amp;IFERROR(INDEX('تشخيص الحالات'!$D$2:$D$1001,SUMPRODUCT(('تشخيص الحالات'!$B$2:$B$1001=B709)*('تشخيص الحالات'!$G$2:$G$1001=7)*ROW('تشخيص الحالات'!$B$2:$B$1001))-1),""),"")&amp;IF(SUMPRODUCT(('تشخيص الحالات'!$B$2:$B$1001=B709)*('تشخيص الحالات'!$G$2:$G$1001=8))&gt;0,"، "&amp;IFERROR(INDEX('تشخيص الحالات'!$D$2:$D$1001,SUMPRODUCT(('تشخيص الحالات'!$B$2:$B$1001=B709)*('تشخيص الحالات'!$G$2:$G$1001=8)*ROW('تشخيص الحالات'!$B$2:$B$1001))-1),""),"")</f>
        <v/>
      </c>
      <c r="J709" s="1"/>
      <c r="K709" s="1"/>
      <c r="L709" s="1"/>
      <c r="M709" s="1"/>
    </row>
    <row r="710" spans="1:13" x14ac:dyDescent="0.2">
      <c r="A710" s="1"/>
      <c r="B710" s="1"/>
      <c r="C710" s="1"/>
      <c r="D710" s="1"/>
      <c r="E710" s="1"/>
      <c r="F710" s="1"/>
      <c r="G710" s="1"/>
      <c r="H710" s="1"/>
      <c r="I710" t="str">
        <f>IFERROR(INDEX('تشخيص الحالات'!$D$2:$D$1001,SUMPRODUCT(('تشخيص الحالات'!$B$2:$B$1001=B710)*('تشخيص الحالات'!$G$2:$G$1001=1)*ROW('تشخيص الحالات'!$B$2:$B$1001))-1),"")&amp;IF(SUMPRODUCT(('تشخيص الحالات'!$B$2:$B$1001=B710)*('تشخيص الحالات'!$G$2:$G$1001=2))&gt;0,"، "&amp;IFERROR(INDEX('تشخيص الحالات'!$D$2:$D$1001,SUMPRODUCT(('تشخيص الحالات'!$B$2:$B$1001=B710)*('تشخيص الحالات'!$G$2:$G$1001=2)*ROW('تشخيص الحالات'!$B$2:$B$1001))-1),""),"")&amp;IF(SUMPRODUCT(('تشخيص الحالات'!$B$2:$B$1001=B710)*('تشخيص الحالات'!$G$2:$G$1001=3))&gt;0,"، "&amp;IFERROR(INDEX('تشخيص الحالات'!$D$2:$D$1001,SUMPRODUCT(('تشخيص الحالات'!$B$2:$B$1001=B710)*('تشخيص الحالات'!$G$2:$G$1001=3)*ROW('تشخيص الحالات'!$B$2:$B$1001))-1),""),"")&amp;IF(SUMPRODUCT(('تشخيص الحالات'!$B$2:$B$1001=B710)*('تشخيص الحالات'!$G$2:$G$1001=4))&gt;0,"، "&amp;IFERROR(INDEX('تشخيص الحالات'!$D$2:$D$1001,SUMPRODUCT(('تشخيص الحالات'!$B$2:$B$1001=B710)*('تشخيص الحالات'!$G$2:$G$1001=4)*ROW('تشخيص الحالات'!$B$2:$B$1001))-1),""),"")&amp;IF(SUMPRODUCT(('تشخيص الحالات'!$B$2:$B$1001=B710)*('تشخيص الحالات'!$G$2:$G$1001=5))&gt;0,"، "&amp;IFERROR(INDEX('تشخيص الحالات'!$D$2:$D$1001,SUMPRODUCT(('تشخيص الحالات'!$B$2:$B$1001=B710)*('تشخيص الحالات'!$G$2:$G$1001=5)*ROW('تشخيص الحالات'!$B$2:$B$1001))-1),""),"")&amp;IF(SUMPRODUCT(('تشخيص الحالات'!$B$2:$B$1001=B710)*('تشخيص الحالات'!$G$2:$G$1001=6))&gt;0,"، "&amp;IFERROR(INDEX('تشخيص الحالات'!$D$2:$D$1001,SUMPRODUCT(('تشخيص الحالات'!$B$2:$B$1001=B710)*('تشخيص الحالات'!$G$2:$G$1001=6)*ROW('تشخيص الحالات'!$B$2:$B$1001))-1),""),"")&amp;IF(SUMPRODUCT(('تشخيص الحالات'!$B$2:$B$1001=B710)*('تشخيص الحالات'!$G$2:$G$1001=7))&gt;0,"، "&amp;IFERROR(INDEX('تشخيص الحالات'!$D$2:$D$1001,SUMPRODUCT(('تشخيص الحالات'!$B$2:$B$1001=B710)*('تشخيص الحالات'!$G$2:$G$1001=7)*ROW('تشخيص الحالات'!$B$2:$B$1001))-1),""),"")&amp;IF(SUMPRODUCT(('تشخيص الحالات'!$B$2:$B$1001=B710)*('تشخيص الحالات'!$G$2:$G$1001=8))&gt;0,"، "&amp;IFERROR(INDEX('تشخيص الحالات'!$D$2:$D$1001,SUMPRODUCT(('تشخيص الحالات'!$B$2:$B$1001=B710)*('تشخيص الحالات'!$G$2:$G$1001=8)*ROW('تشخيص الحالات'!$B$2:$B$1001))-1),""),"")</f>
        <v/>
      </c>
      <c r="J710" s="1"/>
      <c r="K710" s="1"/>
      <c r="L710" s="1"/>
      <c r="M710" s="1"/>
    </row>
    <row r="711" spans="1:13" x14ac:dyDescent="0.2">
      <c r="A711" s="1"/>
      <c r="B711" s="1"/>
      <c r="C711" s="1"/>
      <c r="D711" s="1"/>
      <c r="E711" s="1"/>
      <c r="F711" s="1"/>
      <c r="G711" s="1"/>
      <c r="H711" s="1"/>
      <c r="I711" t="str">
        <f>IFERROR(INDEX('تشخيص الحالات'!$D$2:$D$1001,SUMPRODUCT(('تشخيص الحالات'!$B$2:$B$1001=B711)*('تشخيص الحالات'!$G$2:$G$1001=1)*ROW('تشخيص الحالات'!$B$2:$B$1001))-1),"")&amp;IF(SUMPRODUCT(('تشخيص الحالات'!$B$2:$B$1001=B711)*('تشخيص الحالات'!$G$2:$G$1001=2))&gt;0,"، "&amp;IFERROR(INDEX('تشخيص الحالات'!$D$2:$D$1001,SUMPRODUCT(('تشخيص الحالات'!$B$2:$B$1001=B711)*('تشخيص الحالات'!$G$2:$G$1001=2)*ROW('تشخيص الحالات'!$B$2:$B$1001))-1),""),"")&amp;IF(SUMPRODUCT(('تشخيص الحالات'!$B$2:$B$1001=B711)*('تشخيص الحالات'!$G$2:$G$1001=3))&gt;0,"، "&amp;IFERROR(INDEX('تشخيص الحالات'!$D$2:$D$1001,SUMPRODUCT(('تشخيص الحالات'!$B$2:$B$1001=B711)*('تشخيص الحالات'!$G$2:$G$1001=3)*ROW('تشخيص الحالات'!$B$2:$B$1001))-1),""),"")&amp;IF(SUMPRODUCT(('تشخيص الحالات'!$B$2:$B$1001=B711)*('تشخيص الحالات'!$G$2:$G$1001=4))&gt;0,"، "&amp;IFERROR(INDEX('تشخيص الحالات'!$D$2:$D$1001,SUMPRODUCT(('تشخيص الحالات'!$B$2:$B$1001=B711)*('تشخيص الحالات'!$G$2:$G$1001=4)*ROW('تشخيص الحالات'!$B$2:$B$1001))-1),""),"")&amp;IF(SUMPRODUCT(('تشخيص الحالات'!$B$2:$B$1001=B711)*('تشخيص الحالات'!$G$2:$G$1001=5))&gt;0,"، "&amp;IFERROR(INDEX('تشخيص الحالات'!$D$2:$D$1001,SUMPRODUCT(('تشخيص الحالات'!$B$2:$B$1001=B711)*('تشخيص الحالات'!$G$2:$G$1001=5)*ROW('تشخيص الحالات'!$B$2:$B$1001))-1),""),"")&amp;IF(SUMPRODUCT(('تشخيص الحالات'!$B$2:$B$1001=B711)*('تشخيص الحالات'!$G$2:$G$1001=6))&gt;0,"، "&amp;IFERROR(INDEX('تشخيص الحالات'!$D$2:$D$1001,SUMPRODUCT(('تشخيص الحالات'!$B$2:$B$1001=B711)*('تشخيص الحالات'!$G$2:$G$1001=6)*ROW('تشخيص الحالات'!$B$2:$B$1001))-1),""),"")&amp;IF(SUMPRODUCT(('تشخيص الحالات'!$B$2:$B$1001=B711)*('تشخيص الحالات'!$G$2:$G$1001=7))&gt;0,"، "&amp;IFERROR(INDEX('تشخيص الحالات'!$D$2:$D$1001,SUMPRODUCT(('تشخيص الحالات'!$B$2:$B$1001=B711)*('تشخيص الحالات'!$G$2:$G$1001=7)*ROW('تشخيص الحالات'!$B$2:$B$1001))-1),""),"")&amp;IF(SUMPRODUCT(('تشخيص الحالات'!$B$2:$B$1001=B711)*('تشخيص الحالات'!$G$2:$G$1001=8))&gt;0,"، "&amp;IFERROR(INDEX('تشخيص الحالات'!$D$2:$D$1001,SUMPRODUCT(('تشخيص الحالات'!$B$2:$B$1001=B711)*('تشخيص الحالات'!$G$2:$G$1001=8)*ROW('تشخيص الحالات'!$B$2:$B$1001))-1),""),"")</f>
        <v/>
      </c>
      <c r="J711" s="1"/>
      <c r="K711" s="1"/>
      <c r="L711" s="1"/>
      <c r="M711" s="1"/>
    </row>
    <row r="712" spans="1:13" x14ac:dyDescent="0.2">
      <c r="A712" s="1"/>
      <c r="B712" s="1"/>
      <c r="C712" s="1"/>
      <c r="D712" s="1"/>
      <c r="E712" s="1"/>
      <c r="F712" s="1"/>
      <c r="G712" s="1"/>
      <c r="H712" s="1"/>
      <c r="I712" t="str">
        <f>IFERROR(INDEX('تشخيص الحالات'!$D$2:$D$1001,SUMPRODUCT(('تشخيص الحالات'!$B$2:$B$1001=B712)*('تشخيص الحالات'!$G$2:$G$1001=1)*ROW('تشخيص الحالات'!$B$2:$B$1001))-1),"")&amp;IF(SUMPRODUCT(('تشخيص الحالات'!$B$2:$B$1001=B712)*('تشخيص الحالات'!$G$2:$G$1001=2))&gt;0,"، "&amp;IFERROR(INDEX('تشخيص الحالات'!$D$2:$D$1001,SUMPRODUCT(('تشخيص الحالات'!$B$2:$B$1001=B712)*('تشخيص الحالات'!$G$2:$G$1001=2)*ROW('تشخيص الحالات'!$B$2:$B$1001))-1),""),"")&amp;IF(SUMPRODUCT(('تشخيص الحالات'!$B$2:$B$1001=B712)*('تشخيص الحالات'!$G$2:$G$1001=3))&gt;0,"، "&amp;IFERROR(INDEX('تشخيص الحالات'!$D$2:$D$1001,SUMPRODUCT(('تشخيص الحالات'!$B$2:$B$1001=B712)*('تشخيص الحالات'!$G$2:$G$1001=3)*ROW('تشخيص الحالات'!$B$2:$B$1001))-1),""),"")&amp;IF(SUMPRODUCT(('تشخيص الحالات'!$B$2:$B$1001=B712)*('تشخيص الحالات'!$G$2:$G$1001=4))&gt;0,"، "&amp;IFERROR(INDEX('تشخيص الحالات'!$D$2:$D$1001,SUMPRODUCT(('تشخيص الحالات'!$B$2:$B$1001=B712)*('تشخيص الحالات'!$G$2:$G$1001=4)*ROW('تشخيص الحالات'!$B$2:$B$1001))-1),""),"")&amp;IF(SUMPRODUCT(('تشخيص الحالات'!$B$2:$B$1001=B712)*('تشخيص الحالات'!$G$2:$G$1001=5))&gt;0,"، "&amp;IFERROR(INDEX('تشخيص الحالات'!$D$2:$D$1001,SUMPRODUCT(('تشخيص الحالات'!$B$2:$B$1001=B712)*('تشخيص الحالات'!$G$2:$G$1001=5)*ROW('تشخيص الحالات'!$B$2:$B$1001))-1),""),"")&amp;IF(SUMPRODUCT(('تشخيص الحالات'!$B$2:$B$1001=B712)*('تشخيص الحالات'!$G$2:$G$1001=6))&gt;0,"، "&amp;IFERROR(INDEX('تشخيص الحالات'!$D$2:$D$1001,SUMPRODUCT(('تشخيص الحالات'!$B$2:$B$1001=B712)*('تشخيص الحالات'!$G$2:$G$1001=6)*ROW('تشخيص الحالات'!$B$2:$B$1001))-1),""),"")&amp;IF(SUMPRODUCT(('تشخيص الحالات'!$B$2:$B$1001=B712)*('تشخيص الحالات'!$G$2:$G$1001=7))&gt;0,"، "&amp;IFERROR(INDEX('تشخيص الحالات'!$D$2:$D$1001,SUMPRODUCT(('تشخيص الحالات'!$B$2:$B$1001=B712)*('تشخيص الحالات'!$G$2:$G$1001=7)*ROW('تشخيص الحالات'!$B$2:$B$1001))-1),""),"")&amp;IF(SUMPRODUCT(('تشخيص الحالات'!$B$2:$B$1001=B712)*('تشخيص الحالات'!$G$2:$G$1001=8))&gt;0,"، "&amp;IFERROR(INDEX('تشخيص الحالات'!$D$2:$D$1001,SUMPRODUCT(('تشخيص الحالات'!$B$2:$B$1001=B712)*('تشخيص الحالات'!$G$2:$G$1001=8)*ROW('تشخيص الحالات'!$B$2:$B$1001))-1),""),"")</f>
        <v/>
      </c>
      <c r="J712" s="1"/>
      <c r="K712" s="1"/>
      <c r="L712" s="1"/>
      <c r="M712" s="1"/>
    </row>
    <row r="713" spans="1:13" x14ac:dyDescent="0.2">
      <c r="A713" s="1"/>
      <c r="B713" s="1"/>
      <c r="C713" s="1"/>
      <c r="D713" s="1"/>
      <c r="E713" s="1"/>
      <c r="F713" s="1"/>
      <c r="G713" s="1"/>
      <c r="H713" s="1"/>
      <c r="I713" t="str">
        <f>IFERROR(INDEX('تشخيص الحالات'!$D$2:$D$1001,SUMPRODUCT(('تشخيص الحالات'!$B$2:$B$1001=B713)*('تشخيص الحالات'!$G$2:$G$1001=1)*ROW('تشخيص الحالات'!$B$2:$B$1001))-1),"")&amp;IF(SUMPRODUCT(('تشخيص الحالات'!$B$2:$B$1001=B713)*('تشخيص الحالات'!$G$2:$G$1001=2))&gt;0,"، "&amp;IFERROR(INDEX('تشخيص الحالات'!$D$2:$D$1001,SUMPRODUCT(('تشخيص الحالات'!$B$2:$B$1001=B713)*('تشخيص الحالات'!$G$2:$G$1001=2)*ROW('تشخيص الحالات'!$B$2:$B$1001))-1),""),"")&amp;IF(SUMPRODUCT(('تشخيص الحالات'!$B$2:$B$1001=B713)*('تشخيص الحالات'!$G$2:$G$1001=3))&gt;0,"، "&amp;IFERROR(INDEX('تشخيص الحالات'!$D$2:$D$1001,SUMPRODUCT(('تشخيص الحالات'!$B$2:$B$1001=B713)*('تشخيص الحالات'!$G$2:$G$1001=3)*ROW('تشخيص الحالات'!$B$2:$B$1001))-1),""),"")&amp;IF(SUMPRODUCT(('تشخيص الحالات'!$B$2:$B$1001=B713)*('تشخيص الحالات'!$G$2:$G$1001=4))&gt;0,"، "&amp;IFERROR(INDEX('تشخيص الحالات'!$D$2:$D$1001,SUMPRODUCT(('تشخيص الحالات'!$B$2:$B$1001=B713)*('تشخيص الحالات'!$G$2:$G$1001=4)*ROW('تشخيص الحالات'!$B$2:$B$1001))-1),""),"")&amp;IF(SUMPRODUCT(('تشخيص الحالات'!$B$2:$B$1001=B713)*('تشخيص الحالات'!$G$2:$G$1001=5))&gt;0,"، "&amp;IFERROR(INDEX('تشخيص الحالات'!$D$2:$D$1001,SUMPRODUCT(('تشخيص الحالات'!$B$2:$B$1001=B713)*('تشخيص الحالات'!$G$2:$G$1001=5)*ROW('تشخيص الحالات'!$B$2:$B$1001))-1),""),"")&amp;IF(SUMPRODUCT(('تشخيص الحالات'!$B$2:$B$1001=B713)*('تشخيص الحالات'!$G$2:$G$1001=6))&gt;0,"، "&amp;IFERROR(INDEX('تشخيص الحالات'!$D$2:$D$1001,SUMPRODUCT(('تشخيص الحالات'!$B$2:$B$1001=B713)*('تشخيص الحالات'!$G$2:$G$1001=6)*ROW('تشخيص الحالات'!$B$2:$B$1001))-1),""),"")&amp;IF(SUMPRODUCT(('تشخيص الحالات'!$B$2:$B$1001=B713)*('تشخيص الحالات'!$G$2:$G$1001=7))&gt;0,"، "&amp;IFERROR(INDEX('تشخيص الحالات'!$D$2:$D$1001,SUMPRODUCT(('تشخيص الحالات'!$B$2:$B$1001=B713)*('تشخيص الحالات'!$G$2:$G$1001=7)*ROW('تشخيص الحالات'!$B$2:$B$1001))-1),""),"")&amp;IF(SUMPRODUCT(('تشخيص الحالات'!$B$2:$B$1001=B713)*('تشخيص الحالات'!$G$2:$G$1001=8))&gt;0,"، "&amp;IFERROR(INDEX('تشخيص الحالات'!$D$2:$D$1001,SUMPRODUCT(('تشخيص الحالات'!$B$2:$B$1001=B713)*('تشخيص الحالات'!$G$2:$G$1001=8)*ROW('تشخيص الحالات'!$B$2:$B$1001))-1),""),"")</f>
        <v/>
      </c>
      <c r="J713" s="1"/>
      <c r="K713" s="1"/>
      <c r="L713" s="1"/>
      <c r="M713" s="1"/>
    </row>
    <row r="714" spans="1:13" x14ac:dyDescent="0.2">
      <c r="A714" s="1"/>
      <c r="B714" s="1"/>
      <c r="C714" s="1"/>
      <c r="D714" s="1"/>
      <c r="E714" s="1"/>
      <c r="F714" s="1"/>
      <c r="G714" s="1"/>
      <c r="H714" s="1"/>
      <c r="I714" t="str">
        <f>IFERROR(INDEX('تشخيص الحالات'!$D$2:$D$1001,SUMPRODUCT(('تشخيص الحالات'!$B$2:$B$1001=B714)*('تشخيص الحالات'!$G$2:$G$1001=1)*ROW('تشخيص الحالات'!$B$2:$B$1001))-1),"")&amp;IF(SUMPRODUCT(('تشخيص الحالات'!$B$2:$B$1001=B714)*('تشخيص الحالات'!$G$2:$G$1001=2))&gt;0,"، "&amp;IFERROR(INDEX('تشخيص الحالات'!$D$2:$D$1001,SUMPRODUCT(('تشخيص الحالات'!$B$2:$B$1001=B714)*('تشخيص الحالات'!$G$2:$G$1001=2)*ROW('تشخيص الحالات'!$B$2:$B$1001))-1),""),"")&amp;IF(SUMPRODUCT(('تشخيص الحالات'!$B$2:$B$1001=B714)*('تشخيص الحالات'!$G$2:$G$1001=3))&gt;0,"، "&amp;IFERROR(INDEX('تشخيص الحالات'!$D$2:$D$1001,SUMPRODUCT(('تشخيص الحالات'!$B$2:$B$1001=B714)*('تشخيص الحالات'!$G$2:$G$1001=3)*ROW('تشخيص الحالات'!$B$2:$B$1001))-1),""),"")&amp;IF(SUMPRODUCT(('تشخيص الحالات'!$B$2:$B$1001=B714)*('تشخيص الحالات'!$G$2:$G$1001=4))&gt;0,"، "&amp;IFERROR(INDEX('تشخيص الحالات'!$D$2:$D$1001,SUMPRODUCT(('تشخيص الحالات'!$B$2:$B$1001=B714)*('تشخيص الحالات'!$G$2:$G$1001=4)*ROW('تشخيص الحالات'!$B$2:$B$1001))-1),""),"")&amp;IF(SUMPRODUCT(('تشخيص الحالات'!$B$2:$B$1001=B714)*('تشخيص الحالات'!$G$2:$G$1001=5))&gt;0,"، "&amp;IFERROR(INDEX('تشخيص الحالات'!$D$2:$D$1001,SUMPRODUCT(('تشخيص الحالات'!$B$2:$B$1001=B714)*('تشخيص الحالات'!$G$2:$G$1001=5)*ROW('تشخيص الحالات'!$B$2:$B$1001))-1),""),"")&amp;IF(SUMPRODUCT(('تشخيص الحالات'!$B$2:$B$1001=B714)*('تشخيص الحالات'!$G$2:$G$1001=6))&gt;0,"، "&amp;IFERROR(INDEX('تشخيص الحالات'!$D$2:$D$1001,SUMPRODUCT(('تشخيص الحالات'!$B$2:$B$1001=B714)*('تشخيص الحالات'!$G$2:$G$1001=6)*ROW('تشخيص الحالات'!$B$2:$B$1001))-1),""),"")&amp;IF(SUMPRODUCT(('تشخيص الحالات'!$B$2:$B$1001=B714)*('تشخيص الحالات'!$G$2:$G$1001=7))&gt;0,"، "&amp;IFERROR(INDEX('تشخيص الحالات'!$D$2:$D$1001,SUMPRODUCT(('تشخيص الحالات'!$B$2:$B$1001=B714)*('تشخيص الحالات'!$G$2:$G$1001=7)*ROW('تشخيص الحالات'!$B$2:$B$1001))-1),""),"")&amp;IF(SUMPRODUCT(('تشخيص الحالات'!$B$2:$B$1001=B714)*('تشخيص الحالات'!$G$2:$G$1001=8))&gt;0,"، "&amp;IFERROR(INDEX('تشخيص الحالات'!$D$2:$D$1001,SUMPRODUCT(('تشخيص الحالات'!$B$2:$B$1001=B714)*('تشخيص الحالات'!$G$2:$G$1001=8)*ROW('تشخيص الحالات'!$B$2:$B$1001))-1),""),"")</f>
        <v/>
      </c>
      <c r="J714" s="1"/>
      <c r="K714" s="1"/>
      <c r="L714" s="1"/>
      <c r="M714" s="1"/>
    </row>
    <row r="715" spans="1:13" x14ac:dyDescent="0.2">
      <c r="A715" s="1"/>
      <c r="B715" s="1"/>
      <c r="C715" s="1"/>
      <c r="D715" s="1"/>
      <c r="E715" s="1"/>
      <c r="F715" s="1"/>
      <c r="G715" s="1"/>
      <c r="H715" s="1"/>
      <c r="I715" t="str">
        <f>IFERROR(INDEX('تشخيص الحالات'!$D$2:$D$1001,SUMPRODUCT(('تشخيص الحالات'!$B$2:$B$1001=B715)*('تشخيص الحالات'!$G$2:$G$1001=1)*ROW('تشخيص الحالات'!$B$2:$B$1001))-1),"")&amp;IF(SUMPRODUCT(('تشخيص الحالات'!$B$2:$B$1001=B715)*('تشخيص الحالات'!$G$2:$G$1001=2))&gt;0,"، "&amp;IFERROR(INDEX('تشخيص الحالات'!$D$2:$D$1001,SUMPRODUCT(('تشخيص الحالات'!$B$2:$B$1001=B715)*('تشخيص الحالات'!$G$2:$G$1001=2)*ROW('تشخيص الحالات'!$B$2:$B$1001))-1),""),"")&amp;IF(SUMPRODUCT(('تشخيص الحالات'!$B$2:$B$1001=B715)*('تشخيص الحالات'!$G$2:$G$1001=3))&gt;0,"، "&amp;IFERROR(INDEX('تشخيص الحالات'!$D$2:$D$1001,SUMPRODUCT(('تشخيص الحالات'!$B$2:$B$1001=B715)*('تشخيص الحالات'!$G$2:$G$1001=3)*ROW('تشخيص الحالات'!$B$2:$B$1001))-1),""),"")&amp;IF(SUMPRODUCT(('تشخيص الحالات'!$B$2:$B$1001=B715)*('تشخيص الحالات'!$G$2:$G$1001=4))&gt;0,"، "&amp;IFERROR(INDEX('تشخيص الحالات'!$D$2:$D$1001,SUMPRODUCT(('تشخيص الحالات'!$B$2:$B$1001=B715)*('تشخيص الحالات'!$G$2:$G$1001=4)*ROW('تشخيص الحالات'!$B$2:$B$1001))-1),""),"")&amp;IF(SUMPRODUCT(('تشخيص الحالات'!$B$2:$B$1001=B715)*('تشخيص الحالات'!$G$2:$G$1001=5))&gt;0,"، "&amp;IFERROR(INDEX('تشخيص الحالات'!$D$2:$D$1001,SUMPRODUCT(('تشخيص الحالات'!$B$2:$B$1001=B715)*('تشخيص الحالات'!$G$2:$G$1001=5)*ROW('تشخيص الحالات'!$B$2:$B$1001))-1),""),"")&amp;IF(SUMPRODUCT(('تشخيص الحالات'!$B$2:$B$1001=B715)*('تشخيص الحالات'!$G$2:$G$1001=6))&gt;0,"، "&amp;IFERROR(INDEX('تشخيص الحالات'!$D$2:$D$1001,SUMPRODUCT(('تشخيص الحالات'!$B$2:$B$1001=B715)*('تشخيص الحالات'!$G$2:$G$1001=6)*ROW('تشخيص الحالات'!$B$2:$B$1001))-1),""),"")&amp;IF(SUMPRODUCT(('تشخيص الحالات'!$B$2:$B$1001=B715)*('تشخيص الحالات'!$G$2:$G$1001=7))&gt;0,"، "&amp;IFERROR(INDEX('تشخيص الحالات'!$D$2:$D$1001,SUMPRODUCT(('تشخيص الحالات'!$B$2:$B$1001=B715)*('تشخيص الحالات'!$G$2:$G$1001=7)*ROW('تشخيص الحالات'!$B$2:$B$1001))-1),""),"")&amp;IF(SUMPRODUCT(('تشخيص الحالات'!$B$2:$B$1001=B715)*('تشخيص الحالات'!$G$2:$G$1001=8))&gt;0,"، "&amp;IFERROR(INDEX('تشخيص الحالات'!$D$2:$D$1001,SUMPRODUCT(('تشخيص الحالات'!$B$2:$B$1001=B715)*('تشخيص الحالات'!$G$2:$G$1001=8)*ROW('تشخيص الحالات'!$B$2:$B$1001))-1),""),"")</f>
        <v/>
      </c>
      <c r="J715" s="1"/>
      <c r="K715" s="1"/>
      <c r="L715" s="1"/>
      <c r="M715" s="1"/>
    </row>
    <row r="716" spans="1:13" x14ac:dyDescent="0.2">
      <c r="A716" s="1"/>
      <c r="B716" s="1"/>
      <c r="C716" s="1"/>
      <c r="D716" s="1"/>
      <c r="E716" s="1"/>
      <c r="F716" s="1"/>
      <c r="G716" s="1"/>
      <c r="H716" s="1"/>
      <c r="I716" t="str">
        <f>IFERROR(INDEX('تشخيص الحالات'!$D$2:$D$1001,SUMPRODUCT(('تشخيص الحالات'!$B$2:$B$1001=B716)*('تشخيص الحالات'!$G$2:$G$1001=1)*ROW('تشخيص الحالات'!$B$2:$B$1001))-1),"")&amp;IF(SUMPRODUCT(('تشخيص الحالات'!$B$2:$B$1001=B716)*('تشخيص الحالات'!$G$2:$G$1001=2))&gt;0,"، "&amp;IFERROR(INDEX('تشخيص الحالات'!$D$2:$D$1001,SUMPRODUCT(('تشخيص الحالات'!$B$2:$B$1001=B716)*('تشخيص الحالات'!$G$2:$G$1001=2)*ROW('تشخيص الحالات'!$B$2:$B$1001))-1),""),"")&amp;IF(SUMPRODUCT(('تشخيص الحالات'!$B$2:$B$1001=B716)*('تشخيص الحالات'!$G$2:$G$1001=3))&gt;0,"، "&amp;IFERROR(INDEX('تشخيص الحالات'!$D$2:$D$1001,SUMPRODUCT(('تشخيص الحالات'!$B$2:$B$1001=B716)*('تشخيص الحالات'!$G$2:$G$1001=3)*ROW('تشخيص الحالات'!$B$2:$B$1001))-1),""),"")&amp;IF(SUMPRODUCT(('تشخيص الحالات'!$B$2:$B$1001=B716)*('تشخيص الحالات'!$G$2:$G$1001=4))&gt;0,"، "&amp;IFERROR(INDEX('تشخيص الحالات'!$D$2:$D$1001,SUMPRODUCT(('تشخيص الحالات'!$B$2:$B$1001=B716)*('تشخيص الحالات'!$G$2:$G$1001=4)*ROW('تشخيص الحالات'!$B$2:$B$1001))-1),""),"")&amp;IF(SUMPRODUCT(('تشخيص الحالات'!$B$2:$B$1001=B716)*('تشخيص الحالات'!$G$2:$G$1001=5))&gt;0,"، "&amp;IFERROR(INDEX('تشخيص الحالات'!$D$2:$D$1001,SUMPRODUCT(('تشخيص الحالات'!$B$2:$B$1001=B716)*('تشخيص الحالات'!$G$2:$G$1001=5)*ROW('تشخيص الحالات'!$B$2:$B$1001))-1),""),"")&amp;IF(SUMPRODUCT(('تشخيص الحالات'!$B$2:$B$1001=B716)*('تشخيص الحالات'!$G$2:$G$1001=6))&gt;0,"، "&amp;IFERROR(INDEX('تشخيص الحالات'!$D$2:$D$1001,SUMPRODUCT(('تشخيص الحالات'!$B$2:$B$1001=B716)*('تشخيص الحالات'!$G$2:$G$1001=6)*ROW('تشخيص الحالات'!$B$2:$B$1001))-1),""),"")&amp;IF(SUMPRODUCT(('تشخيص الحالات'!$B$2:$B$1001=B716)*('تشخيص الحالات'!$G$2:$G$1001=7))&gt;0,"، "&amp;IFERROR(INDEX('تشخيص الحالات'!$D$2:$D$1001,SUMPRODUCT(('تشخيص الحالات'!$B$2:$B$1001=B716)*('تشخيص الحالات'!$G$2:$G$1001=7)*ROW('تشخيص الحالات'!$B$2:$B$1001))-1),""),"")&amp;IF(SUMPRODUCT(('تشخيص الحالات'!$B$2:$B$1001=B716)*('تشخيص الحالات'!$G$2:$G$1001=8))&gt;0,"، "&amp;IFERROR(INDEX('تشخيص الحالات'!$D$2:$D$1001,SUMPRODUCT(('تشخيص الحالات'!$B$2:$B$1001=B716)*('تشخيص الحالات'!$G$2:$G$1001=8)*ROW('تشخيص الحالات'!$B$2:$B$1001))-1),""),"")</f>
        <v/>
      </c>
      <c r="J716" s="1"/>
      <c r="K716" s="1"/>
      <c r="L716" s="1"/>
      <c r="M716" s="1"/>
    </row>
    <row r="717" spans="1:13" x14ac:dyDescent="0.2">
      <c r="A717" s="1"/>
      <c r="B717" s="1"/>
      <c r="C717" s="1"/>
      <c r="D717" s="1"/>
      <c r="E717" s="1"/>
      <c r="F717" s="1"/>
      <c r="G717" s="1"/>
      <c r="H717" s="1"/>
      <c r="I717" t="str">
        <f>IFERROR(INDEX('تشخيص الحالات'!$D$2:$D$1001,SUMPRODUCT(('تشخيص الحالات'!$B$2:$B$1001=B717)*('تشخيص الحالات'!$G$2:$G$1001=1)*ROW('تشخيص الحالات'!$B$2:$B$1001))-1),"")&amp;IF(SUMPRODUCT(('تشخيص الحالات'!$B$2:$B$1001=B717)*('تشخيص الحالات'!$G$2:$G$1001=2))&gt;0,"، "&amp;IFERROR(INDEX('تشخيص الحالات'!$D$2:$D$1001,SUMPRODUCT(('تشخيص الحالات'!$B$2:$B$1001=B717)*('تشخيص الحالات'!$G$2:$G$1001=2)*ROW('تشخيص الحالات'!$B$2:$B$1001))-1),""),"")&amp;IF(SUMPRODUCT(('تشخيص الحالات'!$B$2:$B$1001=B717)*('تشخيص الحالات'!$G$2:$G$1001=3))&gt;0,"، "&amp;IFERROR(INDEX('تشخيص الحالات'!$D$2:$D$1001,SUMPRODUCT(('تشخيص الحالات'!$B$2:$B$1001=B717)*('تشخيص الحالات'!$G$2:$G$1001=3)*ROW('تشخيص الحالات'!$B$2:$B$1001))-1),""),"")&amp;IF(SUMPRODUCT(('تشخيص الحالات'!$B$2:$B$1001=B717)*('تشخيص الحالات'!$G$2:$G$1001=4))&gt;0,"، "&amp;IFERROR(INDEX('تشخيص الحالات'!$D$2:$D$1001,SUMPRODUCT(('تشخيص الحالات'!$B$2:$B$1001=B717)*('تشخيص الحالات'!$G$2:$G$1001=4)*ROW('تشخيص الحالات'!$B$2:$B$1001))-1),""),"")&amp;IF(SUMPRODUCT(('تشخيص الحالات'!$B$2:$B$1001=B717)*('تشخيص الحالات'!$G$2:$G$1001=5))&gt;0,"، "&amp;IFERROR(INDEX('تشخيص الحالات'!$D$2:$D$1001,SUMPRODUCT(('تشخيص الحالات'!$B$2:$B$1001=B717)*('تشخيص الحالات'!$G$2:$G$1001=5)*ROW('تشخيص الحالات'!$B$2:$B$1001))-1),""),"")&amp;IF(SUMPRODUCT(('تشخيص الحالات'!$B$2:$B$1001=B717)*('تشخيص الحالات'!$G$2:$G$1001=6))&gt;0,"، "&amp;IFERROR(INDEX('تشخيص الحالات'!$D$2:$D$1001,SUMPRODUCT(('تشخيص الحالات'!$B$2:$B$1001=B717)*('تشخيص الحالات'!$G$2:$G$1001=6)*ROW('تشخيص الحالات'!$B$2:$B$1001))-1),""),"")&amp;IF(SUMPRODUCT(('تشخيص الحالات'!$B$2:$B$1001=B717)*('تشخيص الحالات'!$G$2:$G$1001=7))&gt;0,"، "&amp;IFERROR(INDEX('تشخيص الحالات'!$D$2:$D$1001,SUMPRODUCT(('تشخيص الحالات'!$B$2:$B$1001=B717)*('تشخيص الحالات'!$G$2:$G$1001=7)*ROW('تشخيص الحالات'!$B$2:$B$1001))-1),""),"")&amp;IF(SUMPRODUCT(('تشخيص الحالات'!$B$2:$B$1001=B717)*('تشخيص الحالات'!$G$2:$G$1001=8))&gt;0,"، "&amp;IFERROR(INDEX('تشخيص الحالات'!$D$2:$D$1001,SUMPRODUCT(('تشخيص الحالات'!$B$2:$B$1001=B717)*('تشخيص الحالات'!$G$2:$G$1001=8)*ROW('تشخيص الحالات'!$B$2:$B$1001))-1),""),"")</f>
        <v/>
      </c>
      <c r="J717" s="1"/>
      <c r="K717" s="1"/>
      <c r="L717" s="1"/>
      <c r="M717" s="1"/>
    </row>
    <row r="718" spans="1:13" x14ac:dyDescent="0.2">
      <c r="A718" s="1"/>
      <c r="B718" s="1"/>
      <c r="C718" s="1"/>
      <c r="D718" s="1"/>
      <c r="E718" s="1"/>
      <c r="F718" s="1"/>
      <c r="G718" s="1"/>
      <c r="H718" s="1"/>
      <c r="I718" t="str">
        <f>IFERROR(INDEX('تشخيص الحالات'!$D$2:$D$1001,SUMPRODUCT(('تشخيص الحالات'!$B$2:$B$1001=B718)*('تشخيص الحالات'!$G$2:$G$1001=1)*ROW('تشخيص الحالات'!$B$2:$B$1001))-1),"")&amp;IF(SUMPRODUCT(('تشخيص الحالات'!$B$2:$B$1001=B718)*('تشخيص الحالات'!$G$2:$G$1001=2))&gt;0,"، "&amp;IFERROR(INDEX('تشخيص الحالات'!$D$2:$D$1001,SUMPRODUCT(('تشخيص الحالات'!$B$2:$B$1001=B718)*('تشخيص الحالات'!$G$2:$G$1001=2)*ROW('تشخيص الحالات'!$B$2:$B$1001))-1),""),"")&amp;IF(SUMPRODUCT(('تشخيص الحالات'!$B$2:$B$1001=B718)*('تشخيص الحالات'!$G$2:$G$1001=3))&gt;0,"، "&amp;IFERROR(INDEX('تشخيص الحالات'!$D$2:$D$1001,SUMPRODUCT(('تشخيص الحالات'!$B$2:$B$1001=B718)*('تشخيص الحالات'!$G$2:$G$1001=3)*ROW('تشخيص الحالات'!$B$2:$B$1001))-1),""),"")&amp;IF(SUMPRODUCT(('تشخيص الحالات'!$B$2:$B$1001=B718)*('تشخيص الحالات'!$G$2:$G$1001=4))&gt;0,"، "&amp;IFERROR(INDEX('تشخيص الحالات'!$D$2:$D$1001,SUMPRODUCT(('تشخيص الحالات'!$B$2:$B$1001=B718)*('تشخيص الحالات'!$G$2:$G$1001=4)*ROW('تشخيص الحالات'!$B$2:$B$1001))-1),""),"")&amp;IF(SUMPRODUCT(('تشخيص الحالات'!$B$2:$B$1001=B718)*('تشخيص الحالات'!$G$2:$G$1001=5))&gt;0,"، "&amp;IFERROR(INDEX('تشخيص الحالات'!$D$2:$D$1001,SUMPRODUCT(('تشخيص الحالات'!$B$2:$B$1001=B718)*('تشخيص الحالات'!$G$2:$G$1001=5)*ROW('تشخيص الحالات'!$B$2:$B$1001))-1),""),"")&amp;IF(SUMPRODUCT(('تشخيص الحالات'!$B$2:$B$1001=B718)*('تشخيص الحالات'!$G$2:$G$1001=6))&gt;0,"، "&amp;IFERROR(INDEX('تشخيص الحالات'!$D$2:$D$1001,SUMPRODUCT(('تشخيص الحالات'!$B$2:$B$1001=B718)*('تشخيص الحالات'!$G$2:$G$1001=6)*ROW('تشخيص الحالات'!$B$2:$B$1001))-1),""),"")&amp;IF(SUMPRODUCT(('تشخيص الحالات'!$B$2:$B$1001=B718)*('تشخيص الحالات'!$G$2:$G$1001=7))&gt;0,"، "&amp;IFERROR(INDEX('تشخيص الحالات'!$D$2:$D$1001,SUMPRODUCT(('تشخيص الحالات'!$B$2:$B$1001=B718)*('تشخيص الحالات'!$G$2:$G$1001=7)*ROW('تشخيص الحالات'!$B$2:$B$1001))-1),""),"")&amp;IF(SUMPRODUCT(('تشخيص الحالات'!$B$2:$B$1001=B718)*('تشخيص الحالات'!$G$2:$G$1001=8))&gt;0,"، "&amp;IFERROR(INDEX('تشخيص الحالات'!$D$2:$D$1001,SUMPRODUCT(('تشخيص الحالات'!$B$2:$B$1001=B718)*('تشخيص الحالات'!$G$2:$G$1001=8)*ROW('تشخيص الحالات'!$B$2:$B$1001))-1),""),"")</f>
        <v/>
      </c>
      <c r="J718" s="1"/>
      <c r="K718" s="1"/>
      <c r="L718" s="1"/>
      <c r="M718" s="1"/>
    </row>
    <row r="719" spans="1:13" x14ac:dyDescent="0.2">
      <c r="A719" s="1"/>
      <c r="B719" s="1"/>
      <c r="C719" s="1"/>
      <c r="D719" s="1"/>
      <c r="E719" s="1"/>
      <c r="F719" s="1"/>
      <c r="G719" s="1"/>
      <c r="H719" s="1"/>
      <c r="I719" t="str">
        <f>IFERROR(INDEX('تشخيص الحالات'!$D$2:$D$1001,SUMPRODUCT(('تشخيص الحالات'!$B$2:$B$1001=B719)*('تشخيص الحالات'!$G$2:$G$1001=1)*ROW('تشخيص الحالات'!$B$2:$B$1001))-1),"")&amp;IF(SUMPRODUCT(('تشخيص الحالات'!$B$2:$B$1001=B719)*('تشخيص الحالات'!$G$2:$G$1001=2))&gt;0,"، "&amp;IFERROR(INDEX('تشخيص الحالات'!$D$2:$D$1001,SUMPRODUCT(('تشخيص الحالات'!$B$2:$B$1001=B719)*('تشخيص الحالات'!$G$2:$G$1001=2)*ROW('تشخيص الحالات'!$B$2:$B$1001))-1),""),"")&amp;IF(SUMPRODUCT(('تشخيص الحالات'!$B$2:$B$1001=B719)*('تشخيص الحالات'!$G$2:$G$1001=3))&gt;0,"، "&amp;IFERROR(INDEX('تشخيص الحالات'!$D$2:$D$1001,SUMPRODUCT(('تشخيص الحالات'!$B$2:$B$1001=B719)*('تشخيص الحالات'!$G$2:$G$1001=3)*ROW('تشخيص الحالات'!$B$2:$B$1001))-1),""),"")&amp;IF(SUMPRODUCT(('تشخيص الحالات'!$B$2:$B$1001=B719)*('تشخيص الحالات'!$G$2:$G$1001=4))&gt;0,"، "&amp;IFERROR(INDEX('تشخيص الحالات'!$D$2:$D$1001,SUMPRODUCT(('تشخيص الحالات'!$B$2:$B$1001=B719)*('تشخيص الحالات'!$G$2:$G$1001=4)*ROW('تشخيص الحالات'!$B$2:$B$1001))-1),""),"")&amp;IF(SUMPRODUCT(('تشخيص الحالات'!$B$2:$B$1001=B719)*('تشخيص الحالات'!$G$2:$G$1001=5))&gt;0,"، "&amp;IFERROR(INDEX('تشخيص الحالات'!$D$2:$D$1001,SUMPRODUCT(('تشخيص الحالات'!$B$2:$B$1001=B719)*('تشخيص الحالات'!$G$2:$G$1001=5)*ROW('تشخيص الحالات'!$B$2:$B$1001))-1),""),"")&amp;IF(SUMPRODUCT(('تشخيص الحالات'!$B$2:$B$1001=B719)*('تشخيص الحالات'!$G$2:$G$1001=6))&gt;0,"، "&amp;IFERROR(INDEX('تشخيص الحالات'!$D$2:$D$1001,SUMPRODUCT(('تشخيص الحالات'!$B$2:$B$1001=B719)*('تشخيص الحالات'!$G$2:$G$1001=6)*ROW('تشخيص الحالات'!$B$2:$B$1001))-1),""),"")&amp;IF(SUMPRODUCT(('تشخيص الحالات'!$B$2:$B$1001=B719)*('تشخيص الحالات'!$G$2:$G$1001=7))&gt;0,"، "&amp;IFERROR(INDEX('تشخيص الحالات'!$D$2:$D$1001,SUMPRODUCT(('تشخيص الحالات'!$B$2:$B$1001=B719)*('تشخيص الحالات'!$G$2:$G$1001=7)*ROW('تشخيص الحالات'!$B$2:$B$1001))-1),""),"")&amp;IF(SUMPRODUCT(('تشخيص الحالات'!$B$2:$B$1001=B719)*('تشخيص الحالات'!$G$2:$G$1001=8))&gt;0,"، "&amp;IFERROR(INDEX('تشخيص الحالات'!$D$2:$D$1001,SUMPRODUCT(('تشخيص الحالات'!$B$2:$B$1001=B719)*('تشخيص الحالات'!$G$2:$G$1001=8)*ROW('تشخيص الحالات'!$B$2:$B$1001))-1),""),"")</f>
        <v/>
      </c>
      <c r="J719" s="1"/>
      <c r="K719" s="1"/>
      <c r="L719" s="1"/>
      <c r="M719" s="1"/>
    </row>
    <row r="720" spans="1:13" x14ac:dyDescent="0.2">
      <c r="A720" s="1"/>
      <c r="B720" s="1"/>
      <c r="C720" s="1"/>
      <c r="D720" s="1"/>
      <c r="E720" s="1"/>
      <c r="F720" s="1"/>
      <c r="G720" s="1"/>
      <c r="H720" s="1"/>
      <c r="I720" t="str">
        <f>IFERROR(INDEX('تشخيص الحالات'!$D$2:$D$1001,SUMPRODUCT(('تشخيص الحالات'!$B$2:$B$1001=B720)*('تشخيص الحالات'!$G$2:$G$1001=1)*ROW('تشخيص الحالات'!$B$2:$B$1001))-1),"")&amp;IF(SUMPRODUCT(('تشخيص الحالات'!$B$2:$B$1001=B720)*('تشخيص الحالات'!$G$2:$G$1001=2))&gt;0,"، "&amp;IFERROR(INDEX('تشخيص الحالات'!$D$2:$D$1001,SUMPRODUCT(('تشخيص الحالات'!$B$2:$B$1001=B720)*('تشخيص الحالات'!$G$2:$G$1001=2)*ROW('تشخيص الحالات'!$B$2:$B$1001))-1),""),"")&amp;IF(SUMPRODUCT(('تشخيص الحالات'!$B$2:$B$1001=B720)*('تشخيص الحالات'!$G$2:$G$1001=3))&gt;0,"، "&amp;IFERROR(INDEX('تشخيص الحالات'!$D$2:$D$1001,SUMPRODUCT(('تشخيص الحالات'!$B$2:$B$1001=B720)*('تشخيص الحالات'!$G$2:$G$1001=3)*ROW('تشخيص الحالات'!$B$2:$B$1001))-1),""),"")&amp;IF(SUMPRODUCT(('تشخيص الحالات'!$B$2:$B$1001=B720)*('تشخيص الحالات'!$G$2:$G$1001=4))&gt;0,"، "&amp;IFERROR(INDEX('تشخيص الحالات'!$D$2:$D$1001,SUMPRODUCT(('تشخيص الحالات'!$B$2:$B$1001=B720)*('تشخيص الحالات'!$G$2:$G$1001=4)*ROW('تشخيص الحالات'!$B$2:$B$1001))-1),""),"")&amp;IF(SUMPRODUCT(('تشخيص الحالات'!$B$2:$B$1001=B720)*('تشخيص الحالات'!$G$2:$G$1001=5))&gt;0,"، "&amp;IFERROR(INDEX('تشخيص الحالات'!$D$2:$D$1001,SUMPRODUCT(('تشخيص الحالات'!$B$2:$B$1001=B720)*('تشخيص الحالات'!$G$2:$G$1001=5)*ROW('تشخيص الحالات'!$B$2:$B$1001))-1),""),"")&amp;IF(SUMPRODUCT(('تشخيص الحالات'!$B$2:$B$1001=B720)*('تشخيص الحالات'!$G$2:$G$1001=6))&gt;0,"، "&amp;IFERROR(INDEX('تشخيص الحالات'!$D$2:$D$1001,SUMPRODUCT(('تشخيص الحالات'!$B$2:$B$1001=B720)*('تشخيص الحالات'!$G$2:$G$1001=6)*ROW('تشخيص الحالات'!$B$2:$B$1001))-1),""),"")&amp;IF(SUMPRODUCT(('تشخيص الحالات'!$B$2:$B$1001=B720)*('تشخيص الحالات'!$G$2:$G$1001=7))&gt;0,"، "&amp;IFERROR(INDEX('تشخيص الحالات'!$D$2:$D$1001,SUMPRODUCT(('تشخيص الحالات'!$B$2:$B$1001=B720)*('تشخيص الحالات'!$G$2:$G$1001=7)*ROW('تشخيص الحالات'!$B$2:$B$1001))-1),""),"")&amp;IF(SUMPRODUCT(('تشخيص الحالات'!$B$2:$B$1001=B720)*('تشخيص الحالات'!$G$2:$G$1001=8))&gt;0,"، "&amp;IFERROR(INDEX('تشخيص الحالات'!$D$2:$D$1001,SUMPRODUCT(('تشخيص الحالات'!$B$2:$B$1001=B720)*('تشخيص الحالات'!$G$2:$G$1001=8)*ROW('تشخيص الحالات'!$B$2:$B$1001))-1),""),"")</f>
        <v/>
      </c>
      <c r="J720" s="1"/>
      <c r="K720" s="1"/>
      <c r="L720" s="1"/>
      <c r="M720" s="1"/>
    </row>
    <row r="721" spans="1:13" x14ac:dyDescent="0.2">
      <c r="A721" s="1"/>
      <c r="B721" s="1"/>
      <c r="C721" s="1"/>
      <c r="D721" s="1"/>
      <c r="E721" s="1"/>
      <c r="F721" s="1"/>
      <c r="G721" s="1"/>
      <c r="H721" s="1"/>
      <c r="I721" t="str">
        <f>IFERROR(INDEX('تشخيص الحالات'!$D$2:$D$1001,SUMPRODUCT(('تشخيص الحالات'!$B$2:$B$1001=B721)*('تشخيص الحالات'!$G$2:$G$1001=1)*ROW('تشخيص الحالات'!$B$2:$B$1001))-1),"")&amp;IF(SUMPRODUCT(('تشخيص الحالات'!$B$2:$B$1001=B721)*('تشخيص الحالات'!$G$2:$G$1001=2))&gt;0,"، "&amp;IFERROR(INDEX('تشخيص الحالات'!$D$2:$D$1001,SUMPRODUCT(('تشخيص الحالات'!$B$2:$B$1001=B721)*('تشخيص الحالات'!$G$2:$G$1001=2)*ROW('تشخيص الحالات'!$B$2:$B$1001))-1),""),"")&amp;IF(SUMPRODUCT(('تشخيص الحالات'!$B$2:$B$1001=B721)*('تشخيص الحالات'!$G$2:$G$1001=3))&gt;0,"، "&amp;IFERROR(INDEX('تشخيص الحالات'!$D$2:$D$1001,SUMPRODUCT(('تشخيص الحالات'!$B$2:$B$1001=B721)*('تشخيص الحالات'!$G$2:$G$1001=3)*ROW('تشخيص الحالات'!$B$2:$B$1001))-1),""),"")&amp;IF(SUMPRODUCT(('تشخيص الحالات'!$B$2:$B$1001=B721)*('تشخيص الحالات'!$G$2:$G$1001=4))&gt;0,"، "&amp;IFERROR(INDEX('تشخيص الحالات'!$D$2:$D$1001,SUMPRODUCT(('تشخيص الحالات'!$B$2:$B$1001=B721)*('تشخيص الحالات'!$G$2:$G$1001=4)*ROW('تشخيص الحالات'!$B$2:$B$1001))-1),""),"")&amp;IF(SUMPRODUCT(('تشخيص الحالات'!$B$2:$B$1001=B721)*('تشخيص الحالات'!$G$2:$G$1001=5))&gt;0,"، "&amp;IFERROR(INDEX('تشخيص الحالات'!$D$2:$D$1001,SUMPRODUCT(('تشخيص الحالات'!$B$2:$B$1001=B721)*('تشخيص الحالات'!$G$2:$G$1001=5)*ROW('تشخيص الحالات'!$B$2:$B$1001))-1),""),"")&amp;IF(SUMPRODUCT(('تشخيص الحالات'!$B$2:$B$1001=B721)*('تشخيص الحالات'!$G$2:$G$1001=6))&gt;0,"، "&amp;IFERROR(INDEX('تشخيص الحالات'!$D$2:$D$1001,SUMPRODUCT(('تشخيص الحالات'!$B$2:$B$1001=B721)*('تشخيص الحالات'!$G$2:$G$1001=6)*ROW('تشخيص الحالات'!$B$2:$B$1001))-1),""),"")&amp;IF(SUMPRODUCT(('تشخيص الحالات'!$B$2:$B$1001=B721)*('تشخيص الحالات'!$G$2:$G$1001=7))&gt;0,"، "&amp;IFERROR(INDEX('تشخيص الحالات'!$D$2:$D$1001,SUMPRODUCT(('تشخيص الحالات'!$B$2:$B$1001=B721)*('تشخيص الحالات'!$G$2:$G$1001=7)*ROW('تشخيص الحالات'!$B$2:$B$1001))-1),""),"")&amp;IF(SUMPRODUCT(('تشخيص الحالات'!$B$2:$B$1001=B721)*('تشخيص الحالات'!$G$2:$G$1001=8))&gt;0,"، "&amp;IFERROR(INDEX('تشخيص الحالات'!$D$2:$D$1001,SUMPRODUCT(('تشخيص الحالات'!$B$2:$B$1001=B721)*('تشخيص الحالات'!$G$2:$G$1001=8)*ROW('تشخيص الحالات'!$B$2:$B$1001))-1),""),"")</f>
        <v/>
      </c>
      <c r="J721" s="1"/>
      <c r="K721" s="1"/>
      <c r="L721" s="1"/>
      <c r="M721" s="1"/>
    </row>
    <row r="722" spans="1:13" x14ac:dyDescent="0.2">
      <c r="A722" s="1"/>
      <c r="B722" s="1"/>
      <c r="C722" s="1"/>
      <c r="D722" s="1"/>
      <c r="E722" s="1"/>
      <c r="F722" s="1"/>
      <c r="G722" s="1"/>
      <c r="H722" s="1"/>
      <c r="I722" t="str">
        <f>IFERROR(INDEX('تشخيص الحالات'!$D$2:$D$1001,SUMPRODUCT(('تشخيص الحالات'!$B$2:$B$1001=B722)*('تشخيص الحالات'!$G$2:$G$1001=1)*ROW('تشخيص الحالات'!$B$2:$B$1001))-1),"")&amp;IF(SUMPRODUCT(('تشخيص الحالات'!$B$2:$B$1001=B722)*('تشخيص الحالات'!$G$2:$G$1001=2))&gt;0,"، "&amp;IFERROR(INDEX('تشخيص الحالات'!$D$2:$D$1001,SUMPRODUCT(('تشخيص الحالات'!$B$2:$B$1001=B722)*('تشخيص الحالات'!$G$2:$G$1001=2)*ROW('تشخيص الحالات'!$B$2:$B$1001))-1),""),"")&amp;IF(SUMPRODUCT(('تشخيص الحالات'!$B$2:$B$1001=B722)*('تشخيص الحالات'!$G$2:$G$1001=3))&gt;0,"، "&amp;IFERROR(INDEX('تشخيص الحالات'!$D$2:$D$1001,SUMPRODUCT(('تشخيص الحالات'!$B$2:$B$1001=B722)*('تشخيص الحالات'!$G$2:$G$1001=3)*ROW('تشخيص الحالات'!$B$2:$B$1001))-1),""),"")&amp;IF(SUMPRODUCT(('تشخيص الحالات'!$B$2:$B$1001=B722)*('تشخيص الحالات'!$G$2:$G$1001=4))&gt;0,"، "&amp;IFERROR(INDEX('تشخيص الحالات'!$D$2:$D$1001,SUMPRODUCT(('تشخيص الحالات'!$B$2:$B$1001=B722)*('تشخيص الحالات'!$G$2:$G$1001=4)*ROW('تشخيص الحالات'!$B$2:$B$1001))-1),""),"")&amp;IF(SUMPRODUCT(('تشخيص الحالات'!$B$2:$B$1001=B722)*('تشخيص الحالات'!$G$2:$G$1001=5))&gt;0,"، "&amp;IFERROR(INDEX('تشخيص الحالات'!$D$2:$D$1001,SUMPRODUCT(('تشخيص الحالات'!$B$2:$B$1001=B722)*('تشخيص الحالات'!$G$2:$G$1001=5)*ROW('تشخيص الحالات'!$B$2:$B$1001))-1),""),"")&amp;IF(SUMPRODUCT(('تشخيص الحالات'!$B$2:$B$1001=B722)*('تشخيص الحالات'!$G$2:$G$1001=6))&gt;0,"، "&amp;IFERROR(INDEX('تشخيص الحالات'!$D$2:$D$1001,SUMPRODUCT(('تشخيص الحالات'!$B$2:$B$1001=B722)*('تشخيص الحالات'!$G$2:$G$1001=6)*ROW('تشخيص الحالات'!$B$2:$B$1001))-1),""),"")&amp;IF(SUMPRODUCT(('تشخيص الحالات'!$B$2:$B$1001=B722)*('تشخيص الحالات'!$G$2:$G$1001=7))&gt;0,"، "&amp;IFERROR(INDEX('تشخيص الحالات'!$D$2:$D$1001,SUMPRODUCT(('تشخيص الحالات'!$B$2:$B$1001=B722)*('تشخيص الحالات'!$G$2:$G$1001=7)*ROW('تشخيص الحالات'!$B$2:$B$1001))-1),""),"")&amp;IF(SUMPRODUCT(('تشخيص الحالات'!$B$2:$B$1001=B722)*('تشخيص الحالات'!$G$2:$G$1001=8))&gt;0,"، "&amp;IFERROR(INDEX('تشخيص الحالات'!$D$2:$D$1001,SUMPRODUCT(('تشخيص الحالات'!$B$2:$B$1001=B722)*('تشخيص الحالات'!$G$2:$G$1001=8)*ROW('تشخيص الحالات'!$B$2:$B$1001))-1),""),"")</f>
        <v/>
      </c>
      <c r="J722" s="1"/>
      <c r="K722" s="1"/>
      <c r="L722" s="1"/>
      <c r="M722" s="1"/>
    </row>
    <row r="723" spans="1:13" x14ac:dyDescent="0.2">
      <c r="A723" s="1"/>
      <c r="B723" s="1"/>
      <c r="C723" s="1"/>
      <c r="D723" s="1"/>
      <c r="E723" s="1"/>
      <c r="F723" s="1"/>
      <c r="G723" s="1"/>
      <c r="H723" s="1"/>
      <c r="I723" t="str">
        <f>IFERROR(INDEX('تشخيص الحالات'!$D$2:$D$1001,SUMPRODUCT(('تشخيص الحالات'!$B$2:$B$1001=B723)*('تشخيص الحالات'!$G$2:$G$1001=1)*ROW('تشخيص الحالات'!$B$2:$B$1001))-1),"")&amp;IF(SUMPRODUCT(('تشخيص الحالات'!$B$2:$B$1001=B723)*('تشخيص الحالات'!$G$2:$G$1001=2))&gt;0,"، "&amp;IFERROR(INDEX('تشخيص الحالات'!$D$2:$D$1001,SUMPRODUCT(('تشخيص الحالات'!$B$2:$B$1001=B723)*('تشخيص الحالات'!$G$2:$G$1001=2)*ROW('تشخيص الحالات'!$B$2:$B$1001))-1),""),"")&amp;IF(SUMPRODUCT(('تشخيص الحالات'!$B$2:$B$1001=B723)*('تشخيص الحالات'!$G$2:$G$1001=3))&gt;0,"، "&amp;IFERROR(INDEX('تشخيص الحالات'!$D$2:$D$1001,SUMPRODUCT(('تشخيص الحالات'!$B$2:$B$1001=B723)*('تشخيص الحالات'!$G$2:$G$1001=3)*ROW('تشخيص الحالات'!$B$2:$B$1001))-1),""),"")&amp;IF(SUMPRODUCT(('تشخيص الحالات'!$B$2:$B$1001=B723)*('تشخيص الحالات'!$G$2:$G$1001=4))&gt;0,"، "&amp;IFERROR(INDEX('تشخيص الحالات'!$D$2:$D$1001,SUMPRODUCT(('تشخيص الحالات'!$B$2:$B$1001=B723)*('تشخيص الحالات'!$G$2:$G$1001=4)*ROW('تشخيص الحالات'!$B$2:$B$1001))-1),""),"")&amp;IF(SUMPRODUCT(('تشخيص الحالات'!$B$2:$B$1001=B723)*('تشخيص الحالات'!$G$2:$G$1001=5))&gt;0,"، "&amp;IFERROR(INDEX('تشخيص الحالات'!$D$2:$D$1001,SUMPRODUCT(('تشخيص الحالات'!$B$2:$B$1001=B723)*('تشخيص الحالات'!$G$2:$G$1001=5)*ROW('تشخيص الحالات'!$B$2:$B$1001))-1),""),"")&amp;IF(SUMPRODUCT(('تشخيص الحالات'!$B$2:$B$1001=B723)*('تشخيص الحالات'!$G$2:$G$1001=6))&gt;0,"، "&amp;IFERROR(INDEX('تشخيص الحالات'!$D$2:$D$1001,SUMPRODUCT(('تشخيص الحالات'!$B$2:$B$1001=B723)*('تشخيص الحالات'!$G$2:$G$1001=6)*ROW('تشخيص الحالات'!$B$2:$B$1001))-1),""),"")&amp;IF(SUMPRODUCT(('تشخيص الحالات'!$B$2:$B$1001=B723)*('تشخيص الحالات'!$G$2:$G$1001=7))&gt;0,"، "&amp;IFERROR(INDEX('تشخيص الحالات'!$D$2:$D$1001,SUMPRODUCT(('تشخيص الحالات'!$B$2:$B$1001=B723)*('تشخيص الحالات'!$G$2:$G$1001=7)*ROW('تشخيص الحالات'!$B$2:$B$1001))-1),""),"")&amp;IF(SUMPRODUCT(('تشخيص الحالات'!$B$2:$B$1001=B723)*('تشخيص الحالات'!$G$2:$G$1001=8))&gt;0,"، "&amp;IFERROR(INDEX('تشخيص الحالات'!$D$2:$D$1001,SUMPRODUCT(('تشخيص الحالات'!$B$2:$B$1001=B723)*('تشخيص الحالات'!$G$2:$G$1001=8)*ROW('تشخيص الحالات'!$B$2:$B$1001))-1),""),"")</f>
        <v/>
      </c>
      <c r="J723" s="1"/>
      <c r="K723" s="1"/>
      <c r="L723" s="1"/>
      <c r="M723" s="1"/>
    </row>
    <row r="724" spans="1:13" x14ac:dyDescent="0.2">
      <c r="A724" s="1"/>
      <c r="B724" s="1"/>
      <c r="C724" s="1"/>
      <c r="D724" s="1"/>
      <c r="E724" s="1"/>
      <c r="F724" s="1"/>
      <c r="G724" s="1"/>
      <c r="H724" s="1"/>
      <c r="I724" t="str">
        <f>IFERROR(INDEX('تشخيص الحالات'!$D$2:$D$1001,SUMPRODUCT(('تشخيص الحالات'!$B$2:$B$1001=B724)*('تشخيص الحالات'!$G$2:$G$1001=1)*ROW('تشخيص الحالات'!$B$2:$B$1001))-1),"")&amp;IF(SUMPRODUCT(('تشخيص الحالات'!$B$2:$B$1001=B724)*('تشخيص الحالات'!$G$2:$G$1001=2))&gt;0,"، "&amp;IFERROR(INDEX('تشخيص الحالات'!$D$2:$D$1001,SUMPRODUCT(('تشخيص الحالات'!$B$2:$B$1001=B724)*('تشخيص الحالات'!$G$2:$G$1001=2)*ROW('تشخيص الحالات'!$B$2:$B$1001))-1),""),"")&amp;IF(SUMPRODUCT(('تشخيص الحالات'!$B$2:$B$1001=B724)*('تشخيص الحالات'!$G$2:$G$1001=3))&gt;0,"، "&amp;IFERROR(INDEX('تشخيص الحالات'!$D$2:$D$1001,SUMPRODUCT(('تشخيص الحالات'!$B$2:$B$1001=B724)*('تشخيص الحالات'!$G$2:$G$1001=3)*ROW('تشخيص الحالات'!$B$2:$B$1001))-1),""),"")&amp;IF(SUMPRODUCT(('تشخيص الحالات'!$B$2:$B$1001=B724)*('تشخيص الحالات'!$G$2:$G$1001=4))&gt;0,"، "&amp;IFERROR(INDEX('تشخيص الحالات'!$D$2:$D$1001,SUMPRODUCT(('تشخيص الحالات'!$B$2:$B$1001=B724)*('تشخيص الحالات'!$G$2:$G$1001=4)*ROW('تشخيص الحالات'!$B$2:$B$1001))-1),""),"")&amp;IF(SUMPRODUCT(('تشخيص الحالات'!$B$2:$B$1001=B724)*('تشخيص الحالات'!$G$2:$G$1001=5))&gt;0,"، "&amp;IFERROR(INDEX('تشخيص الحالات'!$D$2:$D$1001,SUMPRODUCT(('تشخيص الحالات'!$B$2:$B$1001=B724)*('تشخيص الحالات'!$G$2:$G$1001=5)*ROW('تشخيص الحالات'!$B$2:$B$1001))-1),""),"")&amp;IF(SUMPRODUCT(('تشخيص الحالات'!$B$2:$B$1001=B724)*('تشخيص الحالات'!$G$2:$G$1001=6))&gt;0,"، "&amp;IFERROR(INDEX('تشخيص الحالات'!$D$2:$D$1001,SUMPRODUCT(('تشخيص الحالات'!$B$2:$B$1001=B724)*('تشخيص الحالات'!$G$2:$G$1001=6)*ROW('تشخيص الحالات'!$B$2:$B$1001))-1),""),"")&amp;IF(SUMPRODUCT(('تشخيص الحالات'!$B$2:$B$1001=B724)*('تشخيص الحالات'!$G$2:$G$1001=7))&gt;0,"، "&amp;IFERROR(INDEX('تشخيص الحالات'!$D$2:$D$1001,SUMPRODUCT(('تشخيص الحالات'!$B$2:$B$1001=B724)*('تشخيص الحالات'!$G$2:$G$1001=7)*ROW('تشخيص الحالات'!$B$2:$B$1001))-1),""),"")&amp;IF(SUMPRODUCT(('تشخيص الحالات'!$B$2:$B$1001=B724)*('تشخيص الحالات'!$G$2:$G$1001=8))&gt;0,"، "&amp;IFERROR(INDEX('تشخيص الحالات'!$D$2:$D$1001,SUMPRODUCT(('تشخيص الحالات'!$B$2:$B$1001=B724)*('تشخيص الحالات'!$G$2:$G$1001=8)*ROW('تشخيص الحالات'!$B$2:$B$1001))-1),""),"")</f>
        <v/>
      </c>
      <c r="J724" s="1"/>
      <c r="K724" s="1"/>
      <c r="L724" s="1"/>
      <c r="M724" s="1"/>
    </row>
    <row r="725" spans="1:13" x14ac:dyDescent="0.2">
      <c r="A725" s="1"/>
      <c r="B725" s="1"/>
      <c r="C725" s="1"/>
      <c r="D725" s="1"/>
      <c r="E725" s="1"/>
      <c r="F725" s="1"/>
      <c r="G725" s="1"/>
      <c r="H725" s="1"/>
      <c r="I725" t="str">
        <f>IFERROR(INDEX('تشخيص الحالات'!$D$2:$D$1001,SUMPRODUCT(('تشخيص الحالات'!$B$2:$B$1001=B725)*('تشخيص الحالات'!$G$2:$G$1001=1)*ROW('تشخيص الحالات'!$B$2:$B$1001))-1),"")&amp;IF(SUMPRODUCT(('تشخيص الحالات'!$B$2:$B$1001=B725)*('تشخيص الحالات'!$G$2:$G$1001=2))&gt;0,"، "&amp;IFERROR(INDEX('تشخيص الحالات'!$D$2:$D$1001,SUMPRODUCT(('تشخيص الحالات'!$B$2:$B$1001=B725)*('تشخيص الحالات'!$G$2:$G$1001=2)*ROW('تشخيص الحالات'!$B$2:$B$1001))-1),""),"")&amp;IF(SUMPRODUCT(('تشخيص الحالات'!$B$2:$B$1001=B725)*('تشخيص الحالات'!$G$2:$G$1001=3))&gt;0,"، "&amp;IFERROR(INDEX('تشخيص الحالات'!$D$2:$D$1001,SUMPRODUCT(('تشخيص الحالات'!$B$2:$B$1001=B725)*('تشخيص الحالات'!$G$2:$G$1001=3)*ROW('تشخيص الحالات'!$B$2:$B$1001))-1),""),"")&amp;IF(SUMPRODUCT(('تشخيص الحالات'!$B$2:$B$1001=B725)*('تشخيص الحالات'!$G$2:$G$1001=4))&gt;0,"، "&amp;IFERROR(INDEX('تشخيص الحالات'!$D$2:$D$1001,SUMPRODUCT(('تشخيص الحالات'!$B$2:$B$1001=B725)*('تشخيص الحالات'!$G$2:$G$1001=4)*ROW('تشخيص الحالات'!$B$2:$B$1001))-1),""),"")&amp;IF(SUMPRODUCT(('تشخيص الحالات'!$B$2:$B$1001=B725)*('تشخيص الحالات'!$G$2:$G$1001=5))&gt;0,"، "&amp;IFERROR(INDEX('تشخيص الحالات'!$D$2:$D$1001,SUMPRODUCT(('تشخيص الحالات'!$B$2:$B$1001=B725)*('تشخيص الحالات'!$G$2:$G$1001=5)*ROW('تشخيص الحالات'!$B$2:$B$1001))-1),""),"")&amp;IF(SUMPRODUCT(('تشخيص الحالات'!$B$2:$B$1001=B725)*('تشخيص الحالات'!$G$2:$G$1001=6))&gt;0,"، "&amp;IFERROR(INDEX('تشخيص الحالات'!$D$2:$D$1001,SUMPRODUCT(('تشخيص الحالات'!$B$2:$B$1001=B725)*('تشخيص الحالات'!$G$2:$G$1001=6)*ROW('تشخيص الحالات'!$B$2:$B$1001))-1),""),"")&amp;IF(SUMPRODUCT(('تشخيص الحالات'!$B$2:$B$1001=B725)*('تشخيص الحالات'!$G$2:$G$1001=7))&gt;0,"، "&amp;IFERROR(INDEX('تشخيص الحالات'!$D$2:$D$1001,SUMPRODUCT(('تشخيص الحالات'!$B$2:$B$1001=B725)*('تشخيص الحالات'!$G$2:$G$1001=7)*ROW('تشخيص الحالات'!$B$2:$B$1001))-1),""),"")&amp;IF(SUMPRODUCT(('تشخيص الحالات'!$B$2:$B$1001=B725)*('تشخيص الحالات'!$G$2:$G$1001=8))&gt;0,"، "&amp;IFERROR(INDEX('تشخيص الحالات'!$D$2:$D$1001,SUMPRODUCT(('تشخيص الحالات'!$B$2:$B$1001=B725)*('تشخيص الحالات'!$G$2:$G$1001=8)*ROW('تشخيص الحالات'!$B$2:$B$1001))-1),""),"")</f>
        <v/>
      </c>
      <c r="J725" s="1"/>
      <c r="K725" s="1"/>
      <c r="L725" s="1"/>
      <c r="M725" s="1"/>
    </row>
    <row r="726" spans="1:13" x14ac:dyDescent="0.2">
      <c r="A726" s="1"/>
      <c r="B726" s="1"/>
      <c r="C726" s="1"/>
      <c r="D726" s="1"/>
      <c r="E726" s="1"/>
      <c r="F726" s="1"/>
      <c r="G726" s="1"/>
      <c r="H726" s="1"/>
      <c r="I726" t="str">
        <f>IFERROR(INDEX('تشخيص الحالات'!$D$2:$D$1001,SUMPRODUCT(('تشخيص الحالات'!$B$2:$B$1001=B726)*('تشخيص الحالات'!$G$2:$G$1001=1)*ROW('تشخيص الحالات'!$B$2:$B$1001))-1),"")&amp;IF(SUMPRODUCT(('تشخيص الحالات'!$B$2:$B$1001=B726)*('تشخيص الحالات'!$G$2:$G$1001=2))&gt;0,"، "&amp;IFERROR(INDEX('تشخيص الحالات'!$D$2:$D$1001,SUMPRODUCT(('تشخيص الحالات'!$B$2:$B$1001=B726)*('تشخيص الحالات'!$G$2:$G$1001=2)*ROW('تشخيص الحالات'!$B$2:$B$1001))-1),""),"")&amp;IF(SUMPRODUCT(('تشخيص الحالات'!$B$2:$B$1001=B726)*('تشخيص الحالات'!$G$2:$G$1001=3))&gt;0,"، "&amp;IFERROR(INDEX('تشخيص الحالات'!$D$2:$D$1001,SUMPRODUCT(('تشخيص الحالات'!$B$2:$B$1001=B726)*('تشخيص الحالات'!$G$2:$G$1001=3)*ROW('تشخيص الحالات'!$B$2:$B$1001))-1),""),"")&amp;IF(SUMPRODUCT(('تشخيص الحالات'!$B$2:$B$1001=B726)*('تشخيص الحالات'!$G$2:$G$1001=4))&gt;0,"، "&amp;IFERROR(INDEX('تشخيص الحالات'!$D$2:$D$1001,SUMPRODUCT(('تشخيص الحالات'!$B$2:$B$1001=B726)*('تشخيص الحالات'!$G$2:$G$1001=4)*ROW('تشخيص الحالات'!$B$2:$B$1001))-1),""),"")&amp;IF(SUMPRODUCT(('تشخيص الحالات'!$B$2:$B$1001=B726)*('تشخيص الحالات'!$G$2:$G$1001=5))&gt;0,"، "&amp;IFERROR(INDEX('تشخيص الحالات'!$D$2:$D$1001,SUMPRODUCT(('تشخيص الحالات'!$B$2:$B$1001=B726)*('تشخيص الحالات'!$G$2:$G$1001=5)*ROW('تشخيص الحالات'!$B$2:$B$1001))-1),""),"")&amp;IF(SUMPRODUCT(('تشخيص الحالات'!$B$2:$B$1001=B726)*('تشخيص الحالات'!$G$2:$G$1001=6))&gt;0,"، "&amp;IFERROR(INDEX('تشخيص الحالات'!$D$2:$D$1001,SUMPRODUCT(('تشخيص الحالات'!$B$2:$B$1001=B726)*('تشخيص الحالات'!$G$2:$G$1001=6)*ROW('تشخيص الحالات'!$B$2:$B$1001))-1),""),"")&amp;IF(SUMPRODUCT(('تشخيص الحالات'!$B$2:$B$1001=B726)*('تشخيص الحالات'!$G$2:$G$1001=7))&gt;0,"، "&amp;IFERROR(INDEX('تشخيص الحالات'!$D$2:$D$1001,SUMPRODUCT(('تشخيص الحالات'!$B$2:$B$1001=B726)*('تشخيص الحالات'!$G$2:$G$1001=7)*ROW('تشخيص الحالات'!$B$2:$B$1001))-1),""),"")&amp;IF(SUMPRODUCT(('تشخيص الحالات'!$B$2:$B$1001=B726)*('تشخيص الحالات'!$G$2:$G$1001=8))&gt;0,"، "&amp;IFERROR(INDEX('تشخيص الحالات'!$D$2:$D$1001,SUMPRODUCT(('تشخيص الحالات'!$B$2:$B$1001=B726)*('تشخيص الحالات'!$G$2:$G$1001=8)*ROW('تشخيص الحالات'!$B$2:$B$1001))-1),""),"")</f>
        <v/>
      </c>
      <c r="J726" s="1"/>
      <c r="K726" s="1"/>
      <c r="L726" s="1"/>
      <c r="M726" s="1"/>
    </row>
    <row r="727" spans="1:13" x14ac:dyDescent="0.2">
      <c r="A727" s="1"/>
      <c r="B727" s="1"/>
      <c r="C727" s="1"/>
      <c r="D727" s="1"/>
      <c r="E727" s="1"/>
      <c r="F727" s="1"/>
      <c r="G727" s="1"/>
      <c r="H727" s="1"/>
      <c r="I727" t="str">
        <f>IFERROR(INDEX('تشخيص الحالات'!$D$2:$D$1001,SUMPRODUCT(('تشخيص الحالات'!$B$2:$B$1001=B727)*('تشخيص الحالات'!$G$2:$G$1001=1)*ROW('تشخيص الحالات'!$B$2:$B$1001))-1),"")&amp;IF(SUMPRODUCT(('تشخيص الحالات'!$B$2:$B$1001=B727)*('تشخيص الحالات'!$G$2:$G$1001=2))&gt;0,"، "&amp;IFERROR(INDEX('تشخيص الحالات'!$D$2:$D$1001,SUMPRODUCT(('تشخيص الحالات'!$B$2:$B$1001=B727)*('تشخيص الحالات'!$G$2:$G$1001=2)*ROW('تشخيص الحالات'!$B$2:$B$1001))-1),""),"")&amp;IF(SUMPRODUCT(('تشخيص الحالات'!$B$2:$B$1001=B727)*('تشخيص الحالات'!$G$2:$G$1001=3))&gt;0,"، "&amp;IFERROR(INDEX('تشخيص الحالات'!$D$2:$D$1001,SUMPRODUCT(('تشخيص الحالات'!$B$2:$B$1001=B727)*('تشخيص الحالات'!$G$2:$G$1001=3)*ROW('تشخيص الحالات'!$B$2:$B$1001))-1),""),"")&amp;IF(SUMPRODUCT(('تشخيص الحالات'!$B$2:$B$1001=B727)*('تشخيص الحالات'!$G$2:$G$1001=4))&gt;0,"، "&amp;IFERROR(INDEX('تشخيص الحالات'!$D$2:$D$1001,SUMPRODUCT(('تشخيص الحالات'!$B$2:$B$1001=B727)*('تشخيص الحالات'!$G$2:$G$1001=4)*ROW('تشخيص الحالات'!$B$2:$B$1001))-1),""),"")&amp;IF(SUMPRODUCT(('تشخيص الحالات'!$B$2:$B$1001=B727)*('تشخيص الحالات'!$G$2:$G$1001=5))&gt;0,"، "&amp;IFERROR(INDEX('تشخيص الحالات'!$D$2:$D$1001,SUMPRODUCT(('تشخيص الحالات'!$B$2:$B$1001=B727)*('تشخيص الحالات'!$G$2:$G$1001=5)*ROW('تشخيص الحالات'!$B$2:$B$1001))-1),""),"")&amp;IF(SUMPRODUCT(('تشخيص الحالات'!$B$2:$B$1001=B727)*('تشخيص الحالات'!$G$2:$G$1001=6))&gt;0,"، "&amp;IFERROR(INDEX('تشخيص الحالات'!$D$2:$D$1001,SUMPRODUCT(('تشخيص الحالات'!$B$2:$B$1001=B727)*('تشخيص الحالات'!$G$2:$G$1001=6)*ROW('تشخيص الحالات'!$B$2:$B$1001))-1),""),"")&amp;IF(SUMPRODUCT(('تشخيص الحالات'!$B$2:$B$1001=B727)*('تشخيص الحالات'!$G$2:$G$1001=7))&gt;0,"، "&amp;IFERROR(INDEX('تشخيص الحالات'!$D$2:$D$1001,SUMPRODUCT(('تشخيص الحالات'!$B$2:$B$1001=B727)*('تشخيص الحالات'!$G$2:$G$1001=7)*ROW('تشخيص الحالات'!$B$2:$B$1001))-1),""),"")&amp;IF(SUMPRODUCT(('تشخيص الحالات'!$B$2:$B$1001=B727)*('تشخيص الحالات'!$G$2:$G$1001=8))&gt;0,"، "&amp;IFERROR(INDEX('تشخيص الحالات'!$D$2:$D$1001,SUMPRODUCT(('تشخيص الحالات'!$B$2:$B$1001=B727)*('تشخيص الحالات'!$G$2:$G$1001=8)*ROW('تشخيص الحالات'!$B$2:$B$1001))-1),""),"")</f>
        <v/>
      </c>
      <c r="J727" s="1"/>
      <c r="K727" s="1"/>
      <c r="L727" s="1"/>
      <c r="M727" s="1"/>
    </row>
    <row r="728" spans="1:13" x14ac:dyDescent="0.2">
      <c r="A728" s="1"/>
      <c r="B728" s="1"/>
      <c r="C728" s="1"/>
      <c r="D728" s="1"/>
      <c r="E728" s="1"/>
      <c r="F728" s="1"/>
      <c r="G728" s="1"/>
      <c r="H728" s="1"/>
      <c r="I728" t="str">
        <f>IFERROR(INDEX('تشخيص الحالات'!$D$2:$D$1001,SUMPRODUCT(('تشخيص الحالات'!$B$2:$B$1001=B728)*('تشخيص الحالات'!$G$2:$G$1001=1)*ROW('تشخيص الحالات'!$B$2:$B$1001))-1),"")&amp;IF(SUMPRODUCT(('تشخيص الحالات'!$B$2:$B$1001=B728)*('تشخيص الحالات'!$G$2:$G$1001=2))&gt;0,"، "&amp;IFERROR(INDEX('تشخيص الحالات'!$D$2:$D$1001,SUMPRODUCT(('تشخيص الحالات'!$B$2:$B$1001=B728)*('تشخيص الحالات'!$G$2:$G$1001=2)*ROW('تشخيص الحالات'!$B$2:$B$1001))-1),""),"")&amp;IF(SUMPRODUCT(('تشخيص الحالات'!$B$2:$B$1001=B728)*('تشخيص الحالات'!$G$2:$G$1001=3))&gt;0,"، "&amp;IFERROR(INDEX('تشخيص الحالات'!$D$2:$D$1001,SUMPRODUCT(('تشخيص الحالات'!$B$2:$B$1001=B728)*('تشخيص الحالات'!$G$2:$G$1001=3)*ROW('تشخيص الحالات'!$B$2:$B$1001))-1),""),"")&amp;IF(SUMPRODUCT(('تشخيص الحالات'!$B$2:$B$1001=B728)*('تشخيص الحالات'!$G$2:$G$1001=4))&gt;0,"، "&amp;IFERROR(INDEX('تشخيص الحالات'!$D$2:$D$1001,SUMPRODUCT(('تشخيص الحالات'!$B$2:$B$1001=B728)*('تشخيص الحالات'!$G$2:$G$1001=4)*ROW('تشخيص الحالات'!$B$2:$B$1001))-1),""),"")&amp;IF(SUMPRODUCT(('تشخيص الحالات'!$B$2:$B$1001=B728)*('تشخيص الحالات'!$G$2:$G$1001=5))&gt;0,"، "&amp;IFERROR(INDEX('تشخيص الحالات'!$D$2:$D$1001,SUMPRODUCT(('تشخيص الحالات'!$B$2:$B$1001=B728)*('تشخيص الحالات'!$G$2:$G$1001=5)*ROW('تشخيص الحالات'!$B$2:$B$1001))-1),""),"")&amp;IF(SUMPRODUCT(('تشخيص الحالات'!$B$2:$B$1001=B728)*('تشخيص الحالات'!$G$2:$G$1001=6))&gt;0,"، "&amp;IFERROR(INDEX('تشخيص الحالات'!$D$2:$D$1001,SUMPRODUCT(('تشخيص الحالات'!$B$2:$B$1001=B728)*('تشخيص الحالات'!$G$2:$G$1001=6)*ROW('تشخيص الحالات'!$B$2:$B$1001))-1),""),"")&amp;IF(SUMPRODUCT(('تشخيص الحالات'!$B$2:$B$1001=B728)*('تشخيص الحالات'!$G$2:$G$1001=7))&gt;0,"، "&amp;IFERROR(INDEX('تشخيص الحالات'!$D$2:$D$1001,SUMPRODUCT(('تشخيص الحالات'!$B$2:$B$1001=B728)*('تشخيص الحالات'!$G$2:$G$1001=7)*ROW('تشخيص الحالات'!$B$2:$B$1001))-1),""),"")&amp;IF(SUMPRODUCT(('تشخيص الحالات'!$B$2:$B$1001=B728)*('تشخيص الحالات'!$G$2:$G$1001=8))&gt;0,"، "&amp;IFERROR(INDEX('تشخيص الحالات'!$D$2:$D$1001,SUMPRODUCT(('تشخيص الحالات'!$B$2:$B$1001=B728)*('تشخيص الحالات'!$G$2:$G$1001=8)*ROW('تشخيص الحالات'!$B$2:$B$1001))-1),""),"")</f>
        <v/>
      </c>
      <c r="J728" s="1"/>
      <c r="K728" s="1"/>
      <c r="L728" s="1"/>
      <c r="M728" s="1"/>
    </row>
    <row r="729" spans="1:13" x14ac:dyDescent="0.2">
      <c r="A729" s="1"/>
      <c r="B729" s="1"/>
      <c r="C729" s="1"/>
      <c r="D729" s="1"/>
      <c r="E729" s="1"/>
      <c r="F729" s="1"/>
      <c r="G729" s="1"/>
      <c r="H729" s="1"/>
      <c r="I729" t="str">
        <f>IFERROR(INDEX('تشخيص الحالات'!$D$2:$D$1001,SUMPRODUCT(('تشخيص الحالات'!$B$2:$B$1001=B729)*('تشخيص الحالات'!$G$2:$G$1001=1)*ROW('تشخيص الحالات'!$B$2:$B$1001))-1),"")&amp;IF(SUMPRODUCT(('تشخيص الحالات'!$B$2:$B$1001=B729)*('تشخيص الحالات'!$G$2:$G$1001=2))&gt;0,"، "&amp;IFERROR(INDEX('تشخيص الحالات'!$D$2:$D$1001,SUMPRODUCT(('تشخيص الحالات'!$B$2:$B$1001=B729)*('تشخيص الحالات'!$G$2:$G$1001=2)*ROW('تشخيص الحالات'!$B$2:$B$1001))-1),""),"")&amp;IF(SUMPRODUCT(('تشخيص الحالات'!$B$2:$B$1001=B729)*('تشخيص الحالات'!$G$2:$G$1001=3))&gt;0,"، "&amp;IFERROR(INDEX('تشخيص الحالات'!$D$2:$D$1001,SUMPRODUCT(('تشخيص الحالات'!$B$2:$B$1001=B729)*('تشخيص الحالات'!$G$2:$G$1001=3)*ROW('تشخيص الحالات'!$B$2:$B$1001))-1),""),"")&amp;IF(SUMPRODUCT(('تشخيص الحالات'!$B$2:$B$1001=B729)*('تشخيص الحالات'!$G$2:$G$1001=4))&gt;0,"، "&amp;IFERROR(INDEX('تشخيص الحالات'!$D$2:$D$1001,SUMPRODUCT(('تشخيص الحالات'!$B$2:$B$1001=B729)*('تشخيص الحالات'!$G$2:$G$1001=4)*ROW('تشخيص الحالات'!$B$2:$B$1001))-1),""),"")&amp;IF(SUMPRODUCT(('تشخيص الحالات'!$B$2:$B$1001=B729)*('تشخيص الحالات'!$G$2:$G$1001=5))&gt;0,"، "&amp;IFERROR(INDEX('تشخيص الحالات'!$D$2:$D$1001,SUMPRODUCT(('تشخيص الحالات'!$B$2:$B$1001=B729)*('تشخيص الحالات'!$G$2:$G$1001=5)*ROW('تشخيص الحالات'!$B$2:$B$1001))-1),""),"")&amp;IF(SUMPRODUCT(('تشخيص الحالات'!$B$2:$B$1001=B729)*('تشخيص الحالات'!$G$2:$G$1001=6))&gt;0,"، "&amp;IFERROR(INDEX('تشخيص الحالات'!$D$2:$D$1001,SUMPRODUCT(('تشخيص الحالات'!$B$2:$B$1001=B729)*('تشخيص الحالات'!$G$2:$G$1001=6)*ROW('تشخيص الحالات'!$B$2:$B$1001))-1),""),"")&amp;IF(SUMPRODUCT(('تشخيص الحالات'!$B$2:$B$1001=B729)*('تشخيص الحالات'!$G$2:$G$1001=7))&gt;0,"، "&amp;IFERROR(INDEX('تشخيص الحالات'!$D$2:$D$1001,SUMPRODUCT(('تشخيص الحالات'!$B$2:$B$1001=B729)*('تشخيص الحالات'!$G$2:$G$1001=7)*ROW('تشخيص الحالات'!$B$2:$B$1001))-1),""),"")&amp;IF(SUMPRODUCT(('تشخيص الحالات'!$B$2:$B$1001=B729)*('تشخيص الحالات'!$G$2:$G$1001=8))&gt;0,"، "&amp;IFERROR(INDEX('تشخيص الحالات'!$D$2:$D$1001,SUMPRODUCT(('تشخيص الحالات'!$B$2:$B$1001=B729)*('تشخيص الحالات'!$G$2:$G$1001=8)*ROW('تشخيص الحالات'!$B$2:$B$1001))-1),""),"")</f>
        <v/>
      </c>
      <c r="J729" s="1"/>
      <c r="K729" s="1"/>
      <c r="L729" s="1"/>
      <c r="M729" s="1"/>
    </row>
    <row r="730" spans="1:13" x14ac:dyDescent="0.2">
      <c r="A730" s="1"/>
      <c r="B730" s="1"/>
      <c r="C730" s="1"/>
      <c r="D730" s="1"/>
      <c r="E730" s="1"/>
      <c r="F730" s="1"/>
      <c r="G730" s="1"/>
      <c r="H730" s="1"/>
      <c r="I730" t="str">
        <f>IFERROR(INDEX('تشخيص الحالات'!$D$2:$D$1001,SUMPRODUCT(('تشخيص الحالات'!$B$2:$B$1001=B730)*('تشخيص الحالات'!$G$2:$G$1001=1)*ROW('تشخيص الحالات'!$B$2:$B$1001))-1),"")&amp;IF(SUMPRODUCT(('تشخيص الحالات'!$B$2:$B$1001=B730)*('تشخيص الحالات'!$G$2:$G$1001=2))&gt;0,"، "&amp;IFERROR(INDEX('تشخيص الحالات'!$D$2:$D$1001,SUMPRODUCT(('تشخيص الحالات'!$B$2:$B$1001=B730)*('تشخيص الحالات'!$G$2:$G$1001=2)*ROW('تشخيص الحالات'!$B$2:$B$1001))-1),""),"")&amp;IF(SUMPRODUCT(('تشخيص الحالات'!$B$2:$B$1001=B730)*('تشخيص الحالات'!$G$2:$G$1001=3))&gt;0,"، "&amp;IFERROR(INDEX('تشخيص الحالات'!$D$2:$D$1001,SUMPRODUCT(('تشخيص الحالات'!$B$2:$B$1001=B730)*('تشخيص الحالات'!$G$2:$G$1001=3)*ROW('تشخيص الحالات'!$B$2:$B$1001))-1),""),"")&amp;IF(SUMPRODUCT(('تشخيص الحالات'!$B$2:$B$1001=B730)*('تشخيص الحالات'!$G$2:$G$1001=4))&gt;0,"، "&amp;IFERROR(INDEX('تشخيص الحالات'!$D$2:$D$1001,SUMPRODUCT(('تشخيص الحالات'!$B$2:$B$1001=B730)*('تشخيص الحالات'!$G$2:$G$1001=4)*ROW('تشخيص الحالات'!$B$2:$B$1001))-1),""),"")&amp;IF(SUMPRODUCT(('تشخيص الحالات'!$B$2:$B$1001=B730)*('تشخيص الحالات'!$G$2:$G$1001=5))&gt;0,"، "&amp;IFERROR(INDEX('تشخيص الحالات'!$D$2:$D$1001,SUMPRODUCT(('تشخيص الحالات'!$B$2:$B$1001=B730)*('تشخيص الحالات'!$G$2:$G$1001=5)*ROW('تشخيص الحالات'!$B$2:$B$1001))-1),""),"")&amp;IF(SUMPRODUCT(('تشخيص الحالات'!$B$2:$B$1001=B730)*('تشخيص الحالات'!$G$2:$G$1001=6))&gt;0,"، "&amp;IFERROR(INDEX('تشخيص الحالات'!$D$2:$D$1001,SUMPRODUCT(('تشخيص الحالات'!$B$2:$B$1001=B730)*('تشخيص الحالات'!$G$2:$G$1001=6)*ROW('تشخيص الحالات'!$B$2:$B$1001))-1),""),"")&amp;IF(SUMPRODUCT(('تشخيص الحالات'!$B$2:$B$1001=B730)*('تشخيص الحالات'!$G$2:$G$1001=7))&gt;0,"، "&amp;IFERROR(INDEX('تشخيص الحالات'!$D$2:$D$1001,SUMPRODUCT(('تشخيص الحالات'!$B$2:$B$1001=B730)*('تشخيص الحالات'!$G$2:$G$1001=7)*ROW('تشخيص الحالات'!$B$2:$B$1001))-1),""),"")&amp;IF(SUMPRODUCT(('تشخيص الحالات'!$B$2:$B$1001=B730)*('تشخيص الحالات'!$G$2:$G$1001=8))&gt;0,"، "&amp;IFERROR(INDEX('تشخيص الحالات'!$D$2:$D$1001,SUMPRODUCT(('تشخيص الحالات'!$B$2:$B$1001=B730)*('تشخيص الحالات'!$G$2:$G$1001=8)*ROW('تشخيص الحالات'!$B$2:$B$1001))-1),""),"")</f>
        <v/>
      </c>
      <c r="J730" s="1"/>
      <c r="K730" s="1"/>
      <c r="L730" s="1"/>
      <c r="M730" s="1"/>
    </row>
    <row r="731" spans="1:13" x14ac:dyDescent="0.2">
      <c r="A731" s="1"/>
      <c r="B731" s="1"/>
      <c r="C731" s="1"/>
      <c r="D731" s="1"/>
      <c r="E731" s="1"/>
      <c r="F731" s="1"/>
      <c r="G731" s="1"/>
      <c r="H731" s="1"/>
      <c r="I731" t="str">
        <f>IFERROR(INDEX('تشخيص الحالات'!$D$2:$D$1001,SUMPRODUCT(('تشخيص الحالات'!$B$2:$B$1001=B731)*('تشخيص الحالات'!$G$2:$G$1001=1)*ROW('تشخيص الحالات'!$B$2:$B$1001))-1),"")&amp;IF(SUMPRODUCT(('تشخيص الحالات'!$B$2:$B$1001=B731)*('تشخيص الحالات'!$G$2:$G$1001=2))&gt;0,"، "&amp;IFERROR(INDEX('تشخيص الحالات'!$D$2:$D$1001,SUMPRODUCT(('تشخيص الحالات'!$B$2:$B$1001=B731)*('تشخيص الحالات'!$G$2:$G$1001=2)*ROW('تشخيص الحالات'!$B$2:$B$1001))-1),""),"")&amp;IF(SUMPRODUCT(('تشخيص الحالات'!$B$2:$B$1001=B731)*('تشخيص الحالات'!$G$2:$G$1001=3))&gt;0,"، "&amp;IFERROR(INDEX('تشخيص الحالات'!$D$2:$D$1001,SUMPRODUCT(('تشخيص الحالات'!$B$2:$B$1001=B731)*('تشخيص الحالات'!$G$2:$G$1001=3)*ROW('تشخيص الحالات'!$B$2:$B$1001))-1),""),"")&amp;IF(SUMPRODUCT(('تشخيص الحالات'!$B$2:$B$1001=B731)*('تشخيص الحالات'!$G$2:$G$1001=4))&gt;0,"، "&amp;IFERROR(INDEX('تشخيص الحالات'!$D$2:$D$1001,SUMPRODUCT(('تشخيص الحالات'!$B$2:$B$1001=B731)*('تشخيص الحالات'!$G$2:$G$1001=4)*ROW('تشخيص الحالات'!$B$2:$B$1001))-1),""),"")&amp;IF(SUMPRODUCT(('تشخيص الحالات'!$B$2:$B$1001=B731)*('تشخيص الحالات'!$G$2:$G$1001=5))&gt;0,"، "&amp;IFERROR(INDEX('تشخيص الحالات'!$D$2:$D$1001,SUMPRODUCT(('تشخيص الحالات'!$B$2:$B$1001=B731)*('تشخيص الحالات'!$G$2:$G$1001=5)*ROW('تشخيص الحالات'!$B$2:$B$1001))-1),""),"")&amp;IF(SUMPRODUCT(('تشخيص الحالات'!$B$2:$B$1001=B731)*('تشخيص الحالات'!$G$2:$G$1001=6))&gt;0,"، "&amp;IFERROR(INDEX('تشخيص الحالات'!$D$2:$D$1001,SUMPRODUCT(('تشخيص الحالات'!$B$2:$B$1001=B731)*('تشخيص الحالات'!$G$2:$G$1001=6)*ROW('تشخيص الحالات'!$B$2:$B$1001))-1),""),"")&amp;IF(SUMPRODUCT(('تشخيص الحالات'!$B$2:$B$1001=B731)*('تشخيص الحالات'!$G$2:$G$1001=7))&gt;0,"، "&amp;IFERROR(INDEX('تشخيص الحالات'!$D$2:$D$1001,SUMPRODUCT(('تشخيص الحالات'!$B$2:$B$1001=B731)*('تشخيص الحالات'!$G$2:$G$1001=7)*ROW('تشخيص الحالات'!$B$2:$B$1001))-1),""),"")&amp;IF(SUMPRODUCT(('تشخيص الحالات'!$B$2:$B$1001=B731)*('تشخيص الحالات'!$G$2:$G$1001=8))&gt;0,"، "&amp;IFERROR(INDEX('تشخيص الحالات'!$D$2:$D$1001,SUMPRODUCT(('تشخيص الحالات'!$B$2:$B$1001=B731)*('تشخيص الحالات'!$G$2:$G$1001=8)*ROW('تشخيص الحالات'!$B$2:$B$1001))-1),""),"")</f>
        <v/>
      </c>
      <c r="J731" s="1"/>
      <c r="K731" s="1"/>
      <c r="L731" s="1"/>
      <c r="M731" s="1"/>
    </row>
    <row r="732" spans="1:13" x14ac:dyDescent="0.2">
      <c r="A732" s="1"/>
      <c r="B732" s="1"/>
      <c r="C732" s="1"/>
      <c r="D732" s="1"/>
      <c r="E732" s="1"/>
      <c r="F732" s="1"/>
      <c r="G732" s="1"/>
      <c r="H732" s="1"/>
      <c r="I732" t="str">
        <f>IFERROR(INDEX('تشخيص الحالات'!$D$2:$D$1001,SUMPRODUCT(('تشخيص الحالات'!$B$2:$B$1001=B732)*('تشخيص الحالات'!$G$2:$G$1001=1)*ROW('تشخيص الحالات'!$B$2:$B$1001))-1),"")&amp;IF(SUMPRODUCT(('تشخيص الحالات'!$B$2:$B$1001=B732)*('تشخيص الحالات'!$G$2:$G$1001=2))&gt;0,"، "&amp;IFERROR(INDEX('تشخيص الحالات'!$D$2:$D$1001,SUMPRODUCT(('تشخيص الحالات'!$B$2:$B$1001=B732)*('تشخيص الحالات'!$G$2:$G$1001=2)*ROW('تشخيص الحالات'!$B$2:$B$1001))-1),""),"")&amp;IF(SUMPRODUCT(('تشخيص الحالات'!$B$2:$B$1001=B732)*('تشخيص الحالات'!$G$2:$G$1001=3))&gt;0,"، "&amp;IFERROR(INDEX('تشخيص الحالات'!$D$2:$D$1001,SUMPRODUCT(('تشخيص الحالات'!$B$2:$B$1001=B732)*('تشخيص الحالات'!$G$2:$G$1001=3)*ROW('تشخيص الحالات'!$B$2:$B$1001))-1),""),"")&amp;IF(SUMPRODUCT(('تشخيص الحالات'!$B$2:$B$1001=B732)*('تشخيص الحالات'!$G$2:$G$1001=4))&gt;0,"، "&amp;IFERROR(INDEX('تشخيص الحالات'!$D$2:$D$1001,SUMPRODUCT(('تشخيص الحالات'!$B$2:$B$1001=B732)*('تشخيص الحالات'!$G$2:$G$1001=4)*ROW('تشخيص الحالات'!$B$2:$B$1001))-1),""),"")&amp;IF(SUMPRODUCT(('تشخيص الحالات'!$B$2:$B$1001=B732)*('تشخيص الحالات'!$G$2:$G$1001=5))&gt;0,"، "&amp;IFERROR(INDEX('تشخيص الحالات'!$D$2:$D$1001,SUMPRODUCT(('تشخيص الحالات'!$B$2:$B$1001=B732)*('تشخيص الحالات'!$G$2:$G$1001=5)*ROW('تشخيص الحالات'!$B$2:$B$1001))-1),""),"")&amp;IF(SUMPRODUCT(('تشخيص الحالات'!$B$2:$B$1001=B732)*('تشخيص الحالات'!$G$2:$G$1001=6))&gt;0,"، "&amp;IFERROR(INDEX('تشخيص الحالات'!$D$2:$D$1001,SUMPRODUCT(('تشخيص الحالات'!$B$2:$B$1001=B732)*('تشخيص الحالات'!$G$2:$G$1001=6)*ROW('تشخيص الحالات'!$B$2:$B$1001))-1),""),"")&amp;IF(SUMPRODUCT(('تشخيص الحالات'!$B$2:$B$1001=B732)*('تشخيص الحالات'!$G$2:$G$1001=7))&gt;0,"، "&amp;IFERROR(INDEX('تشخيص الحالات'!$D$2:$D$1001,SUMPRODUCT(('تشخيص الحالات'!$B$2:$B$1001=B732)*('تشخيص الحالات'!$G$2:$G$1001=7)*ROW('تشخيص الحالات'!$B$2:$B$1001))-1),""),"")&amp;IF(SUMPRODUCT(('تشخيص الحالات'!$B$2:$B$1001=B732)*('تشخيص الحالات'!$G$2:$G$1001=8))&gt;0,"، "&amp;IFERROR(INDEX('تشخيص الحالات'!$D$2:$D$1001,SUMPRODUCT(('تشخيص الحالات'!$B$2:$B$1001=B732)*('تشخيص الحالات'!$G$2:$G$1001=8)*ROW('تشخيص الحالات'!$B$2:$B$1001))-1),""),"")</f>
        <v/>
      </c>
      <c r="J732" s="1"/>
      <c r="K732" s="1"/>
      <c r="L732" s="1"/>
      <c r="M732" s="1"/>
    </row>
    <row r="733" spans="1:13" x14ac:dyDescent="0.2">
      <c r="A733" s="1"/>
      <c r="B733" s="1"/>
      <c r="C733" s="1"/>
      <c r="D733" s="1"/>
      <c r="E733" s="1"/>
      <c r="F733" s="1"/>
      <c r="G733" s="1"/>
      <c r="H733" s="1"/>
      <c r="I733" t="str">
        <f>IFERROR(INDEX('تشخيص الحالات'!$D$2:$D$1001,SUMPRODUCT(('تشخيص الحالات'!$B$2:$B$1001=B733)*('تشخيص الحالات'!$G$2:$G$1001=1)*ROW('تشخيص الحالات'!$B$2:$B$1001))-1),"")&amp;IF(SUMPRODUCT(('تشخيص الحالات'!$B$2:$B$1001=B733)*('تشخيص الحالات'!$G$2:$G$1001=2))&gt;0,"، "&amp;IFERROR(INDEX('تشخيص الحالات'!$D$2:$D$1001,SUMPRODUCT(('تشخيص الحالات'!$B$2:$B$1001=B733)*('تشخيص الحالات'!$G$2:$G$1001=2)*ROW('تشخيص الحالات'!$B$2:$B$1001))-1),""),"")&amp;IF(SUMPRODUCT(('تشخيص الحالات'!$B$2:$B$1001=B733)*('تشخيص الحالات'!$G$2:$G$1001=3))&gt;0,"، "&amp;IFERROR(INDEX('تشخيص الحالات'!$D$2:$D$1001,SUMPRODUCT(('تشخيص الحالات'!$B$2:$B$1001=B733)*('تشخيص الحالات'!$G$2:$G$1001=3)*ROW('تشخيص الحالات'!$B$2:$B$1001))-1),""),"")&amp;IF(SUMPRODUCT(('تشخيص الحالات'!$B$2:$B$1001=B733)*('تشخيص الحالات'!$G$2:$G$1001=4))&gt;0,"، "&amp;IFERROR(INDEX('تشخيص الحالات'!$D$2:$D$1001,SUMPRODUCT(('تشخيص الحالات'!$B$2:$B$1001=B733)*('تشخيص الحالات'!$G$2:$G$1001=4)*ROW('تشخيص الحالات'!$B$2:$B$1001))-1),""),"")&amp;IF(SUMPRODUCT(('تشخيص الحالات'!$B$2:$B$1001=B733)*('تشخيص الحالات'!$G$2:$G$1001=5))&gt;0,"، "&amp;IFERROR(INDEX('تشخيص الحالات'!$D$2:$D$1001,SUMPRODUCT(('تشخيص الحالات'!$B$2:$B$1001=B733)*('تشخيص الحالات'!$G$2:$G$1001=5)*ROW('تشخيص الحالات'!$B$2:$B$1001))-1),""),"")&amp;IF(SUMPRODUCT(('تشخيص الحالات'!$B$2:$B$1001=B733)*('تشخيص الحالات'!$G$2:$G$1001=6))&gt;0,"، "&amp;IFERROR(INDEX('تشخيص الحالات'!$D$2:$D$1001,SUMPRODUCT(('تشخيص الحالات'!$B$2:$B$1001=B733)*('تشخيص الحالات'!$G$2:$G$1001=6)*ROW('تشخيص الحالات'!$B$2:$B$1001))-1),""),"")&amp;IF(SUMPRODUCT(('تشخيص الحالات'!$B$2:$B$1001=B733)*('تشخيص الحالات'!$G$2:$G$1001=7))&gt;0,"، "&amp;IFERROR(INDEX('تشخيص الحالات'!$D$2:$D$1001,SUMPRODUCT(('تشخيص الحالات'!$B$2:$B$1001=B733)*('تشخيص الحالات'!$G$2:$G$1001=7)*ROW('تشخيص الحالات'!$B$2:$B$1001))-1),""),"")&amp;IF(SUMPRODUCT(('تشخيص الحالات'!$B$2:$B$1001=B733)*('تشخيص الحالات'!$G$2:$G$1001=8))&gt;0,"، "&amp;IFERROR(INDEX('تشخيص الحالات'!$D$2:$D$1001,SUMPRODUCT(('تشخيص الحالات'!$B$2:$B$1001=B733)*('تشخيص الحالات'!$G$2:$G$1001=8)*ROW('تشخيص الحالات'!$B$2:$B$1001))-1),""),"")</f>
        <v/>
      </c>
      <c r="J733" s="1"/>
      <c r="K733" s="1"/>
      <c r="L733" s="1"/>
      <c r="M733" s="1"/>
    </row>
    <row r="734" spans="1:13" x14ac:dyDescent="0.2">
      <c r="A734" s="1"/>
      <c r="B734" s="1"/>
      <c r="C734" s="1"/>
      <c r="D734" s="1"/>
      <c r="E734" s="1"/>
      <c r="F734" s="1"/>
      <c r="G734" s="1"/>
      <c r="H734" s="1"/>
      <c r="I734" t="str">
        <f>IFERROR(INDEX('تشخيص الحالات'!$D$2:$D$1001,SUMPRODUCT(('تشخيص الحالات'!$B$2:$B$1001=B734)*('تشخيص الحالات'!$G$2:$G$1001=1)*ROW('تشخيص الحالات'!$B$2:$B$1001))-1),"")&amp;IF(SUMPRODUCT(('تشخيص الحالات'!$B$2:$B$1001=B734)*('تشخيص الحالات'!$G$2:$G$1001=2))&gt;0,"، "&amp;IFERROR(INDEX('تشخيص الحالات'!$D$2:$D$1001,SUMPRODUCT(('تشخيص الحالات'!$B$2:$B$1001=B734)*('تشخيص الحالات'!$G$2:$G$1001=2)*ROW('تشخيص الحالات'!$B$2:$B$1001))-1),""),"")&amp;IF(SUMPRODUCT(('تشخيص الحالات'!$B$2:$B$1001=B734)*('تشخيص الحالات'!$G$2:$G$1001=3))&gt;0,"، "&amp;IFERROR(INDEX('تشخيص الحالات'!$D$2:$D$1001,SUMPRODUCT(('تشخيص الحالات'!$B$2:$B$1001=B734)*('تشخيص الحالات'!$G$2:$G$1001=3)*ROW('تشخيص الحالات'!$B$2:$B$1001))-1),""),"")&amp;IF(SUMPRODUCT(('تشخيص الحالات'!$B$2:$B$1001=B734)*('تشخيص الحالات'!$G$2:$G$1001=4))&gt;0,"، "&amp;IFERROR(INDEX('تشخيص الحالات'!$D$2:$D$1001,SUMPRODUCT(('تشخيص الحالات'!$B$2:$B$1001=B734)*('تشخيص الحالات'!$G$2:$G$1001=4)*ROW('تشخيص الحالات'!$B$2:$B$1001))-1),""),"")&amp;IF(SUMPRODUCT(('تشخيص الحالات'!$B$2:$B$1001=B734)*('تشخيص الحالات'!$G$2:$G$1001=5))&gt;0,"، "&amp;IFERROR(INDEX('تشخيص الحالات'!$D$2:$D$1001,SUMPRODUCT(('تشخيص الحالات'!$B$2:$B$1001=B734)*('تشخيص الحالات'!$G$2:$G$1001=5)*ROW('تشخيص الحالات'!$B$2:$B$1001))-1),""),"")&amp;IF(SUMPRODUCT(('تشخيص الحالات'!$B$2:$B$1001=B734)*('تشخيص الحالات'!$G$2:$G$1001=6))&gt;0,"، "&amp;IFERROR(INDEX('تشخيص الحالات'!$D$2:$D$1001,SUMPRODUCT(('تشخيص الحالات'!$B$2:$B$1001=B734)*('تشخيص الحالات'!$G$2:$G$1001=6)*ROW('تشخيص الحالات'!$B$2:$B$1001))-1),""),"")&amp;IF(SUMPRODUCT(('تشخيص الحالات'!$B$2:$B$1001=B734)*('تشخيص الحالات'!$G$2:$G$1001=7))&gt;0,"، "&amp;IFERROR(INDEX('تشخيص الحالات'!$D$2:$D$1001,SUMPRODUCT(('تشخيص الحالات'!$B$2:$B$1001=B734)*('تشخيص الحالات'!$G$2:$G$1001=7)*ROW('تشخيص الحالات'!$B$2:$B$1001))-1),""),"")&amp;IF(SUMPRODUCT(('تشخيص الحالات'!$B$2:$B$1001=B734)*('تشخيص الحالات'!$G$2:$G$1001=8))&gt;0,"، "&amp;IFERROR(INDEX('تشخيص الحالات'!$D$2:$D$1001,SUMPRODUCT(('تشخيص الحالات'!$B$2:$B$1001=B734)*('تشخيص الحالات'!$G$2:$G$1001=8)*ROW('تشخيص الحالات'!$B$2:$B$1001))-1),""),"")</f>
        <v/>
      </c>
      <c r="J734" s="1"/>
      <c r="K734" s="1"/>
      <c r="L734" s="1"/>
      <c r="M734" s="1"/>
    </row>
    <row r="735" spans="1:13" x14ac:dyDescent="0.2">
      <c r="A735" s="1"/>
      <c r="B735" s="1"/>
      <c r="C735" s="1"/>
      <c r="D735" s="1"/>
      <c r="E735" s="1"/>
      <c r="F735" s="1"/>
      <c r="G735" s="1"/>
      <c r="H735" s="1"/>
      <c r="I735" t="str">
        <f>IFERROR(INDEX('تشخيص الحالات'!$D$2:$D$1001,SUMPRODUCT(('تشخيص الحالات'!$B$2:$B$1001=B735)*('تشخيص الحالات'!$G$2:$G$1001=1)*ROW('تشخيص الحالات'!$B$2:$B$1001))-1),"")&amp;IF(SUMPRODUCT(('تشخيص الحالات'!$B$2:$B$1001=B735)*('تشخيص الحالات'!$G$2:$G$1001=2))&gt;0,"، "&amp;IFERROR(INDEX('تشخيص الحالات'!$D$2:$D$1001,SUMPRODUCT(('تشخيص الحالات'!$B$2:$B$1001=B735)*('تشخيص الحالات'!$G$2:$G$1001=2)*ROW('تشخيص الحالات'!$B$2:$B$1001))-1),""),"")&amp;IF(SUMPRODUCT(('تشخيص الحالات'!$B$2:$B$1001=B735)*('تشخيص الحالات'!$G$2:$G$1001=3))&gt;0,"، "&amp;IFERROR(INDEX('تشخيص الحالات'!$D$2:$D$1001,SUMPRODUCT(('تشخيص الحالات'!$B$2:$B$1001=B735)*('تشخيص الحالات'!$G$2:$G$1001=3)*ROW('تشخيص الحالات'!$B$2:$B$1001))-1),""),"")&amp;IF(SUMPRODUCT(('تشخيص الحالات'!$B$2:$B$1001=B735)*('تشخيص الحالات'!$G$2:$G$1001=4))&gt;0,"، "&amp;IFERROR(INDEX('تشخيص الحالات'!$D$2:$D$1001,SUMPRODUCT(('تشخيص الحالات'!$B$2:$B$1001=B735)*('تشخيص الحالات'!$G$2:$G$1001=4)*ROW('تشخيص الحالات'!$B$2:$B$1001))-1),""),"")&amp;IF(SUMPRODUCT(('تشخيص الحالات'!$B$2:$B$1001=B735)*('تشخيص الحالات'!$G$2:$G$1001=5))&gt;0,"، "&amp;IFERROR(INDEX('تشخيص الحالات'!$D$2:$D$1001,SUMPRODUCT(('تشخيص الحالات'!$B$2:$B$1001=B735)*('تشخيص الحالات'!$G$2:$G$1001=5)*ROW('تشخيص الحالات'!$B$2:$B$1001))-1),""),"")&amp;IF(SUMPRODUCT(('تشخيص الحالات'!$B$2:$B$1001=B735)*('تشخيص الحالات'!$G$2:$G$1001=6))&gt;0,"، "&amp;IFERROR(INDEX('تشخيص الحالات'!$D$2:$D$1001,SUMPRODUCT(('تشخيص الحالات'!$B$2:$B$1001=B735)*('تشخيص الحالات'!$G$2:$G$1001=6)*ROW('تشخيص الحالات'!$B$2:$B$1001))-1),""),"")&amp;IF(SUMPRODUCT(('تشخيص الحالات'!$B$2:$B$1001=B735)*('تشخيص الحالات'!$G$2:$G$1001=7))&gt;0,"، "&amp;IFERROR(INDEX('تشخيص الحالات'!$D$2:$D$1001,SUMPRODUCT(('تشخيص الحالات'!$B$2:$B$1001=B735)*('تشخيص الحالات'!$G$2:$G$1001=7)*ROW('تشخيص الحالات'!$B$2:$B$1001))-1),""),"")&amp;IF(SUMPRODUCT(('تشخيص الحالات'!$B$2:$B$1001=B735)*('تشخيص الحالات'!$G$2:$G$1001=8))&gt;0,"، "&amp;IFERROR(INDEX('تشخيص الحالات'!$D$2:$D$1001,SUMPRODUCT(('تشخيص الحالات'!$B$2:$B$1001=B735)*('تشخيص الحالات'!$G$2:$G$1001=8)*ROW('تشخيص الحالات'!$B$2:$B$1001))-1),""),"")</f>
        <v/>
      </c>
      <c r="J735" s="1"/>
      <c r="K735" s="1"/>
      <c r="L735" s="1"/>
      <c r="M735" s="1"/>
    </row>
    <row r="736" spans="1:13" x14ac:dyDescent="0.2">
      <c r="A736" s="1"/>
      <c r="B736" s="1"/>
      <c r="C736" s="1"/>
      <c r="D736" s="1"/>
      <c r="E736" s="1"/>
      <c r="F736" s="1"/>
      <c r="G736" s="1"/>
      <c r="H736" s="1"/>
      <c r="I736" t="str">
        <f>IFERROR(INDEX('تشخيص الحالات'!$D$2:$D$1001,SUMPRODUCT(('تشخيص الحالات'!$B$2:$B$1001=B736)*('تشخيص الحالات'!$G$2:$G$1001=1)*ROW('تشخيص الحالات'!$B$2:$B$1001))-1),"")&amp;IF(SUMPRODUCT(('تشخيص الحالات'!$B$2:$B$1001=B736)*('تشخيص الحالات'!$G$2:$G$1001=2))&gt;0,"، "&amp;IFERROR(INDEX('تشخيص الحالات'!$D$2:$D$1001,SUMPRODUCT(('تشخيص الحالات'!$B$2:$B$1001=B736)*('تشخيص الحالات'!$G$2:$G$1001=2)*ROW('تشخيص الحالات'!$B$2:$B$1001))-1),""),"")&amp;IF(SUMPRODUCT(('تشخيص الحالات'!$B$2:$B$1001=B736)*('تشخيص الحالات'!$G$2:$G$1001=3))&gt;0,"، "&amp;IFERROR(INDEX('تشخيص الحالات'!$D$2:$D$1001,SUMPRODUCT(('تشخيص الحالات'!$B$2:$B$1001=B736)*('تشخيص الحالات'!$G$2:$G$1001=3)*ROW('تشخيص الحالات'!$B$2:$B$1001))-1),""),"")&amp;IF(SUMPRODUCT(('تشخيص الحالات'!$B$2:$B$1001=B736)*('تشخيص الحالات'!$G$2:$G$1001=4))&gt;0,"، "&amp;IFERROR(INDEX('تشخيص الحالات'!$D$2:$D$1001,SUMPRODUCT(('تشخيص الحالات'!$B$2:$B$1001=B736)*('تشخيص الحالات'!$G$2:$G$1001=4)*ROW('تشخيص الحالات'!$B$2:$B$1001))-1),""),"")&amp;IF(SUMPRODUCT(('تشخيص الحالات'!$B$2:$B$1001=B736)*('تشخيص الحالات'!$G$2:$G$1001=5))&gt;0,"، "&amp;IFERROR(INDEX('تشخيص الحالات'!$D$2:$D$1001,SUMPRODUCT(('تشخيص الحالات'!$B$2:$B$1001=B736)*('تشخيص الحالات'!$G$2:$G$1001=5)*ROW('تشخيص الحالات'!$B$2:$B$1001))-1),""),"")&amp;IF(SUMPRODUCT(('تشخيص الحالات'!$B$2:$B$1001=B736)*('تشخيص الحالات'!$G$2:$G$1001=6))&gt;0,"، "&amp;IFERROR(INDEX('تشخيص الحالات'!$D$2:$D$1001,SUMPRODUCT(('تشخيص الحالات'!$B$2:$B$1001=B736)*('تشخيص الحالات'!$G$2:$G$1001=6)*ROW('تشخيص الحالات'!$B$2:$B$1001))-1),""),"")&amp;IF(SUMPRODUCT(('تشخيص الحالات'!$B$2:$B$1001=B736)*('تشخيص الحالات'!$G$2:$G$1001=7))&gt;0,"، "&amp;IFERROR(INDEX('تشخيص الحالات'!$D$2:$D$1001,SUMPRODUCT(('تشخيص الحالات'!$B$2:$B$1001=B736)*('تشخيص الحالات'!$G$2:$G$1001=7)*ROW('تشخيص الحالات'!$B$2:$B$1001))-1),""),"")&amp;IF(SUMPRODUCT(('تشخيص الحالات'!$B$2:$B$1001=B736)*('تشخيص الحالات'!$G$2:$G$1001=8))&gt;0,"، "&amp;IFERROR(INDEX('تشخيص الحالات'!$D$2:$D$1001,SUMPRODUCT(('تشخيص الحالات'!$B$2:$B$1001=B736)*('تشخيص الحالات'!$G$2:$G$1001=8)*ROW('تشخيص الحالات'!$B$2:$B$1001))-1),""),"")</f>
        <v/>
      </c>
      <c r="J736" s="1"/>
      <c r="K736" s="1"/>
      <c r="L736" s="1"/>
      <c r="M736" s="1"/>
    </row>
    <row r="737" spans="1:13" x14ac:dyDescent="0.2">
      <c r="A737" s="1"/>
      <c r="B737" s="1"/>
      <c r="C737" s="1"/>
      <c r="D737" s="1"/>
      <c r="E737" s="1"/>
      <c r="F737" s="1"/>
      <c r="G737" s="1"/>
      <c r="H737" s="1"/>
      <c r="I737" t="str">
        <f>IFERROR(INDEX('تشخيص الحالات'!$D$2:$D$1001,SUMPRODUCT(('تشخيص الحالات'!$B$2:$B$1001=B737)*('تشخيص الحالات'!$G$2:$G$1001=1)*ROW('تشخيص الحالات'!$B$2:$B$1001))-1),"")&amp;IF(SUMPRODUCT(('تشخيص الحالات'!$B$2:$B$1001=B737)*('تشخيص الحالات'!$G$2:$G$1001=2))&gt;0,"، "&amp;IFERROR(INDEX('تشخيص الحالات'!$D$2:$D$1001,SUMPRODUCT(('تشخيص الحالات'!$B$2:$B$1001=B737)*('تشخيص الحالات'!$G$2:$G$1001=2)*ROW('تشخيص الحالات'!$B$2:$B$1001))-1),""),"")&amp;IF(SUMPRODUCT(('تشخيص الحالات'!$B$2:$B$1001=B737)*('تشخيص الحالات'!$G$2:$G$1001=3))&gt;0,"، "&amp;IFERROR(INDEX('تشخيص الحالات'!$D$2:$D$1001,SUMPRODUCT(('تشخيص الحالات'!$B$2:$B$1001=B737)*('تشخيص الحالات'!$G$2:$G$1001=3)*ROW('تشخيص الحالات'!$B$2:$B$1001))-1),""),"")&amp;IF(SUMPRODUCT(('تشخيص الحالات'!$B$2:$B$1001=B737)*('تشخيص الحالات'!$G$2:$G$1001=4))&gt;0,"، "&amp;IFERROR(INDEX('تشخيص الحالات'!$D$2:$D$1001,SUMPRODUCT(('تشخيص الحالات'!$B$2:$B$1001=B737)*('تشخيص الحالات'!$G$2:$G$1001=4)*ROW('تشخيص الحالات'!$B$2:$B$1001))-1),""),"")&amp;IF(SUMPRODUCT(('تشخيص الحالات'!$B$2:$B$1001=B737)*('تشخيص الحالات'!$G$2:$G$1001=5))&gt;0,"، "&amp;IFERROR(INDEX('تشخيص الحالات'!$D$2:$D$1001,SUMPRODUCT(('تشخيص الحالات'!$B$2:$B$1001=B737)*('تشخيص الحالات'!$G$2:$G$1001=5)*ROW('تشخيص الحالات'!$B$2:$B$1001))-1),""),"")&amp;IF(SUMPRODUCT(('تشخيص الحالات'!$B$2:$B$1001=B737)*('تشخيص الحالات'!$G$2:$G$1001=6))&gt;0,"، "&amp;IFERROR(INDEX('تشخيص الحالات'!$D$2:$D$1001,SUMPRODUCT(('تشخيص الحالات'!$B$2:$B$1001=B737)*('تشخيص الحالات'!$G$2:$G$1001=6)*ROW('تشخيص الحالات'!$B$2:$B$1001))-1),""),"")&amp;IF(SUMPRODUCT(('تشخيص الحالات'!$B$2:$B$1001=B737)*('تشخيص الحالات'!$G$2:$G$1001=7))&gt;0,"، "&amp;IFERROR(INDEX('تشخيص الحالات'!$D$2:$D$1001,SUMPRODUCT(('تشخيص الحالات'!$B$2:$B$1001=B737)*('تشخيص الحالات'!$G$2:$G$1001=7)*ROW('تشخيص الحالات'!$B$2:$B$1001))-1),""),"")&amp;IF(SUMPRODUCT(('تشخيص الحالات'!$B$2:$B$1001=B737)*('تشخيص الحالات'!$G$2:$G$1001=8))&gt;0,"، "&amp;IFERROR(INDEX('تشخيص الحالات'!$D$2:$D$1001,SUMPRODUCT(('تشخيص الحالات'!$B$2:$B$1001=B737)*('تشخيص الحالات'!$G$2:$G$1001=8)*ROW('تشخيص الحالات'!$B$2:$B$1001))-1),""),"")</f>
        <v/>
      </c>
      <c r="J737" s="1"/>
      <c r="K737" s="1"/>
      <c r="L737" s="1"/>
      <c r="M737" s="1"/>
    </row>
    <row r="738" spans="1:13" x14ac:dyDescent="0.2">
      <c r="A738" s="1"/>
      <c r="B738" s="1"/>
      <c r="C738" s="1"/>
      <c r="D738" s="1"/>
      <c r="E738" s="1"/>
      <c r="F738" s="1"/>
      <c r="G738" s="1"/>
      <c r="H738" s="1"/>
      <c r="I738" t="str">
        <f>IFERROR(INDEX('تشخيص الحالات'!$D$2:$D$1001,SUMPRODUCT(('تشخيص الحالات'!$B$2:$B$1001=B738)*('تشخيص الحالات'!$G$2:$G$1001=1)*ROW('تشخيص الحالات'!$B$2:$B$1001))-1),"")&amp;IF(SUMPRODUCT(('تشخيص الحالات'!$B$2:$B$1001=B738)*('تشخيص الحالات'!$G$2:$G$1001=2))&gt;0,"، "&amp;IFERROR(INDEX('تشخيص الحالات'!$D$2:$D$1001,SUMPRODUCT(('تشخيص الحالات'!$B$2:$B$1001=B738)*('تشخيص الحالات'!$G$2:$G$1001=2)*ROW('تشخيص الحالات'!$B$2:$B$1001))-1),""),"")&amp;IF(SUMPRODUCT(('تشخيص الحالات'!$B$2:$B$1001=B738)*('تشخيص الحالات'!$G$2:$G$1001=3))&gt;0,"، "&amp;IFERROR(INDEX('تشخيص الحالات'!$D$2:$D$1001,SUMPRODUCT(('تشخيص الحالات'!$B$2:$B$1001=B738)*('تشخيص الحالات'!$G$2:$G$1001=3)*ROW('تشخيص الحالات'!$B$2:$B$1001))-1),""),"")&amp;IF(SUMPRODUCT(('تشخيص الحالات'!$B$2:$B$1001=B738)*('تشخيص الحالات'!$G$2:$G$1001=4))&gt;0,"، "&amp;IFERROR(INDEX('تشخيص الحالات'!$D$2:$D$1001,SUMPRODUCT(('تشخيص الحالات'!$B$2:$B$1001=B738)*('تشخيص الحالات'!$G$2:$G$1001=4)*ROW('تشخيص الحالات'!$B$2:$B$1001))-1),""),"")&amp;IF(SUMPRODUCT(('تشخيص الحالات'!$B$2:$B$1001=B738)*('تشخيص الحالات'!$G$2:$G$1001=5))&gt;0,"، "&amp;IFERROR(INDEX('تشخيص الحالات'!$D$2:$D$1001,SUMPRODUCT(('تشخيص الحالات'!$B$2:$B$1001=B738)*('تشخيص الحالات'!$G$2:$G$1001=5)*ROW('تشخيص الحالات'!$B$2:$B$1001))-1),""),"")&amp;IF(SUMPRODUCT(('تشخيص الحالات'!$B$2:$B$1001=B738)*('تشخيص الحالات'!$G$2:$G$1001=6))&gt;0,"، "&amp;IFERROR(INDEX('تشخيص الحالات'!$D$2:$D$1001,SUMPRODUCT(('تشخيص الحالات'!$B$2:$B$1001=B738)*('تشخيص الحالات'!$G$2:$G$1001=6)*ROW('تشخيص الحالات'!$B$2:$B$1001))-1),""),"")&amp;IF(SUMPRODUCT(('تشخيص الحالات'!$B$2:$B$1001=B738)*('تشخيص الحالات'!$G$2:$G$1001=7))&gt;0,"، "&amp;IFERROR(INDEX('تشخيص الحالات'!$D$2:$D$1001,SUMPRODUCT(('تشخيص الحالات'!$B$2:$B$1001=B738)*('تشخيص الحالات'!$G$2:$G$1001=7)*ROW('تشخيص الحالات'!$B$2:$B$1001))-1),""),"")&amp;IF(SUMPRODUCT(('تشخيص الحالات'!$B$2:$B$1001=B738)*('تشخيص الحالات'!$G$2:$G$1001=8))&gt;0,"، "&amp;IFERROR(INDEX('تشخيص الحالات'!$D$2:$D$1001,SUMPRODUCT(('تشخيص الحالات'!$B$2:$B$1001=B738)*('تشخيص الحالات'!$G$2:$G$1001=8)*ROW('تشخيص الحالات'!$B$2:$B$1001))-1),""),"")</f>
        <v/>
      </c>
      <c r="J738" s="1"/>
      <c r="K738" s="1"/>
      <c r="L738" s="1"/>
      <c r="M738" s="1"/>
    </row>
    <row r="739" spans="1:13" x14ac:dyDescent="0.2">
      <c r="A739" s="1"/>
      <c r="B739" s="1"/>
      <c r="C739" s="1"/>
      <c r="D739" s="1"/>
      <c r="E739" s="1"/>
      <c r="F739" s="1"/>
      <c r="G739" s="1"/>
      <c r="H739" s="1"/>
      <c r="I739" t="str">
        <f>IFERROR(INDEX('تشخيص الحالات'!$D$2:$D$1001,SUMPRODUCT(('تشخيص الحالات'!$B$2:$B$1001=B739)*('تشخيص الحالات'!$G$2:$G$1001=1)*ROW('تشخيص الحالات'!$B$2:$B$1001))-1),"")&amp;IF(SUMPRODUCT(('تشخيص الحالات'!$B$2:$B$1001=B739)*('تشخيص الحالات'!$G$2:$G$1001=2))&gt;0,"، "&amp;IFERROR(INDEX('تشخيص الحالات'!$D$2:$D$1001,SUMPRODUCT(('تشخيص الحالات'!$B$2:$B$1001=B739)*('تشخيص الحالات'!$G$2:$G$1001=2)*ROW('تشخيص الحالات'!$B$2:$B$1001))-1),""),"")&amp;IF(SUMPRODUCT(('تشخيص الحالات'!$B$2:$B$1001=B739)*('تشخيص الحالات'!$G$2:$G$1001=3))&gt;0,"، "&amp;IFERROR(INDEX('تشخيص الحالات'!$D$2:$D$1001,SUMPRODUCT(('تشخيص الحالات'!$B$2:$B$1001=B739)*('تشخيص الحالات'!$G$2:$G$1001=3)*ROW('تشخيص الحالات'!$B$2:$B$1001))-1),""),"")&amp;IF(SUMPRODUCT(('تشخيص الحالات'!$B$2:$B$1001=B739)*('تشخيص الحالات'!$G$2:$G$1001=4))&gt;0,"، "&amp;IFERROR(INDEX('تشخيص الحالات'!$D$2:$D$1001,SUMPRODUCT(('تشخيص الحالات'!$B$2:$B$1001=B739)*('تشخيص الحالات'!$G$2:$G$1001=4)*ROW('تشخيص الحالات'!$B$2:$B$1001))-1),""),"")&amp;IF(SUMPRODUCT(('تشخيص الحالات'!$B$2:$B$1001=B739)*('تشخيص الحالات'!$G$2:$G$1001=5))&gt;0,"، "&amp;IFERROR(INDEX('تشخيص الحالات'!$D$2:$D$1001,SUMPRODUCT(('تشخيص الحالات'!$B$2:$B$1001=B739)*('تشخيص الحالات'!$G$2:$G$1001=5)*ROW('تشخيص الحالات'!$B$2:$B$1001))-1),""),"")&amp;IF(SUMPRODUCT(('تشخيص الحالات'!$B$2:$B$1001=B739)*('تشخيص الحالات'!$G$2:$G$1001=6))&gt;0,"، "&amp;IFERROR(INDEX('تشخيص الحالات'!$D$2:$D$1001,SUMPRODUCT(('تشخيص الحالات'!$B$2:$B$1001=B739)*('تشخيص الحالات'!$G$2:$G$1001=6)*ROW('تشخيص الحالات'!$B$2:$B$1001))-1),""),"")&amp;IF(SUMPRODUCT(('تشخيص الحالات'!$B$2:$B$1001=B739)*('تشخيص الحالات'!$G$2:$G$1001=7))&gt;0,"، "&amp;IFERROR(INDEX('تشخيص الحالات'!$D$2:$D$1001,SUMPRODUCT(('تشخيص الحالات'!$B$2:$B$1001=B739)*('تشخيص الحالات'!$G$2:$G$1001=7)*ROW('تشخيص الحالات'!$B$2:$B$1001))-1),""),"")&amp;IF(SUMPRODUCT(('تشخيص الحالات'!$B$2:$B$1001=B739)*('تشخيص الحالات'!$G$2:$G$1001=8))&gt;0,"، "&amp;IFERROR(INDEX('تشخيص الحالات'!$D$2:$D$1001,SUMPRODUCT(('تشخيص الحالات'!$B$2:$B$1001=B739)*('تشخيص الحالات'!$G$2:$G$1001=8)*ROW('تشخيص الحالات'!$B$2:$B$1001))-1),""),"")</f>
        <v/>
      </c>
      <c r="J739" s="1"/>
      <c r="K739" s="1"/>
      <c r="L739" s="1"/>
      <c r="M739" s="1"/>
    </row>
    <row r="740" spans="1:13" x14ac:dyDescent="0.2">
      <c r="A740" s="1"/>
      <c r="B740" s="1"/>
      <c r="C740" s="1"/>
      <c r="D740" s="1"/>
      <c r="E740" s="1"/>
      <c r="F740" s="1"/>
      <c r="G740" s="1"/>
      <c r="H740" s="1"/>
      <c r="I740" t="str">
        <f>IFERROR(INDEX('تشخيص الحالات'!$D$2:$D$1001,SUMPRODUCT(('تشخيص الحالات'!$B$2:$B$1001=B740)*('تشخيص الحالات'!$G$2:$G$1001=1)*ROW('تشخيص الحالات'!$B$2:$B$1001))-1),"")&amp;IF(SUMPRODUCT(('تشخيص الحالات'!$B$2:$B$1001=B740)*('تشخيص الحالات'!$G$2:$G$1001=2))&gt;0,"، "&amp;IFERROR(INDEX('تشخيص الحالات'!$D$2:$D$1001,SUMPRODUCT(('تشخيص الحالات'!$B$2:$B$1001=B740)*('تشخيص الحالات'!$G$2:$G$1001=2)*ROW('تشخيص الحالات'!$B$2:$B$1001))-1),""),"")&amp;IF(SUMPRODUCT(('تشخيص الحالات'!$B$2:$B$1001=B740)*('تشخيص الحالات'!$G$2:$G$1001=3))&gt;0,"، "&amp;IFERROR(INDEX('تشخيص الحالات'!$D$2:$D$1001,SUMPRODUCT(('تشخيص الحالات'!$B$2:$B$1001=B740)*('تشخيص الحالات'!$G$2:$G$1001=3)*ROW('تشخيص الحالات'!$B$2:$B$1001))-1),""),"")&amp;IF(SUMPRODUCT(('تشخيص الحالات'!$B$2:$B$1001=B740)*('تشخيص الحالات'!$G$2:$G$1001=4))&gt;0,"، "&amp;IFERROR(INDEX('تشخيص الحالات'!$D$2:$D$1001,SUMPRODUCT(('تشخيص الحالات'!$B$2:$B$1001=B740)*('تشخيص الحالات'!$G$2:$G$1001=4)*ROW('تشخيص الحالات'!$B$2:$B$1001))-1),""),"")&amp;IF(SUMPRODUCT(('تشخيص الحالات'!$B$2:$B$1001=B740)*('تشخيص الحالات'!$G$2:$G$1001=5))&gt;0,"، "&amp;IFERROR(INDEX('تشخيص الحالات'!$D$2:$D$1001,SUMPRODUCT(('تشخيص الحالات'!$B$2:$B$1001=B740)*('تشخيص الحالات'!$G$2:$G$1001=5)*ROW('تشخيص الحالات'!$B$2:$B$1001))-1),""),"")&amp;IF(SUMPRODUCT(('تشخيص الحالات'!$B$2:$B$1001=B740)*('تشخيص الحالات'!$G$2:$G$1001=6))&gt;0,"، "&amp;IFERROR(INDEX('تشخيص الحالات'!$D$2:$D$1001,SUMPRODUCT(('تشخيص الحالات'!$B$2:$B$1001=B740)*('تشخيص الحالات'!$G$2:$G$1001=6)*ROW('تشخيص الحالات'!$B$2:$B$1001))-1),""),"")&amp;IF(SUMPRODUCT(('تشخيص الحالات'!$B$2:$B$1001=B740)*('تشخيص الحالات'!$G$2:$G$1001=7))&gt;0,"، "&amp;IFERROR(INDEX('تشخيص الحالات'!$D$2:$D$1001,SUMPRODUCT(('تشخيص الحالات'!$B$2:$B$1001=B740)*('تشخيص الحالات'!$G$2:$G$1001=7)*ROW('تشخيص الحالات'!$B$2:$B$1001))-1),""),"")&amp;IF(SUMPRODUCT(('تشخيص الحالات'!$B$2:$B$1001=B740)*('تشخيص الحالات'!$G$2:$G$1001=8))&gt;0,"، "&amp;IFERROR(INDEX('تشخيص الحالات'!$D$2:$D$1001,SUMPRODUCT(('تشخيص الحالات'!$B$2:$B$1001=B740)*('تشخيص الحالات'!$G$2:$G$1001=8)*ROW('تشخيص الحالات'!$B$2:$B$1001))-1),""),"")</f>
        <v/>
      </c>
      <c r="J740" s="1"/>
      <c r="K740" s="1"/>
      <c r="L740" s="1"/>
      <c r="M740" s="1"/>
    </row>
    <row r="741" spans="1:13" x14ac:dyDescent="0.2">
      <c r="A741" s="1"/>
      <c r="B741" s="1"/>
      <c r="C741" s="1"/>
      <c r="D741" s="1"/>
      <c r="E741" s="1"/>
      <c r="F741" s="1"/>
      <c r="G741" s="1"/>
      <c r="H741" s="1"/>
      <c r="I741" t="str">
        <f>IFERROR(INDEX('تشخيص الحالات'!$D$2:$D$1001,SUMPRODUCT(('تشخيص الحالات'!$B$2:$B$1001=B741)*('تشخيص الحالات'!$G$2:$G$1001=1)*ROW('تشخيص الحالات'!$B$2:$B$1001))-1),"")&amp;IF(SUMPRODUCT(('تشخيص الحالات'!$B$2:$B$1001=B741)*('تشخيص الحالات'!$G$2:$G$1001=2))&gt;0,"، "&amp;IFERROR(INDEX('تشخيص الحالات'!$D$2:$D$1001,SUMPRODUCT(('تشخيص الحالات'!$B$2:$B$1001=B741)*('تشخيص الحالات'!$G$2:$G$1001=2)*ROW('تشخيص الحالات'!$B$2:$B$1001))-1),""),"")&amp;IF(SUMPRODUCT(('تشخيص الحالات'!$B$2:$B$1001=B741)*('تشخيص الحالات'!$G$2:$G$1001=3))&gt;0,"، "&amp;IFERROR(INDEX('تشخيص الحالات'!$D$2:$D$1001,SUMPRODUCT(('تشخيص الحالات'!$B$2:$B$1001=B741)*('تشخيص الحالات'!$G$2:$G$1001=3)*ROW('تشخيص الحالات'!$B$2:$B$1001))-1),""),"")&amp;IF(SUMPRODUCT(('تشخيص الحالات'!$B$2:$B$1001=B741)*('تشخيص الحالات'!$G$2:$G$1001=4))&gt;0,"، "&amp;IFERROR(INDEX('تشخيص الحالات'!$D$2:$D$1001,SUMPRODUCT(('تشخيص الحالات'!$B$2:$B$1001=B741)*('تشخيص الحالات'!$G$2:$G$1001=4)*ROW('تشخيص الحالات'!$B$2:$B$1001))-1),""),"")&amp;IF(SUMPRODUCT(('تشخيص الحالات'!$B$2:$B$1001=B741)*('تشخيص الحالات'!$G$2:$G$1001=5))&gt;0,"، "&amp;IFERROR(INDEX('تشخيص الحالات'!$D$2:$D$1001,SUMPRODUCT(('تشخيص الحالات'!$B$2:$B$1001=B741)*('تشخيص الحالات'!$G$2:$G$1001=5)*ROW('تشخيص الحالات'!$B$2:$B$1001))-1),""),"")&amp;IF(SUMPRODUCT(('تشخيص الحالات'!$B$2:$B$1001=B741)*('تشخيص الحالات'!$G$2:$G$1001=6))&gt;0,"، "&amp;IFERROR(INDEX('تشخيص الحالات'!$D$2:$D$1001,SUMPRODUCT(('تشخيص الحالات'!$B$2:$B$1001=B741)*('تشخيص الحالات'!$G$2:$G$1001=6)*ROW('تشخيص الحالات'!$B$2:$B$1001))-1),""),"")&amp;IF(SUMPRODUCT(('تشخيص الحالات'!$B$2:$B$1001=B741)*('تشخيص الحالات'!$G$2:$G$1001=7))&gt;0,"، "&amp;IFERROR(INDEX('تشخيص الحالات'!$D$2:$D$1001,SUMPRODUCT(('تشخيص الحالات'!$B$2:$B$1001=B741)*('تشخيص الحالات'!$G$2:$G$1001=7)*ROW('تشخيص الحالات'!$B$2:$B$1001))-1),""),"")&amp;IF(SUMPRODUCT(('تشخيص الحالات'!$B$2:$B$1001=B741)*('تشخيص الحالات'!$G$2:$G$1001=8))&gt;0,"، "&amp;IFERROR(INDEX('تشخيص الحالات'!$D$2:$D$1001,SUMPRODUCT(('تشخيص الحالات'!$B$2:$B$1001=B741)*('تشخيص الحالات'!$G$2:$G$1001=8)*ROW('تشخيص الحالات'!$B$2:$B$1001))-1),""),"")</f>
        <v/>
      </c>
      <c r="J741" s="1"/>
      <c r="K741" s="1"/>
      <c r="L741" s="1"/>
      <c r="M741" s="1"/>
    </row>
    <row r="742" spans="1:13" x14ac:dyDescent="0.2">
      <c r="A742" s="1"/>
      <c r="B742" s="1"/>
      <c r="C742" s="1"/>
      <c r="D742" s="1"/>
      <c r="E742" s="1"/>
      <c r="F742" s="1"/>
      <c r="G742" s="1"/>
      <c r="H742" s="1"/>
      <c r="I742" t="str">
        <f>IFERROR(INDEX('تشخيص الحالات'!$D$2:$D$1001,SUMPRODUCT(('تشخيص الحالات'!$B$2:$B$1001=B742)*('تشخيص الحالات'!$G$2:$G$1001=1)*ROW('تشخيص الحالات'!$B$2:$B$1001))-1),"")&amp;IF(SUMPRODUCT(('تشخيص الحالات'!$B$2:$B$1001=B742)*('تشخيص الحالات'!$G$2:$G$1001=2))&gt;0,"، "&amp;IFERROR(INDEX('تشخيص الحالات'!$D$2:$D$1001,SUMPRODUCT(('تشخيص الحالات'!$B$2:$B$1001=B742)*('تشخيص الحالات'!$G$2:$G$1001=2)*ROW('تشخيص الحالات'!$B$2:$B$1001))-1),""),"")&amp;IF(SUMPRODUCT(('تشخيص الحالات'!$B$2:$B$1001=B742)*('تشخيص الحالات'!$G$2:$G$1001=3))&gt;0,"، "&amp;IFERROR(INDEX('تشخيص الحالات'!$D$2:$D$1001,SUMPRODUCT(('تشخيص الحالات'!$B$2:$B$1001=B742)*('تشخيص الحالات'!$G$2:$G$1001=3)*ROW('تشخيص الحالات'!$B$2:$B$1001))-1),""),"")&amp;IF(SUMPRODUCT(('تشخيص الحالات'!$B$2:$B$1001=B742)*('تشخيص الحالات'!$G$2:$G$1001=4))&gt;0,"، "&amp;IFERROR(INDEX('تشخيص الحالات'!$D$2:$D$1001,SUMPRODUCT(('تشخيص الحالات'!$B$2:$B$1001=B742)*('تشخيص الحالات'!$G$2:$G$1001=4)*ROW('تشخيص الحالات'!$B$2:$B$1001))-1),""),"")&amp;IF(SUMPRODUCT(('تشخيص الحالات'!$B$2:$B$1001=B742)*('تشخيص الحالات'!$G$2:$G$1001=5))&gt;0,"، "&amp;IFERROR(INDEX('تشخيص الحالات'!$D$2:$D$1001,SUMPRODUCT(('تشخيص الحالات'!$B$2:$B$1001=B742)*('تشخيص الحالات'!$G$2:$G$1001=5)*ROW('تشخيص الحالات'!$B$2:$B$1001))-1),""),"")&amp;IF(SUMPRODUCT(('تشخيص الحالات'!$B$2:$B$1001=B742)*('تشخيص الحالات'!$G$2:$G$1001=6))&gt;0,"، "&amp;IFERROR(INDEX('تشخيص الحالات'!$D$2:$D$1001,SUMPRODUCT(('تشخيص الحالات'!$B$2:$B$1001=B742)*('تشخيص الحالات'!$G$2:$G$1001=6)*ROW('تشخيص الحالات'!$B$2:$B$1001))-1),""),"")&amp;IF(SUMPRODUCT(('تشخيص الحالات'!$B$2:$B$1001=B742)*('تشخيص الحالات'!$G$2:$G$1001=7))&gt;0,"، "&amp;IFERROR(INDEX('تشخيص الحالات'!$D$2:$D$1001,SUMPRODUCT(('تشخيص الحالات'!$B$2:$B$1001=B742)*('تشخيص الحالات'!$G$2:$G$1001=7)*ROW('تشخيص الحالات'!$B$2:$B$1001))-1),""),"")&amp;IF(SUMPRODUCT(('تشخيص الحالات'!$B$2:$B$1001=B742)*('تشخيص الحالات'!$G$2:$G$1001=8))&gt;0,"، "&amp;IFERROR(INDEX('تشخيص الحالات'!$D$2:$D$1001,SUMPRODUCT(('تشخيص الحالات'!$B$2:$B$1001=B742)*('تشخيص الحالات'!$G$2:$G$1001=8)*ROW('تشخيص الحالات'!$B$2:$B$1001))-1),""),"")</f>
        <v/>
      </c>
      <c r="J742" s="1"/>
      <c r="K742" s="1"/>
      <c r="L742" s="1"/>
      <c r="M742" s="1"/>
    </row>
    <row r="743" spans="1:13" x14ac:dyDescent="0.2">
      <c r="A743" s="1"/>
      <c r="B743" s="1"/>
      <c r="C743" s="1"/>
      <c r="D743" s="1"/>
      <c r="E743" s="1"/>
      <c r="F743" s="1"/>
      <c r="G743" s="1"/>
      <c r="H743" s="1"/>
      <c r="I743" t="str">
        <f>IFERROR(INDEX('تشخيص الحالات'!$D$2:$D$1001,SUMPRODUCT(('تشخيص الحالات'!$B$2:$B$1001=B743)*('تشخيص الحالات'!$G$2:$G$1001=1)*ROW('تشخيص الحالات'!$B$2:$B$1001))-1),"")&amp;IF(SUMPRODUCT(('تشخيص الحالات'!$B$2:$B$1001=B743)*('تشخيص الحالات'!$G$2:$G$1001=2))&gt;0,"، "&amp;IFERROR(INDEX('تشخيص الحالات'!$D$2:$D$1001,SUMPRODUCT(('تشخيص الحالات'!$B$2:$B$1001=B743)*('تشخيص الحالات'!$G$2:$G$1001=2)*ROW('تشخيص الحالات'!$B$2:$B$1001))-1),""),"")&amp;IF(SUMPRODUCT(('تشخيص الحالات'!$B$2:$B$1001=B743)*('تشخيص الحالات'!$G$2:$G$1001=3))&gt;0,"، "&amp;IFERROR(INDEX('تشخيص الحالات'!$D$2:$D$1001,SUMPRODUCT(('تشخيص الحالات'!$B$2:$B$1001=B743)*('تشخيص الحالات'!$G$2:$G$1001=3)*ROW('تشخيص الحالات'!$B$2:$B$1001))-1),""),"")&amp;IF(SUMPRODUCT(('تشخيص الحالات'!$B$2:$B$1001=B743)*('تشخيص الحالات'!$G$2:$G$1001=4))&gt;0,"، "&amp;IFERROR(INDEX('تشخيص الحالات'!$D$2:$D$1001,SUMPRODUCT(('تشخيص الحالات'!$B$2:$B$1001=B743)*('تشخيص الحالات'!$G$2:$G$1001=4)*ROW('تشخيص الحالات'!$B$2:$B$1001))-1),""),"")&amp;IF(SUMPRODUCT(('تشخيص الحالات'!$B$2:$B$1001=B743)*('تشخيص الحالات'!$G$2:$G$1001=5))&gt;0,"، "&amp;IFERROR(INDEX('تشخيص الحالات'!$D$2:$D$1001,SUMPRODUCT(('تشخيص الحالات'!$B$2:$B$1001=B743)*('تشخيص الحالات'!$G$2:$G$1001=5)*ROW('تشخيص الحالات'!$B$2:$B$1001))-1),""),"")&amp;IF(SUMPRODUCT(('تشخيص الحالات'!$B$2:$B$1001=B743)*('تشخيص الحالات'!$G$2:$G$1001=6))&gt;0,"، "&amp;IFERROR(INDEX('تشخيص الحالات'!$D$2:$D$1001,SUMPRODUCT(('تشخيص الحالات'!$B$2:$B$1001=B743)*('تشخيص الحالات'!$G$2:$G$1001=6)*ROW('تشخيص الحالات'!$B$2:$B$1001))-1),""),"")&amp;IF(SUMPRODUCT(('تشخيص الحالات'!$B$2:$B$1001=B743)*('تشخيص الحالات'!$G$2:$G$1001=7))&gt;0,"، "&amp;IFERROR(INDEX('تشخيص الحالات'!$D$2:$D$1001,SUMPRODUCT(('تشخيص الحالات'!$B$2:$B$1001=B743)*('تشخيص الحالات'!$G$2:$G$1001=7)*ROW('تشخيص الحالات'!$B$2:$B$1001))-1),""),"")&amp;IF(SUMPRODUCT(('تشخيص الحالات'!$B$2:$B$1001=B743)*('تشخيص الحالات'!$G$2:$G$1001=8))&gt;0,"، "&amp;IFERROR(INDEX('تشخيص الحالات'!$D$2:$D$1001,SUMPRODUCT(('تشخيص الحالات'!$B$2:$B$1001=B743)*('تشخيص الحالات'!$G$2:$G$1001=8)*ROW('تشخيص الحالات'!$B$2:$B$1001))-1),""),"")</f>
        <v/>
      </c>
      <c r="J743" s="1"/>
      <c r="K743" s="1"/>
      <c r="L743" s="1"/>
      <c r="M743" s="1"/>
    </row>
    <row r="744" spans="1:13" x14ac:dyDescent="0.2">
      <c r="A744" s="1"/>
      <c r="B744" s="1"/>
      <c r="C744" s="1"/>
      <c r="D744" s="1"/>
      <c r="E744" s="1"/>
      <c r="F744" s="1"/>
      <c r="G744" s="1"/>
      <c r="H744" s="1"/>
      <c r="I744" t="str">
        <f>IFERROR(INDEX('تشخيص الحالات'!$D$2:$D$1001,SUMPRODUCT(('تشخيص الحالات'!$B$2:$B$1001=B744)*('تشخيص الحالات'!$G$2:$G$1001=1)*ROW('تشخيص الحالات'!$B$2:$B$1001))-1),"")&amp;IF(SUMPRODUCT(('تشخيص الحالات'!$B$2:$B$1001=B744)*('تشخيص الحالات'!$G$2:$G$1001=2))&gt;0,"، "&amp;IFERROR(INDEX('تشخيص الحالات'!$D$2:$D$1001,SUMPRODUCT(('تشخيص الحالات'!$B$2:$B$1001=B744)*('تشخيص الحالات'!$G$2:$G$1001=2)*ROW('تشخيص الحالات'!$B$2:$B$1001))-1),""),"")&amp;IF(SUMPRODUCT(('تشخيص الحالات'!$B$2:$B$1001=B744)*('تشخيص الحالات'!$G$2:$G$1001=3))&gt;0,"، "&amp;IFERROR(INDEX('تشخيص الحالات'!$D$2:$D$1001,SUMPRODUCT(('تشخيص الحالات'!$B$2:$B$1001=B744)*('تشخيص الحالات'!$G$2:$G$1001=3)*ROW('تشخيص الحالات'!$B$2:$B$1001))-1),""),"")&amp;IF(SUMPRODUCT(('تشخيص الحالات'!$B$2:$B$1001=B744)*('تشخيص الحالات'!$G$2:$G$1001=4))&gt;0,"، "&amp;IFERROR(INDEX('تشخيص الحالات'!$D$2:$D$1001,SUMPRODUCT(('تشخيص الحالات'!$B$2:$B$1001=B744)*('تشخيص الحالات'!$G$2:$G$1001=4)*ROW('تشخيص الحالات'!$B$2:$B$1001))-1),""),"")&amp;IF(SUMPRODUCT(('تشخيص الحالات'!$B$2:$B$1001=B744)*('تشخيص الحالات'!$G$2:$G$1001=5))&gt;0,"، "&amp;IFERROR(INDEX('تشخيص الحالات'!$D$2:$D$1001,SUMPRODUCT(('تشخيص الحالات'!$B$2:$B$1001=B744)*('تشخيص الحالات'!$G$2:$G$1001=5)*ROW('تشخيص الحالات'!$B$2:$B$1001))-1),""),"")&amp;IF(SUMPRODUCT(('تشخيص الحالات'!$B$2:$B$1001=B744)*('تشخيص الحالات'!$G$2:$G$1001=6))&gt;0,"، "&amp;IFERROR(INDEX('تشخيص الحالات'!$D$2:$D$1001,SUMPRODUCT(('تشخيص الحالات'!$B$2:$B$1001=B744)*('تشخيص الحالات'!$G$2:$G$1001=6)*ROW('تشخيص الحالات'!$B$2:$B$1001))-1),""),"")&amp;IF(SUMPRODUCT(('تشخيص الحالات'!$B$2:$B$1001=B744)*('تشخيص الحالات'!$G$2:$G$1001=7))&gt;0,"، "&amp;IFERROR(INDEX('تشخيص الحالات'!$D$2:$D$1001,SUMPRODUCT(('تشخيص الحالات'!$B$2:$B$1001=B744)*('تشخيص الحالات'!$G$2:$G$1001=7)*ROW('تشخيص الحالات'!$B$2:$B$1001))-1),""),"")&amp;IF(SUMPRODUCT(('تشخيص الحالات'!$B$2:$B$1001=B744)*('تشخيص الحالات'!$G$2:$G$1001=8))&gt;0,"، "&amp;IFERROR(INDEX('تشخيص الحالات'!$D$2:$D$1001,SUMPRODUCT(('تشخيص الحالات'!$B$2:$B$1001=B744)*('تشخيص الحالات'!$G$2:$G$1001=8)*ROW('تشخيص الحالات'!$B$2:$B$1001))-1),""),"")</f>
        <v/>
      </c>
      <c r="J744" s="1"/>
      <c r="K744" s="1"/>
      <c r="L744" s="1"/>
      <c r="M744" s="1"/>
    </row>
    <row r="745" spans="1:13" x14ac:dyDescent="0.2">
      <c r="A745" s="1"/>
      <c r="B745" s="1"/>
      <c r="C745" s="1"/>
      <c r="D745" s="1"/>
      <c r="E745" s="1"/>
      <c r="F745" s="1"/>
      <c r="G745" s="1"/>
      <c r="H745" s="1"/>
      <c r="I745" t="str">
        <f>IFERROR(INDEX('تشخيص الحالات'!$D$2:$D$1001,SUMPRODUCT(('تشخيص الحالات'!$B$2:$B$1001=B745)*('تشخيص الحالات'!$G$2:$G$1001=1)*ROW('تشخيص الحالات'!$B$2:$B$1001))-1),"")&amp;IF(SUMPRODUCT(('تشخيص الحالات'!$B$2:$B$1001=B745)*('تشخيص الحالات'!$G$2:$G$1001=2))&gt;0,"، "&amp;IFERROR(INDEX('تشخيص الحالات'!$D$2:$D$1001,SUMPRODUCT(('تشخيص الحالات'!$B$2:$B$1001=B745)*('تشخيص الحالات'!$G$2:$G$1001=2)*ROW('تشخيص الحالات'!$B$2:$B$1001))-1),""),"")&amp;IF(SUMPRODUCT(('تشخيص الحالات'!$B$2:$B$1001=B745)*('تشخيص الحالات'!$G$2:$G$1001=3))&gt;0,"، "&amp;IFERROR(INDEX('تشخيص الحالات'!$D$2:$D$1001,SUMPRODUCT(('تشخيص الحالات'!$B$2:$B$1001=B745)*('تشخيص الحالات'!$G$2:$G$1001=3)*ROW('تشخيص الحالات'!$B$2:$B$1001))-1),""),"")&amp;IF(SUMPRODUCT(('تشخيص الحالات'!$B$2:$B$1001=B745)*('تشخيص الحالات'!$G$2:$G$1001=4))&gt;0,"، "&amp;IFERROR(INDEX('تشخيص الحالات'!$D$2:$D$1001,SUMPRODUCT(('تشخيص الحالات'!$B$2:$B$1001=B745)*('تشخيص الحالات'!$G$2:$G$1001=4)*ROW('تشخيص الحالات'!$B$2:$B$1001))-1),""),"")&amp;IF(SUMPRODUCT(('تشخيص الحالات'!$B$2:$B$1001=B745)*('تشخيص الحالات'!$G$2:$G$1001=5))&gt;0,"، "&amp;IFERROR(INDEX('تشخيص الحالات'!$D$2:$D$1001,SUMPRODUCT(('تشخيص الحالات'!$B$2:$B$1001=B745)*('تشخيص الحالات'!$G$2:$G$1001=5)*ROW('تشخيص الحالات'!$B$2:$B$1001))-1),""),"")&amp;IF(SUMPRODUCT(('تشخيص الحالات'!$B$2:$B$1001=B745)*('تشخيص الحالات'!$G$2:$G$1001=6))&gt;0,"، "&amp;IFERROR(INDEX('تشخيص الحالات'!$D$2:$D$1001,SUMPRODUCT(('تشخيص الحالات'!$B$2:$B$1001=B745)*('تشخيص الحالات'!$G$2:$G$1001=6)*ROW('تشخيص الحالات'!$B$2:$B$1001))-1),""),"")&amp;IF(SUMPRODUCT(('تشخيص الحالات'!$B$2:$B$1001=B745)*('تشخيص الحالات'!$G$2:$G$1001=7))&gt;0,"، "&amp;IFERROR(INDEX('تشخيص الحالات'!$D$2:$D$1001,SUMPRODUCT(('تشخيص الحالات'!$B$2:$B$1001=B745)*('تشخيص الحالات'!$G$2:$G$1001=7)*ROW('تشخيص الحالات'!$B$2:$B$1001))-1),""),"")&amp;IF(SUMPRODUCT(('تشخيص الحالات'!$B$2:$B$1001=B745)*('تشخيص الحالات'!$G$2:$G$1001=8))&gt;0,"، "&amp;IFERROR(INDEX('تشخيص الحالات'!$D$2:$D$1001,SUMPRODUCT(('تشخيص الحالات'!$B$2:$B$1001=B745)*('تشخيص الحالات'!$G$2:$G$1001=8)*ROW('تشخيص الحالات'!$B$2:$B$1001))-1),""),"")</f>
        <v/>
      </c>
      <c r="J745" s="1"/>
      <c r="K745" s="1"/>
      <c r="L745" s="1"/>
      <c r="M745" s="1"/>
    </row>
    <row r="746" spans="1:13" x14ac:dyDescent="0.2">
      <c r="A746" s="1"/>
      <c r="B746" s="1"/>
      <c r="C746" s="1"/>
      <c r="D746" s="1"/>
      <c r="E746" s="1"/>
      <c r="F746" s="1"/>
      <c r="G746" s="1"/>
      <c r="H746" s="1"/>
      <c r="I746" t="str">
        <f>IFERROR(INDEX('تشخيص الحالات'!$D$2:$D$1001,SUMPRODUCT(('تشخيص الحالات'!$B$2:$B$1001=B746)*('تشخيص الحالات'!$G$2:$G$1001=1)*ROW('تشخيص الحالات'!$B$2:$B$1001))-1),"")&amp;IF(SUMPRODUCT(('تشخيص الحالات'!$B$2:$B$1001=B746)*('تشخيص الحالات'!$G$2:$G$1001=2))&gt;0,"، "&amp;IFERROR(INDEX('تشخيص الحالات'!$D$2:$D$1001,SUMPRODUCT(('تشخيص الحالات'!$B$2:$B$1001=B746)*('تشخيص الحالات'!$G$2:$G$1001=2)*ROW('تشخيص الحالات'!$B$2:$B$1001))-1),""),"")&amp;IF(SUMPRODUCT(('تشخيص الحالات'!$B$2:$B$1001=B746)*('تشخيص الحالات'!$G$2:$G$1001=3))&gt;0,"، "&amp;IFERROR(INDEX('تشخيص الحالات'!$D$2:$D$1001,SUMPRODUCT(('تشخيص الحالات'!$B$2:$B$1001=B746)*('تشخيص الحالات'!$G$2:$G$1001=3)*ROW('تشخيص الحالات'!$B$2:$B$1001))-1),""),"")&amp;IF(SUMPRODUCT(('تشخيص الحالات'!$B$2:$B$1001=B746)*('تشخيص الحالات'!$G$2:$G$1001=4))&gt;0,"، "&amp;IFERROR(INDEX('تشخيص الحالات'!$D$2:$D$1001,SUMPRODUCT(('تشخيص الحالات'!$B$2:$B$1001=B746)*('تشخيص الحالات'!$G$2:$G$1001=4)*ROW('تشخيص الحالات'!$B$2:$B$1001))-1),""),"")&amp;IF(SUMPRODUCT(('تشخيص الحالات'!$B$2:$B$1001=B746)*('تشخيص الحالات'!$G$2:$G$1001=5))&gt;0,"، "&amp;IFERROR(INDEX('تشخيص الحالات'!$D$2:$D$1001,SUMPRODUCT(('تشخيص الحالات'!$B$2:$B$1001=B746)*('تشخيص الحالات'!$G$2:$G$1001=5)*ROW('تشخيص الحالات'!$B$2:$B$1001))-1),""),"")&amp;IF(SUMPRODUCT(('تشخيص الحالات'!$B$2:$B$1001=B746)*('تشخيص الحالات'!$G$2:$G$1001=6))&gt;0,"، "&amp;IFERROR(INDEX('تشخيص الحالات'!$D$2:$D$1001,SUMPRODUCT(('تشخيص الحالات'!$B$2:$B$1001=B746)*('تشخيص الحالات'!$G$2:$G$1001=6)*ROW('تشخيص الحالات'!$B$2:$B$1001))-1),""),"")&amp;IF(SUMPRODUCT(('تشخيص الحالات'!$B$2:$B$1001=B746)*('تشخيص الحالات'!$G$2:$G$1001=7))&gt;0,"، "&amp;IFERROR(INDEX('تشخيص الحالات'!$D$2:$D$1001,SUMPRODUCT(('تشخيص الحالات'!$B$2:$B$1001=B746)*('تشخيص الحالات'!$G$2:$G$1001=7)*ROW('تشخيص الحالات'!$B$2:$B$1001))-1),""),"")&amp;IF(SUMPRODUCT(('تشخيص الحالات'!$B$2:$B$1001=B746)*('تشخيص الحالات'!$G$2:$G$1001=8))&gt;0,"، "&amp;IFERROR(INDEX('تشخيص الحالات'!$D$2:$D$1001,SUMPRODUCT(('تشخيص الحالات'!$B$2:$B$1001=B746)*('تشخيص الحالات'!$G$2:$G$1001=8)*ROW('تشخيص الحالات'!$B$2:$B$1001))-1),""),"")</f>
        <v/>
      </c>
      <c r="J746" s="1"/>
      <c r="K746" s="1"/>
      <c r="L746" s="1"/>
      <c r="M746" s="1"/>
    </row>
    <row r="747" spans="1:13" x14ac:dyDescent="0.2">
      <c r="A747" s="1"/>
      <c r="B747" s="1"/>
      <c r="C747" s="1"/>
      <c r="D747" s="1"/>
      <c r="E747" s="1"/>
      <c r="F747" s="1"/>
      <c r="G747" s="1"/>
      <c r="H747" s="1"/>
      <c r="I747" t="str">
        <f>IFERROR(INDEX('تشخيص الحالات'!$D$2:$D$1001,SUMPRODUCT(('تشخيص الحالات'!$B$2:$B$1001=B747)*('تشخيص الحالات'!$G$2:$G$1001=1)*ROW('تشخيص الحالات'!$B$2:$B$1001))-1),"")&amp;IF(SUMPRODUCT(('تشخيص الحالات'!$B$2:$B$1001=B747)*('تشخيص الحالات'!$G$2:$G$1001=2))&gt;0,"، "&amp;IFERROR(INDEX('تشخيص الحالات'!$D$2:$D$1001,SUMPRODUCT(('تشخيص الحالات'!$B$2:$B$1001=B747)*('تشخيص الحالات'!$G$2:$G$1001=2)*ROW('تشخيص الحالات'!$B$2:$B$1001))-1),""),"")&amp;IF(SUMPRODUCT(('تشخيص الحالات'!$B$2:$B$1001=B747)*('تشخيص الحالات'!$G$2:$G$1001=3))&gt;0,"، "&amp;IFERROR(INDEX('تشخيص الحالات'!$D$2:$D$1001,SUMPRODUCT(('تشخيص الحالات'!$B$2:$B$1001=B747)*('تشخيص الحالات'!$G$2:$G$1001=3)*ROW('تشخيص الحالات'!$B$2:$B$1001))-1),""),"")&amp;IF(SUMPRODUCT(('تشخيص الحالات'!$B$2:$B$1001=B747)*('تشخيص الحالات'!$G$2:$G$1001=4))&gt;0,"، "&amp;IFERROR(INDEX('تشخيص الحالات'!$D$2:$D$1001,SUMPRODUCT(('تشخيص الحالات'!$B$2:$B$1001=B747)*('تشخيص الحالات'!$G$2:$G$1001=4)*ROW('تشخيص الحالات'!$B$2:$B$1001))-1),""),"")&amp;IF(SUMPRODUCT(('تشخيص الحالات'!$B$2:$B$1001=B747)*('تشخيص الحالات'!$G$2:$G$1001=5))&gt;0,"، "&amp;IFERROR(INDEX('تشخيص الحالات'!$D$2:$D$1001,SUMPRODUCT(('تشخيص الحالات'!$B$2:$B$1001=B747)*('تشخيص الحالات'!$G$2:$G$1001=5)*ROW('تشخيص الحالات'!$B$2:$B$1001))-1),""),"")&amp;IF(SUMPRODUCT(('تشخيص الحالات'!$B$2:$B$1001=B747)*('تشخيص الحالات'!$G$2:$G$1001=6))&gt;0,"، "&amp;IFERROR(INDEX('تشخيص الحالات'!$D$2:$D$1001,SUMPRODUCT(('تشخيص الحالات'!$B$2:$B$1001=B747)*('تشخيص الحالات'!$G$2:$G$1001=6)*ROW('تشخيص الحالات'!$B$2:$B$1001))-1),""),"")&amp;IF(SUMPRODUCT(('تشخيص الحالات'!$B$2:$B$1001=B747)*('تشخيص الحالات'!$G$2:$G$1001=7))&gt;0,"، "&amp;IFERROR(INDEX('تشخيص الحالات'!$D$2:$D$1001,SUMPRODUCT(('تشخيص الحالات'!$B$2:$B$1001=B747)*('تشخيص الحالات'!$G$2:$G$1001=7)*ROW('تشخيص الحالات'!$B$2:$B$1001))-1),""),"")&amp;IF(SUMPRODUCT(('تشخيص الحالات'!$B$2:$B$1001=B747)*('تشخيص الحالات'!$G$2:$G$1001=8))&gt;0,"، "&amp;IFERROR(INDEX('تشخيص الحالات'!$D$2:$D$1001,SUMPRODUCT(('تشخيص الحالات'!$B$2:$B$1001=B747)*('تشخيص الحالات'!$G$2:$G$1001=8)*ROW('تشخيص الحالات'!$B$2:$B$1001))-1),""),"")</f>
        <v/>
      </c>
      <c r="J747" s="1"/>
      <c r="K747" s="1"/>
      <c r="L747" s="1"/>
      <c r="M747" s="1"/>
    </row>
    <row r="748" spans="1:13" x14ac:dyDescent="0.2">
      <c r="A748" s="1"/>
      <c r="B748" s="1"/>
      <c r="C748" s="1"/>
      <c r="D748" s="1"/>
      <c r="E748" s="1"/>
      <c r="F748" s="1"/>
      <c r="G748" s="1"/>
      <c r="H748" s="1"/>
      <c r="I748" t="str">
        <f>IFERROR(INDEX('تشخيص الحالات'!$D$2:$D$1001,SUMPRODUCT(('تشخيص الحالات'!$B$2:$B$1001=B748)*('تشخيص الحالات'!$G$2:$G$1001=1)*ROW('تشخيص الحالات'!$B$2:$B$1001))-1),"")&amp;IF(SUMPRODUCT(('تشخيص الحالات'!$B$2:$B$1001=B748)*('تشخيص الحالات'!$G$2:$G$1001=2))&gt;0,"، "&amp;IFERROR(INDEX('تشخيص الحالات'!$D$2:$D$1001,SUMPRODUCT(('تشخيص الحالات'!$B$2:$B$1001=B748)*('تشخيص الحالات'!$G$2:$G$1001=2)*ROW('تشخيص الحالات'!$B$2:$B$1001))-1),""),"")&amp;IF(SUMPRODUCT(('تشخيص الحالات'!$B$2:$B$1001=B748)*('تشخيص الحالات'!$G$2:$G$1001=3))&gt;0,"، "&amp;IFERROR(INDEX('تشخيص الحالات'!$D$2:$D$1001,SUMPRODUCT(('تشخيص الحالات'!$B$2:$B$1001=B748)*('تشخيص الحالات'!$G$2:$G$1001=3)*ROW('تشخيص الحالات'!$B$2:$B$1001))-1),""),"")&amp;IF(SUMPRODUCT(('تشخيص الحالات'!$B$2:$B$1001=B748)*('تشخيص الحالات'!$G$2:$G$1001=4))&gt;0,"، "&amp;IFERROR(INDEX('تشخيص الحالات'!$D$2:$D$1001,SUMPRODUCT(('تشخيص الحالات'!$B$2:$B$1001=B748)*('تشخيص الحالات'!$G$2:$G$1001=4)*ROW('تشخيص الحالات'!$B$2:$B$1001))-1),""),"")&amp;IF(SUMPRODUCT(('تشخيص الحالات'!$B$2:$B$1001=B748)*('تشخيص الحالات'!$G$2:$G$1001=5))&gt;0,"، "&amp;IFERROR(INDEX('تشخيص الحالات'!$D$2:$D$1001,SUMPRODUCT(('تشخيص الحالات'!$B$2:$B$1001=B748)*('تشخيص الحالات'!$G$2:$G$1001=5)*ROW('تشخيص الحالات'!$B$2:$B$1001))-1),""),"")&amp;IF(SUMPRODUCT(('تشخيص الحالات'!$B$2:$B$1001=B748)*('تشخيص الحالات'!$G$2:$G$1001=6))&gt;0,"، "&amp;IFERROR(INDEX('تشخيص الحالات'!$D$2:$D$1001,SUMPRODUCT(('تشخيص الحالات'!$B$2:$B$1001=B748)*('تشخيص الحالات'!$G$2:$G$1001=6)*ROW('تشخيص الحالات'!$B$2:$B$1001))-1),""),"")&amp;IF(SUMPRODUCT(('تشخيص الحالات'!$B$2:$B$1001=B748)*('تشخيص الحالات'!$G$2:$G$1001=7))&gt;0,"، "&amp;IFERROR(INDEX('تشخيص الحالات'!$D$2:$D$1001,SUMPRODUCT(('تشخيص الحالات'!$B$2:$B$1001=B748)*('تشخيص الحالات'!$G$2:$G$1001=7)*ROW('تشخيص الحالات'!$B$2:$B$1001))-1),""),"")&amp;IF(SUMPRODUCT(('تشخيص الحالات'!$B$2:$B$1001=B748)*('تشخيص الحالات'!$G$2:$G$1001=8))&gt;0,"، "&amp;IFERROR(INDEX('تشخيص الحالات'!$D$2:$D$1001,SUMPRODUCT(('تشخيص الحالات'!$B$2:$B$1001=B748)*('تشخيص الحالات'!$G$2:$G$1001=8)*ROW('تشخيص الحالات'!$B$2:$B$1001))-1),""),"")</f>
        <v/>
      </c>
      <c r="J748" s="1"/>
      <c r="K748" s="1"/>
      <c r="L748" s="1"/>
      <c r="M748" s="1"/>
    </row>
    <row r="749" spans="1:13" x14ac:dyDescent="0.2">
      <c r="A749" s="1"/>
      <c r="B749" s="1"/>
      <c r="C749" s="1"/>
      <c r="D749" s="1"/>
      <c r="E749" s="1"/>
      <c r="F749" s="1"/>
      <c r="G749" s="1"/>
      <c r="H749" s="1"/>
      <c r="I749" t="str">
        <f>IFERROR(INDEX('تشخيص الحالات'!$D$2:$D$1001,SUMPRODUCT(('تشخيص الحالات'!$B$2:$B$1001=B749)*('تشخيص الحالات'!$G$2:$G$1001=1)*ROW('تشخيص الحالات'!$B$2:$B$1001))-1),"")&amp;IF(SUMPRODUCT(('تشخيص الحالات'!$B$2:$B$1001=B749)*('تشخيص الحالات'!$G$2:$G$1001=2))&gt;0,"، "&amp;IFERROR(INDEX('تشخيص الحالات'!$D$2:$D$1001,SUMPRODUCT(('تشخيص الحالات'!$B$2:$B$1001=B749)*('تشخيص الحالات'!$G$2:$G$1001=2)*ROW('تشخيص الحالات'!$B$2:$B$1001))-1),""),"")&amp;IF(SUMPRODUCT(('تشخيص الحالات'!$B$2:$B$1001=B749)*('تشخيص الحالات'!$G$2:$G$1001=3))&gt;0,"، "&amp;IFERROR(INDEX('تشخيص الحالات'!$D$2:$D$1001,SUMPRODUCT(('تشخيص الحالات'!$B$2:$B$1001=B749)*('تشخيص الحالات'!$G$2:$G$1001=3)*ROW('تشخيص الحالات'!$B$2:$B$1001))-1),""),"")&amp;IF(SUMPRODUCT(('تشخيص الحالات'!$B$2:$B$1001=B749)*('تشخيص الحالات'!$G$2:$G$1001=4))&gt;0,"، "&amp;IFERROR(INDEX('تشخيص الحالات'!$D$2:$D$1001,SUMPRODUCT(('تشخيص الحالات'!$B$2:$B$1001=B749)*('تشخيص الحالات'!$G$2:$G$1001=4)*ROW('تشخيص الحالات'!$B$2:$B$1001))-1),""),"")&amp;IF(SUMPRODUCT(('تشخيص الحالات'!$B$2:$B$1001=B749)*('تشخيص الحالات'!$G$2:$G$1001=5))&gt;0,"، "&amp;IFERROR(INDEX('تشخيص الحالات'!$D$2:$D$1001,SUMPRODUCT(('تشخيص الحالات'!$B$2:$B$1001=B749)*('تشخيص الحالات'!$G$2:$G$1001=5)*ROW('تشخيص الحالات'!$B$2:$B$1001))-1),""),"")&amp;IF(SUMPRODUCT(('تشخيص الحالات'!$B$2:$B$1001=B749)*('تشخيص الحالات'!$G$2:$G$1001=6))&gt;0,"، "&amp;IFERROR(INDEX('تشخيص الحالات'!$D$2:$D$1001,SUMPRODUCT(('تشخيص الحالات'!$B$2:$B$1001=B749)*('تشخيص الحالات'!$G$2:$G$1001=6)*ROW('تشخيص الحالات'!$B$2:$B$1001))-1),""),"")&amp;IF(SUMPRODUCT(('تشخيص الحالات'!$B$2:$B$1001=B749)*('تشخيص الحالات'!$G$2:$G$1001=7))&gt;0,"، "&amp;IFERROR(INDEX('تشخيص الحالات'!$D$2:$D$1001,SUMPRODUCT(('تشخيص الحالات'!$B$2:$B$1001=B749)*('تشخيص الحالات'!$G$2:$G$1001=7)*ROW('تشخيص الحالات'!$B$2:$B$1001))-1),""),"")&amp;IF(SUMPRODUCT(('تشخيص الحالات'!$B$2:$B$1001=B749)*('تشخيص الحالات'!$G$2:$G$1001=8))&gt;0,"، "&amp;IFERROR(INDEX('تشخيص الحالات'!$D$2:$D$1001,SUMPRODUCT(('تشخيص الحالات'!$B$2:$B$1001=B749)*('تشخيص الحالات'!$G$2:$G$1001=8)*ROW('تشخيص الحالات'!$B$2:$B$1001))-1),""),"")</f>
        <v/>
      </c>
      <c r="J749" s="1"/>
      <c r="K749" s="1"/>
      <c r="L749" s="1"/>
      <c r="M749" s="1"/>
    </row>
    <row r="750" spans="1:13" x14ac:dyDescent="0.2">
      <c r="A750" s="1"/>
      <c r="B750" s="1"/>
      <c r="C750" s="1"/>
      <c r="D750" s="1"/>
      <c r="E750" s="1"/>
      <c r="F750" s="1"/>
      <c r="G750" s="1"/>
      <c r="H750" s="1"/>
      <c r="I750" t="str">
        <f>IFERROR(INDEX('تشخيص الحالات'!$D$2:$D$1001,SUMPRODUCT(('تشخيص الحالات'!$B$2:$B$1001=B750)*('تشخيص الحالات'!$G$2:$G$1001=1)*ROW('تشخيص الحالات'!$B$2:$B$1001))-1),"")&amp;IF(SUMPRODUCT(('تشخيص الحالات'!$B$2:$B$1001=B750)*('تشخيص الحالات'!$G$2:$G$1001=2))&gt;0,"، "&amp;IFERROR(INDEX('تشخيص الحالات'!$D$2:$D$1001,SUMPRODUCT(('تشخيص الحالات'!$B$2:$B$1001=B750)*('تشخيص الحالات'!$G$2:$G$1001=2)*ROW('تشخيص الحالات'!$B$2:$B$1001))-1),""),"")&amp;IF(SUMPRODUCT(('تشخيص الحالات'!$B$2:$B$1001=B750)*('تشخيص الحالات'!$G$2:$G$1001=3))&gt;0,"، "&amp;IFERROR(INDEX('تشخيص الحالات'!$D$2:$D$1001,SUMPRODUCT(('تشخيص الحالات'!$B$2:$B$1001=B750)*('تشخيص الحالات'!$G$2:$G$1001=3)*ROW('تشخيص الحالات'!$B$2:$B$1001))-1),""),"")&amp;IF(SUMPRODUCT(('تشخيص الحالات'!$B$2:$B$1001=B750)*('تشخيص الحالات'!$G$2:$G$1001=4))&gt;0,"، "&amp;IFERROR(INDEX('تشخيص الحالات'!$D$2:$D$1001,SUMPRODUCT(('تشخيص الحالات'!$B$2:$B$1001=B750)*('تشخيص الحالات'!$G$2:$G$1001=4)*ROW('تشخيص الحالات'!$B$2:$B$1001))-1),""),"")&amp;IF(SUMPRODUCT(('تشخيص الحالات'!$B$2:$B$1001=B750)*('تشخيص الحالات'!$G$2:$G$1001=5))&gt;0,"، "&amp;IFERROR(INDEX('تشخيص الحالات'!$D$2:$D$1001,SUMPRODUCT(('تشخيص الحالات'!$B$2:$B$1001=B750)*('تشخيص الحالات'!$G$2:$G$1001=5)*ROW('تشخيص الحالات'!$B$2:$B$1001))-1),""),"")&amp;IF(SUMPRODUCT(('تشخيص الحالات'!$B$2:$B$1001=B750)*('تشخيص الحالات'!$G$2:$G$1001=6))&gt;0,"، "&amp;IFERROR(INDEX('تشخيص الحالات'!$D$2:$D$1001,SUMPRODUCT(('تشخيص الحالات'!$B$2:$B$1001=B750)*('تشخيص الحالات'!$G$2:$G$1001=6)*ROW('تشخيص الحالات'!$B$2:$B$1001))-1),""),"")&amp;IF(SUMPRODUCT(('تشخيص الحالات'!$B$2:$B$1001=B750)*('تشخيص الحالات'!$G$2:$G$1001=7))&gt;0,"، "&amp;IFERROR(INDEX('تشخيص الحالات'!$D$2:$D$1001,SUMPRODUCT(('تشخيص الحالات'!$B$2:$B$1001=B750)*('تشخيص الحالات'!$G$2:$G$1001=7)*ROW('تشخيص الحالات'!$B$2:$B$1001))-1),""),"")&amp;IF(SUMPRODUCT(('تشخيص الحالات'!$B$2:$B$1001=B750)*('تشخيص الحالات'!$G$2:$G$1001=8))&gt;0,"، "&amp;IFERROR(INDEX('تشخيص الحالات'!$D$2:$D$1001,SUMPRODUCT(('تشخيص الحالات'!$B$2:$B$1001=B750)*('تشخيص الحالات'!$G$2:$G$1001=8)*ROW('تشخيص الحالات'!$B$2:$B$1001))-1),""),"")</f>
        <v/>
      </c>
      <c r="J750" s="1"/>
      <c r="K750" s="1"/>
      <c r="L750" s="1"/>
      <c r="M750" s="1"/>
    </row>
    <row r="751" spans="1:13" x14ac:dyDescent="0.2">
      <c r="A751" s="1"/>
      <c r="B751" s="1"/>
      <c r="C751" s="1"/>
      <c r="D751" s="1"/>
      <c r="E751" s="1"/>
      <c r="F751" s="1"/>
      <c r="G751" s="1"/>
      <c r="H751" s="1"/>
      <c r="I751" t="str">
        <f>IFERROR(INDEX('تشخيص الحالات'!$D$2:$D$1001,SUMPRODUCT(('تشخيص الحالات'!$B$2:$B$1001=B751)*('تشخيص الحالات'!$G$2:$G$1001=1)*ROW('تشخيص الحالات'!$B$2:$B$1001))-1),"")&amp;IF(SUMPRODUCT(('تشخيص الحالات'!$B$2:$B$1001=B751)*('تشخيص الحالات'!$G$2:$G$1001=2))&gt;0,"، "&amp;IFERROR(INDEX('تشخيص الحالات'!$D$2:$D$1001,SUMPRODUCT(('تشخيص الحالات'!$B$2:$B$1001=B751)*('تشخيص الحالات'!$G$2:$G$1001=2)*ROW('تشخيص الحالات'!$B$2:$B$1001))-1),""),"")&amp;IF(SUMPRODUCT(('تشخيص الحالات'!$B$2:$B$1001=B751)*('تشخيص الحالات'!$G$2:$G$1001=3))&gt;0,"، "&amp;IFERROR(INDEX('تشخيص الحالات'!$D$2:$D$1001,SUMPRODUCT(('تشخيص الحالات'!$B$2:$B$1001=B751)*('تشخيص الحالات'!$G$2:$G$1001=3)*ROW('تشخيص الحالات'!$B$2:$B$1001))-1),""),"")&amp;IF(SUMPRODUCT(('تشخيص الحالات'!$B$2:$B$1001=B751)*('تشخيص الحالات'!$G$2:$G$1001=4))&gt;0,"، "&amp;IFERROR(INDEX('تشخيص الحالات'!$D$2:$D$1001,SUMPRODUCT(('تشخيص الحالات'!$B$2:$B$1001=B751)*('تشخيص الحالات'!$G$2:$G$1001=4)*ROW('تشخيص الحالات'!$B$2:$B$1001))-1),""),"")&amp;IF(SUMPRODUCT(('تشخيص الحالات'!$B$2:$B$1001=B751)*('تشخيص الحالات'!$G$2:$G$1001=5))&gt;0,"، "&amp;IFERROR(INDEX('تشخيص الحالات'!$D$2:$D$1001,SUMPRODUCT(('تشخيص الحالات'!$B$2:$B$1001=B751)*('تشخيص الحالات'!$G$2:$G$1001=5)*ROW('تشخيص الحالات'!$B$2:$B$1001))-1),""),"")&amp;IF(SUMPRODUCT(('تشخيص الحالات'!$B$2:$B$1001=B751)*('تشخيص الحالات'!$G$2:$G$1001=6))&gt;0,"، "&amp;IFERROR(INDEX('تشخيص الحالات'!$D$2:$D$1001,SUMPRODUCT(('تشخيص الحالات'!$B$2:$B$1001=B751)*('تشخيص الحالات'!$G$2:$G$1001=6)*ROW('تشخيص الحالات'!$B$2:$B$1001))-1),""),"")&amp;IF(SUMPRODUCT(('تشخيص الحالات'!$B$2:$B$1001=B751)*('تشخيص الحالات'!$G$2:$G$1001=7))&gt;0,"، "&amp;IFERROR(INDEX('تشخيص الحالات'!$D$2:$D$1001,SUMPRODUCT(('تشخيص الحالات'!$B$2:$B$1001=B751)*('تشخيص الحالات'!$G$2:$G$1001=7)*ROW('تشخيص الحالات'!$B$2:$B$1001))-1),""),"")&amp;IF(SUMPRODUCT(('تشخيص الحالات'!$B$2:$B$1001=B751)*('تشخيص الحالات'!$G$2:$G$1001=8))&gt;0,"، "&amp;IFERROR(INDEX('تشخيص الحالات'!$D$2:$D$1001,SUMPRODUCT(('تشخيص الحالات'!$B$2:$B$1001=B751)*('تشخيص الحالات'!$G$2:$G$1001=8)*ROW('تشخيص الحالات'!$B$2:$B$1001))-1),""),"")</f>
        <v/>
      </c>
      <c r="J751" s="1"/>
      <c r="K751" s="1"/>
      <c r="L751" s="1"/>
      <c r="M751" s="1"/>
    </row>
    <row r="752" spans="1:13" x14ac:dyDescent="0.2">
      <c r="A752" s="1"/>
      <c r="B752" s="1"/>
      <c r="C752" s="1"/>
      <c r="D752" s="1"/>
      <c r="E752" s="1"/>
      <c r="F752" s="1"/>
      <c r="G752" s="1"/>
      <c r="H752" s="1"/>
      <c r="I752" t="str">
        <f>IFERROR(INDEX('تشخيص الحالات'!$D$2:$D$1001,SUMPRODUCT(('تشخيص الحالات'!$B$2:$B$1001=B752)*('تشخيص الحالات'!$G$2:$G$1001=1)*ROW('تشخيص الحالات'!$B$2:$B$1001))-1),"")&amp;IF(SUMPRODUCT(('تشخيص الحالات'!$B$2:$B$1001=B752)*('تشخيص الحالات'!$G$2:$G$1001=2))&gt;0,"، "&amp;IFERROR(INDEX('تشخيص الحالات'!$D$2:$D$1001,SUMPRODUCT(('تشخيص الحالات'!$B$2:$B$1001=B752)*('تشخيص الحالات'!$G$2:$G$1001=2)*ROW('تشخيص الحالات'!$B$2:$B$1001))-1),""),"")&amp;IF(SUMPRODUCT(('تشخيص الحالات'!$B$2:$B$1001=B752)*('تشخيص الحالات'!$G$2:$G$1001=3))&gt;0,"، "&amp;IFERROR(INDEX('تشخيص الحالات'!$D$2:$D$1001,SUMPRODUCT(('تشخيص الحالات'!$B$2:$B$1001=B752)*('تشخيص الحالات'!$G$2:$G$1001=3)*ROW('تشخيص الحالات'!$B$2:$B$1001))-1),""),"")&amp;IF(SUMPRODUCT(('تشخيص الحالات'!$B$2:$B$1001=B752)*('تشخيص الحالات'!$G$2:$G$1001=4))&gt;0,"، "&amp;IFERROR(INDEX('تشخيص الحالات'!$D$2:$D$1001,SUMPRODUCT(('تشخيص الحالات'!$B$2:$B$1001=B752)*('تشخيص الحالات'!$G$2:$G$1001=4)*ROW('تشخيص الحالات'!$B$2:$B$1001))-1),""),"")&amp;IF(SUMPRODUCT(('تشخيص الحالات'!$B$2:$B$1001=B752)*('تشخيص الحالات'!$G$2:$G$1001=5))&gt;0,"، "&amp;IFERROR(INDEX('تشخيص الحالات'!$D$2:$D$1001,SUMPRODUCT(('تشخيص الحالات'!$B$2:$B$1001=B752)*('تشخيص الحالات'!$G$2:$G$1001=5)*ROW('تشخيص الحالات'!$B$2:$B$1001))-1),""),"")&amp;IF(SUMPRODUCT(('تشخيص الحالات'!$B$2:$B$1001=B752)*('تشخيص الحالات'!$G$2:$G$1001=6))&gt;0,"، "&amp;IFERROR(INDEX('تشخيص الحالات'!$D$2:$D$1001,SUMPRODUCT(('تشخيص الحالات'!$B$2:$B$1001=B752)*('تشخيص الحالات'!$G$2:$G$1001=6)*ROW('تشخيص الحالات'!$B$2:$B$1001))-1),""),"")&amp;IF(SUMPRODUCT(('تشخيص الحالات'!$B$2:$B$1001=B752)*('تشخيص الحالات'!$G$2:$G$1001=7))&gt;0,"، "&amp;IFERROR(INDEX('تشخيص الحالات'!$D$2:$D$1001,SUMPRODUCT(('تشخيص الحالات'!$B$2:$B$1001=B752)*('تشخيص الحالات'!$G$2:$G$1001=7)*ROW('تشخيص الحالات'!$B$2:$B$1001))-1),""),"")&amp;IF(SUMPRODUCT(('تشخيص الحالات'!$B$2:$B$1001=B752)*('تشخيص الحالات'!$G$2:$G$1001=8))&gt;0,"، "&amp;IFERROR(INDEX('تشخيص الحالات'!$D$2:$D$1001,SUMPRODUCT(('تشخيص الحالات'!$B$2:$B$1001=B752)*('تشخيص الحالات'!$G$2:$G$1001=8)*ROW('تشخيص الحالات'!$B$2:$B$1001))-1),""),"")</f>
        <v/>
      </c>
      <c r="J752" s="1"/>
      <c r="K752" s="1"/>
      <c r="L752" s="1"/>
      <c r="M752" s="1"/>
    </row>
    <row r="753" spans="1:13" x14ac:dyDescent="0.2">
      <c r="A753" s="1"/>
      <c r="B753" s="1"/>
      <c r="C753" s="1"/>
      <c r="D753" s="1"/>
      <c r="E753" s="1"/>
      <c r="F753" s="1"/>
      <c r="G753" s="1"/>
      <c r="H753" s="1"/>
      <c r="I753" t="str">
        <f>IFERROR(INDEX('تشخيص الحالات'!$D$2:$D$1001,SUMPRODUCT(('تشخيص الحالات'!$B$2:$B$1001=B753)*('تشخيص الحالات'!$G$2:$G$1001=1)*ROW('تشخيص الحالات'!$B$2:$B$1001))-1),"")&amp;IF(SUMPRODUCT(('تشخيص الحالات'!$B$2:$B$1001=B753)*('تشخيص الحالات'!$G$2:$G$1001=2))&gt;0,"، "&amp;IFERROR(INDEX('تشخيص الحالات'!$D$2:$D$1001,SUMPRODUCT(('تشخيص الحالات'!$B$2:$B$1001=B753)*('تشخيص الحالات'!$G$2:$G$1001=2)*ROW('تشخيص الحالات'!$B$2:$B$1001))-1),""),"")&amp;IF(SUMPRODUCT(('تشخيص الحالات'!$B$2:$B$1001=B753)*('تشخيص الحالات'!$G$2:$G$1001=3))&gt;0,"، "&amp;IFERROR(INDEX('تشخيص الحالات'!$D$2:$D$1001,SUMPRODUCT(('تشخيص الحالات'!$B$2:$B$1001=B753)*('تشخيص الحالات'!$G$2:$G$1001=3)*ROW('تشخيص الحالات'!$B$2:$B$1001))-1),""),"")&amp;IF(SUMPRODUCT(('تشخيص الحالات'!$B$2:$B$1001=B753)*('تشخيص الحالات'!$G$2:$G$1001=4))&gt;0,"، "&amp;IFERROR(INDEX('تشخيص الحالات'!$D$2:$D$1001,SUMPRODUCT(('تشخيص الحالات'!$B$2:$B$1001=B753)*('تشخيص الحالات'!$G$2:$G$1001=4)*ROW('تشخيص الحالات'!$B$2:$B$1001))-1),""),"")&amp;IF(SUMPRODUCT(('تشخيص الحالات'!$B$2:$B$1001=B753)*('تشخيص الحالات'!$G$2:$G$1001=5))&gt;0,"، "&amp;IFERROR(INDEX('تشخيص الحالات'!$D$2:$D$1001,SUMPRODUCT(('تشخيص الحالات'!$B$2:$B$1001=B753)*('تشخيص الحالات'!$G$2:$G$1001=5)*ROW('تشخيص الحالات'!$B$2:$B$1001))-1),""),"")&amp;IF(SUMPRODUCT(('تشخيص الحالات'!$B$2:$B$1001=B753)*('تشخيص الحالات'!$G$2:$G$1001=6))&gt;0,"، "&amp;IFERROR(INDEX('تشخيص الحالات'!$D$2:$D$1001,SUMPRODUCT(('تشخيص الحالات'!$B$2:$B$1001=B753)*('تشخيص الحالات'!$G$2:$G$1001=6)*ROW('تشخيص الحالات'!$B$2:$B$1001))-1),""),"")&amp;IF(SUMPRODUCT(('تشخيص الحالات'!$B$2:$B$1001=B753)*('تشخيص الحالات'!$G$2:$G$1001=7))&gt;0,"، "&amp;IFERROR(INDEX('تشخيص الحالات'!$D$2:$D$1001,SUMPRODUCT(('تشخيص الحالات'!$B$2:$B$1001=B753)*('تشخيص الحالات'!$G$2:$G$1001=7)*ROW('تشخيص الحالات'!$B$2:$B$1001))-1),""),"")&amp;IF(SUMPRODUCT(('تشخيص الحالات'!$B$2:$B$1001=B753)*('تشخيص الحالات'!$G$2:$G$1001=8))&gt;0,"، "&amp;IFERROR(INDEX('تشخيص الحالات'!$D$2:$D$1001,SUMPRODUCT(('تشخيص الحالات'!$B$2:$B$1001=B753)*('تشخيص الحالات'!$G$2:$G$1001=8)*ROW('تشخيص الحالات'!$B$2:$B$1001))-1),""),"")</f>
        <v/>
      </c>
      <c r="J753" s="1"/>
      <c r="K753" s="1"/>
      <c r="L753" s="1"/>
      <c r="M753" s="1"/>
    </row>
    <row r="754" spans="1:13" x14ac:dyDescent="0.2">
      <c r="A754" s="1"/>
      <c r="B754" s="1"/>
      <c r="C754" s="1"/>
      <c r="D754" s="1"/>
      <c r="E754" s="1"/>
      <c r="F754" s="1"/>
      <c r="G754" s="1"/>
      <c r="H754" s="1"/>
      <c r="I754" t="str">
        <f>IFERROR(INDEX('تشخيص الحالات'!$D$2:$D$1001,SUMPRODUCT(('تشخيص الحالات'!$B$2:$B$1001=B754)*('تشخيص الحالات'!$G$2:$G$1001=1)*ROW('تشخيص الحالات'!$B$2:$B$1001))-1),"")&amp;IF(SUMPRODUCT(('تشخيص الحالات'!$B$2:$B$1001=B754)*('تشخيص الحالات'!$G$2:$G$1001=2))&gt;0,"، "&amp;IFERROR(INDEX('تشخيص الحالات'!$D$2:$D$1001,SUMPRODUCT(('تشخيص الحالات'!$B$2:$B$1001=B754)*('تشخيص الحالات'!$G$2:$G$1001=2)*ROW('تشخيص الحالات'!$B$2:$B$1001))-1),""),"")&amp;IF(SUMPRODUCT(('تشخيص الحالات'!$B$2:$B$1001=B754)*('تشخيص الحالات'!$G$2:$G$1001=3))&gt;0,"، "&amp;IFERROR(INDEX('تشخيص الحالات'!$D$2:$D$1001,SUMPRODUCT(('تشخيص الحالات'!$B$2:$B$1001=B754)*('تشخيص الحالات'!$G$2:$G$1001=3)*ROW('تشخيص الحالات'!$B$2:$B$1001))-1),""),"")&amp;IF(SUMPRODUCT(('تشخيص الحالات'!$B$2:$B$1001=B754)*('تشخيص الحالات'!$G$2:$G$1001=4))&gt;0,"، "&amp;IFERROR(INDEX('تشخيص الحالات'!$D$2:$D$1001,SUMPRODUCT(('تشخيص الحالات'!$B$2:$B$1001=B754)*('تشخيص الحالات'!$G$2:$G$1001=4)*ROW('تشخيص الحالات'!$B$2:$B$1001))-1),""),"")&amp;IF(SUMPRODUCT(('تشخيص الحالات'!$B$2:$B$1001=B754)*('تشخيص الحالات'!$G$2:$G$1001=5))&gt;0,"، "&amp;IFERROR(INDEX('تشخيص الحالات'!$D$2:$D$1001,SUMPRODUCT(('تشخيص الحالات'!$B$2:$B$1001=B754)*('تشخيص الحالات'!$G$2:$G$1001=5)*ROW('تشخيص الحالات'!$B$2:$B$1001))-1),""),"")&amp;IF(SUMPRODUCT(('تشخيص الحالات'!$B$2:$B$1001=B754)*('تشخيص الحالات'!$G$2:$G$1001=6))&gt;0,"، "&amp;IFERROR(INDEX('تشخيص الحالات'!$D$2:$D$1001,SUMPRODUCT(('تشخيص الحالات'!$B$2:$B$1001=B754)*('تشخيص الحالات'!$G$2:$G$1001=6)*ROW('تشخيص الحالات'!$B$2:$B$1001))-1),""),"")&amp;IF(SUMPRODUCT(('تشخيص الحالات'!$B$2:$B$1001=B754)*('تشخيص الحالات'!$G$2:$G$1001=7))&gt;0,"، "&amp;IFERROR(INDEX('تشخيص الحالات'!$D$2:$D$1001,SUMPRODUCT(('تشخيص الحالات'!$B$2:$B$1001=B754)*('تشخيص الحالات'!$G$2:$G$1001=7)*ROW('تشخيص الحالات'!$B$2:$B$1001))-1),""),"")&amp;IF(SUMPRODUCT(('تشخيص الحالات'!$B$2:$B$1001=B754)*('تشخيص الحالات'!$G$2:$G$1001=8))&gt;0,"، "&amp;IFERROR(INDEX('تشخيص الحالات'!$D$2:$D$1001,SUMPRODUCT(('تشخيص الحالات'!$B$2:$B$1001=B754)*('تشخيص الحالات'!$G$2:$G$1001=8)*ROW('تشخيص الحالات'!$B$2:$B$1001))-1),""),"")</f>
        <v/>
      </c>
      <c r="J754" s="1"/>
      <c r="K754" s="1"/>
      <c r="L754" s="1"/>
      <c r="M754" s="1"/>
    </row>
    <row r="755" spans="1:13" x14ac:dyDescent="0.2">
      <c r="A755" s="1"/>
      <c r="B755" s="1"/>
      <c r="C755" s="1"/>
      <c r="D755" s="1"/>
      <c r="E755" s="1"/>
      <c r="F755" s="1"/>
      <c r="G755" s="1"/>
      <c r="H755" s="1"/>
      <c r="I755" t="str">
        <f>IFERROR(INDEX('تشخيص الحالات'!$D$2:$D$1001,SUMPRODUCT(('تشخيص الحالات'!$B$2:$B$1001=B755)*('تشخيص الحالات'!$G$2:$G$1001=1)*ROW('تشخيص الحالات'!$B$2:$B$1001))-1),"")&amp;IF(SUMPRODUCT(('تشخيص الحالات'!$B$2:$B$1001=B755)*('تشخيص الحالات'!$G$2:$G$1001=2))&gt;0,"، "&amp;IFERROR(INDEX('تشخيص الحالات'!$D$2:$D$1001,SUMPRODUCT(('تشخيص الحالات'!$B$2:$B$1001=B755)*('تشخيص الحالات'!$G$2:$G$1001=2)*ROW('تشخيص الحالات'!$B$2:$B$1001))-1),""),"")&amp;IF(SUMPRODUCT(('تشخيص الحالات'!$B$2:$B$1001=B755)*('تشخيص الحالات'!$G$2:$G$1001=3))&gt;0,"، "&amp;IFERROR(INDEX('تشخيص الحالات'!$D$2:$D$1001,SUMPRODUCT(('تشخيص الحالات'!$B$2:$B$1001=B755)*('تشخيص الحالات'!$G$2:$G$1001=3)*ROW('تشخيص الحالات'!$B$2:$B$1001))-1),""),"")&amp;IF(SUMPRODUCT(('تشخيص الحالات'!$B$2:$B$1001=B755)*('تشخيص الحالات'!$G$2:$G$1001=4))&gt;0,"، "&amp;IFERROR(INDEX('تشخيص الحالات'!$D$2:$D$1001,SUMPRODUCT(('تشخيص الحالات'!$B$2:$B$1001=B755)*('تشخيص الحالات'!$G$2:$G$1001=4)*ROW('تشخيص الحالات'!$B$2:$B$1001))-1),""),"")&amp;IF(SUMPRODUCT(('تشخيص الحالات'!$B$2:$B$1001=B755)*('تشخيص الحالات'!$G$2:$G$1001=5))&gt;0,"، "&amp;IFERROR(INDEX('تشخيص الحالات'!$D$2:$D$1001,SUMPRODUCT(('تشخيص الحالات'!$B$2:$B$1001=B755)*('تشخيص الحالات'!$G$2:$G$1001=5)*ROW('تشخيص الحالات'!$B$2:$B$1001))-1),""),"")&amp;IF(SUMPRODUCT(('تشخيص الحالات'!$B$2:$B$1001=B755)*('تشخيص الحالات'!$G$2:$G$1001=6))&gt;0,"، "&amp;IFERROR(INDEX('تشخيص الحالات'!$D$2:$D$1001,SUMPRODUCT(('تشخيص الحالات'!$B$2:$B$1001=B755)*('تشخيص الحالات'!$G$2:$G$1001=6)*ROW('تشخيص الحالات'!$B$2:$B$1001))-1),""),"")&amp;IF(SUMPRODUCT(('تشخيص الحالات'!$B$2:$B$1001=B755)*('تشخيص الحالات'!$G$2:$G$1001=7))&gt;0,"، "&amp;IFERROR(INDEX('تشخيص الحالات'!$D$2:$D$1001,SUMPRODUCT(('تشخيص الحالات'!$B$2:$B$1001=B755)*('تشخيص الحالات'!$G$2:$G$1001=7)*ROW('تشخيص الحالات'!$B$2:$B$1001))-1),""),"")&amp;IF(SUMPRODUCT(('تشخيص الحالات'!$B$2:$B$1001=B755)*('تشخيص الحالات'!$G$2:$G$1001=8))&gt;0,"، "&amp;IFERROR(INDEX('تشخيص الحالات'!$D$2:$D$1001,SUMPRODUCT(('تشخيص الحالات'!$B$2:$B$1001=B755)*('تشخيص الحالات'!$G$2:$G$1001=8)*ROW('تشخيص الحالات'!$B$2:$B$1001))-1),""),"")</f>
        <v/>
      </c>
      <c r="J755" s="1"/>
      <c r="K755" s="1"/>
      <c r="L755" s="1"/>
      <c r="M755" s="1"/>
    </row>
    <row r="756" spans="1:13" x14ac:dyDescent="0.2">
      <c r="A756" s="1"/>
      <c r="B756" s="1"/>
      <c r="C756" s="1"/>
      <c r="D756" s="1"/>
      <c r="E756" s="1"/>
      <c r="F756" s="1"/>
      <c r="G756" s="1"/>
      <c r="H756" s="1"/>
      <c r="I756" t="str">
        <f>IFERROR(INDEX('تشخيص الحالات'!$D$2:$D$1001,SUMPRODUCT(('تشخيص الحالات'!$B$2:$B$1001=B756)*('تشخيص الحالات'!$G$2:$G$1001=1)*ROW('تشخيص الحالات'!$B$2:$B$1001))-1),"")&amp;IF(SUMPRODUCT(('تشخيص الحالات'!$B$2:$B$1001=B756)*('تشخيص الحالات'!$G$2:$G$1001=2))&gt;0,"، "&amp;IFERROR(INDEX('تشخيص الحالات'!$D$2:$D$1001,SUMPRODUCT(('تشخيص الحالات'!$B$2:$B$1001=B756)*('تشخيص الحالات'!$G$2:$G$1001=2)*ROW('تشخيص الحالات'!$B$2:$B$1001))-1),""),"")&amp;IF(SUMPRODUCT(('تشخيص الحالات'!$B$2:$B$1001=B756)*('تشخيص الحالات'!$G$2:$G$1001=3))&gt;0,"، "&amp;IFERROR(INDEX('تشخيص الحالات'!$D$2:$D$1001,SUMPRODUCT(('تشخيص الحالات'!$B$2:$B$1001=B756)*('تشخيص الحالات'!$G$2:$G$1001=3)*ROW('تشخيص الحالات'!$B$2:$B$1001))-1),""),"")&amp;IF(SUMPRODUCT(('تشخيص الحالات'!$B$2:$B$1001=B756)*('تشخيص الحالات'!$G$2:$G$1001=4))&gt;0,"، "&amp;IFERROR(INDEX('تشخيص الحالات'!$D$2:$D$1001,SUMPRODUCT(('تشخيص الحالات'!$B$2:$B$1001=B756)*('تشخيص الحالات'!$G$2:$G$1001=4)*ROW('تشخيص الحالات'!$B$2:$B$1001))-1),""),"")&amp;IF(SUMPRODUCT(('تشخيص الحالات'!$B$2:$B$1001=B756)*('تشخيص الحالات'!$G$2:$G$1001=5))&gt;0,"، "&amp;IFERROR(INDEX('تشخيص الحالات'!$D$2:$D$1001,SUMPRODUCT(('تشخيص الحالات'!$B$2:$B$1001=B756)*('تشخيص الحالات'!$G$2:$G$1001=5)*ROW('تشخيص الحالات'!$B$2:$B$1001))-1),""),"")&amp;IF(SUMPRODUCT(('تشخيص الحالات'!$B$2:$B$1001=B756)*('تشخيص الحالات'!$G$2:$G$1001=6))&gt;0,"، "&amp;IFERROR(INDEX('تشخيص الحالات'!$D$2:$D$1001,SUMPRODUCT(('تشخيص الحالات'!$B$2:$B$1001=B756)*('تشخيص الحالات'!$G$2:$G$1001=6)*ROW('تشخيص الحالات'!$B$2:$B$1001))-1),""),"")&amp;IF(SUMPRODUCT(('تشخيص الحالات'!$B$2:$B$1001=B756)*('تشخيص الحالات'!$G$2:$G$1001=7))&gt;0,"، "&amp;IFERROR(INDEX('تشخيص الحالات'!$D$2:$D$1001,SUMPRODUCT(('تشخيص الحالات'!$B$2:$B$1001=B756)*('تشخيص الحالات'!$G$2:$G$1001=7)*ROW('تشخيص الحالات'!$B$2:$B$1001))-1),""),"")&amp;IF(SUMPRODUCT(('تشخيص الحالات'!$B$2:$B$1001=B756)*('تشخيص الحالات'!$G$2:$G$1001=8))&gt;0,"، "&amp;IFERROR(INDEX('تشخيص الحالات'!$D$2:$D$1001,SUMPRODUCT(('تشخيص الحالات'!$B$2:$B$1001=B756)*('تشخيص الحالات'!$G$2:$G$1001=8)*ROW('تشخيص الحالات'!$B$2:$B$1001))-1),""),"")</f>
        <v/>
      </c>
      <c r="J756" s="1"/>
      <c r="K756" s="1"/>
      <c r="L756" s="1"/>
      <c r="M756" s="1"/>
    </row>
    <row r="757" spans="1:13" x14ac:dyDescent="0.2">
      <c r="A757" s="1"/>
      <c r="B757" s="1"/>
      <c r="C757" s="1"/>
      <c r="D757" s="1"/>
      <c r="E757" s="1"/>
      <c r="F757" s="1"/>
      <c r="G757" s="1"/>
      <c r="H757" s="1"/>
      <c r="I757" t="str">
        <f>IFERROR(INDEX('تشخيص الحالات'!$D$2:$D$1001,SUMPRODUCT(('تشخيص الحالات'!$B$2:$B$1001=B757)*('تشخيص الحالات'!$G$2:$G$1001=1)*ROW('تشخيص الحالات'!$B$2:$B$1001))-1),"")&amp;IF(SUMPRODUCT(('تشخيص الحالات'!$B$2:$B$1001=B757)*('تشخيص الحالات'!$G$2:$G$1001=2))&gt;0,"، "&amp;IFERROR(INDEX('تشخيص الحالات'!$D$2:$D$1001,SUMPRODUCT(('تشخيص الحالات'!$B$2:$B$1001=B757)*('تشخيص الحالات'!$G$2:$G$1001=2)*ROW('تشخيص الحالات'!$B$2:$B$1001))-1),""),"")&amp;IF(SUMPRODUCT(('تشخيص الحالات'!$B$2:$B$1001=B757)*('تشخيص الحالات'!$G$2:$G$1001=3))&gt;0,"، "&amp;IFERROR(INDEX('تشخيص الحالات'!$D$2:$D$1001,SUMPRODUCT(('تشخيص الحالات'!$B$2:$B$1001=B757)*('تشخيص الحالات'!$G$2:$G$1001=3)*ROW('تشخيص الحالات'!$B$2:$B$1001))-1),""),"")&amp;IF(SUMPRODUCT(('تشخيص الحالات'!$B$2:$B$1001=B757)*('تشخيص الحالات'!$G$2:$G$1001=4))&gt;0,"، "&amp;IFERROR(INDEX('تشخيص الحالات'!$D$2:$D$1001,SUMPRODUCT(('تشخيص الحالات'!$B$2:$B$1001=B757)*('تشخيص الحالات'!$G$2:$G$1001=4)*ROW('تشخيص الحالات'!$B$2:$B$1001))-1),""),"")&amp;IF(SUMPRODUCT(('تشخيص الحالات'!$B$2:$B$1001=B757)*('تشخيص الحالات'!$G$2:$G$1001=5))&gt;0,"، "&amp;IFERROR(INDEX('تشخيص الحالات'!$D$2:$D$1001,SUMPRODUCT(('تشخيص الحالات'!$B$2:$B$1001=B757)*('تشخيص الحالات'!$G$2:$G$1001=5)*ROW('تشخيص الحالات'!$B$2:$B$1001))-1),""),"")&amp;IF(SUMPRODUCT(('تشخيص الحالات'!$B$2:$B$1001=B757)*('تشخيص الحالات'!$G$2:$G$1001=6))&gt;0,"، "&amp;IFERROR(INDEX('تشخيص الحالات'!$D$2:$D$1001,SUMPRODUCT(('تشخيص الحالات'!$B$2:$B$1001=B757)*('تشخيص الحالات'!$G$2:$G$1001=6)*ROW('تشخيص الحالات'!$B$2:$B$1001))-1),""),"")&amp;IF(SUMPRODUCT(('تشخيص الحالات'!$B$2:$B$1001=B757)*('تشخيص الحالات'!$G$2:$G$1001=7))&gt;0,"، "&amp;IFERROR(INDEX('تشخيص الحالات'!$D$2:$D$1001,SUMPRODUCT(('تشخيص الحالات'!$B$2:$B$1001=B757)*('تشخيص الحالات'!$G$2:$G$1001=7)*ROW('تشخيص الحالات'!$B$2:$B$1001))-1),""),"")&amp;IF(SUMPRODUCT(('تشخيص الحالات'!$B$2:$B$1001=B757)*('تشخيص الحالات'!$G$2:$G$1001=8))&gt;0,"، "&amp;IFERROR(INDEX('تشخيص الحالات'!$D$2:$D$1001,SUMPRODUCT(('تشخيص الحالات'!$B$2:$B$1001=B757)*('تشخيص الحالات'!$G$2:$G$1001=8)*ROW('تشخيص الحالات'!$B$2:$B$1001))-1),""),"")</f>
        <v/>
      </c>
      <c r="J757" s="1"/>
      <c r="K757" s="1"/>
      <c r="L757" s="1"/>
      <c r="M757" s="1"/>
    </row>
    <row r="758" spans="1:13" x14ac:dyDescent="0.2">
      <c r="A758" s="1"/>
      <c r="B758" s="1"/>
      <c r="C758" s="1"/>
      <c r="D758" s="1"/>
      <c r="E758" s="1"/>
      <c r="F758" s="1"/>
      <c r="G758" s="1"/>
      <c r="H758" s="1"/>
      <c r="I758" t="str">
        <f>IFERROR(INDEX('تشخيص الحالات'!$D$2:$D$1001,SUMPRODUCT(('تشخيص الحالات'!$B$2:$B$1001=B758)*('تشخيص الحالات'!$G$2:$G$1001=1)*ROW('تشخيص الحالات'!$B$2:$B$1001))-1),"")&amp;IF(SUMPRODUCT(('تشخيص الحالات'!$B$2:$B$1001=B758)*('تشخيص الحالات'!$G$2:$G$1001=2))&gt;0,"، "&amp;IFERROR(INDEX('تشخيص الحالات'!$D$2:$D$1001,SUMPRODUCT(('تشخيص الحالات'!$B$2:$B$1001=B758)*('تشخيص الحالات'!$G$2:$G$1001=2)*ROW('تشخيص الحالات'!$B$2:$B$1001))-1),""),"")&amp;IF(SUMPRODUCT(('تشخيص الحالات'!$B$2:$B$1001=B758)*('تشخيص الحالات'!$G$2:$G$1001=3))&gt;0,"، "&amp;IFERROR(INDEX('تشخيص الحالات'!$D$2:$D$1001,SUMPRODUCT(('تشخيص الحالات'!$B$2:$B$1001=B758)*('تشخيص الحالات'!$G$2:$G$1001=3)*ROW('تشخيص الحالات'!$B$2:$B$1001))-1),""),"")&amp;IF(SUMPRODUCT(('تشخيص الحالات'!$B$2:$B$1001=B758)*('تشخيص الحالات'!$G$2:$G$1001=4))&gt;0,"، "&amp;IFERROR(INDEX('تشخيص الحالات'!$D$2:$D$1001,SUMPRODUCT(('تشخيص الحالات'!$B$2:$B$1001=B758)*('تشخيص الحالات'!$G$2:$G$1001=4)*ROW('تشخيص الحالات'!$B$2:$B$1001))-1),""),"")&amp;IF(SUMPRODUCT(('تشخيص الحالات'!$B$2:$B$1001=B758)*('تشخيص الحالات'!$G$2:$G$1001=5))&gt;0,"، "&amp;IFERROR(INDEX('تشخيص الحالات'!$D$2:$D$1001,SUMPRODUCT(('تشخيص الحالات'!$B$2:$B$1001=B758)*('تشخيص الحالات'!$G$2:$G$1001=5)*ROW('تشخيص الحالات'!$B$2:$B$1001))-1),""),"")&amp;IF(SUMPRODUCT(('تشخيص الحالات'!$B$2:$B$1001=B758)*('تشخيص الحالات'!$G$2:$G$1001=6))&gt;0,"، "&amp;IFERROR(INDEX('تشخيص الحالات'!$D$2:$D$1001,SUMPRODUCT(('تشخيص الحالات'!$B$2:$B$1001=B758)*('تشخيص الحالات'!$G$2:$G$1001=6)*ROW('تشخيص الحالات'!$B$2:$B$1001))-1),""),"")&amp;IF(SUMPRODUCT(('تشخيص الحالات'!$B$2:$B$1001=B758)*('تشخيص الحالات'!$G$2:$G$1001=7))&gt;0,"، "&amp;IFERROR(INDEX('تشخيص الحالات'!$D$2:$D$1001,SUMPRODUCT(('تشخيص الحالات'!$B$2:$B$1001=B758)*('تشخيص الحالات'!$G$2:$G$1001=7)*ROW('تشخيص الحالات'!$B$2:$B$1001))-1),""),"")&amp;IF(SUMPRODUCT(('تشخيص الحالات'!$B$2:$B$1001=B758)*('تشخيص الحالات'!$G$2:$G$1001=8))&gt;0,"، "&amp;IFERROR(INDEX('تشخيص الحالات'!$D$2:$D$1001,SUMPRODUCT(('تشخيص الحالات'!$B$2:$B$1001=B758)*('تشخيص الحالات'!$G$2:$G$1001=8)*ROW('تشخيص الحالات'!$B$2:$B$1001))-1),""),"")</f>
        <v/>
      </c>
      <c r="J758" s="1"/>
      <c r="K758" s="1"/>
      <c r="L758" s="1"/>
      <c r="M758" s="1"/>
    </row>
    <row r="759" spans="1:13" x14ac:dyDescent="0.2">
      <c r="A759" s="1"/>
      <c r="B759" s="1"/>
      <c r="C759" s="1"/>
      <c r="D759" s="1"/>
      <c r="E759" s="1"/>
      <c r="F759" s="1"/>
      <c r="G759" s="1"/>
      <c r="H759" s="1"/>
      <c r="I759" t="str">
        <f>IFERROR(INDEX('تشخيص الحالات'!$D$2:$D$1001,SUMPRODUCT(('تشخيص الحالات'!$B$2:$B$1001=B759)*('تشخيص الحالات'!$G$2:$G$1001=1)*ROW('تشخيص الحالات'!$B$2:$B$1001))-1),"")&amp;IF(SUMPRODUCT(('تشخيص الحالات'!$B$2:$B$1001=B759)*('تشخيص الحالات'!$G$2:$G$1001=2))&gt;0,"، "&amp;IFERROR(INDEX('تشخيص الحالات'!$D$2:$D$1001,SUMPRODUCT(('تشخيص الحالات'!$B$2:$B$1001=B759)*('تشخيص الحالات'!$G$2:$G$1001=2)*ROW('تشخيص الحالات'!$B$2:$B$1001))-1),""),"")&amp;IF(SUMPRODUCT(('تشخيص الحالات'!$B$2:$B$1001=B759)*('تشخيص الحالات'!$G$2:$G$1001=3))&gt;0,"، "&amp;IFERROR(INDEX('تشخيص الحالات'!$D$2:$D$1001,SUMPRODUCT(('تشخيص الحالات'!$B$2:$B$1001=B759)*('تشخيص الحالات'!$G$2:$G$1001=3)*ROW('تشخيص الحالات'!$B$2:$B$1001))-1),""),"")&amp;IF(SUMPRODUCT(('تشخيص الحالات'!$B$2:$B$1001=B759)*('تشخيص الحالات'!$G$2:$G$1001=4))&gt;0,"، "&amp;IFERROR(INDEX('تشخيص الحالات'!$D$2:$D$1001,SUMPRODUCT(('تشخيص الحالات'!$B$2:$B$1001=B759)*('تشخيص الحالات'!$G$2:$G$1001=4)*ROW('تشخيص الحالات'!$B$2:$B$1001))-1),""),"")&amp;IF(SUMPRODUCT(('تشخيص الحالات'!$B$2:$B$1001=B759)*('تشخيص الحالات'!$G$2:$G$1001=5))&gt;0,"، "&amp;IFERROR(INDEX('تشخيص الحالات'!$D$2:$D$1001,SUMPRODUCT(('تشخيص الحالات'!$B$2:$B$1001=B759)*('تشخيص الحالات'!$G$2:$G$1001=5)*ROW('تشخيص الحالات'!$B$2:$B$1001))-1),""),"")&amp;IF(SUMPRODUCT(('تشخيص الحالات'!$B$2:$B$1001=B759)*('تشخيص الحالات'!$G$2:$G$1001=6))&gt;0,"، "&amp;IFERROR(INDEX('تشخيص الحالات'!$D$2:$D$1001,SUMPRODUCT(('تشخيص الحالات'!$B$2:$B$1001=B759)*('تشخيص الحالات'!$G$2:$G$1001=6)*ROW('تشخيص الحالات'!$B$2:$B$1001))-1),""),"")&amp;IF(SUMPRODUCT(('تشخيص الحالات'!$B$2:$B$1001=B759)*('تشخيص الحالات'!$G$2:$G$1001=7))&gt;0,"، "&amp;IFERROR(INDEX('تشخيص الحالات'!$D$2:$D$1001,SUMPRODUCT(('تشخيص الحالات'!$B$2:$B$1001=B759)*('تشخيص الحالات'!$G$2:$G$1001=7)*ROW('تشخيص الحالات'!$B$2:$B$1001))-1),""),"")&amp;IF(SUMPRODUCT(('تشخيص الحالات'!$B$2:$B$1001=B759)*('تشخيص الحالات'!$G$2:$G$1001=8))&gt;0,"، "&amp;IFERROR(INDEX('تشخيص الحالات'!$D$2:$D$1001,SUMPRODUCT(('تشخيص الحالات'!$B$2:$B$1001=B759)*('تشخيص الحالات'!$G$2:$G$1001=8)*ROW('تشخيص الحالات'!$B$2:$B$1001))-1),""),"")</f>
        <v/>
      </c>
      <c r="J759" s="1"/>
      <c r="K759" s="1"/>
      <c r="L759" s="1"/>
      <c r="M759" s="1"/>
    </row>
    <row r="760" spans="1:13" x14ac:dyDescent="0.2">
      <c r="A760" s="1"/>
      <c r="B760" s="1"/>
      <c r="C760" s="1"/>
      <c r="D760" s="1"/>
      <c r="E760" s="1"/>
      <c r="F760" s="1"/>
      <c r="G760" s="1"/>
      <c r="H760" s="1"/>
      <c r="I760" t="str">
        <f>IFERROR(INDEX('تشخيص الحالات'!$D$2:$D$1001,SUMPRODUCT(('تشخيص الحالات'!$B$2:$B$1001=B760)*('تشخيص الحالات'!$G$2:$G$1001=1)*ROW('تشخيص الحالات'!$B$2:$B$1001))-1),"")&amp;IF(SUMPRODUCT(('تشخيص الحالات'!$B$2:$B$1001=B760)*('تشخيص الحالات'!$G$2:$G$1001=2))&gt;0,"، "&amp;IFERROR(INDEX('تشخيص الحالات'!$D$2:$D$1001,SUMPRODUCT(('تشخيص الحالات'!$B$2:$B$1001=B760)*('تشخيص الحالات'!$G$2:$G$1001=2)*ROW('تشخيص الحالات'!$B$2:$B$1001))-1),""),"")&amp;IF(SUMPRODUCT(('تشخيص الحالات'!$B$2:$B$1001=B760)*('تشخيص الحالات'!$G$2:$G$1001=3))&gt;0,"، "&amp;IFERROR(INDEX('تشخيص الحالات'!$D$2:$D$1001,SUMPRODUCT(('تشخيص الحالات'!$B$2:$B$1001=B760)*('تشخيص الحالات'!$G$2:$G$1001=3)*ROW('تشخيص الحالات'!$B$2:$B$1001))-1),""),"")&amp;IF(SUMPRODUCT(('تشخيص الحالات'!$B$2:$B$1001=B760)*('تشخيص الحالات'!$G$2:$G$1001=4))&gt;0,"، "&amp;IFERROR(INDEX('تشخيص الحالات'!$D$2:$D$1001,SUMPRODUCT(('تشخيص الحالات'!$B$2:$B$1001=B760)*('تشخيص الحالات'!$G$2:$G$1001=4)*ROW('تشخيص الحالات'!$B$2:$B$1001))-1),""),"")&amp;IF(SUMPRODUCT(('تشخيص الحالات'!$B$2:$B$1001=B760)*('تشخيص الحالات'!$G$2:$G$1001=5))&gt;0,"، "&amp;IFERROR(INDEX('تشخيص الحالات'!$D$2:$D$1001,SUMPRODUCT(('تشخيص الحالات'!$B$2:$B$1001=B760)*('تشخيص الحالات'!$G$2:$G$1001=5)*ROW('تشخيص الحالات'!$B$2:$B$1001))-1),""),"")&amp;IF(SUMPRODUCT(('تشخيص الحالات'!$B$2:$B$1001=B760)*('تشخيص الحالات'!$G$2:$G$1001=6))&gt;0,"، "&amp;IFERROR(INDEX('تشخيص الحالات'!$D$2:$D$1001,SUMPRODUCT(('تشخيص الحالات'!$B$2:$B$1001=B760)*('تشخيص الحالات'!$G$2:$G$1001=6)*ROW('تشخيص الحالات'!$B$2:$B$1001))-1),""),"")&amp;IF(SUMPRODUCT(('تشخيص الحالات'!$B$2:$B$1001=B760)*('تشخيص الحالات'!$G$2:$G$1001=7))&gt;0,"، "&amp;IFERROR(INDEX('تشخيص الحالات'!$D$2:$D$1001,SUMPRODUCT(('تشخيص الحالات'!$B$2:$B$1001=B760)*('تشخيص الحالات'!$G$2:$G$1001=7)*ROW('تشخيص الحالات'!$B$2:$B$1001))-1),""),"")&amp;IF(SUMPRODUCT(('تشخيص الحالات'!$B$2:$B$1001=B760)*('تشخيص الحالات'!$G$2:$G$1001=8))&gt;0,"، "&amp;IFERROR(INDEX('تشخيص الحالات'!$D$2:$D$1001,SUMPRODUCT(('تشخيص الحالات'!$B$2:$B$1001=B760)*('تشخيص الحالات'!$G$2:$G$1001=8)*ROW('تشخيص الحالات'!$B$2:$B$1001))-1),""),"")</f>
        <v/>
      </c>
      <c r="J760" s="1"/>
      <c r="K760" s="1"/>
      <c r="L760" s="1"/>
      <c r="M760" s="1"/>
    </row>
    <row r="761" spans="1:13" x14ac:dyDescent="0.2">
      <c r="A761" s="1"/>
      <c r="B761" s="1"/>
      <c r="C761" s="1"/>
      <c r="D761" s="1"/>
      <c r="E761" s="1"/>
      <c r="F761" s="1"/>
      <c r="G761" s="1"/>
      <c r="H761" s="1"/>
      <c r="I761" t="str">
        <f>IFERROR(INDEX('تشخيص الحالات'!$D$2:$D$1001,SUMPRODUCT(('تشخيص الحالات'!$B$2:$B$1001=B761)*('تشخيص الحالات'!$G$2:$G$1001=1)*ROW('تشخيص الحالات'!$B$2:$B$1001))-1),"")&amp;IF(SUMPRODUCT(('تشخيص الحالات'!$B$2:$B$1001=B761)*('تشخيص الحالات'!$G$2:$G$1001=2))&gt;0,"، "&amp;IFERROR(INDEX('تشخيص الحالات'!$D$2:$D$1001,SUMPRODUCT(('تشخيص الحالات'!$B$2:$B$1001=B761)*('تشخيص الحالات'!$G$2:$G$1001=2)*ROW('تشخيص الحالات'!$B$2:$B$1001))-1),""),"")&amp;IF(SUMPRODUCT(('تشخيص الحالات'!$B$2:$B$1001=B761)*('تشخيص الحالات'!$G$2:$G$1001=3))&gt;0,"، "&amp;IFERROR(INDEX('تشخيص الحالات'!$D$2:$D$1001,SUMPRODUCT(('تشخيص الحالات'!$B$2:$B$1001=B761)*('تشخيص الحالات'!$G$2:$G$1001=3)*ROW('تشخيص الحالات'!$B$2:$B$1001))-1),""),"")&amp;IF(SUMPRODUCT(('تشخيص الحالات'!$B$2:$B$1001=B761)*('تشخيص الحالات'!$G$2:$G$1001=4))&gt;0,"، "&amp;IFERROR(INDEX('تشخيص الحالات'!$D$2:$D$1001,SUMPRODUCT(('تشخيص الحالات'!$B$2:$B$1001=B761)*('تشخيص الحالات'!$G$2:$G$1001=4)*ROW('تشخيص الحالات'!$B$2:$B$1001))-1),""),"")&amp;IF(SUMPRODUCT(('تشخيص الحالات'!$B$2:$B$1001=B761)*('تشخيص الحالات'!$G$2:$G$1001=5))&gt;0,"، "&amp;IFERROR(INDEX('تشخيص الحالات'!$D$2:$D$1001,SUMPRODUCT(('تشخيص الحالات'!$B$2:$B$1001=B761)*('تشخيص الحالات'!$G$2:$G$1001=5)*ROW('تشخيص الحالات'!$B$2:$B$1001))-1),""),"")&amp;IF(SUMPRODUCT(('تشخيص الحالات'!$B$2:$B$1001=B761)*('تشخيص الحالات'!$G$2:$G$1001=6))&gt;0,"، "&amp;IFERROR(INDEX('تشخيص الحالات'!$D$2:$D$1001,SUMPRODUCT(('تشخيص الحالات'!$B$2:$B$1001=B761)*('تشخيص الحالات'!$G$2:$G$1001=6)*ROW('تشخيص الحالات'!$B$2:$B$1001))-1),""),"")&amp;IF(SUMPRODUCT(('تشخيص الحالات'!$B$2:$B$1001=B761)*('تشخيص الحالات'!$G$2:$G$1001=7))&gt;0,"، "&amp;IFERROR(INDEX('تشخيص الحالات'!$D$2:$D$1001,SUMPRODUCT(('تشخيص الحالات'!$B$2:$B$1001=B761)*('تشخيص الحالات'!$G$2:$G$1001=7)*ROW('تشخيص الحالات'!$B$2:$B$1001))-1),""),"")&amp;IF(SUMPRODUCT(('تشخيص الحالات'!$B$2:$B$1001=B761)*('تشخيص الحالات'!$G$2:$G$1001=8))&gt;0,"، "&amp;IFERROR(INDEX('تشخيص الحالات'!$D$2:$D$1001,SUMPRODUCT(('تشخيص الحالات'!$B$2:$B$1001=B761)*('تشخيص الحالات'!$G$2:$G$1001=8)*ROW('تشخيص الحالات'!$B$2:$B$1001))-1),""),"")</f>
        <v/>
      </c>
      <c r="J761" s="1"/>
      <c r="K761" s="1"/>
      <c r="L761" s="1"/>
      <c r="M761" s="1"/>
    </row>
    <row r="762" spans="1:13" x14ac:dyDescent="0.2">
      <c r="A762" s="1"/>
      <c r="B762" s="1"/>
      <c r="C762" s="1"/>
      <c r="D762" s="1"/>
      <c r="E762" s="1"/>
      <c r="F762" s="1"/>
      <c r="G762" s="1"/>
      <c r="H762" s="1"/>
      <c r="I762" t="str">
        <f>IFERROR(INDEX('تشخيص الحالات'!$D$2:$D$1001,SUMPRODUCT(('تشخيص الحالات'!$B$2:$B$1001=B762)*('تشخيص الحالات'!$G$2:$G$1001=1)*ROW('تشخيص الحالات'!$B$2:$B$1001))-1),"")&amp;IF(SUMPRODUCT(('تشخيص الحالات'!$B$2:$B$1001=B762)*('تشخيص الحالات'!$G$2:$G$1001=2))&gt;0,"، "&amp;IFERROR(INDEX('تشخيص الحالات'!$D$2:$D$1001,SUMPRODUCT(('تشخيص الحالات'!$B$2:$B$1001=B762)*('تشخيص الحالات'!$G$2:$G$1001=2)*ROW('تشخيص الحالات'!$B$2:$B$1001))-1),""),"")&amp;IF(SUMPRODUCT(('تشخيص الحالات'!$B$2:$B$1001=B762)*('تشخيص الحالات'!$G$2:$G$1001=3))&gt;0,"، "&amp;IFERROR(INDEX('تشخيص الحالات'!$D$2:$D$1001,SUMPRODUCT(('تشخيص الحالات'!$B$2:$B$1001=B762)*('تشخيص الحالات'!$G$2:$G$1001=3)*ROW('تشخيص الحالات'!$B$2:$B$1001))-1),""),"")&amp;IF(SUMPRODUCT(('تشخيص الحالات'!$B$2:$B$1001=B762)*('تشخيص الحالات'!$G$2:$G$1001=4))&gt;0,"، "&amp;IFERROR(INDEX('تشخيص الحالات'!$D$2:$D$1001,SUMPRODUCT(('تشخيص الحالات'!$B$2:$B$1001=B762)*('تشخيص الحالات'!$G$2:$G$1001=4)*ROW('تشخيص الحالات'!$B$2:$B$1001))-1),""),"")&amp;IF(SUMPRODUCT(('تشخيص الحالات'!$B$2:$B$1001=B762)*('تشخيص الحالات'!$G$2:$G$1001=5))&gt;0,"، "&amp;IFERROR(INDEX('تشخيص الحالات'!$D$2:$D$1001,SUMPRODUCT(('تشخيص الحالات'!$B$2:$B$1001=B762)*('تشخيص الحالات'!$G$2:$G$1001=5)*ROW('تشخيص الحالات'!$B$2:$B$1001))-1),""),"")&amp;IF(SUMPRODUCT(('تشخيص الحالات'!$B$2:$B$1001=B762)*('تشخيص الحالات'!$G$2:$G$1001=6))&gt;0,"، "&amp;IFERROR(INDEX('تشخيص الحالات'!$D$2:$D$1001,SUMPRODUCT(('تشخيص الحالات'!$B$2:$B$1001=B762)*('تشخيص الحالات'!$G$2:$G$1001=6)*ROW('تشخيص الحالات'!$B$2:$B$1001))-1),""),"")&amp;IF(SUMPRODUCT(('تشخيص الحالات'!$B$2:$B$1001=B762)*('تشخيص الحالات'!$G$2:$G$1001=7))&gt;0,"، "&amp;IFERROR(INDEX('تشخيص الحالات'!$D$2:$D$1001,SUMPRODUCT(('تشخيص الحالات'!$B$2:$B$1001=B762)*('تشخيص الحالات'!$G$2:$G$1001=7)*ROW('تشخيص الحالات'!$B$2:$B$1001))-1),""),"")&amp;IF(SUMPRODUCT(('تشخيص الحالات'!$B$2:$B$1001=B762)*('تشخيص الحالات'!$G$2:$G$1001=8))&gt;0,"، "&amp;IFERROR(INDEX('تشخيص الحالات'!$D$2:$D$1001,SUMPRODUCT(('تشخيص الحالات'!$B$2:$B$1001=B762)*('تشخيص الحالات'!$G$2:$G$1001=8)*ROW('تشخيص الحالات'!$B$2:$B$1001))-1),""),"")</f>
        <v/>
      </c>
      <c r="J762" s="1"/>
      <c r="K762" s="1"/>
      <c r="L762" s="1"/>
      <c r="M762" s="1"/>
    </row>
    <row r="763" spans="1:13" x14ac:dyDescent="0.2">
      <c r="A763" s="1"/>
      <c r="B763" s="1"/>
      <c r="C763" s="1"/>
      <c r="D763" s="1"/>
      <c r="E763" s="1"/>
      <c r="F763" s="1"/>
      <c r="G763" s="1"/>
      <c r="H763" s="1"/>
      <c r="I763" t="str">
        <f>IFERROR(INDEX('تشخيص الحالات'!$D$2:$D$1001,SUMPRODUCT(('تشخيص الحالات'!$B$2:$B$1001=B763)*('تشخيص الحالات'!$G$2:$G$1001=1)*ROW('تشخيص الحالات'!$B$2:$B$1001))-1),"")&amp;IF(SUMPRODUCT(('تشخيص الحالات'!$B$2:$B$1001=B763)*('تشخيص الحالات'!$G$2:$G$1001=2))&gt;0,"، "&amp;IFERROR(INDEX('تشخيص الحالات'!$D$2:$D$1001,SUMPRODUCT(('تشخيص الحالات'!$B$2:$B$1001=B763)*('تشخيص الحالات'!$G$2:$G$1001=2)*ROW('تشخيص الحالات'!$B$2:$B$1001))-1),""),"")&amp;IF(SUMPRODUCT(('تشخيص الحالات'!$B$2:$B$1001=B763)*('تشخيص الحالات'!$G$2:$G$1001=3))&gt;0,"، "&amp;IFERROR(INDEX('تشخيص الحالات'!$D$2:$D$1001,SUMPRODUCT(('تشخيص الحالات'!$B$2:$B$1001=B763)*('تشخيص الحالات'!$G$2:$G$1001=3)*ROW('تشخيص الحالات'!$B$2:$B$1001))-1),""),"")&amp;IF(SUMPRODUCT(('تشخيص الحالات'!$B$2:$B$1001=B763)*('تشخيص الحالات'!$G$2:$G$1001=4))&gt;0,"، "&amp;IFERROR(INDEX('تشخيص الحالات'!$D$2:$D$1001,SUMPRODUCT(('تشخيص الحالات'!$B$2:$B$1001=B763)*('تشخيص الحالات'!$G$2:$G$1001=4)*ROW('تشخيص الحالات'!$B$2:$B$1001))-1),""),"")&amp;IF(SUMPRODUCT(('تشخيص الحالات'!$B$2:$B$1001=B763)*('تشخيص الحالات'!$G$2:$G$1001=5))&gt;0,"، "&amp;IFERROR(INDEX('تشخيص الحالات'!$D$2:$D$1001,SUMPRODUCT(('تشخيص الحالات'!$B$2:$B$1001=B763)*('تشخيص الحالات'!$G$2:$G$1001=5)*ROW('تشخيص الحالات'!$B$2:$B$1001))-1),""),"")&amp;IF(SUMPRODUCT(('تشخيص الحالات'!$B$2:$B$1001=B763)*('تشخيص الحالات'!$G$2:$G$1001=6))&gt;0,"، "&amp;IFERROR(INDEX('تشخيص الحالات'!$D$2:$D$1001,SUMPRODUCT(('تشخيص الحالات'!$B$2:$B$1001=B763)*('تشخيص الحالات'!$G$2:$G$1001=6)*ROW('تشخيص الحالات'!$B$2:$B$1001))-1),""),"")&amp;IF(SUMPRODUCT(('تشخيص الحالات'!$B$2:$B$1001=B763)*('تشخيص الحالات'!$G$2:$G$1001=7))&gt;0,"، "&amp;IFERROR(INDEX('تشخيص الحالات'!$D$2:$D$1001,SUMPRODUCT(('تشخيص الحالات'!$B$2:$B$1001=B763)*('تشخيص الحالات'!$G$2:$G$1001=7)*ROW('تشخيص الحالات'!$B$2:$B$1001))-1),""),"")&amp;IF(SUMPRODUCT(('تشخيص الحالات'!$B$2:$B$1001=B763)*('تشخيص الحالات'!$G$2:$G$1001=8))&gt;0,"، "&amp;IFERROR(INDEX('تشخيص الحالات'!$D$2:$D$1001,SUMPRODUCT(('تشخيص الحالات'!$B$2:$B$1001=B763)*('تشخيص الحالات'!$G$2:$G$1001=8)*ROW('تشخيص الحالات'!$B$2:$B$1001))-1),""),"")</f>
        <v/>
      </c>
      <c r="J763" s="1"/>
      <c r="K763" s="1"/>
      <c r="L763" s="1"/>
      <c r="M763" s="1"/>
    </row>
    <row r="764" spans="1:13" x14ac:dyDescent="0.2">
      <c r="A764" s="1"/>
      <c r="B764" s="1"/>
      <c r="C764" s="1"/>
      <c r="D764" s="1"/>
      <c r="E764" s="1"/>
      <c r="F764" s="1"/>
      <c r="G764" s="1"/>
      <c r="H764" s="1"/>
      <c r="I764" t="str">
        <f>IFERROR(INDEX('تشخيص الحالات'!$D$2:$D$1001,SUMPRODUCT(('تشخيص الحالات'!$B$2:$B$1001=B764)*('تشخيص الحالات'!$G$2:$G$1001=1)*ROW('تشخيص الحالات'!$B$2:$B$1001))-1),"")&amp;IF(SUMPRODUCT(('تشخيص الحالات'!$B$2:$B$1001=B764)*('تشخيص الحالات'!$G$2:$G$1001=2))&gt;0,"، "&amp;IFERROR(INDEX('تشخيص الحالات'!$D$2:$D$1001,SUMPRODUCT(('تشخيص الحالات'!$B$2:$B$1001=B764)*('تشخيص الحالات'!$G$2:$G$1001=2)*ROW('تشخيص الحالات'!$B$2:$B$1001))-1),""),"")&amp;IF(SUMPRODUCT(('تشخيص الحالات'!$B$2:$B$1001=B764)*('تشخيص الحالات'!$G$2:$G$1001=3))&gt;0,"، "&amp;IFERROR(INDEX('تشخيص الحالات'!$D$2:$D$1001,SUMPRODUCT(('تشخيص الحالات'!$B$2:$B$1001=B764)*('تشخيص الحالات'!$G$2:$G$1001=3)*ROW('تشخيص الحالات'!$B$2:$B$1001))-1),""),"")&amp;IF(SUMPRODUCT(('تشخيص الحالات'!$B$2:$B$1001=B764)*('تشخيص الحالات'!$G$2:$G$1001=4))&gt;0,"، "&amp;IFERROR(INDEX('تشخيص الحالات'!$D$2:$D$1001,SUMPRODUCT(('تشخيص الحالات'!$B$2:$B$1001=B764)*('تشخيص الحالات'!$G$2:$G$1001=4)*ROW('تشخيص الحالات'!$B$2:$B$1001))-1),""),"")&amp;IF(SUMPRODUCT(('تشخيص الحالات'!$B$2:$B$1001=B764)*('تشخيص الحالات'!$G$2:$G$1001=5))&gt;0,"، "&amp;IFERROR(INDEX('تشخيص الحالات'!$D$2:$D$1001,SUMPRODUCT(('تشخيص الحالات'!$B$2:$B$1001=B764)*('تشخيص الحالات'!$G$2:$G$1001=5)*ROW('تشخيص الحالات'!$B$2:$B$1001))-1),""),"")&amp;IF(SUMPRODUCT(('تشخيص الحالات'!$B$2:$B$1001=B764)*('تشخيص الحالات'!$G$2:$G$1001=6))&gt;0,"، "&amp;IFERROR(INDEX('تشخيص الحالات'!$D$2:$D$1001,SUMPRODUCT(('تشخيص الحالات'!$B$2:$B$1001=B764)*('تشخيص الحالات'!$G$2:$G$1001=6)*ROW('تشخيص الحالات'!$B$2:$B$1001))-1),""),"")&amp;IF(SUMPRODUCT(('تشخيص الحالات'!$B$2:$B$1001=B764)*('تشخيص الحالات'!$G$2:$G$1001=7))&gt;0,"، "&amp;IFERROR(INDEX('تشخيص الحالات'!$D$2:$D$1001,SUMPRODUCT(('تشخيص الحالات'!$B$2:$B$1001=B764)*('تشخيص الحالات'!$G$2:$G$1001=7)*ROW('تشخيص الحالات'!$B$2:$B$1001))-1),""),"")&amp;IF(SUMPRODUCT(('تشخيص الحالات'!$B$2:$B$1001=B764)*('تشخيص الحالات'!$G$2:$G$1001=8))&gt;0,"، "&amp;IFERROR(INDEX('تشخيص الحالات'!$D$2:$D$1001,SUMPRODUCT(('تشخيص الحالات'!$B$2:$B$1001=B764)*('تشخيص الحالات'!$G$2:$G$1001=8)*ROW('تشخيص الحالات'!$B$2:$B$1001))-1),""),"")</f>
        <v/>
      </c>
      <c r="J764" s="1"/>
      <c r="K764" s="1"/>
      <c r="L764" s="1"/>
      <c r="M764" s="1"/>
    </row>
    <row r="765" spans="1:13" x14ac:dyDescent="0.2">
      <c r="A765" s="1"/>
      <c r="B765" s="1"/>
      <c r="C765" s="1"/>
      <c r="D765" s="1"/>
      <c r="E765" s="1"/>
      <c r="F765" s="1"/>
      <c r="G765" s="1"/>
      <c r="H765" s="1"/>
      <c r="I765" t="str">
        <f>IFERROR(INDEX('تشخيص الحالات'!$D$2:$D$1001,SUMPRODUCT(('تشخيص الحالات'!$B$2:$B$1001=B765)*('تشخيص الحالات'!$G$2:$G$1001=1)*ROW('تشخيص الحالات'!$B$2:$B$1001))-1),"")&amp;IF(SUMPRODUCT(('تشخيص الحالات'!$B$2:$B$1001=B765)*('تشخيص الحالات'!$G$2:$G$1001=2))&gt;0,"، "&amp;IFERROR(INDEX('تشخيص الحالات'!$D$2:$D$1001,SUMPRODUCT(('تشخيص الحالات'!$B$2:$B$1001=B765)*('تشخيص الحالات'!$G$2:$G$1001=2)*ROW('تشخيص الحالات'!$B$2:$B$1001))-1),""),"")&amp;IF(SUMPRODUCT(('تشخيص الحالات'!$B$2:$B$1001=B765)*('تشخيص الحالات'!$G$2:$G$1001=3))&gt;0,"، "&amp;IFERROR(INDEX('تشخيص الحالات'!$D$2:$D$1001,SUMPRODUCT(('تشخيص الحالات'!$B$2:$B$1001=B765)*('تشخيص الحالات'!$G$2:$G$1001=3)*ROW('تشخيص الحالات'!$B$2:$B$1001))-1),""),"")&amp;IF(SUMPRODUCT(('تشخيص الحالات'!$B$2:$B$1001=B765)*('تشخيص الحالات'!$G$2:$G$1001=4))&gt;0,"، "&amp;IFERROR(INDEX('تشخيص الحالات'!$D$2:$D$1001,SUMPRODUCT(('تشخيص الحالات'!$B$2:$B$1001=B765)*('تشخيص الحالات'!$G$2:$G$1001=4)*ROW('تشخيص الحالات'!$B$2:$B$1001))-1),""),"")&amp;IF(SUMPRODUCT(('تشخيص الحالات'!$B$2:$B$1001=B765)*('تشخيص الحالات'!$G$2:$G$1001=5))&gt;0,"، "&amp;IFERROR(INDEX('تشخيص الحالات'!$D$2:$D$1001,SUMPRODUCT(('تشخيص الحالات'!$B$2:$B$1001=B765)*('تشخيص الحالات'!$G$2:$G$1001=5)*ROW('تشخيص الحالات'!$B$2:$B$1001))-1),""),"")&amp;IF(SUMPRODUCT(('تشخيص الحالات'!$B$2:$B$1001=B765)*('تشخيص الحالات'!$G$2:$G$1001=6))&gt;0,"، "&amp;IFERROR(INDEX('تشخيص الحالات'!$D$2:$D$1001,SUMPRODUCT(('تشخيص الحالات'!$B$2:$B$1001=B765)*('تشخيص الحالات'!$G$2:$G$1001=6)*ROW('تشخيص الحالات'!$B$2:$B$1001))-1),""),"")&amp;IF(SUMPRODUCT(('تشخيص الحالات'!$B$2:$B$1001=B765)*('تشخيص الحالات'!$G$2:$G$1001=7))&gt;0,"، "&amp;IFERROR(INDEX('تشخيص الحالات'!$D$2:$D$1001,SUMPRODUCT(('تشخيص الحالات'!$B$2:$B$1001=B765)*('تشخيص الحالات'!$G$2:$G$1001=7)*ROW('تشخيص الحالات'!$B$2:$B$1001))-1),""),"")&amp;IF(SUMPRODUCT(('تشخيص الحالات'!$B$2:$B$1001=B765)*('تشخيص الحالات'!$G$2:$G$1001=8))&gt;0,"، "&amp;IFERROR(INDEX('تشخيص الحالات'!$D$2:$D$1001,SUMPRODUCT(('تشخيص الحالات'!$B$2:$B$1001=B765)*('تشخيص الحالات'!$G$2:$G$1001=8)*ROW('تشخيص الحالات'!$B$2:$B$1001))-1),""),"")</f>
        <v/>
      </c>
      <c r="J765" s="1"/>
      <c r="K765" s="1"/>
      <c r="L765" s="1"/>
      <c r="M765" s="1"/>
    </row>
    <row r="766" spans="1:13" x14ac:dyDescent="0.2">
      <c r="A766" s="1"/>
      <c r="B766" s="1"/>
      <c r="C766" s="1"/>
      <c r="D766" s="1"/>
      <c r="E766" s="1"/>
      <c r="F766" s="1"/>
      <c r="G766" s="1"/>
      <c r="H766" s="1"/>
      <c r="I766" t="str">
        <f>IFERROR(INDEX('تشخيص الحالات'!$D$2:$D$1001,SUMPRODUCT(('تشخيص الحالات'!$B$2:$B$1001=B766)*('تشخيص الحالات'!$G$2:$G$1001=1)*ROW('تشخيص الحالات'!$B$2:$B$1001))-1),"")&amp;IF(SUMPRODUCT(('تشخيص الحالات'!$B$2:$B$1001=B766)*('تشخيص الحالات'!$G$2:$G$1001=2))&gt;0,"، "&amp;IFERROR(INDEX('تشخيص الحالات'!$D$2:$D$1001,SUMPRODUCT(('تشخيص الحالات'!$B$2:$B$1001=B766)*('تشخيص الحالات'!$G$2:$G$1001=2)*ROW('تشخيص الحالات'!$B$2:$B$1001))-1),""),"")&amp;IF(SUMPRODUCT(('تشخيص الحالات'!$B$2:$B$1001=B766)*('تشخيص الحالات'!$G$2:$G$1001=3))&gt;0,"، "&amp;IFERROR(INDEX('تشخيص الحالات'!$D$2:$D$1001,SUMPRODUCT(('تشخيص الحالات'!$B$2:$B$1001=B766)*('تشخيص الحالات'!$G$2:$G$1001=3)*ROW('تشخيص الحالات'!$B$2:$B$1001))-1),""),"")&amp;IF(SUMPRODUCT(('تشخيص الحالات'!$B$2:$B$1001=B766)*('تشخيص الحالات'!$G$2:$G$1001=4))&gt;0,"، "&amp;IFERROR(INDEX('تشخيص الحالات'!$D$2:$D$1001,SUMPRODUCT(('تشخيص الحالات'!$B$2:$B$1001=B766)*('تشخيص الحالات'!$G$2:$G$1001=4)*ROW('تشخيص الحالات'!$B$2:$B$1001))-1),""),"")&amp;IF(SUMPRODUCT(('تشخيص الحالات'!$B$2:$B$1001=B766)*('تشخيص الحالات'!$G$2:$G$1001=5))&gt;0,"، "&amp;IFERROR(INDEX('تشخيص الحالات'!$D$2:$D$1001,SUMPRODUCT(('تشخيص الحالات'!$B$2:$B$1001=B766)*('تشخيص الحالات'!$G$2:$G$1001=5)*ROW('تشخيص الحالات'!$B$2:$B$1001))-1),""),"")&amp;IF(SUMPRODUCT(('تشخيص الحالات'!$B$2:$B$1001=B766)*('تشخيص الحالات'!$G$2:$G$1001=6))&gt;0,"، "&amp;IFERROR(INDEX('تشخيص الحالات'!$D$2:$D$1001,SUMPRODUCT(('تشخيص الحالات'!$B$2:$B$1001=B766)*('تشخيص الحالات'!$G$2:$G$1001=6)*ROW('تشخيص الحالات'!$B$2:$B$1001))-1),""),"")&amp;IF(SUMPRODUCT(('تشخيص الحالات'!$B$2:$B$1001=B766)*('تشخيص الحالات'!$G$2:$G$1001=7))&gt;0,"، "&amp;IFERROR(INDEX('تشخيص الحالات'!$D$2:$D$1001,SUMPRODUCT(('تشخيص الحالات'!$B$2:$B$1001=B766)*('تشخيص الحالات'!$G$2:$G$1001=7)*ROW('تشخيص الحالات'!$B$2:$B$1001))-1),""),"")&amp;IF(SUMPRODUCT(('تشخيص الحالات'!$B$2:$B$1001=B766)*('تشخيص الحالات'!$G$2:$G$1001=8))&gt;0,"، "&amp;IFERROR(INDEX('تشخيص الحالات'!$D$2:$D$1001,SUMPRODUCT(('تشخيص الحالات'!$B$2:$B$1001=B766)*('تشخيص الحالات'!$G$2:$G$1001=8)*ROW('تشخيص الحالات'!$B$2:$B$1001))-1),""),"")</f>
        <v/>
      </c>
      <c r="J766" s="1"/>
      <c r="K766" s="1"/>
      <c r="L766" s="1"/>
      <c r="M766" s="1"/>
    </row>
    <row r="767" spans="1:13" x14ac:dyDescent="0.2">
      <c r="A767" s="1"/>
      <c r="B767" s="1"/>
      <c r="C767" s="1"/>
      <c r="D767" s="1"/>
      <c r="E767" s="1"/>
      <c r="F767" s="1"/>
      <c r="G767" s="1"/>
      <c r="H767" s="1"/>
      <c r="I767" t="str">
        <f>IFERROR(INDEX('تشخيص الحالات'!$D$2:$D$1001,SUMPRODUCT(('تشخيص الحالات'!$B$2:$B$1001=B767)*('تشخيص الحالات'!$G$2:$G$1001=1)*ROW('تشخيص الحالات'!$B$2:$B$1001))-1),"")&amp;IF(SUMPRODUCT(('تشخيص الحالات'!$B$2:$B$1001=B767)*('تشخيص الحالات'!$G$2:$G$1001=2))&gt;0,"، "&amp;IFERROR(INDEX('تشخيص الحالات'!$D$2:$D$1001,SUMPRODUCT(('تشخيص الحالات'!$B$2:$B$1001=B767)*('تشخيص الحالات'!$G$2:$G$1001=2)*ROW('تشخيص الحالات'!$B$2:$B$1001))-1),""),"")&amp;IF(SUMPRODUCT(('تشخيص الحالات'!$B$2:$B$1001=B767)*('تشخيص الحالات'!$G$2:$G$1001=3))&gt;0,"، "&amp;IFERROR(INDEX('تشخيص الحالات'!$D$2:$D$1001,SUMPRODUCT(('تشخيص الحالات'!$B$2:$B$1001=B767)*('تشخيص الحالات'!$G$2:$G$1001=3)*ROW('تشخيص الحالات'!$B$2:$B$1001))-1),""),"")&amp;IF(SUMPRODUCT(('تشخيص الحالات'!$B$2:$B$1001=B767)*('تشخيص الحالات'!$G$2:$G$1001=4))&gt;0,"، "&amp;IFERROR(INDEX('تشخيص الحالات'!$D$2:$D$1001,SUMPRODUCT(('تشخيص الحالات'!$B$2:$B$1001=B767)*('تشخيص الحالات'!$G$2:$G$1001=4)*ROW('تشخيص الحالات'!$B$2:$B$1001))-1),""),"")&amp;IF(SUMPRODUCT(('تشخيص الحالات'!$B$2:$B$1001=B767)*('تشخيص الحالات'!$G$2:$G$1001=5))&gt;0,"، "&amp;IFERROR(INDEX('تشخيص الحالات'!$D$2:$D$1001,SUMPRODUCT(('تشخيص الحالات'!$B$2:$B$1001=B767)*('تشخيص الحالات'!$G$2:$G$1001=5)*ROW('تشخيص الحالات'!$B$2:$B$1001))-1),""),"")&amp;IF(SUMPRODUCT(('تشخيص الحالات'!$B$2:$B$1001=B767)*('تشخيص الحالات'!$G$2:$G$1001=6))&gt;0,"، "&amp;IFERROR(INDEX('تشخيص الحالات'!$D$2:$D$1001,SUMPRODUCT(('تشخيص الحالات'!$B$2:$B$1001=B767)*('تشخيص الحالات'!$G$2:$G$1001=6)*ROW('تشخيص الحالات'!$B$2:$B$1001))-1),""),"")&amp;IF(SUMPRODUCT(('تشخيص الحالات'!$B$2:$B$1001=B767)*('تشخيص الحالات'!$G$2:$G$1001=7))&gt;0,"، "&amp;IFERROR(INDEX('تشخيص الحالات'!$D$2:$D$1001,SUMPRODUCT(('تشخيص الحالات'!$B$2:$B$1001=B767)*('تشخيص الحالات'!$G$2:$G$1001=7)*ROW('تشخيص الحالات'!$B$2:$B$1001))-1),""),"")&amp;IF(SUMPRODUCT(('تشخيص الحالات'!$B$2:$B$1001=B767)*('تشخيص الحالات'!$G$2:$G$1001=8))&gt;0,"، "&amp;IFERROR(INDEX('تشخيص الحالات'!$D$2:$D$1001,SUMPRODUCT(('تشخيص الحالات'!$B$2:$B$1001=B767)*('تشخيص الحالات'!$G$2:$G$1001=8)*ROW('تشخيص الحالات'!$B$2:$B$1001))-1),""),"")</f>
        <v/>
      </c>
      <c r="J767" s="1"/>
      <c r="K767" s="1"/>
      <c r="L767" s="1"/>
      <c r="M767" s="1"/>
    </row>
    <row r="768" spans="1:13" x14ac:dyDescent="0.2">
      <c r="A768" s="1"/>
      <c r="B768" s="1"/>
      <c r="C768" s="1"/>
      <c r="D768" s="1"/>
      <c r="E768" s="1"/>
      <c r="F768" s="1"/>
      <c r="G768" s="1"/>
      <c r="H768" s="1"/>
      <c r="I768" t="str">
        <f>IFERROR(INDEX('تشخيص الحالات'!$D$2:$D$1001,SUMPRODUCT(('تشخيص الحالات'!$B$2:$B$1001=B768)*('تشخيص الحالات'!$G$2:$G$1001=1)*ROW('تشخيص الحالات'!$B$2:$B$1001))-1),"")&amp;IF(SUMPRODUCT(('تشخيص الحالات'!$B$2:$B$1001=B768)*('تشخيص الحالات'!$G$2:$G$1001=2))&gt;0,"، "&amp;IFERROR(INDEX('تشخيص الحالات'!$D$2:$D$1001,SUMPRODUCT(('تشخيص الحالات'!$B$2:$B$1001=B768)*('تشخيص الحالات'!$G$2:$G$1001=2)*ROW('تشخيص الحالات'!$B$2:$B$1001))-1),""),"")&amp;IF(SUMPRODUCT(('تشخيص الحالات'!$B$2:$B$1001=B768)*('تشخيص الحالات'!$G$2:$G$1001=3))&gt;0,"، "&amp;IFERROR(INDEX('تشخيص الحالات'!$D$2:$D$1001,SUMPRODUCT(('تشخيص الحالات'!$B$2:$B$1001=B768)*('تشخيص الحالات'!$G$2:$G$1001=3)*ROW('تشخيص الحالات'!$B$2:$B$1001))-1),""),"")&amp;IF(SUMPRODUCT(('تشخيص الحالات'!$B$2:$B$1001=B768)*('تشخيص الحالات'!$G$2:$G$1001=4))&gt;0,"، "&amp;IFERROR(INDEX('تشخيص الحالات'!$D$2:$D$1001,SUMPRODUCT(('تشخيص الحالات'!$B$2:$B$1001=B768)*('تشخيص الحالات'!$G$2:$G$1001=4)*ROW('تشخيص الحالات'!$B$2:$B$1001))-1),""),"")&amp;IF(SUMPRODUCT(('تشخيص الحالات'!$B$2:$B$1001=B768)*('تشخيص الحالات'!$G$2:$G$1001=5))&gt;0,"، "&amp;IFERROR(INDEX('تشخيص الحالات'!$D$2:$D$1001,SUMPRODUCT(('تشخيص الحالات'!$B$2:$B$1001=B768)*('تشخيص الحالات'!$G$2:$G$1001=5)*ROW('تشخيص الحالات'!$B$2:$B$1001))-1),""),"")&amp;IF(SUMPRODUCT(('تشخيص الحالات'!$B$2:$B$1001=B768)*('تشخيص الحالات'!$G$2:$G$1001=6))&gt;0,"، "&amp;IFERROR(INDEX('تشخيص الحالات'!$D$2:$D$1001,SUMPRODUCT(('تشخيص الحالات'!$B$2:$B$1001=B768)*('تشخيص الحالات'!$G$2:$G$1001=6)*ROW('تشخيص الحالات'!$B$2:$B$1001))-1),""),"")&amp;IF(SUMPRODUCT(('تشخيص الحالات'!$B$2:$B$1001=B768)*('تشخيص الحالات'!$G$2:$G$1001=7))&gt;0,"، "&amp;IFERROR(INDEX('تشخيص الحالات'!$D$2:$D$1001,SUMPRODUCT(('تشخيص الحالات'!$B$2:$B$1001=B768)*('تشخيص الحالات'!$G$2:$G$1001=7)*ROW('تشخيص الحالات'!$B$2:$B$1001))-1),""),"")&amp;IF(SUMPRODUCT(('تشخيص الحالات'!$B$2:$B$1001=B768)*('تشخيص الحالات'!$G$2:$G$1001=8))&gt;0,"، "&amp;IFERROR(INDEX('تشخيص الحالات'!$D$2:$D$1001,SUMPRODUCT(('تشخيص الحالات'!$B$2:$B$1001=B768)*('تشخيص الحالات'!$G$2:$G$1001=8)*ROW('تشخيص الحالات'!$B$2:$B$1001))-1),""),"")</f>
        <v/>
      </c>
      <c r="J768" s="1"/>
      <c r="K768" s="1"/>
      <c r="L768" s="1"/>
      <c r="M768" s="1"/>
    </row>
    <row r="769" spans="1:13" x14ac:dyDescent="0.2">
      <c r="A769" s="1"/>
      <c r="B769" s="1"/>
      <c r="C769" s="1"/>
      <c r="D769" s="1"/>
      <c r="E769" s="1"/>
      <c r="F769" s="1"/>
      <c r="G769" s="1"/>
      <c r="H769" s="1"/>
      <c r="I769" t="str">
        <f>IFERROR(INDEX('تشخيص الحالات'!$D$2:$D$1001,SUMPRODUCT(('تشخيص الحالات'!$B$2:$B$1001=B769)*('تشخيص الحالات'!$G$2:$G$1001=1)*ROW('تشخيص الحالات'!$B$2:$B$1001))-1),"")&amp;IF(SUMPRODUCT(('تشخيص الحالات'!$B$2:$B$1001=B769)*('تشخيص الحالات'!$G$2:$G$1001=2))&gt;0,"، "&amp;IFERROR(INDEX('تشخيص الحالات'!$D$2:$D$1001,SUMPRODUCT(('تشخيص الحالات'!$B$2:$B$1001=B769)*('تشخيص الحالات'!$G$2:$G$1001=2)*ROW('تشخيص الحالات'!$B$2:$B$1001))-1),""),"")&amp;IF(SUMPRODUCT(('تشخيص الحالات'!$B$2:$B$1001=B769)*('تشخيص الحالات'!$G$2:$G$1001=3))&gt;0,"، "&amp;IFERROR(INDEX('تشخيص الحالات'!$D$2:$D$1001,SUMPRODUCT(('تشخيص الحالات'!$B$2:$B$1001=B769)*('تشخيص الحالات'!$G$2:$G$1001=3)*ROW('تشخيص الحالات'!$B$2:$B$1001))-1),""),"")&amp;IF(SUMPRODUCT(('تشخيص الحالات'!$B$2:$B$1001=B769)*('تشخيص الحالات'!$G$2:$G$1001=4))&gt;0,"، "&amp;IFERROR(INDEX('تشخيص الحالات'!$D$2:$D$1001,SUMPRODUCT(('تشخيص الحالات'!$B$2:$B$1001=B769)*('تشخيص الحالات'!$G$2:$G$1001=4)*ROW('تشخيص الحالات'!$B$2:$B$1001))-1),""),"")&amp;IF(SUMPRODUCT(('تشخيص الحالات'!$B$2:$B$1001=B769)*('تشخيص الحالات'!$G$2:$G$1001=5))&gt;0,"، "&amp;IFERROR(INDEX('تشخيص الحالات'!$D$2:$D$1001,SUMPRODUCT(('تشخيص الحالات'!$B$2:$B$1001=B769)*('تشخيص الحالات'!$G$2:$G$1001=5)*ROW('تشخيص الحالات'!$B$2:$B$1001))-1),""),"")&amp;IF(SUMPRODUCT(('تشخيص الحالات'!$B$2:$B$1001=B769)*('تشخيص الحالات'!$G$2:$G$1001=6))&gt;0,"، "&amp;IFERROR(INDEX('تشخيص الحالات'!$D$2:$D$1001,SUMPRODUCT(('تشخيص الحالات'!$B$2:$B$1001=B769)*('تشخيص الحالات'!$G$2:$G$1001=6)*ROW('تشخيص الحالات'!$B$2:$B$1001))-1),""),"")&amp;IF(SUMPRODUCT(('تشخيص الحالات'!$B$2:$B$1001=B769)*('تشخيص الحالات'!$G$2:$G$1001=7))&gt;0,"، "&amp;IFERROR(INDEX('تشخيص الحالات'!$D$2:$D$1001,SUMPRODUCT(('تشخيص الحالات'!$B$2:$B$1001=B769)*('تشخيص الحالات'!$G$2:$G$1001=7)*ROW('تشخيص الحالات'!$B$2:$B$1001))-1),""),"")&amp;IF(SUMPRODUCT(('تشخيص الحالات'!$B$2:$B$1001=B769)*('تشخيص الحالات'!$G$2:$G$1001=8))&gt;0,"، "&amp;IFERROR(INDEX('تشخيص الحالات'!$D$2:$D$1001,SUMPRODUCT(('تشخيص الحالات'!$B$2:$B$1001=B769)*('تشخيص الحالات'!$G$2:$G$1001=8)*ROW('تشخيص الحالات'!$B$2:$B$1001))-1),""),"")</f>
        <v/>
      </c>
      <c r="J769" s="1"/>
      <c r="K769" s="1"/>
      <c r="L769" s="1"/>
      <c r="M769" s="1"/>
    </row>
    <row r="770" spans="1:13" x14ac:dyDescent="0.2">
      <c r="A770" s="1"/>
      <c r="B770" s="1"/>
      <c r="C770" s="1"/>
      <c r="D770" s="1"/>
      <c r="E770" s="1"/>
      <c r="F770" s="1"/>
      <c r="G770" s="1"/>
      <c r="H770" s="1"/>
      <c r="I770" t="str">
        <f>IFERROR(INDEX('تشخيص الحالات'!$D$2:$D$1001,SUMPRODUCT(('تشخيص الحالات'!$B$2:$B$1001=B770)*('تشخيص الحالات'!$G$2:$G$1001=1)*ROW('تشخيص الحالات'!$B$2:$B$1001))-1),"")&amp;IF(SUMPRODUCT(('تشخيص الحالات'!$B$2:$B$1001=B770)*('تشخيص الحالات'!$G$2:$G$1001=2))&gt;0,"، "&amp;IFERROR(INDEX('تشخيص الحالات'!$D$2:$D$1001,SUMPRODUCT(('تشخيص الحالات'!$B$2:$B$1001=B770)*('تشخيص الحالات'!$G$2:$G$1001=2)*ROW('تشخيص الحالات'!$B$2:$B$1001))-1),""),"")&amp;IF(SUMPRODUCT(('تشخيص الحالات'!$B$2:$B$1001=B770)*('تشخيص الحالات'!$G$2:$G$1001=3))&gt;0,"، "&amp;IFERROR(INDEX('تشخيص الحالات'!$D$2:$D$1001,SUMPRODUCT(('تشخيص الحالات'!$B$2:$B$1001=B770)*('تشخيص الحالات'!$G$2:$G$1001=3)*ROW('تشخيص الحالات'!$B$2:$B$1001))-1),""),"")&amp;IF(SUMPRODUCT(('تشخيص الحالات'!$B$2:$B$1001=B770)*('تشخيص الحالات'!$G$2:$G$1001=4))&gt;0,"، "&amp;IFERROR(INDEX('تشخيص الحالات'!$D$2:$D$1001,SUMPRODUCT(('تشخيص الحالات'!$B$2:$B$1001=B770)*('تشخيص الحالات'!$G$2:$G$1001=4)*ROW('تشخيص الحالات'!$B$2:$B$1001))-1),""),"")&amp;IF(SUMPRODUCT(('تشخيص الحالات'!$B$2:$B$1001=B770)*('تشخيص الحالات'!$G$2:$G$1001=5))&gt;0,"، "&amp;IFERROR(INDEX('تشخيص الحالات'!$D$2:$D$1001,SUMPRODUCT(('تشخيص الحالات'!$B$2:$B$1001=B770)*('تشخيص الحالات'!$G$2:$G$1001=5)*ROW('تشخيص الحالات'!$B$2:$B$1001))-1),""),"")&amp;IF(SUMPRODUCT(('تشخيص الحالات'!$B$2:$B$1001=B770)*('تشخيص الحالات'!$G$2:$G$1001=6))&gt;0,"، "&amp;IFERROR(INDEX('تشخيص الحالات'!$D$2:$D$1001,SUMPRODUCT(('تشخيص الحالات'!$B$2:$B$1001=B770)*('تشخيص الحالات'!$G$2:$G$1001=6)*ROW('تشخيص الحالات'!$B$2:$B$1001))-1),""),"")&amp;IF(SUMPRODUCT(('تشخيص الحالات'!$B$2:$B$1001=B770)*('تشخيص الحالات'!$G$2:$G$1001=7))&gt;0,"، "&amp;IFERROR(INDEX('تشخيص الحالات'!$D$2:$D$1001,SUMPRODUCT(('تشخيص الحالات'!$B$2:$B$1001=B770)*('تشخيص الحالات'!$G$2:$G$1001=7)*ROW('تشخيص الحالات'!$B$2:$B$1001))-1),""),"")&amp;IF(SUMPRODUCT(('تشخيص الحالات'!$B$2:$B$1001=B770)*('تشخيص الحالات'!$G$2:$G$1001=8))&gt;0,"، "&amp;IFERROR(INDEX('تشخيص الحالات'!$D$2:$D$1001,SUMPRODUCT(('تشخيص الحالات'!$B$2:$B$1001=B770)*('تشخيص الحالات'!$G$2:$G$1001=8)*ROW('تشخيص الحالات'!$B$2:$B$1001))-1),""),"")</f>
        <v/>
      </c>
      <c r="J770" s="1"/>
      <c r="K770" s="1"/>
      <c r="L770" s="1"/>
      <c r="M770" s="1"/>
    </row>
    <row r="771" spans="1:13" x14ac:dyDescent="0.2">
      <c r="A771" s="1"/>
      <c r="B771" s="1"/>
      <c r="C771" s="1"/>
      <c r="D771" s="1"/>
      <c r="E771" s="1"/>
      <c r="F771" s="1"/>
      <c r="G771" s="1"/>
      <c r="H771" s="1"/>
      <c r="I771" t="str">
        <f>IFERROR(INDEX('تشخيص الحالات'!$D$2:$D$1001,SUMPRODUCT(('تشخيص الحالات'!$B$2:$B$1001=B771)*('تشخيص الحالات'!$G$2:$G$1001=1)*ROW('تشخيص الحالات'!$B$2:$B$1001))-1),"")&amp;IF(SUMPRODUCT(('تشخيص الحالات'!$B$2:$B$1001=B771)*('تشخيص الحالات'!$G$2:$G$1001=2))&gt;0,"، "&amp;IFERROR(INDEX('تشخيص الحالات'!$D$2:$D$1001,SUMPRODUCT(('تشخيص الحالات'!$B$2:$B$1001=B771)*('تشخيص الحالات'!$G$2:$G$1001=2)*ROW('تشخيص الحالات'!$B$2:$B$1001))-1),""),"")&amp;IF(SUMPRODUCT(('تشخيص الحالات'!$B$2:$B$1001=B771)*('تشخيص الحالات'!$G$2:$G$1001=3))&gt;0,"، "&amp;IFERROR(INDEX('تشخيص الحالات'!$D$2:$D$1001,SUMPRODUCT(('تشخيص الحالات'!$B$2:$B$1001=B771)*('تشخيص الحالات'!$G$2:$G$1001=3)*ROW('تشخيص الحالات'!$B$2:$B$1001))-1),""),"")&amp;IF(SUMPRODUCT(('تشخيص الحالات'!$B$2:$B$1001=B771)*('تشخيص الحالات'!$G$2:$G$1001=4))&gt;0,"، "&amp;IFERROR(INDEX('تشخيص الحالات'!$D$2:$D$1001,SUMPRODUCT(('تشخيص الحالات'!$B$2:$B$1001=B771)*('تشخيص الحالات'!$G$2:$G$1001=4)*ROW('تشخيص الحالات'!$B$2:$B$1001))-1),""),"")&amp;IF(SUMPRODUCT(('تشخيص الحالات'!$B$2:$B$1001=B771)*('تشخيص الحالات'!$G$2:$G$1001=5))&gt;0,"، "&amp;IFERROR(INDEX('تشخيص الحالات'!$D$2:$D$1001,SUMPRODUCT(('تشخيص الحالات'!$B$2:$B$1001=B771)*('تشخيص الحالات'!$G$2:$G$1001=5)*ROW('تشخيص الحالات'!$B$2:$B$1001))-1),""),"")&amp;IF(SUMPRODUCT(('تشخيص الحالات'!$B$2:$B$1001=B771)*('تشخيص الحالات'!$G$2:$G$1001=6))&gt;0,"، "&amp;IFERROR(INDEX('تشخيص الحالات'!$D$2:$D$1001,SUMPRODUCT(('تشخيص الحالات'!$B$2:$B$1001=B771)*('تشخيص الحالات'!$G$2:$G$1001=6)*ROW('تشخيص الحالات'!$B$2:$B$1001))-1),""),"")&amp;IF(SUMPRODUCT(('تشخيص الحالات'!$B$2:$B$1001=B771)*('تشخيص الحالات'!$G$2:$G$1001=7))&gt;0,"، "&amp;IFERROR(INDEX('تشخيص الحالات'!$D$2:$D$1001,SUMPRODUCT(('تشخيص الحالات'!$B$2:$B$1001=B771)*('تشخيص الحالات'!$G$2:$G$1001=7)*ROW('تشخيص الحالات'!$B$2:$B$1001))-1),""),"")&amp;IF(SUMPRODUCT(('تشخيص الحالات'!$B$2:$B$1001=B771)*('تشخيص الحالات'!$G$2:$G$1001=8))&gt;0,"، "&amp;IFERROR(INDEX('تشخيص الحالات'!$D$2:$D$1001,SUMPRODUCT(('تشخيص الحالات'!$B$2:$B$1001=B771)*('تشخيص الحالات'!$G$2:$G$1001=8)*ROW('تشخيص الحالات'!$B$2:$B$1001))-1),""),"")</f>
        <v/>
      </c>
      <c r="J771" s="1"/>
      <c r="K771" s="1"/>
      <c r="L771" s="1"/>
      <c r="M771" s="1"/>
    </row>
    <row r="772" spans="1:13" x14ac:dyDescent="0.2">
      <c r="A772" s="1"/>
      <c r="B772" s="1"/>
      <c r="C772" s="1"/>
      <c r="D772" s="1"/>
      <c r="E772" s="1"/>
      <c r="F772" s="1"/>
      <c r="G772" s="1"/>
      <c r="H772" s="1"/>
      <c r="I772" t="str">
        <f>IFERROR(INDEX('تشخيص الحالات'!$D$2:$D$1001,SUMPRODUCT(('تشخيص الحالات'!$B$2:$B$1001=B772)*('تشخيص الحالات'!$G$2:$G$1001=1)*ROW('تشخيص الحالات'!$B$2:$B$1001))-1),"")&amp;IF(SUMPRODUCT(('تشخيص الحالات'!$B$2:$B$1001=B772)*('تشخيص الحالات'!$G$2:$G$1001=2))&gt;0,"، "&amp;IFERROR(INDEX('تشخيص الحالات'!$D$2:$D$1001,SUMPRODUCT(('تشخيص الحالات'!$B$2:$B$1001=B772)*('تشخيص الحالات'!$G$2:$G$1001=2)*ROW('تشخيص الحالات'!$B$2:$B$1001))-1),""),"")&amp;IF(SUMPRODUCT(('تشخيص الحالات'!$B$2:$B$1001=B772)*('تشخيص الحالات'!$G$2:$G$1001=3))&gt;0,"، "&amp;IFERROR(INDEX('تشخيص الحالات'!$D$2:$D$1001,SUMPRODUCT(('تشخيص الحالات'!$B$2:$B$1001=B772)*('تشخيص الحالات'!$G$2:$G$1001=3)*ROW('تشخيص الحالات'!$B$2:$B$1001))-1),""),"")&amp;IF(SUMPRODUCT(('تشخيص الحالات'!$B$2:$B$1001=B772)*('تشخيص الحالات'!$G$2:$G$1001=4))&gt;0,"، "&amp;IFERROR(INDEX('تشخيص الحالات'!$D$2:$D$1001,SUMPRODUCT(('تشخيص الحالات'!$B$2:$B$1001=B772)*('تشخيص الحالات'!$G$2:$G$1001=4)*ROW('تشخيص الحالات'!$B$2:$B$1001))-1),""),"")&amp;IF(SUMPRODUCT(('تشخيص الحالات'!$B$2:$B$1001=B772)*('تشخيص الحالات'!$G$2:$G$1001=5))&gt;0,"، "&amp;IFERROR(INDEX('تشخيص الحالات'!$D$2:$D$1001,SUMPRODUCT(('تشخيص الحالات'!$B$2:$B$1001=B772)*('تشخيص الحالات'!$G$2:$G$1001=5)*ROW('تشخيص الحالات'!$B$2:$B$1001))-1),""),"")&amp;IF(SUMPRODUCT(('تشخيص الحالات'!$B$2:$B$1001=B772)*('تشخيص الحالات'!$G$2:$G$1001=6))&gt;0,"، "&amp;IFERROR(INDEX('تشخيص الحالات'!$D$2:$D$1001,SUMPRODUCT(('تشخيص الحالات'!$B$2:$B$1001=B772)*('تشخيص الحالات'!$G$2:$G$1001=6)*ROW('تشخيص الحالات'!$B$2:$B$1001))-1),""),"")&amp;IF(SUMPRODUCT(('تشخيص الحالات'!$B$2:$B$1001=B772)*('تشخيص الحالات'!$G$2:$G$1001=7))&gt;0,"، "&amp;IFERROR(INDEX('تشخيص الحالات'!$D$2:$D$1001,SUMPRODUCT(('تشخيص الحالات'!$B$2:$B$1001=B772)*('تشخيص الحالات'!$G$2:$G$1001=7)*ROW('تشخيص الحالات'!$B$2:$B$1001))-1),""),"")&amp;IF(SUMPRODUCT(('تشخيص الحالات'!$B$2:$B$1001=B772)*('تشخيص الحالات'!$G$2:$G$1001=8))&gt;0,"، "&amp;IFERROR(INDEX('تشخيص الحالات'!$D$2:$D$1001,SUMPRODUCT(('تشخيص الحالات'!$B$2:$B$1001=B772)*('تشخيص الحالات'!$G$2:$G$1001=8)*ROW('تشخيص الحالات'!$B$2:$B$1001))-1),""),"")</f>
        <v/>
      </c>
      <c r="J772" s="1"/>
      <c r="K772" s="1"/>
      <c r="L772" s="1"/>
      <c r="M772" s="1"/>
    </row>
    <row r="773" spans="1:13" x14ac:dyDescent="0.2">
      <c r="A773" s="1"/>
      <c r="B773" s="1"/>
      <c r="C773" s="1"/>
      <c r="D773" s="1"/>
      <c r="E773" s="1"/>
      <c r="F773" s="1"/>
      <c r="G773" s="1"/>
      <c r="H773" s="1"/>
      <c r="I773" t="str">
        <f>IFERROR(INDEX('تشخيص الحالات'!$D$2:$D$1001,SUMPRODUCT(('تشخيص الحالات'!$B$2:$B$1001=B773)*('تشخيص الحالات'!$G$2:$G$1001=1)*ROW('تشخيص الحالات'!$B$2:$B$1001))-1),"")&amp;IF(SUMPRODUCT(('تشخيص الحالات'!$B$2:$B$1001=B773)*('تشخيص الحالات'!$G$2:$G$1001=2))&gt;0,"، "&amp;IFERROR(INDEX('تشخيص الحالات'!$D$2:$D$1001,SUMPRODUCT(('تشخيص الحالات'!$B$2:$B$1001=B773)*('تشخيص الحالات'!$G$2:$G$1001=2)*ROW('تشخيص الحالات'!$B$2:$B$1001))-1),""),"")&amp;IF(SUMPRODUCT(('تشخيص الحالات'!$B$2:$B$1001=B773)*('تشخيص الحالات'!$G$2:$G$1001=3))&gt;0,"، "&amp;IFERROR(INDEX('تشخيص الحالات'!$D$2:$D$1001,SUMPRODUCT(('تشخيص الحالات'!$B$2:$B$1001=B773)*('تشخيص الحالات'!$G$2:$G$1001=3)*ROW('تشخيص الحالات'!$B$2:$B$1001))-1),""),"")&amp;IF(SUMPRODUCT(('تشخيص الحالات'!$B$2:$B$1001=B773)*('تشخيص الحالات'!$G$2:$G$1001=4))&gt;0,"، "&amp;IFERROR(INDEX('تشخيص الحالات'!$D$2:$D$1001,SUMPRODUCT(('تشخيص الحالات'!$B$2:$B$1001=B773)*('تشخيص الحالات'!$G$2:$G$1001=4)*ROW('تشخيص الحالات'!$B$2:$B$1001))-1),""),"")&amp;IF(SUMPRODUCT(('تشخيص الحالات'!$B$2:$B$1001=B773)*('تشخيص الحالات'!$G$2:$G$1001=5))&gt;0,"، "&amp;IFERROR(INDEX('تشخيص الحالات'!$D$2:$D$1001,SUMPRODUCT(('تشخيص الحالات'!$B$2:$B$1001=B773)*('تشخيص الحالات'!$G$2:$G$1001=5)*ROW('تشخيص الحالات'!$B$2:$B$1001))-1),""),"")&amp;IF(SUMPRODUCT(('تشخيص الحالات'!$B$2:$B$1001=B773)*('تشخيص الحالات'!$G$2:$G$1001=6))&gt;0,"، "&amp;IFERROR(INDEX('تشخيص الحالات'!$D$2:$D$1001,SUMPRODUCT(('تشخيص الحالات'!$B$2:$B$1001=B773)*('تشخيص الحالات'!$G$2:$G$1001=6)*ROW('تشخيص الحالات'!$B$2:$B$1001))-1),""),"")&amp;IF(SUMPRODUCT(('تشخيص الحالات'!$B$2:$B$1001=B773)*('تشخيص الحالات'!$G$2:$G$1001=7))&gt;0,"، "&amp;IFERROR(INDEX('تشخيص الحالات'!$D$2:$D$1001,SUMPRODUCT(('تشخيص الحالات'!$B$2:$B$1001=B773)*('تشخيص الحالات'!$G$2:$G$1001=7)*ROW('تشخيص الحالات'!$B$2:$B$1001))-1),""),"")&amp;IF(SUMPRODUCT(('تشخيص الحالات'!$B$2:$B$1001=B773)*('تشخيص الحالات'!$G$2:$G$1001=8))&gt;0,"، "&amp;IFERROR(INDEX('تشخيص الحالات'!$D$2:$D$1001,SUMPRODUCT(('تشخيص الحالات'!$B$2:$B$1001=B773)*('تشخيص الحالات'!$G$2:$G$1001=8)*ROW('تشخيص الحالات'!$B$2:$B$1001))-1),""),"")</f>
        <v/>
      </c>
      <c r="J773" s="1"/>
      <c r="K773" s="1"/>
      <c r="L773" s="1"/>
      <c r="M773" s="1"/>
    </row>
    <row r="774" spans="1:13" x14ac:dyDescent="0.2">
      <c r="A774" s="1"/>
      <c r="B774" s="1"/>
      <c r="C774" s="1"/>
      <c r="D774" s="1"/>
      <c r="E774" s="1"/>
      <c r="F774" s="1"/>
      <c r="G774" s="1"/>
      <c r="H774" s="1"/>
      <c r="I774" t="str">
        <f>IFERROR(INDEX('تشخيص الحالات'!$D$2:$D$1001,SUMPRODUCT(('تشخيص الحالات'!$B$2:$B$1001=B774)*('تشخيص الحالات'!$G$2:$G$1001=1)*ROW('تشخيص الحالات'!$B$2:$B$1001))-1),"")&amp;IF(SUMPRODUCT(('تشخيص الحالات'!$B$2:$B$1001=B774)*('تشخيص الحالات'!$G$2:$G$1001=2))&gt;0,"، "&amp;IFERROR(INDEX('تشخيص الحالات'!$D$2:$D$1001,SUMPRODUCT(('تشخيص الحالات'!$B$2:$B$1001=B774)*('تشخيص الحالات'!$G$2:$G$1001=2)*ROW('تشخيص الحالات'!$B$2:$B$1001))-1),""),"")&amp;IF(SUMPRODUCT(('تشخيص الحالات'!$B$2:$B$1001=B774)*('تشخيص الحالات'!$G$2:$G$1001=3))&gt;0,"، "&amp;IFERROR(INDEX('تشخيص الحالات'!$D$2:$D$1001,SUMPRODUCT(('تشخيص الحالات'!$B$2:$B$1001=B774)*('تشخيص الحالات'!$G$2:$G$1001=3)*ROW('تشخيص الحالات'!$B$2:$B$1001))-1),""),"")&amp;IF(SUMPRODUCT(('تشخيص الحالات'!$B$2:$B$1001=B774)*('تشخيص الحالات'!$G$2:$G$1001=4))&gt;0,"، "&amp;IFERROR(INDEX('تشخيص الحالات'!$D$2:$D$1001,SUMPRODUCT(('تشخيص الحالات'!$B$2:$B$1001=B774)*('تشخيص الحالات'!$G$2:$G$1001=4)*ROW('تشخيص الحالات'!$B$2:$B$1001))-1),""),"")&amp;IF(SUMPRODUCT(('تشخيص الحالات'!$B$2:$B$1001=B774)*('تشخيص الحالات'!$G$2:$G$1001=5))&gt;0,"، "&amp;IFERROR(INDEX('تشخيص الحالات'!$D$2:$D$1001,SUMPRODUCT(('تشخيص الحالات'!$B$2:$B$1001=B774)*('تشخيص الحالات'!$G$2:$G$1001=5)*ROW('تشخيص الحالات'!$B$2:$B$1001))-1),""),"")&amp;IF(SUMPRODUCT(('تشخيص الحالات'!$B$2:$B$1001=B774)*('تشخيص الحالات'!$G$2:$G$1001=6))&gt;0,"، "&amp;IFERROR(INDEX('تشخيص الحالات'!$D$2:$D$1001,SUMPRODUCT(('تشخيص الحالات'!$B$2:$B$1001=B774)*('تشخيص الحالات'!$G$2:$G$1001=6)*ROW('تشخيص الحالات'!$B$2:$B$1001))-1),""),"")&amp;IF(SUMPRODUCT(('تشخيص الحالات'!$B$2:$B$1001=B774)*('تشخيص الحالات'!$G$2:$G$1001=7))&gt;0,"، "&amp;IFERROR(INDEX('تشخيص الحالات'!$D$2:$D$1001,SUMPRODUCT(('تشخيص الحالات'!$B$2:$B$1001=B774)*('تشخيص الحالات'!$G$2:$G$1001=7)*ROW('تشخيص الحالات'!$B$2:$B$1001))-1),""),"")&amp;IF(SUMPRODUCT(('تشخيص الحالات'!$B$2:$B$1001=B774)*('تشخيص الحالات'!$G$2:$G$1001=8))&gt;0,"، "&amp;IFERROR(INDEX('تشخيص الحالات'!$D$2:$D$1001,SUMPRODUCT(('تشخيص الحالات'!$B$2:$B$1001=B774)*('تشخيص الحالات'!$G$2:$G$1001=8)*ROW('تشخيص الحالات'!$B$2:$B$1001))-1),""),"")</f>
        <v/>
      </c>
      <c r="J774" s="1"/>
      <c r="K774" s="1"/>
      <c r="L774" s="1"/>
      <c r="M774" s="1"/>
    </row>
    <row r="775" spans="1:13" x14ac:dyDescent="0.2">
      <c r="A775" s="1"/>
      <c r="B775" s="1"/>
      <c r="C775" s="1"/>
      <c r="D775" s="1"/>
      <c r="E775" s="1"/>
      <c r="F775" s="1"/>
      <c r="G775" s="1"/>
      <c r="H775" s="1"/>
      <c r="I775" t="str">
        <f>IFERROR(INDEX('تشخيص الحالات'!$D$2:$D$1001,SUMPRODUCT(('تشخيص الحالات'!$B$2:$B$1001=B775)*('تشخيص الحالات'!$G$2:$G$1001=1)*ROW('تشخيص الحالات'!$B$2:$B$1001))-1),"")&amp;IF(SUMPRODUCT(('تشخيص الحالات'!$B$2:$B$1001=B775)*('تشخيص الحالات'!$G$2:$G$1001=2))&gt;0,"، "&amp;IFERROR(INDEX('تشخيص الحالات'!$D$2:$D$1001,SUMPRODUCT(('تشخيص الحالات'!$B$2:$B$1001=B775)*('تشخيص الحالات'!$G$2:$G$1001=2)*ROW('تشخيص الحالات'!$B$2:$B$1001))-1),""),"")&amp;IF(SUMPRODUCT(('تشخيص الحالات'!$B$2:$B$1001=B775)*('تشخيص الحالات'!$G$2:$G$1001=3))&gt;0,"، "&amp;IFERROR(INDEX('تشخيص الحالات'!$D$2:$D$1001,SUMPRODUCT(('تشخيص الحالات'!$B$2:$B$1001=B775)*('تشخيص الحالات'!$G$2:$G$1001=3)*ROW('تشخيص الحالات'!$B$2:$B$1001))-1),""),"")&amp;IF(SUMPRODUCT(('تشخيص الحالات'!$B$2:$B$1001=B775)*('تشخيص الحالات'!$G$2:$G$1001=4))&gt;0,"، "&amp;IFERROR(INDEX('تشخيص الحالات'!$D$2:$D$1001,SUMPRODUCT(('تشخيص الحالات'!$B$2:$B$1001=B775)*('تشخيص الحالات'!$G$2:$G$1001=4)*ROW('تشخيص الحالات'!$B$2:$B$1001))-1),""),"")&amp;IF(SUMPRODUCT(('تشخيص الحالات'!$B$2:$B$1001=B775)*('تشخيص الحالات'!$G$2:$G$1001=5))&gt;0,"، "&amp;IFERROR(INDEX('تشخيص الحالات'!$D$2:$D$1001,SUMPRODUCT(('تشخيص الحالات'!$B$2:$B$1001=B775)*('تشخيص الحالات'!$G$2:$G$1001=5)*ROW('تشخيص الحالات'!$B$2:$B$1001))-1),""),"")&amp;IF(SUMPRODUCT(('تشخيص الحالات'!$B$2:$B$1001=B775)*('تشخيص الحالات'!$G$2:$G$1001=6))&gt;0,"، "&amp;IFERROR(INDEX('تشخيص الحالات'!$D$2:$D$1001,SUMPRODUCT(('تشخيص الحالات'!$B$2:$B$1001=B775)*('تشخيص الحالات'!$G$2:$G$1001=6)*ROW('تشخيص الحالات'!$B$2:$B$1001))-1),""),"")&amp;IF(SUMPRODUCT(('تشخيص الحالات'!$B$2:$B$1001=B775)*('تشخيص الحالات'!$G$2:$G$1001=7))&gt;0,"، "&amp;IFERROR(INDEX('تشخيص الحالات'!$D$2:$D$1001,SUMPRODUCT(('تشخيص الحالات'!$B$2:$B$1001=B775)*('تشخيص الحالات'!$G$2:$G$1001=7)*ROW('تشخيص الحالات'!$B$2:$B$1001))-1),""),"")&amp;IF(SUMPRODUCT(('تشخيص الحالات'!$B$2:$B$1001=B775)*('تشخيص الحالات'!$G$2:$G$1001=8))&gt;0,"، "&amp;IFERROR(INDEX('تشخيص الحالات'!$D$2:$D$1001,SUMPRODUCT(('تشخيص الحالات'!$B$2:$B$1001=B775)*('تشخيص الحالات'!$G$2:$G$1001=8)*ROW('تشخيص الحالات'!$B$2:$B$1001))-1),""),"")</f>
        <v/>
      </c>
      <c r="J775" s="1"/>
      <c r="K775" s="1"/>
      <c r="L775" s="1"/>
      <c r="M775" s="1"/>
    </row>
    <row r="776" spans="1:13" x14ac:dyDescent="0.2">
      <c r="A776" s="1"/>
      <c r="B776" s="1"/>
      <c r="C776" s="1"/>
      <c r="D776" s="1"/>
      <c r="E776" s="1"/>
      <c r="F776" s="1"/>
      <c r="G776" s="1"/>
      <c r="H776" s="1"/>
      <c r="I776" t="str">
        <f>IFERROR(INDEX('تشخيص الحالات'!$D$2:$D$1001,SUMPRODUCT(('تشخيص الحالات'!$B$2:$B$1001=B776)*('تشخيص الحالات'!$G$2:$G$1001=1)*ROW('تشخيص الحالات'!$B$2:$B$1001))-1),"")&amp;IF(SUMPRODUCT(('تشخيص الحالات'!$B$2:$B$1001=B776)*('تشخيص الحالات'!$G$2:$G$1001=2))&gt;0,"، "&amp;IFERROR(INDEX('تشخيص الحالات'!$D$2:$D$1001,SUMPRODUCT(('تشخيص الحالات'!$B$2:$B$1001=B776)*('تشخيص الحالات'!$G$2:$G$1001=2)*ROW('تشخيص الحالات'!$B$2:$B$1001))-1),""),"")&amp;IF(SUMPRODUCT(('تشخيص الحالات'!$B$2:$B$1001=B776)*('تشخيص الحالات'!$G$2:$G$1001=3))&gt;0,"، "&amp;IFERROR(INDEX('تشخيص الحالات'!$D$2:$D$1001,SUMPRODUCT(('تشخيص الحالات'!$B$2:$B$1001=B776)*('تشخيص الحالات'!$G$2:$G$1001=3)*ROW('تشخيص الحالات'!$B$2:$B$1001))-1),""),"")&amp;IF(SUMPRODUCT(('تشخيص الحالات'!$B$2:$B$1001=B776)*('تشخيص الحالات'!$G$2:$G$1001=4))&gt;0,"، "&amp;IFERROR(INDEX('تشخيص الحالات'!$D$2:$D$1001,SUMPRODUCT(('تشخيص الحالات'!$B$2:$B$1001=B776)*('تشخيص الحالات'!$G$2:$G$1001=4)*ROW('تشخيص الحالات'!$B$2:$B$1001))-1),""),"")&amp;IF(SUMPRODUCT(('تشخيص الحالات'!$B$2:$B$1001=B776)*('تشخيص الحالات'!$G$2:$G$1001=5))&gt;0,"، "&amp;IFERROR(INDEX('تشخيص الحالات'!$D$2:$D$1001,SUMPRODUCT(('تشخيص الحالات'!$B$2:$B$1001=B776)*('تشخيص الحالات'!$G$2:$G$1001=5)*ROW('تشخيص الحالات'!$B$2:$B$1001))-1),""),"")&amp;IF(SUMPRODUCT(('تشخيص الحالات'!$B$2:$B$1001=B776)*('تشخيص الحالات'!$G$2:$G$1001=6))&gt;0,"، "&amp;IFERROR(INDEX('تشخيص الحالات'!$D$2:$D$1001,SUMPRODUCT(('تشخيص الحالات'!$B$2:$B$1001=B776)*('تشخيص الحالات'!$G$2:$G$1001=6)*ROW('تشخيص الحالات'!$B$2:$B$1001))-1),""),"")&amp;IF(SUMPRODUCT(('تشخيص الحالات'!$B$2:$B$1001=B776)*('تشخيص الحالات'!$G$2:$G$1001=7))&gt;0,"، "&amp;IFERROR(INDEX('تشخيص الحالات'!$D$2:$D$1001,SUMPRODUCT(('تشخيص الحالات'!$B$2:$B$1001=B776)*('تشخيص الحالات'!$G$2:$G$1001=7)*ROW('تشخيص الحالات'!$B$2:$B$1001))-1),""),"")&amp;IF(SUMPRODUCT(('تشخيص الحالات'!$B$2:$B$1001=B776)*('تشخيص الحالات'!$G$2:$G$1001=8))&gt;0,"، "&amp;IFERROR(INDEX('تشخيص الحالات'!$D$2:$D$1001,SUMPRODUCT(('تشخيص الحالات'!$B$2:$B$1001=B776)*('تشخيص الحالات'!$G$2:$G$1001=8)*ROW('تشخيص الحالات'!$B$2:$B$1001))-1),""),"")</f>
        <v/>
      </c>
      <c r="J776" s="1"/>
      <c r="K776" s="1"/>
      <c r="L776" s="1"/>
      <c r="M776" s="1"/>
    </row>
    <row r="777" spans="1:13" x14ac:dyDescent="0.2">
      <c r="A777" s="1"/>
      <c r="B777" s="1"/>
      <c r="C777" s="1"/>
      <c r="D777" s="1"/>
      <c r="E777" s="1"/>
      <c r="F777" s="1"/>
      <c r="G777" s="1"/>
      <c r="H777" s="1"/>
      <c r="I777" t="str">
        <f>IFERROR(INDEX('تشخيص الحالات'!$D$2:$D$1001,SUMPRODUCT(('تشخيص الحالات'!$B$2:$B$1001=B777)*('تشخيص الحالات'!$G$2:$G$1001=1)*ROW('تشخيص الحالات'!$B$2:$B$1001))-1),"")&amp;IF(SUMPRODUCT(('تشخيص الحالات'!$B$2:$B$1001=B777)*('تشخيص الحالات'!$G$2:$G$1001=2))&gt;0,"، "&amp;IFERROR(INDEX('تشخيص الحالات'!$D$2:$D$1001,SUMPRODUCT(('تشخيص الحالات'!$B$2:$B$1001=B777)*('تشخيص الحالات'!$G$2:$G$1001=2)*ROW('تشخيص الحالات'!$B$2:$B$1001))-1),""),"")&amp;IF(SUMPRODUCT(('تشخيص الحالات'!$B$2:$B$1001=B777)*('تشخيص الحالات'!$G$2:$G$1001=3))&gt;0,"، "&amp;IFERROR(INDEX('تشخيص الحالات'!$D$2:$D$1001,SUMPRODUCT(('تشخيص الحالات'!$B$2:$B$1001=B777)*('تشخيص الحالات'!$G$2:$G$1001=3)*ROW('تشخيص الحالات'!$B$2:$B$1001))-1),""),"")&amp;IF(SUMPRODUCT(('تشخيص الحالات'!$B$2:$B$1001=B777)*('تشخيص الحالات'!$G$2:$G$1001=4))&gt;0,"، "&amp;IFERROR(INDEX('تشخيص الحالات'!$D$2:$D$1001,SUMPRODUCT(('تشخيص الحالات'!$B$2:$B$1001=B777)*('تشخيص الحالات'!$G$2:$G$1001=4)*ROW('تشخيص الحالات'!$B$2:$B$1001))-1),""),"")&amp;IF(SUMPRODUCT(('تشخيص الحالات'!$B$2:$B$1001=B777)*('تشخيص الحالات'!$G$2:$G$1001=5))&gt;0,"، "&amp;IFERROR(INDEX('تشخيص الحالات'!$D$2:$D$1001,SUMPRODUCT(('تشخيص الحالات'!$B$2:$B$1001=B777)*('تشخيص الحالات'!$G$2:$G$1001=5)*ROW('تشخيص الحالات'!$B$2:$B$1001))-1),""),"")&amp;IF(SUMPRODUCT(('تشخيص الحالات'!$B$2:$B$1001=B777)*('تشخيص الحالات'!$G$2:$G$1001=6))&gt;0,"، "&amp;IFERROR(INDEX('تشخيص الحالات'!$D$2:$D$1001,SUMPRODUCT(('تشخيص الحالات'!$B$2:$B$1001=B777)*('تشخيص الحالات'!$G$2:$G$1001=6)*ROW('تشخيص الحالات'!$B$2:$B$1001))-1),""),"")&amp;IF(SUMPRODUCT(('تشخيص الحالات'!$B$2:$B$1001=B777)*('تشخيص الحالات'!$G$2:$G$1001=7))&gt;0,"، "&amp;IFERROR(INDEX('تشخيص الحالات'!$D$2:$D$1001,SUMPRODUCT(('تشخيص الحالات'!$B$2:$B$1001=B777)*('تشخيص الحالات'!$G$2:$G$1001=7)*ROW('تشخيص الحالات'!$B$2:$B$1001))-1),""),"")&amp;IF(SUMPRODUCT(('تشخيص الحالات'!$B$2:$B$1001=B777)*('تشخيص الحالات'!$G$2:$G$1001=8))&gt;0,"، "&amp;IFERROR(INDEX('تشخيص الحالات'!$D$2:$D$1001,SUMPRODUCT(('تشخيص الحالات'!$B$2:$B$1001=B777)*('تشخيص الحالات'!$G$2:$G$1001=8)*ROW('تشخيص الحالات'!$B$2:$B$1001))-1),""),"")</f>
        <v/>
      </c>
      <c r="J777" s="1"/>
      <c r="K777" s="1"/>
      <c r="L777" s="1"/>
      <c r="M777" s="1"/>
    </row>
    <row r="778" spans="1:13" x14ac:dyDescent="0.2">
      <c r="A778" s="1"/>
      <c r="B778" s="1"/>
      <c r="C778" s="1"/>
      <c r="D778" s="1"/>
      <c r="E778" s="1"/>
      <c r="F778" s="1"/>
      <c r="G778" s="1"/>
      <c r="H778" s="1"/>
      <c r="I778" t="str">
        <f>IFERROR(INDEX('تشخيص الحالات'!$D$2:$D$1001,SUMPRODUCT(('تشخيص الحالات'!$B$2:$B$1001=B778)*('تشخيص الحالات'!$G$2:$G$1001=1)*ROW('تشخيص الحالات'!$B$2:$B$1001))-1),"")&amp;IF(SUMPRODUCT(('تشخيص الحالات'!$B$2:$B$1001=B778)*('تشخيص الحالات'!$G$2:$G$1001=2))&gt;0,"، "&amp;IFERROR(INDEX('تشخيص الحالات'!$D$2:$D$1001,SUMPRODUCT(('تشخيص الحالات'!$B$2:$B$1001=B778)*('تشخيص الحالات'!$G$2:$G$1001=2)*ROW('تشخيص الحالات'!$B$2:$B$1001))-1),""),"")&amp;IF(SUMPRODUCT(('تشخيص الحالات'!$B$2:$B$1001=B778)*('تشخيص الحالات'!$G$2:$G$1001=3))&gt;0,"، "&amp;IFERROR(INDEX('تشخيص الحالات'!$D$2:$D$1001,SUMPRODUCT(('تشخيص الحالات'!$B$2:$B$1001=B778)*('تشخيص الحالات'!$G$2:$G$1001=3)*ROW('تشخيص الحالات'!$B$2:$B$1001))-1),""),"")&amp;IF(SUMPRODUCT(('تشخيص الحالات'!$B$2:$B$1001=B778)*('تشخيص الحالات'!$G$2:$G$1001=4))&gt;0,"، "&amp;IFERROR(INDEX('تشخيص الحالات'!$D$2:$D$1001,SUMPRODUCT(('تشخيص الحالات'!$B$2:$B$1001=B778)*('تشخيص الحالات'!$G$2:$G$1001=4)*ROW('تشخيص الحالات'!$B$2:$B$1001))-1),""),"")&amp;IF(SUMPRODUCT(('تشخيص الحالات'!$B$2:$B$1001=B778)*('تشخيص الحالات'!$G$2:$G$1001=5))&gt;0,"، "&amp;IFERROR(INDEX('تشخيص الحالات'!$D$2:$D$1001,SUMPRODUCT(('تشخيص الحالات'!$B$2:$B$1001=B778)*('تشخيص الحالات'!$G$2:$G$1001=5)*ROW('تشخيص الحالات'!$B$2:$B$1001))-1),""),"")&amp;IF(SUMPRODUCT(('تشخيص الحالات'!$B$2:$B$1001=B778)*('تشخيص الحالات'!$G$2:$G$1001=6))&gt;0,"، "&amp;IFERROR(INDEX('تشخيص الحالات'!$D$2:$D$1001,SUMPRODUCT(('تشخيص الحالات'!$B$2:$B$1001=B778)*('تشخيص الحالات'!$G$2:$G$1001=6)*ROW('تشخيص الحالات'!$B$2:$B$1001))-1),""),"")&amp;IF(SUMPRODUCT(('تشخيص الحالات'!$B$2:$B$1001=B778)*('تشخيص الحالات'!$G$2:$G$1001=7))&gt;0,"، "&amp;IFERROR(INDEX('تشخيص الحالات'!$D$2:$D$1001,SUMPRODUCT(('تشخيص الحالات'!$B$2:$B$1001=B778)*('تشخيص الحالات'!$G$2:$G$1001=7)*ROW('تشخيص الحالات'!$B$2:$B$1001))-1),""),"")&amp;IF(SUMPRODUCT(('تشخيص الحالات'!$B$2:$B$1001=B778)*('تشخيص الحالات'!$G$2:$G$1001=8))&gt;0,"، "&amp;IFERROR(INDEX('تشخيص الحالات'!$D$2:$D$1001,SUMPRODUCT(('تشخيص الحالات'!$B$2:$B$1001=B778)*('تشخيص الحالات'!$G$2:$G$1001=8)*ROW('تشخيص الحالات'!$B$2:$B$1001))-1),""),"")</f>
        <v/>
      </c>
      <c r="J778" s="1"/>
      <c r="K778" s="1"/>
      <c r="L778" s="1"/>
      <c r="M778" s="1"/>
    </row>
    <row r="779" spans="1:13" x14ac:dyDescent="0.2">
      <c r="A779" s="1"/>
      <c r="B779" s="1"/>
      <c r="C779" s="1"/>
      <c r="D779" s="1"/>
      <c r="E779" s="1"/>
      <c r="F779" s="1"/>
      <c r="G779" s="1"/>
      <c r="H779" s="1"/>
      <c r="I779" t="str">
        <f>IFERROR(INDEX('تشخيص الحالات'!$D$2:$D$1001,SUMPRODUCT(('تشخيص الحالات'!$B$2:$B$1001=B779)*('تشخيص الحالات'!$G$2:$G$1001=1)*ROW('تشخيص الحالات'!$B$2:$B$1001))-1),"")&amp;IF(SUMPRODUCT(('تشخيص الحالات'!$B$2:$B$1001=B779)*('تشخيص الحالات'!$G$2:$G$1001=2))&gt;0,"، "&amp;IFERROR(INDEX('تشخيص الحالات'!$D$2:$D$1001,SUMPRODUCT(('تشخيص الحالات'!$B$2:$B$1001=B779)*('تشخيص الحالات'!$G$2:$G$1001=2)*ROW('تشخيص الحالات'!$B$2:$B$1001))-1),""),"")&amp;IF(SUMPRODUCT(('تشخيص الحالات'!$B$2:$B$1001=B779)*('تشخيص الحالات'!$G$2:$G$1001=3))&gt;0,"، "&amp;IFERROR(INDEX('تشخيص الحالات'!$D$2:$D$1001,SUMPRODUCT(('تشخيص الحالات'!$B$2:$B$1001=B779)*('تشخيص الحالات'!$G$2:$G$1001=3)*ROW('تشخيص الحالات'!$B$2:$B$1001))-1),""),"")&amp;IF(SUMPRODUCT(('تشخيص الحالات'!$B$2:$B$1001=B779)*('تشخيص الحالات'!$G$2:$G$1001=4))&gt;0,"، "&amp;IFERROR(INDEX('تشخيص الحالات'!$D$2:$D$1001,SUMPRODUCT(('تشخيص الحالات'!$B$2:$B$1001=B779)*('تشخيص الحالات'!$G$2:$G$1001=4)*ROW('تشخيص الحالات'!$B$2:$B$1001))-1),""),"")&amp;IF(SUMPRODUCT(('تشخيص الحالات'!$B$2:$B$1001=B779)*('تشخيص الحالات'!$G$2:$G$1001=5))&gt;0,"، "&amp;IFERROR(INDEX('تشخيص الحالات'!$D$2:$D$1001,SUMPRODUCT(('تشخيص الحالات'!$B$2:$B$1001=B779)*('تشخيص الحالات'!$G$2:$G$1001=5)*ROW('تشخيص الحالات'!$B$2:$B$1001))-1),""),"")&amp;IF(SUMPRODUCT(('تشخيص الحالات'!$B$2:$B$1001=B779)*('تشخيص الحالات'!$G$2:$G$1001=6))&gt;0,"، "&amp;IFERROR(INDEX('تشخيص الحالات'!$D$2:$D$1001,SUMPRODUCT(('تشخيص الحالات'!$B$2:$B$1001=B779)*('تشخيص الحالات'!$G$2:$G$1001=6)*ROW('تشخيص الحالات'!$B$2:$B$1001))-1),""),"")&amp;IF(SUMPRODUCT(('تشخيص الحالات'!$B$2:$B$1001=B779)*('تشخيص الحالات'!$G$2:$G$1001=7))&gt;0,"، "&amp;IFERROR(INDEX('تشخيص الحالات'!$D$2:$D$1001,SUMPRODUCT(('تشخيص الحالات'!$B$2:$B$1001=B779)*('تشخيص الحالات'!$G$2:$G$1001=7)*ROW('تشخيص الحالات'!$B$2:$B$1001))-1),""),"")&amp;IF(SUMPRODUCT(('تشخيص الحالات'!$B$2:$B$1001=B779)*('تشخيص الحالات'!$G$2:$G$1001=8))&gt;0,"، "&amp;IFERROR(INDEX('تشخيص الحالات'!$D$2:$D$1001,SUMPRODUCT(('تشخيص الحالات'!$B$2:$B$1001=B779)*('تشخيص الحالات'!$G$2:$G$1001=8)*ROW('تشخيص الحالات'!$B$2:$B$1001))-1),""),"")</f>
        <v/>
      </c>
      <c r="J779" s="1"/>
      <c r="K779" s="1"/>
      <c r="L779" s="1"/>
      <c r="M779" s="1"/>
    </row>
    <row r="780" spans="1:13" x14ac:dyDescent="0.2">
      <c r="A780" s="1"/>
      <c r="B780" s="1"/>
      <c r="C780" s="1"/>
      <c r="D780" s="1"/>
      <c r="E780" s="1"/>
      <c r="F780" s="1"/>
      <c r="G780" s="1"/>
      <c r="H780" s="1"/>
      <c r="I780" t="str">
        <f>IFERROR(INDEX('تشخيص الحالات'!$D$2:$D$1001,SUMPRODUCT(('تشخيص الحالات'!$B$2:$B$1001=B780)*('تشخيص الحالات'!$G$2:$G$1001=1)*ROW('تشخيص الحالات'!$B$2:$B$1001))-1),"")&amp;IF(SUMPRODUCT(('تشخيص الحالات'!$B$2:$B$1001=B780)*('تشخيص الحالات'!$G$2:$G$1001=2))&gt;0,"، "&amp;IFERROR(INDEX('تشخيص الحالات'!$D$2:$D$1001,SUMPRODUCT(('تشخيص الحالات'!$B$2:$B$1001=B780)*('تشخيص الحالات'!$G$2:$G$1001=2)*ROW('تشخيص الحالات'!$B$2:$B$1001))-1),""),"")&amp;IF(SUMPRODUCT(('تشخيص الحالات'!$B$2:$B$1001=B780)*('تشخيص الحالات'!$G$2:$G$1001=3))&gt;0,"، "&amp;IFERROR(INDEX('تشخيص الحالات'!$D$2:$D$1001,SUMPRODUCT(('تشخيص الحالات'!$B$2:$B$1001=B780)*('تشخيص الحالات'!$G$2:$G$1001=3)*ROW('تشخيص الحالات'!$B$2:$B$1001))-1),""),"")&amp;IF(SUMPRODUCT(('تشخيص الحالات'!$B$2:$B$1001=B780)*('تشخيص الحالات'!$G$2:$G$1001=4))&gt;0,"، "&amp;IFERROR(INDEX('تشخيص الحالات'!$D$2:$D$1001,SUMPRODUCT(('تشخيص الحالات'!$B$2:$B$1001=B780)*('تشخيص الحالات'!$G$2:$G$1001=4)*ROW('تشخيص الحالات'!$B$2:$B$1001))-1),""),"")&amp;IF(SUMPRODUCT(('تشخيص الحالات'!$B$2:$B$1001=B780)*('تشخيص الحالات'!$G$2:$G$1001=5))&gt;0,"، "&amp;IFERROR(INDEX('تشخيص الحالات'!$D$2:$D$1001,SUMPRODUCT(('تشخيص الحالات'!$B$2:$B$1001=B780)*('تشخيص الحالات'!$G$2:$G$1001=5)*ROW('تشخيص الحالات'!$B$2:$B$1001))-1),""),"")&amp;IF(SUMPRODUCT(('تشخيص الحالات'!$B$2:$B$1001=B780)*('تشخيص الحالات'!$G$2:$G$1001=6))&gt;0,"، "&amp;IFERROR(INDEX('تشخيص الحالات'!$D$2:$D$1001,SUMPRODUCT(('تشخيص الحالات'!$B$2:$B$1001=B780)*('تشخيص الحالات'!$G$2:$G$1001=6)*ROW('تشخيص الحالات'!$B$2:$B$1001))-1),""),"")&amp;IF(SUMPRODUCT(('تشخيص الحالات'!$B$2:$B$1001=B780)*('تشخيص الحالات'!$G$2:$G$1001=7))&gt;0,"، "&amp;IFERROR(INDEX('تشخيص الحالات'!$D$2:$D$1001,SUMPRODUCT(('تشخيص الحالات'!$B$2:$B$1001=B780)*('تشخيص الحالات'!$G$2:$G$1001=7)*ROW('تشخيص الحالات'!$B$2:$B$1001))-1),""),"")&amp;IF(SUMPRODUCT(('تشخيص الحالات'!$B$2:$B$1001=B780)*('تشخيص الحالات'!$G$2:$G$1001=8))&gt;0,"، "&amp;IFERROR(INDEX('تشخيص الحالات'!$D$2:$D$1001,SUMPRODUCT(('تشخيص الحالات'!$B$2:$B$1001=B780)*('تشخيص الحالات'!$G$2:$G$1001=8)*ROW('تشخيص الحالات'!$B$2:$B$1001))-1),""),"")</f>
        <v/>
      </c>
      <c r="J780" s="1"/>
      <c r="K780" s="1"/>
      <c r="L780" s="1"/>
      <c r="M780" s="1"/>
    </row>
    <row r="781" spans="1:13" x14ac:dyDescent="0.2">
      <c r="A781" s="1"/>
      <c r="B781" s="1"/>
      <c r="C781" s="1"/>
      <c r="D781" s="1"/>
      <c r="E781" s="1"/>
      <c r="F781" s="1"/>
      <c r="G781" s="1"/>
      <c r="H781" s="1"/>
      <c r="I781" t="str">
        <f>IFERROR(INDEX('تشخيص الحالات'!$D$2:$D$1001,SUMPRODUCT(('تشخيص الحالات'!$B$2:$B$1001=B781)*('تشخيص الحالات'!$G$2:$G$1001=1)*ROW('تشخيص الحالات'!$B$2:$B$1001))-1),"")&amp;IF(SUMPRODUCT(('تشخيص الحالات'!$B$2:$B$1001=B781)*('تشخيص الحالات'!$G$2:$G$1001=2))&gt;0,"، "&amp;IFERROR(INDEX('تشخيص الحالات'!$D$2:$D$1001,SUMPRODUCT(('تشخيص الحالات'!$B$2:$B$1001=B781)*('تشخيص الحالات'!$G$2:$G$1001=2)*ROW('تشخيص الحالات'!$B$2:$B$1001))-1),""),"")&amp;IF(SUMPRODUCT(('تشخيص الحالات'!$B$2:$B$1001=B781)*('تشخيص الحالات'!$G$2:$G$1001=3))&gt;0,"، "&amp;IFERROR(INDEX('تشخيص الحالات'!$D$2:$D$1001,SUMPRODUCT(('تشخيص الحالات'!$B$2:$B$1001=B781)*('تشخيص الحالات'!$G$2:$G$1001=3)*ROW('تشخيص الحالات'!$B$2:$B$1001))-1),""),"")&amp;IF(SUMPRODUCT(('تشخيص الحالات'!$B$2:$B$1001=B781)*('تشخيص الحالات'!$G$2:$G$1001=4))&gt;0,"، "&amp;IFERROR(INDEX('تشخيص الحالات'!$D$2:$D$1001,SUMPRODUCT(('تشخيص الحالات'!$B$2:$B$1001=B781)*('تشخيص الحالات'!$G$2:$G$1001=4)*ROW('تشخيص الحالات'!$B$2:$B$1001))-1),""),"")&amp;IF(SUMPRODUCT(('تشخيص الحالات'!$B$2:$B$1001=B781)*('تشخيص الحالات'!$G$2:$G$1001=5))&gt;0,"، "&amp;IFERROR(INDEX('تشخيص الحالات'!$D$2:$D$1001,SUMPRODUCT(('تشخيص الحالات'!$B$2:$B$1001=B781)*('تشخيص الحالات'!$G$2:$G$1001=5)*ROW('تشخيص الحالات'!$B$2:$B$1001))-1),""),"")&amp;IF(SUMPRODUCT(('تشخيص الحالات'!$B$2:$B$1001=B781)*('تشخيص الحالات'!$G$2:$G$1001=6))&gt;0,"، "&amp;IFERROR(INDEX('تشخيص الحالات'!$D$2:$D$1001,SUMPRODUCT(('تشخيص الحالات'!$B$2:$B$1001=B781)*('تشخيص الحالات'!$G$2:$G$1001=6)*ROW('تشخيص الحالات'!$B$2:$B$1001))-1),""),"")&amp;IF(SUMPRODUCT(('تشخيص الحالات'!$B$2:$B$1001=B781)*('تشخيص الحالات'!$G$2:$G$1001=7))&gt;0,"، "&amp;IFERROR(INDEX('تشخيص الحالات'!$D$2:$D$1001,SUMPRODUCT(('تشخيص الحالات'!$B$2:$B$1001=B781)*('تشخيص الحالات'!$G$2:$G$1001=7)*ROW('تشخيص الحالات'!$B$2:$B$1001))-1),""),"")&amp;IF(SUMPRODUCT(('تشخيص الحالات'!$B$2:$B$1001=B781)*('تشخيص الحالات'!$G$2:$G$1001=8))&gt;0,"، "&amp;IFERROR(INDEX('تشخيص الحالات'!$D$2:$D$1001,SUMPRODUCT(('تشخيص الحالات'!$B$2:$B$1001=B781)*('تشخيص الحالات'!$G$2:$G$1001=8)*ROW('تشخيص الحالات'!$B$2:$B$1001))-1),""),"")</f>
        <v/>
      </c>
      <c r="J781" s="1"/>
      <c r="K781" s="1"/>
      <c r="L781" s="1"/>
      <c r="M781" s="1"/>
    </row>
    <row r="782" spans="1:13" x14ac:dyDescent="0.2">
      <c r="A782" s="1"/>
      <c r="B782" s="1"/>
      <c r="C782" s="1"/>
      <c r="D782" s="1"/>
      <c r="E782" s="1"/>
      <c r="F782" s="1"/>
      <c r="G782" s="1"/>
      <c r="H782" s="1"/>
      <c r="I782" t="str">
        <f>IFERROR(INDEX('تشخيص الحالات'!$D$2:$D$1001,SUMPRODUCT(('تشخيص الحالات'!$B$2:$B$1001=B782)*('تشخيص الحالات'!$G$2:$G$1001=1)*ROW('تشخيص الحالات'!$B$2:$B$1001))-1),"")&amp;IF(SUMPRODUCT(('تشخيص الحالات'!$B$2:$B$1001=B782)*('تشخيص الحالات'!$G$2:$G$1001=2))&gt;0,"، "&amp;IFERROR(INDEX('تشخيص الحالات'!$D$2:$D$1001,SUMPRODUCT(('تشخيص الحالات'!$B$2:$B$1001=B782)*('تشخيص الحالات'!$G$2:$G$1001=2)*ROW('تشخيص الحالات'!$B$2:$B$1001))-1),""),"")&amp;IF(SUMPRODUCT(('تشخيص الحالات'!$B$2:$B$1001=B782)*('تشخيص الحالات'!$G$2:$G$1001=3))&gt;0,"، "&amp;IFERROR(INDEX('تشخيص الحالات'!$D$2:$D$1001,SUMPRODUCT(('تشخيص الحالات'!$B$2:$B$1001=B782)*('تشخيص الحالات'!$G$2:$G$1001=3)*ROW('تشخيص الحالات'!$B$2:$B$1001))-1),""),"")&amp;IF(SUMPRODUCT(('تشخيص الحالات'!$B$2:$B$1001=B782)*('تشخيص الحالات'!$G$2:$G$1001=4))&gt;0,"، "&amp;IFERROR(INDEX('تشخيص الحالات'!$D$2:$D$1001,SUMPRODUCT(('تشخيص الحالات'!$B$2:$B$1001=B782)*('تشخيص الحالات'!$G$2:$G$1001=4)*ROW('تشخيص الحالات'!$B$2:$B$1001))-1),""),"")&amp;IF(SUMPRODUCT(('تشخيص الحالات'!$B$2:$B$1001=B782)*('تشخيص الحالات'!$G$2:$G$1001=5))&gt;0,"، "&amp;IFERROR(INDEX('تشخيص الحالات'!$D$2:$D$1001,SUMPRODUCT(('تشخيص الحالات'!$B$2:$B$1001=B782)*('تشخيص الحالات'!$G$2:$G$1001=5)*ROW('تشخيص الحالات'!$B$2:$B$1001))-1),""),"")&amp;IF(SUMPRODUCT(('تشخيص الحالات'!$B$2:$B$1001=B782)*('تشخيص الحالات'!$G$2:$G$1001=6))&gt;0,"، "&amp;IFERROR(INDEX('تشخيص الحالات'!$D$2:$D$1001,SUMPRODUCT(('تشخيص الحالات'!$B$2:$B$1001=B782)*('تشخيص الحالات'!$G$2:$G$1001=6)*ROW('تشخيص الحالات'!$B$2:$B$1001))-1),""),"")&amp;IF(SUMPRODUCT(('تشخيص الحالات'!$B$2:$B$1001=B782)*('تشخيص الحالات'!$G$2:$G$1001=7))&gt;0,"، "&amp;IFERROR(INDEX('تشخيص الحالات'!$D$2:$D$1001,SUMPRODUCT(('تشخيص الحالات'!$B$2:$B$1001=B782)*('تشخيص الحالات'!$G$2:$G$1001=7)*ROW('تشخيص الحالات'!$B$2:$B$1001))-1),""),"")&amp;IF(SUMPRODUCT(('تشخيص الحالات'!$B$2:$B$1001=B782)*('تشخيص الحالات'!$G$2:$G$1001=8))&gt;0,"، "&amp;IFERROR(INDEX('تشخيص الحالات'!$D$2:$D$1001,SUMPRODUCT(('تشخيص الحالات'!$B$2:$B$1001=B782)*('تشخيص الحالات'!$G$2:$G$1001=8)*ROW('تشخيص الحالات'!$B$2:$B$1001))-1),""),"")</f>
        <v/>
      </c>
      <c r="J782" s="1"/>
      <c r="K782" s="1"/>
      <c r="L782" s="1"/>
      <c r="M782" s="1"/>
    </row>
    <row r="783" spans="1:13" x14ac:dyDescent="0.2">
      <c r="A783" s="1"/>
      <c r="B783" s="1"/>
      <c r="C783" s="1"/>
      <c r="D783" s="1"/>
      <c r="E783" s="1"/>
      <c r="F783" s="1"/>
      <c r="G783" s="1"/>
      <c r="H783" s="1"/>
      <c r="I783" t="str">
        <f>IFERROR(INDEX('تشخيص الحالات'!$D$2:$D$1001,SUMPRODUCT(('تشخيص الحالات'!$B$2:$B$1001=B783)*('تشخيص الحالات'!$G$2:$G$1001=1)*ROW('تشخيص الحالات'!$B$2:$B$1001))-1),"")&amp;IF(SUMPRODUCT(('تشخيص الحالات'!$B$2:$B$1001=B783)*('تشخيص الحالات'!$G$2:$G$1001=2))&gt;0,"، "&amp;IFERROR(INDEX('تشخيص الحالات'!$D$2:$D$1001,SUMPRODUCT(('تشخيص الحالات'!$B$2:$B$1001=B783)*('تشخيص الحالات'!$G$2:$G$1001=2)*ROW('تشخيص الحالات'!$B$2:$B$1001))-1),""),"")&amp;IF(SUMPRODUCT(('تشخيص الحالات'!$B$2:$B$1001=B783)*('تشخيص الحالات'!$G$2:$G$1001=3))&gt;0,"، "&amp;IFERROR(INDEX('تشخيص الحالات'!$D$2:$D$1001,SUMPRODUCT(('تشخيص الحالات'!$B$2:$B$1001=B783)*('تشخيص الحالات'!$G$2:$G$1001=3)*ROW('تشخيص الحالات'!$B$2:$B$1001))-1),""),"")&amp;IF(SUMPRODUCT(('تشخيص الحالات'!$B$2:$B$1001=B783)*('تشخيص الحالات'!$G$2:$G$1001=4))&gt;0,"، "&amp;IFERROR(INDEX('تشخيص الحالات'!$D$2:$D$1001,SUMPRODUCT(('تشخيص الحالات'!$B$2:$B$1001=B783)*('تشخيص الحالات'!$G$2:$G$1001=4)*ROW('تشخيص الحالات'!$B$2:$B$1001))-1),""),"")&amp;IF(SUMPRODUCT(('تشخيص الحالات'!$B$2:$B$1001=B783)*('تشخيص الحالات'!$G$2:$G$1001=5))&gt;0,"، "&amp;IFERROR(INDEX('تشخيص الحالات'!$D$2:$D$1001,SUMPRODUCT(('تشخيص الحالات'!$B$2:$B$1001=B783)*('تشخيص الحالات'!$G$2:$G$1001=5)*ROW('تشخيص الحالات'!$B$2:$B$1001))-1),""),"")&amp;IF(SUMPRODUCT(('تشخيص الحالات'!$B$2:$B$1001=B783)*('تشخيص الحالات'!$G$2:$G$1001=6))&gt;0,"، "&amp;IFERROR(INDEX('تشخيص الحالات'!$D$2:$D$1001,SUMPRODUCT(('تشخيص الحالات'!$B$2:$B$1001=B783)*('تشخيص الحالات'!$G$2:$G$1001=6)*ROW('تشخيص الحالات'!$B$2:$B$1001))-1),""),"")&amp;IF(SUMPRODUCT(('تشخيص الحالات'!$B$2:$B$1001=B783)*('تشخيص الحالات'!$G$2:$G$1001=7))&gt;0,"، "&amp;IFERROR(INDEX('تشخيص الحالات'!$D$2:$D$1001,SUMPRODUCT(('تشخيص الحالات'!$B$2:$B$1001=B783)*('تشخيص الحالات'!$G$2:$G$1001=7)*ROW('تشخيص الحالات'!$B$2:$B$1001))-1),""),"")&amp;IF(SUMPRODUCT(('تشخيص الحالات'!$B$2:$B$1001=B783)*('تشخيص الحالات'!$G$2:$G$1001=8))&gt;0,"، "&amp;IFERROR(INDEX('تشخيص الحالات'!$D$2:$D$1001,SUMPRODUCT(('تشخيص الحالات'!$B$2:$B$1001=B783)*('تشخيص الحالات'!$G$2:$G$1001=8)*ROW('تشخيص الحالات'!$B$2:$B$1001))-1),""),"")</f>
        <v/>
      </c>
      <c r="J783" s="1"/>
      <c r="K783" s="1"/>
      <c r="L783" s="1"/>
      <c r="M783" s="1"/>
    </row>
    <row r="784" spans="1:13" x14ac:dyDescent="0.2">
      <c r="A784" s="1"/>
      <c r="B784" s="1"/>
      <c r="C784" s="1"/>
      <c r="D784" s="1"/>
      <c r="E784" s="1"/>
      <c r="F784" s="1"/>
      <c r="G784" s="1"/>
      <c r="H784" s="1"/>
      <c r="I784" t="str">
        <f>IFERROR(INDEX('تشخيص الحالات'!$D$2:$D$1001,SUMPRODUCT(('تشخيص الحالات'!$B$2:$B$1001=B784)*('تشخيص الحالات'!$G$2:$G$1001=1)*ROW('تشخيص الحالات'!$B$2:$B$1001))-1),"")&amp;IF(SUMPRODUCT(('تشخيص الحالات'!$B$2:$B$1001=B784)*('تشخيص الحالات'!$G$2:$G$1001=2))&gt;0,"، "&amp;IFERROR(INDEX('تشخيص الحالات'!$D$2:$D$1001,SUMPRODUCT(('تشخيص الحالات'!$B$2:$B$1001=B784)*('تشخيص الحالات'!$G$2:$G$1001=2)*ROW('تشخيص الحالات'!$B$2:$B$1001))-1),""),"")&amp;IF(SUMPRODUCT(('تشخيص الحالات'!$B$2:$B$1001=B784)*('تشخيص الحالات'!$G$2:$G$1001=3))&gt;0,"، "&amp;IFERROR(INDEX('تشخيص الحالات'!$D$2:$D$1001,SUMPRODUCT(('تشخيص الحالات'!$B$2:$B$1001=B784)*('تشخيص الحالات'!$G$2:$G$1001=3)*ROW('تشخيص الحالات'!$B$2:$B$1001))-1),""),"")&amp;IF(SUMPRODUCT(('تشخيص الحالات'!$B$2:$B$1001=B784)*('تشخيص الحالات'!$G$2:$G$1001=4))&gt;0,"، "&amp;IFERROR(INDEX('تشخيص الحالات'!$D$2:$D$1001,SUMPRODUCT(('تشخيص الحالات'!$B$2:$B$1001=B784)*('تشخيص الحالات'!$G$2:$G$1001=4)*ROW('تشخيص الحالات'!$B$2:$B$1001))-1),""),"")&amp;IF(SUMPRODUCT(('تشخيص الحالات'!$B$2:$B$1001=B784)*('تشخيص الحالات'!$G$2:$G$1001=5))&gt;0,"، "&amp;IFERROR(INDEX('تشخيص الحالات'!$D$2:$D$1001,SUMPRODUCT(('تشخيص الحالات'!$B$2:$B$1001=B784)*('تشخيص الحالات'!$G$2:$G$1001=5)*ROW('تشخيص الحالات'!$B$2:$B$1001))-1),""),"")&amp;IF(SUMPRODUCT(('تشخيص الحالات'!$B$2:$B$1001=B784)*('تشخيص الحالات'!$G$2:$G$1001=6))&gt;0,"، "&amp;IFERROR(INDEX('تشخيص الحالات'!$D$2:$D$1001,SUMPRODUCT(('تشخيص الحالات'!$B$2:$B$1001=B784)*('تشخيص الحالات'!$G$2:$G$1001=6)*ROW('تشخيص الحالات'!$B$2:$B$1001))-1),""),"")&amp;IF(SUMPRODUCT(('تشخيص الحالات'!$B$2:$B$1001=B784)*('تشخيص الحالات'!$G$2:$G$1001=7))&gt;0,"، "&amp;IFERROR(INDEX('تشخيص الحالات'!$D$2:$D$1001,SUMPRODUCT(('تشخيص الحالات'!$B$2:$B$1001=B784)*('تشخيص الحالات'!$G$2:$G$1001=7)*ROW('تشخيص الحالات'!$B$2:$B$1001))-1),""),"")&amp;IF(SUMPRODUCT(('تشخيص الحالات'!$B$2:$B$1001=B784)*('تشخيص الحالات'!$G$2:$G$1001=8))&gt;0,"، "&amp;IFERROR(INDEX('تشخيص الحالات'!$D$2:$D$1001,SUMPRODUCT(('تشخيص الحالات'!$B$2:$B$1001=B784)*('تشخيص الحالات'!$G$2:$G$1001=8)*ROW('تشخيص الحالات'!$B$2:$B$1001))-1),""),"")</f>
        <v/>
      </c>
      <c r="J784" s="1"/>
      <c r="K784" s="1"/>
      <c r="L784" s="1"/>
      <c r="M784" s="1"/>
    </row>
    <row r="785" spans="1:13" x14ac:dyDescent="0.2">
      <c r="A785" s="1"/>
      <c r="B785" s="1"/>
      <c r="C785" s="1"/>
      <c r="D785" s="1"/>
      <c r="E785" s="1"/>
      <c r="F785" s="1"/>
      <c r="G785" s="1"/>
      <c r="H785" s="1"/>
      <c r="I785" t="str">
        <f>IFERROR(INDEX('تشخيص الحالات'!$D$2:$D$1001,SUMPRODUCT(('تشخيص الحالات'!$B$2:$B$1001=B785)*('تشخيص الحالات'!$G$2:$G$1001=1)*ROW('تشخيص الحالات'!$B$2:$B$1001))-1),"")&amp;IF(SUMPRODUCT(('تشخيص الحالات'!$B$2:$B$1001=B785)*('تشخيص الحالات'!$G$2:$G$1001=2))&gt;0,"، "&amp;IFERROR(INDEX('تشخيص الحالات'!$D$2:$D$1001,SUMPRODUCT(('تشخيص الحالات'!$B$2:$B$1001=B785)*('تشخيص الحالات'!$G$2:$G$1001=2)*ROW('تشخيص الحالات'!$B$2:$B$1001))-1),""),"")&amp;IF(SUMPRODUCT(('تشخيص الحالات'!$B$2:$B$1001=B785)*('تشخيص الحالات'!$G$2:$G$1001=3))&gt;0,"، "&amp;IFERROR(INDEX('تشخيص الحالات'!$D$2:$D$1001,SUMPRODUCT(('تشخيص الحالات'!$B$2:$B$1001=B785)*('تشخيص الحالات'!$G$2:$G$1001=3)*ROW('تشخيص الحالات'!$B$2:$B$1001))-1),""),"")&amp;IF(SUMPRODUCT(('تشخيص الحالات'!$B$2:$B$1001=B785)*('تشخيص الحالات'!$G$2:$G$1001=4))&gt;0,"، "&amp;IFERROR(INDEX('تشخيص الحالات'!$D$2:$D$1001,SUMPRODUCT(('تشخيص الحالات'!$B$2:$B$1001=B785)*('تشخيص الحالات'!$G$2:$G$1001=4)*ROW('تشخيص الحالات'!$B$2:$B$1001))-1),""),"")&amp;IF(SUMPRODUCT(('تشخيص الحالات'!$B$2:$B$1001=B785)*('تشخيص الحالات'!$G$2:$G$1001=5))&gt;0,"، "&amp;IFERROR(INDEX('تشخيص الحالات'!$D$2:$D$1001,SUMPRODUCT(('تشخيص الحالات'!$B$2:$B$1001=B785)*('تشخيص الحالات'!$G$2:$G$1001=5)*ROW('تشخيص الحالات'!$B$2:$B$1001))-1),""),"")&amp;IF(SUMPRODUCT(('تشخيص الحالات'!$B$2:$B$1001=B785)*('تشخيص الحالات'!$G$2:$G$1001=6))&gt;0,"، "&amp;IFERROR(INDEX('تشخيص الحالات'!$D$2:$D$1001,SUMPRODUCT(('تشخيص الحالات'!$B$2:$B$1001=B785)*('تشخيص الحالات'!$G$2:$G$1001=6)*ROW('تشخيص الحالات'!$B$2:$B$1001))-1),""),"")&amp;IF(SUMPRODUCT(('تشخيص الحالات'!$B$2:$B$1001=B785)*('تشخيص الحالات'!$G$2:$G$1001=7))&gt;0,"، "&amp;IFERROR(INDEX('تشخيص الحالات'!$D$2:$D$1001,SUMPRODUCT(('تشخيص الحالات'!$B$2:$B$1001=B785)*('تشخيص الحالات'!$G$2:$G$1001=7)*ROW('تشخيص الحالات'!$B$2:$B$1001))-1),""),"")&amp;IF(SUMPRODUCT(('تشخيص الحالات'!$B$2:$B$1001=B785)*('تشخيص الحالات'!$G$2:$G$1001=8))&gt;0,"، "&amp;IFERROR(INDEX('تشخيص الحالات'!$D$2:$D$1001,SUMPRODUCT(('تشخيص الحالات'!$B$2:$B$1001=B785)*('تشخيص الحالات'!$G$2:$G$1001=8)*ROW('تشخيص الحالات'!$B$2:$B$1001))-1),""),"")</f>
        <v/>
      </c>
      <c r="J785" s="1"/>
      <c r="K785" s="1"/>
      <c r="L785" s="1"/>
      <c r="M785" s="1"/>
    </row>
    <row r="786" spans="1:13" x14ac:dyDescent="0.2">
      <c r="A786" s="1"/>
      <c r="B786" s="1"/>
      <c r="C786" s="1"/>
      <c r="D786" s="1"/>
      <c r="E786" s="1"/>
      <c r="F786" s="1"/>
      <c r="G786" s="1"/>
      <c r="H786" s="1"/>
      <c r="I786" t="str">
        <f>IFERROR(INDEX('تشخيص الحالات'!$D$2:$D$1001,SUMPRODUCT(('تشخيص الحالات'!$B$2:$B$1001=B786)*('تشخيص الحالات'!$G$2:$G$1001=1)*ROW('تشخيص الحالات'!$B$2:$B$1001))-1),"")&amp;IF(SUMPRODUCT(('تشخيص الحالات'!$B$2:$B$1001=B786)*('تشخيص الحالات'!$G$2:$G$1001=2))&gt;0,"، "&amp;IFERROR(INDEX('تشخيص الحالات'!$D$2:$D$1001,SUMPRODUCT(('تشخيص الحالات'!$B$2:$B$1001=B786)*('تشخيص الحالات'!$G$2:$G$1001=2)*ROW('تشخيص الحالات'!$B$2:$B$1001))-1),""),"")&amp;IF(SUMPRODUCT(('تشخيص الحالات'!$B$2:$B$1001=B786)*('تشخيص الحالات'!$G$2:$G$1001=3))&gt;0,"، "&amp;IFERROR(INDEX('تشخيص الحالات'!$D$2:$D$1001,SUMPRODUCT(('تشخيص الحالات'!$B$2:$B$1001=B786)*('تشخيص الحالات'!$G$2:$G$1001=3)*ROW('تشخيص الحالات'!$B$2:$B$1001))-1),""),"")&amp;IF(SUMPRODUCT(('تشخيص الحالات'!$B$2:$B$1001=B786)*('تشخيص الحالات'!$G$2:$G$1001=4))&gt;0,"، "&amp;IFERROR(INDEX('تشخيص الحالات'!$D$2:$D$1001,SUMPRODUCT(('تشخيص الحالات'!$B$2:$B$1001=B786)*('تشخيص الحالات'!$G$2:$G$1001=4)*ROW('تشخيص الحالات'!$B$2:$B$1001))-1),""),"")&amp;IF(SUMPRODUCT(('تشخيص الحالات'!$B$2:$B$1001=B786)*('تشخيص الحالات'!$G$2:$G$1001=5))&gt;0,"، "&amp;IFERROR(INDEX('تشخيص الحالات'!$D$2:$D$1001,SUMPRODUCT(('تشخيص الحالات'!$B$2:$B$1001=B786)*('تشخيص الحالات'!$G$2:$G$1001=5)*ROW('تشخيص الحالات'!$B$2:$B$1001))-1),""),"")&amp;IF(SUMPRODUCT(('تشخيص الحالات'!$B$2:$B$1001=B786)*('تشخيص الحالات'!$G$2:$G$1001=6))&gt;0,"، "&amp;IFERROR(INDEX('تشخيص الحالات'!$D$2:$D$1001,SUMPRODUCT(('تشخيص الحالات'!$B$2:$B$1001=B786)*('تشخيص الحالات'!$G$2:$G$1001=6)*ROW('تشخيص الحالات'!$B$2:$B$1001))-1),""),"")&amp;IF(SUMPRODUCT(('تشخيص الحالات'!$B$2:$B$1001=B786)*('تشخيص الحالات'!$G$2:$G$1001=7))&gt;0,"، "&amp;IFERROR(INDEX('تشخيص الحالات'!$D$2:$D$1001,SUMPRODUCT(('تشخيص الحالات'!$B$2:$B$1001=B786)*('تشخيص الحالات'!$G$2:$G$1001=7)*ROW('تشخيص الحالات'!$B$2:$B$1001))-1),""),"")&amp;IF(SUMPRODUCT(('تشخيص الحالات'!$B$2:$B$1001=B786)*('تشخيص الحالات'!$G$2:$G$1001=8))&gt;0,"، "&amp;IFERROR(INDEX('تشخيص الحالات'!$D$2:$D$1001,SUMPRODUCT(('تشخيص الحالات'!$B$2:$B$1001=B786)*('تشخيص الحالات'!$G$2:$G$1001=8)*ROW('تشخيص الحالات'!$B$2:$B$1001))-1),""),"")</f>
        <v/>
      </c>
      <c r="J786" s="1"/>
      <c r="K786" s="1"/>
      <c r="L786" s="1"/>
      <c r="M786" s="1"/>
    </row>
    <row r="787" spans="1:13" x14ac:dyDescent="0.2">
      <c r="A787" s="1"/>
      <c r="B787" s="1"/>
      <c r="C787" s="1"/>
      <c r="D787" s="1"/>
      <c r="E787" s="1"/>
      <c r="F787" s="1"/>
      <c r="G787" s="1"/>
      <c r="H787" s="1"/>
      <c r="I787" t="str">
        <f>IFERROR(INDEX('تشخيص الحالات'!$D$2:$D$1001,SUMPRODUCT(('تشخيص الحالات'!$B$2:$B$1001=B787)*('تشخيص الحالات'!$G$2:$G$1001=1)*ROW('تشخيص الحالات'!$B$2:$B$1001))-1),"")&amp;IF(SUMPRODUCT(('تشخيص الحالات'!$B$2:$B$1001=B787)*('تشخيص الحالات'!$G$2:$G$1001=2))&gt;0,"، "&amp;IFERROR(INDEX('تشخيص الحالات'!$D$2:$D$1001,SUMPRODUCT(('تشخيص الحالات'!$B$2:$B$1001=B787)*('تشخيص الحالات'!$G$2:$G$1001=2)*ROW('تشخيص الحالات'!$B$2:$B$1001))-1),""),"")&amp;IF(SUMPRODUCT(('تشخيص الحالات'!$B$2:$B$1001=B787)*('تشخيص الحالات'!$G$2:$G$1001=3))&gt;0,"، "&amp;IFERROR(INDEX('تشخيص الحالات'!$D$2:$D$1001,SUMPRODUCT(('تشخيص الحالات'!$B$2:$B$1001=B787)*('تشخيص الحالات'!$G$2:$G$1001=3)*ROW('تشخيص الحالات'!$B$2:$B$1001))-1),""),"")&amp;IF(SUMPRODUCT(('تشخيص الحالات'!$B$2:$B$1001=B787)*('تشخيص الحالات'!$G$2:$G$1001=4))&gt;0,"، "&amp;IFERROR(INDEX('تشخيص الحالات'!$D$2:$D$1001,SUMPRODUCT(('تشخيص الحالات'!$B$2:$B$1001=B787)*('تشخيص الحالات'!$G$2:$G$1001=4)*ROW('تشخيص الحالات'!$B$2:$B$1001))-1),""),"")&amp;IF(SUMPRODUCT(('تشخيص الحالات'!$B$2:$B$1001=B787)*('تشخيص الحالات'!$G$2:$G$1001=5))&gt;0,"، "&amp;IFERROR(INDEX('تشخيص الحالات'!$D$2:$D$1001,SUMPRODUCT(('تشخيص الحالات'!$B$2:$B$1001=B787)*('تشخيص الحالات'!$G$2:$G$1001=5)*ROW('تشخيص الحالات'!$B$2:$B$1001))-1),""),"")&amp;IF(SUMPRODUCT(('تشخيص الحالات'!$B$2:$B$1001=B787)*('تشخيص الحالات'!$G$2:$G$1001=6))&gt;0,"، "&amp;IFERROR(INDEX('تشخيص الحالات'!$D$2:$D$1001,SUMPRODUCT(('تشخيص الحالات'!$B$2:$B$1001=B787)*('تشخيص الحالات'!$G$2:$G$1001=6)*ROW('تشخيص الحالات'!$B$2:$B$1001))-1),""),"")&amp;IF(SUMPRODUCT(('تشخيص الحالات'!$B$2:$B$1001=B787)*('تشخيص الحالات'!$G$2:$G$1001=7))&gt;0,"، "&amp;IFERROR(INDEX('تشخيص الحالات'!$D$2:$D$1001,SUMPRODUCT(('تشخيص الحالات'!$B$2:$B$1001=B787)*('تشخيص الحالات'!$G$2:$G$1001=7)*ROW('تشخيص الحالات'!$B$2:$B$1001))-1),""),"")&amp;IF(SUMPRODUCT(('تشخيص الحالات'!$B$2:$B$1001=B787)*('تشخيص الحالات'!$G$2:$G$1001=8))&gt;0,"، "&amp;IFERROR(INDEX('تشخيص الحالات'!$D$2:$D$1001,SUMPRODUCT(('تشخيص الحالات'!$B$2:$B$1001=B787)*('تشخيص الحالات'!$G$2:$G$1001=8)*ROW('تشخيص الحالات'!$B$2:$B$1001))-1),""),"")</f>
        <v/>
      </c>
      <c r="J787" s="1"/>
      <c r="K787" s="1"/>
      <c r="L787" s="1"/>
      <c r="M787" s="1"/>
    </row>
    <row r="788" spans="1:13" x14ac:dyDescent="0.2">
      <c r="A788" s="1"/>
      <c r="B788" s="1"/>
      <c r="C788" s="1"/>
      <c r="D788" s="1"/>
      <c r="E788" s="1"/>
      <c r="F788" s="1"/>
      <c r="G788" s="1"/>
      <c r="H788" s="1"/>
      <c r="I788" t="str">
        <f>IFERROR(INDEX('تشخيص الحالات'!$D$2:$D$1001,SUMPRODUCT(('تشخيص الحالات'!$B$2:$B$1001=B788)*('تشخيص الحالات'!$G$2:$G$1001=1)*ROW('تشخيص الحالات'!$B$2:$B$1001))-1),"")&amp;IF(SUMPRODUCT(('تشخيص الحالات'!$B$2:$B$1001=B788)*('تشخيص الحالات'!$G$2:$G$1001=2))&gt;0,"، "&amp;IFERROR(INDEX('تشخيص الحالات'!$D$2:$D$1001,SUMPRODUCT(('تشخيص الحالات'!$B$2:$B$1001=B788)*('تشخيص الحالات'!$G$2:$G$1001=2)*ROW('تشخيص الحالات'!$B$2:$B$1001))-1),""),"")&amp;IF(SUMPRODUCT(('تشخيص الحالات'!$B$2:$B$1001=B788)*('تشخيص الحالات'!$G$2:$G$1001=3))&gt;0,"، "&amp;IFERROR(INDEX('تشخيص الحالات'!$D$2:$D$1001,SUMPRODUCT(('تشخيص الحالات'!$B$2:$B$1001=B788)*('تشخيص الحالات'!$G$2:$G$1001=3)*ROW('تشخيص الحالات'!$B$2:$B$1001))-1),""),"")&amp;IF(SUMPRODUCT(('تشخيص الحالات'!$B$2:$B$1001=B788)*('تشخيص الحالات'!$G$2:$G$1001=4))&gt;0,"، "&amp;IFERROR(INDEX('تشخيص الحالات'!$D$2:$D$1001,SUMPRODUCT(('تشخيص الحالات'!$B$2:$B$1001=B788)*('تشخيص الحالات'!$G$2:$G$1001=4)*ROW('تشخيص الحالات'!$B$2:$B$1001))-1),""),"")&amp;IF(SUMPRODUCT(('تشخيص الحالات'!$B$2:$B$1001=B788)*('تشخيص الحالات'!$G$2:$G$1001=5))&gt;0,"، "&amp;IFERROR(INDEX('تشخيص الحالات'!$D$2:$D$1001,SUMPRODUCT(('تشخيص الحالات'!$B$2:$B$1001=B788)*('تشخيص الحالات'!$G$2:$G$1001=5)*ROW('تشخيص الحالات'!$B$2:$B$1001))-1),""),"")&amp;IF(SUMPRODUCT(('تشخيص الحالات'!$B$2:$B$1001=B788)*('تشخيص الحالات'!$G$2:$G$1001=6))&gt;0,"، "&amp;IFERROR(INDEX('تشخيص الحالات'!$D$2:$D$1001,SUMPRODUCT(('تشخيص الحالات'!$B$2:$B$1001=B788)*('تشخيص الحالات'!$G$2:$G$1001=6)*ROW('تشخيص الحالات'!$B$2:$B$1001))-1),""),"")&amp;IF(SUMPRODUCT(('تشخيص الحالات'!$B$2:$B$1001=B788)*('تشخيص الحالات'!$G$2:$G$1001=7))&gt;0,"، "&amp;IFERROR(INDEX('تشخيص الحالات'!$D$2:$D$1001,SUMPRODUCT(('تشخيص الحالات'!$B$2:$B$1001=B788)*('تشخيص الحالات'!$G$2:$G$1001=7)*ROW('تشخيص الحالات'!$B$2:$B$1001))-1),""),"")&amp;IF(SUMPRODUCT(('تشخيص الحالات'!$B$2:$B$1001=B788)*('تشخيص الحالات'!$G$2:$G$1001=8))&gt;0,"، "&amp;IFERROR(INDEX('تشخيص الحالات'!$D$2:$D$1001,SUMPRODUCT(('تشخيص الحالات'!$B$2:$B$1001=B788)*('تشخيص الحالات'!$G$2:$G$1001=8)*ROW('تشخيص الحالات'!$B$2:$B$1001))-1),""),"")</f>
        <v/>
      </c>
      <c r="J788" s="1"/>
      <c r="K788" s="1"/>
      <c r="L788" s="1"/>
      <c r="M788" s="1"/>
    </row>
    <row r="789" spans="1:13" x14ac:dyDescent="0.2">
      <c r="A789" s="1"/>
      <c r="B789" s="1"/>
      <c r="C789" s="1"/>
      <c r="D789" s="1"/>
      <c r="E789" s="1"/>
      <c r="F789" s="1"/>
      <c r="G789" s="1"/>
      <c r="H789" s="1"/>
      <c r="I789" t="str">
        <f>IFERROR(INDEX('تشخيص الحالات'!$D$2:$D$1001,SUMPRODUCT(('تشخيص الحالات'!$B$2:$B$1001=B789)*('تشخيص الحالات'!$G$2:$G$1001=1)*ROW('تشخيص الحالات'!$B$2:$B$1001))-1),"")&amp;IF(SUMPRODUCT(('تشخيص الحالات'!$B$2:$B$1001=B789)*('تشخيص الحالات'!$G$2:$G$1001=2))&gt;0,"، "&amp;IFERROR(INDEX('تشخيص الحالات'!$D$2:$D$1001,SUMPRODUCT(('تشخيص الحالات'!$B$2:$B$1001=B789)*('تشخيص الحالات'!$G$2:$G$1001=2)*ROW('تشخيص الحالات'!$B$2:$B$1001))-1),""),"")&amp;IF(SUMPRODUCT(('تشخيص الحالات'!$B$2:$B$1001=B789)*('تشخيص الحالات'!$G$2:$G$1001=3))&gt;0,"، "&amp;IFERROR(INDEX('تشخيص الحالات'!$D$2:$D$1001,SUMPRODUCT(('تشخيص الحالات'!$B$2:$B$1001=B789)*('تشخيص الحالات'!$G$2:$G$1001=3)*ROW('تشخيص الحالات'!$B$2:$B$1001))-1),""),"")&amp;IF(SUMPRODUCT(('تشخيص الحالات'!$B$2:$B$1001=B789)*('تشخيص الحالات'!$G$2:$G$1001=4))&gt;0,"، "&amp;IFERROR(INDEX('تشخيص الحالات'!$D$2:$D$1001,SUMPRODUCT(('تشخيص الحالات'!$B$2:$B$1001=B789)*('تشخيص الحالات'!$G$2:$G$1001=4)*ROW('تشخيص الحالات'!$B$2:$B$1001))-1),""),"")&amp;IF(SUMPRODUCT(('تشخيص الحالات'!$B$2:$B$1001=B789)*('تشخيص الحالات'!$G$2:$G$1001=5))&gt;0,"، "&amp;IFERROR(INDEX('تشخيص الحالات'!$D$2:$D$1001,SUMPRODUCT(('تشخيص الحالات'!$B$2:$B$1001=B789)*('تشخيص الحالات'!$G$2:$G$1001=5)*ROW('تشخيص الحالات'!$B$2:$B$1001))-1),""),"")&amp;IF(SUMPRODUCT(('تشخيص الحالات'!$B$2:$B$1001=B789)*('تشخيص الحالات'!$G$2:$G$1001=6))&gt;0,"، "&amp;IFERROR(INDEX('تشخيص الحالات'!$D$2:$D$1001,SUMPRODUCT(('تشخيص الحالات'!$B$2:$B$1001=B789)*('تشخيص الحالات'!$G$2:$G$1001=6)*ROW('تشخيص الحالات'!$B$2:$B$1001))-1),""),"")&amp;IF(SUMPRODUCT(('تشخيص الحالات'!$B$2:$B$1001=B789)*('تشخيص الحالات'!$G$2:$G$1001=7))&gt;0,"، "&amp;IFERROR(INDEX('تشخيص الحالات'!$D$2:$D$1001,SUMPRODUCT(('تشخيص الحالات'!$B$2:$B$1001=B789)*('تشخيص الحالات'!$G$2:$G$1001=7)*ROW('تشخيص الحالات'!$B$2:$B$1001))-1),""),"")&amp;IF(SUMPRODUCT(('تشخيص الحالات'!$B$2:$B$1001=B789)*('تشخيص الحالات'!$G$2:$G$1001=8))&gt;0,"، "&amp;IFERROR(INDEX('تشخيص الحالات'!$D$2:$D$1001,SUMPRODUCT(('تشخيص الحالات'!$B$2:$B$1001=B789)*('تشخيص الحالات'!$G$2:$G$1001=8)*ROW('تشخيص الحالات'!$B$2:$B$1001))-1),""),"")</f>
        <v/>
      </c>
      <c r="J789" s="1"/>
      <c r="K789" s="1"/>
      <c r="L789" s="1"/>
      <c r="M789" s="1"/>
    </row>
    <row r="790" spans="1:13" x14ac:dyDescent="0.2">
      <c r="A790" s="1"/>
      <c r="B790" s="1"/>
      <c r="C790" s="1"/>
      <c r="D790" s="1"/>
      <c r="E790" s="1"/>
      <c r="F790" s="1"/>
      <c r="G790" s="1"/>
      <c r="H790" s="1"/>
      <c r="I790" t="str">
        <f>IFERROR(INDEX('تشخيص الحالات'!$D$2:$D$1001,SUMPRODUCT(('تشخيص الحالات'!$B$2:$B$1001=B790)*('تشخيص الحالات'!$G$2:$G$1001=1)*ROW('تشخيص الحالات'!$B$2:$B$1001))-1),"")&amp;IF(SUMPRODUCT(('تشخيص الحالات'!$B$2:$B$1001=B790)*('تشخيص الحالات'!$G$2:$G$1001=2))&gt;0,"، "&amp;IFERROR(INDEX('تشخيص الحالات'!$D$2:$D$1001,SUMPRODUCT(('تشخيص الحالات'!$B$2:$B$1001=B790)*('تشخيص الحالات'!$G$2:$G$1001=2)*ROW('تشخيص الحالات'!$B$2:$B$1001))-1),""),"")&amp;IF(SUMPRODUCT(('تشخيص الحالات'!$B$2:$B$1001=B790)*('تشخيص الحالات'!$G$2:$G$1001=3))&gt;0,"، "&amp;IFERROR(INDEX('تشخيص الحالات'!$D$2:$D$1001,SUMPRODUCT(('تشخيص الحالات'!$B$2:$B$1001=B790)*('تشخيص الحالات'!$G$2:$G$1001=3)*ROW('تشخيص الحالات'!$B$2:$B$1001))-1),""),"")&amp;IF(SUMPRODUCT(('تشخيص الحالات'!$B$2:$B$1001=B790)*('تشخيص الحالات'!$G$2:$G$1001=4))&gt;0,"، "&amp;IFERROR(INDEX('تشخيص الحالات'!$D$2:$D$1001,SUMPRODUCT(('تشخيص الحالات'!$B$2:$B$1001=B790)*('تشخيص الحالات'!$G$2:$G$1001=4)*ROW('تشخيص الحالات'!$B$2:$B$1001))-1),""),"")&amp;IF(SUMPRODUCT(('تشخيص الحالات'!$B$2:$B$1001=B790)*('تشخيص الحالات'!$G$2:$G$1001=5))&gt;0,"، "&amp;IFERROR(INDEX('تشخيص الحالات'!$D$2:$D$1001,SUMPRODUCT(('تشخيص الحالات'!$B$2:$B$1001=B790)*('تشخيص الحالات'!$G$2:$G$1001=5)*ROW('تشخيص الحالات'!$B$2:$B$1001))-1),""),"")&amp;IF(SUMPRODUCT(('تشخيص الحالات'!$B$2:$B$1001=B790)*('تشخيص الحالات'!$G$2:$G$1001=6))&gt;0,"، "&amp;IFERROR(INDEX('تشخيص الحالات'!$D$2:$D$1001,SUMPRODUCT(('تشخيص الحالات'!$B$2:$B$1001=B790)*('تشخيص الحالات'!$G$2:$G$1001=6)*ROW('تشخيص الحالات'!$B$2:$B$1001))-1),""),"")&amp;IF(SUMPRODUCT(('تشخيص الحالات'!$B$2:$B$1001=B790)*('تشخيص الحالات'!$G$2:$G$1001=7))&gt;0,"، "&amp;IFERROR(INDEX('تشخيص الحالات'!$D$2:$D$1001,SUMPRODUCT(('تشخيص الحالات'!$B$2:$B$1001=B790)*('تشخيص الحالات'!$G$2:$G$1001=7)*ROW('تشخيص الحالات'!$B$2:$B$1001))-1),""),"")&amp;IF(SUMPRODUCT(('تشخيص الحالات'!$B$2:$B$1001=B790)*('تشخيص الحالات'!$G$2:$G$1001=8))&gt;0,"، "&amp;IFERROR(INDEX('تشخيص الحالات'!$D$2:$D$1001,SUMPRODUCT(('تشخيص الحالات'!$B$2:$B$1001=B790)*('تشخيص الحالات'!$G$2:$G$1001=8)*ROW('تشخيص الحالات'!$B$2:$B$1001))-1),""),"")</f>
        <v/>
      </c>
      <c r="J790" s="1"/>
      <c r="K790" s="1"/>
      <c r="L790" s="1"/>
      <c r="M790" s="1"/>
    </row>
    <row r="791" spans="1:13" x14ac:dyDescent="0.2">
      <c r="A791" s="1"/>
      <c r="B791" s="1"/>
      <c r="C791" s="1"/>
      <c r="D791" s="1"/>
      <c r="E791" s="1"/>
      <c r="F791" s="1"/>
      <c r="G791" s="1"/>
      <c r="H791" s="1"/>
      <c r="I791" t="str">
        <f>IFERROR(INDEX('تشخيص الحالات'!$D$2:$D$1001,SUMPRODUCT(('تشخيص الحالات'!$B$2:$B$1001=B791)*('تشخيص الحالات'!$G$2:$G$1001=1)*ROW('تشخيص الحالات'!$B$2:$B$1001))-1),"")&amp;IF(SUMPRODUCT(('تشخيص الحالات'!$B$2:$B$1001=B791)*('تشخيص الحالات'!$G$2:$G$1001=2))&gt;0,"، "&amp;IFERROR(INDEX('تشخيص الحالات'!$D$2:$D$1001,SUMPRODUCT(('تشخيص الحالات'!$B$2:$B$1001=B791)*('تشخيص الحالات'!$G$2:$G$1001=2)*ROW('تشخيص الحالات'!$B$2:$B$1001))-1),""),"")&amp;IF(SUMPRODUCT(('تشخيص الحالات'!$B$2:$B$1001=B791)*('تشخيص الحالات'!$G$2:$G$1001=3))&gt;0,"، "&amp;IFERROR(INDEX('تشخيص الحالات'!$D$2:$D$1001,SUMPRODUCT(('تشخيص الحالات'!$B$2:$B$1001=B791)*('تشخيص الحالات'!$G$2:$G$1001=3)*ROW('تشخيص الحالات'!$B$2:$B$1001))-1),""),"")&amp;IF(SUMPRODUCT(('تشخيص الحالات'!$B$2:$B$1001=B791)*('تشخيص الحالات'!$G$2:$G$1001=4))&gt;0,"، "&amp;IFERROR(INDEX('تشخيص الحالات'!$D$2:$D$1001,SUMPRODUCT(('تشخيص الحالات'!$B$2:$B$1001=B791)*('تشخيص الحالات'!$G$2:$G$1001=4)*ROW('تشخيص الحالات'!$B$2:$B$1001))-1),""),"")&amp;IF(SUMPRODUCT(('تشخيص الحالات'!$B$2:$B$1001=B791)*('تشخيص الحالات'!$G$2:$G$1001=5))&gt;0,"، "&amp;IFERROR(INDEX('تشخيص الحالات'!$D$2:$D$1001,SUMPRODUCT(('تشخيص الحالات'!$B$2:$B$1001=B791)*('تشخيص الحالات'!$G$2:$G$1001=5)*ROW('تشخيص الحالات'!$B$2:$B$1001))-1),""),"")&amp;IF(SUMPRODUCT(('تشخيص الحالات'!$B$2:$B$1001=B791)*('تشخيص الحالات'!$G$2:$G$1001=6))&gt;0,"، "&amp;IFERROR(INDEX('تشخيص الحالات'!$D$2:$D$1001,SUMPRODUCT(('تشخيص الحالات'!$B$2:$B$1001=B791)*('تشخيص الحالات'!$G$2:$G$1001=6)*ROW('تشخيص الحالات'!$B$2:$B$1001))-1),""),"")&amp;IF(SUMPRODUCT(('تشخيص الحالات'!$B$2:$B$1001=B791)*('تشخيص الحالات'!$G$2:$G$1001=7))&gt;0,"، "&amp;IFERROR(INDEX('تشخيص الحالات'!$D$2:$D$1001,SUMPRODUCT(('تشخيص الحالات'!$B$2:$B$1001=B791)*('تشخيص الحالات'!$G$2:$G$1001=7)*ROW('تشخيص الحالات'!$B$2:$B$1001))-1),""),"")&amp;IF(SUMPRODUCT(('تشخيص الحالات'!$B$2:$B$1001=B791)*('تشخيص الحالات'!$G$2:$G$1001=8))&gt;0,"، "&amp;IFERROR(INDEX('تشخيص الحالات'!$D$2:$D$1001,SUMPRODUCT(('تشخيص الحالات'!$B$2:$B$1001=B791)*('تشخيص الحالات'!$G$2:$G$1001=8)*ROW('تشخيص الحالات'!$B$2:$B$1001))-1),""),"")</f>
        <v/>
      </c>
      <c r="J791" s="1"/>
      <c r="K791" s="1"/>
      <c r="L791" s="1"/>
      <c r="M791" s="1"/>
    </row>
    <row r="792" spans="1:13" x14ac:dyDescent="0.2">
      <c r="A792" s="1"/>
      <c r="B792" s="1"/>
      <c r="C792" s="1"/>
      <c r="D792" s="1"/>
      <c r="E792" s="1"/>
      <c r="F792" s="1"/>
      <c r="G792" s="1"/>
      <c r="H792" s="1"/>
      <c r="I792" t="str">
        <f>IFERROR(INDEX('تشخيص الحالات'!$D$2:$D$1001,SUMPRODUCT(('تشخيص الحالات'!$B$2:$B$1001=B792)*('تشخيص الحالات'!$G$2:$G$1001=1)*ROW('تشخيص الحالات'!$B$2:$B$1001))-1),"")&amp;IF(SUMPRODUCT(('تشخيص الحالات'!$B$2:$B$1001=B792)*('تشخيص الحالات'!$G$2:$G$1001=2))&gt;0,"، "&amp;IFERROR(INDEX('تشخيص الحالات'!$D$2:$D$1001,SUMPRODUCT(('تشخيص الحالات'!$B$2:$B$1001=B792)*('تشخيص الحالات'!$G$2:$G$1001=2)*ROW('تشخيص الحالات'!$B$2:$B$1001))-1),""),"")&amp;IF(SUMPRODUCT(('تشخيص الحالات'!$B$2:$B$1001=B792)*('تشخيص الحالات'!$G$2:$G$1001=3))&gt;0,"، "&amp;IFERROR(INDEX('تشخيص الحالات'!$D$2:$D$1001,SUMPRODUCT(('تشخيص الحالات'!$B$2:$B$1001=B792)*('تشخيص الحالات'!$G$2:$G$1001=3)*ROW('تشخيص الحالات'!$B$2:$B$1001))-1),""),"")&amp;IF(SUMPRODUCT(('تشخيص الحالات'!$B$2:$B$1001=B792)*('تشخيص الحالات'!$G$2:$G$1001=4))&gt;0,"، "&amp;IFERROR(INDEX('تشخيص الحالات'!$D$2:$D$1001,SUMPRODUCT(('تشخيص الحالات'!$B$2:$B$1001=B792)*('تشخيص الحالات'!$G$2:$G$1001=4)*ROW('تشخيص الحالات'!$B$2:$B$1001))-1),""),"")&amp;IF(SUMPRODUCT(('تشخيص الحالات'!$B$2:$B$1001=B792)*('تشخيص الحالات'!$G$2:$G$1001=5))&gt;0,"، "&amp;IFERROR(INDEX('تشخيص الحالات'!$D$2:$D$1001,SUMPRODUCT(('تشخيص الحالات'!$B$2:$B$1001=B792)*('تشخيص الحالات'!$G$2:$G$1001=5)*ROW('تشخيص الحالات'!$B$2:$B$1001))-1),""),"")&amp;IF(SUMPRODUCT(('تشخيص الحالات'!$B$2:$B$1001=B792)*('تشخيص الحالات'!$G$2:$G$1001=6))&gt;0,"، "&amp;IFERROR(INDEX('تشخيص الحالات'!$D$2:$D$1001,SUMPRODUCT(('تشخيص الحالات'!$B$2:$B$1001=B792)*('تشخيص الحالات'!$G$2:$G$1001=6)*ROW('تشخيص الحالات'!$B$2:$B$1001))-1),""),"")&amp;IF(SUMPRODUCT(('تشخيص الحالات'!$B$2:$B$1001=B792)*('تشخيص الحالات'!$G$2:$G$1001=7))&gt;0,"، "&amp;IFERROR(INDEX('تشخيص الحالات'!$D$2:$D$1001,SUMPRODUCT(('تشخيص الحالات'!$B$2:$B$1001=B792)*('تشخيص الحالات'!$G$2:$G$1001=7)*ROW('تشخيص الحالات'!$B$2:$B$1001))-1),""),"")&amp;IF(SUMPRODUCT(('تشخيص الحالات'!$B$2:$B$1001=B792)*('تشخيص الحالات'!$G$2:$G$1001=8))&gt;0,"، "&amp;IFERROR(INDEX('تشخيص الحالات'!$D$2:$D$1001,SUMPRODUCT(('تشخيص الحالات'!$B$2:$B$1001=B792)*('تشخيص الحالات'!$G$2:$G$1001=8)*ROW('تشخيص الحالات'!$B$2:$B$1001))-1),""),"")</f>
        <v/>
      </c>
      <c r="J792" s="1"/>
      <c r="K792" s="1"/>
      <c r="L792" s="1"/>
      <c r="M792" s="1"/>
    </row>
    <row r="793" spans="1:13" x14ac:dyDescent="0.2">
      <c r="A793" s="1"/>
      <c r="B793" s="1"/>
      <c r="C793" s="1"/>
      <c r="D793" s="1"/>
      <c r="E793" s="1"/>
      <c r="F793" s="1"/>
      <c r="G793" s="1"/>
      <c r="H793" s="1"/>
      <c r="I793" t="str">
        <f>IFERROR(INDEX('تشخيص الحالات'!$D$2:$D$1001,SUMPRODUCT(('تشخيص الحالات'!$B$2:$B$1001=B793)*('تشخيص الحالات'!$G$2:$G$1001=1)*ROW('تشخيص الحالات'!$B$2:$B$1001))-1),"")&amp;IF(SUMPRODUCT(('تشخيص الحالات'!$B$2:$B$1001=B793)*('تشخيص الحالات'!$G$2:$G$1001=2))&gt;0,"، "&amp;IFERROR(INDEX('تشخيص الحالات'!$D$2:$D$1001,SUMPRODUCT(('تشخيص الحالات'!$B$2:$B$1001=B793)*('تشخيص الحالات'!$G$2:$G$1001=2)*ROW('تشخيص الحالات'!$B$2:$B$1001))-1),""),"")&amp;IF(SUMPRODUCT(('تشخيص الحالات'!$B$2:$B$1001=B793)*('تشخيص الحالات'!$G$2:$G$1001=3))&gt;0,"، "&amp;IFERROR(INDEX('تشخيص الحالات'!$D$2:$D$1001,SUMPRODUCT(('تشخيص الحالات'!$B$2:$B$1001=B793)*('تشخيص الحالات'!$G$2:$G$1001=3)*ROW('تشخيص الحالات'!$B$2:$B$1001))-1),""),"")&amp;IF(SUMPRODUCT(('تشخيص الحالات'!$B$2:$B$1001=B793)*('تشخيص الحالات'!$G$2:$G$1001=4))&gt;0,"، "&amp;IFERROR(INDEX('تشخيص الحالات'!$D$2:$D$1001,SUMPRODUCT(('تشخيص الحالات'!$B$2:$B$1001=B793)*('تشخيص الحالات'!$G$2:$G$1001=4)*ROW('تشخيص الحالات'!$B$2:$B$1001))-1),""),"")&amp;IF(SUMPRODUCT(('تشخيص الحالات'!$B$2:$B$1001=B793)*('تشخيص الحالات'!$G$2:$G$1001=5))&gt;0,"، "&amp;IFERROR(INDEX('تشخيص الحالات'!$D$2:$D$1001,SUMPRODUCT(('تشخيص الحالات'!$B$2:$B$1001=B793)*('تشخيص الحالات'!$G$2:$G$1001=5)*ROW('تشخيص الحالات'!$B$2:$B$1001))-1),""),"")&amp;IF(SUMPRODUCT(('تشخيص الحالات'!$B$2:$B$1001=B793)*('تشخيص الحالات'!$G$2:$G$1001=6))&gt;0,"، "&amp;IFERROR(INDEX('تشخيص الحالات'!$D$2:$D$1001,SUMPRODUCT(('تشخيص الحالات'!$B$2:$B$1001=B793)*('تشخيص الحالات'!$G$2:$G$1001=6)*ROW('تشخيص الحالات'!$B$2:$B$1001))-1),""),"")&amp;IF(SUMPRODUCT(('تشخيص الحالات'!$B$2:$B$1001=B793)*('تشخيص الحالات'!$G$2:$G$1001=7))&gt;0,"، "&amp;IFERROR(INDEX('تشخيص الحالات'!$D$2:$D$1001,SUMPRODUCT(('تشخيص الحالات'!$B$2:$B$1001=B793)*('تشخيص الحالات'!$G$2:$G$1001=7)*ROW('تشخيص الحالات'!$B$2:$B$1001))-1),""),"")&amp;IF(SUMPRODUCT(('تشخيص الحالات'!$B$2:$B$1001=B793)*('تشخيص الحالات'!$G$2:$G$1001=8))&gt;0,"، "&amp;IFERROR(INDEX('تشخيص الحالات'!$D$2:$D$1001,SUMPRODUCT(('تشخيص الحالات'!$B$2:$B$1001=B793)*('تشخيص الحالات'!$G$2:$G$1001=8)*ROW('تشخيص الحالات'!$B$2:$B$1001))-1),""),"")</f>
        <v/>
      </c>
      <c r="J793" s="1"/>
      <c r="K793" s="1"/>
      <c r="L793" s="1"/>
      <c r="M793" s="1"/>
    </row>
    <row r="794" spans="1:13" x14ac:dyDescent="0.2">
      <c r="A794" s="1"/>
      <c r="B794" s="1"/>
      <c r="C794" s="1"/>
      <c r="D794" s="1"/>
      <c r="E794" s="1"/>
      <c r="F794" s="1"/>
      <c r="G794" s="1"/>
      <c r="H794" s="1"/>
      <c r="I794" t="str">
        <f>IFERROR(INDEX('تشخيص الحالات'!$D$2:$D$1001,SUMPRODUCT(('تشخيص الحالات'!$B$2:$B$1001=B794)*('تشخيص الحالات'!$G$2:$G$1001=1)*ROW('تشخيص الحالات'!$B$2:$B$1001))-1),"")&amp;IF(SUMPRODUCT(('تشخيص الحالات'!$B$2:$B$1001=B794)*('تشخيص الحالات'!$G$2:$G$1001=2))&gt;0,"، "&amp;IFERROR(INDEX('تشخيص الحالات'!$D$2:$D$1001,SUMPRODUCT(('تشخيص الحالات'!$B$2:$B$1001=B794)*('تشخيص الحالات'!$G$2:$G$1001=2)*ROW('تشخيص الحالات'!$B$2:$B$1001))-1),""),"")&amp;IF(SUMPRODUCT(('تشخيص الحالات'!$B$2:$B$1001=B794)*('تشخيص الحالات'!$G$2:$G$1001=3))&gt;0,"، "&amp;IFERROR(INDEX('تشخيص الحالات'!$D$2:$D$1001,SUMPRODUCT(('تشخيص الحالات'!$B$2:$B$1001=B794)*('تشخيص الحالات'!$G$2:$G$1001=3)*ROW('تشخيص الحالات'!$B$2:$B$1001))-1),""),"")&amp;IF(SUMPRODUCT(('تشخيص الحالات'!$B$2:$B$1001=B794)*('تشخيص الحالات'!$G$2:$G$1001=4))&gt;0,"، "&amp;IFERROR(INDEX('تشخيص الحالات'!$D$2:$D$1001,SUMPRODUCT(('تشخيص الحالات'!$B$2:$B$1001=B794)*('تشخيص الحالات'!$G$2:$G$1001=4)*ROW('تشخيص الحالات'!$B$2:$B$1001))-1),""),"")&amp;IF(SUMPRODUCT(('تشخيص الحالات'!$B$2:$B$1001=B794)*('تشخيص الحالات'!$G$2:$G$1001=5))&gt;0,"، "&amp;IFERROR(INDEX('تشخيص الحالات'!$D$2:$D$1001,SUMPRODUCT(('تشخيص الحالات'!$B$2:$B$1001=B794)*('تشخيص الحالات'!$G$2:$G$1001=5)*ROW('تشخيص الحالات'!$B$2:$B$1001))-1),""),"")&amp;IF(SUMPRODUCT(('تشخيص الحالات'!$B$2:$B$1001=B794)*('تشخيص الحالات'!$G$2:$G$1001=6))&gt;0,"، "&amp;IFERROR(INDEX('تشخيص الحالات'!$D$2:$D$1001,SUMPRODUCT(('تشخيص الحالات'!$B$2:$B$1001=B794)*('تشخيص الحالات'!$G$2:$G$1001=6)*ROW('تشخيص الحالات'!$B$2:$B$1001))-1),""),"")&amp;IF(SUMPRODUCT(('تشخيص الحالات'!$B$2:$B$1001=B794)*('تشخيص الحالات'!$G$2:$G$1001=7))&gt;0,"، "&amp;IFERROR(INDEX('تشخيص الحالات'!$D$2:$D$1001,SUMPRODUCT(('تشخيص الحالات'!$B$2:$B$1001=B794)*('تشخيص الحالات'!$G$2:$G$1001=7)*ROW('تشخيص الحالات'!$B$2:$B$1001))-1),""),"")&amp;IF(SUMPRODUCT(('تشخيص الحالات'!$B$2:$B$1001=B794)*('تشخيص الحالات'!$G$2:$G$1001=8))&gt;0,"، "&amp;IFERROR(INDEX('تشخيص الحالات'!$D$2:$D$1001,SUMPRODUCT(('تشخيص الحالات'!$B$2:$B$1001=B794)*('تشخيص الحالات'!$G$2:$G$1001=8)*ROW('تشخيص الحالات'!$B$2:$B$1001))-1),""),"")</f>
        <v/>
      </c>
      <c r="J794" s="1"/>
      <c r="K794" s="1"/>
      <c r="L794" s="1"/>
      <c r="M794" s="1"/>
    </row>
    <row r="795" spans="1:13" x14ac:dyDescent="0.2">
      <c r="A795" s="1"/>
      <c r="B795" s="1"/>
      <c r="C795" s="1"/>
      <c r="D795" s="1"/>
      <c r="E795" s="1"/>
      <c r="F795" s="1"/>
      <c r="G795" s="1"/>
      <c r="H795" s="1"/>
      <c r="I795" t="str">
        <f>IFERROR(INDEX('تشخيص الحالات'!$D$2:$D$1001,SUMPRODUCT(('تشخيص الحالات'!$B$2:$B$1001=B795)*('تشخيص الحالات'!$G$2:$G$1001=1)*ROW('تشخيص الحالات'!$B$2:$B$1001))-1),"")&amp;IF(SUMPRODUCT(('تشخيص الحالات'!$B$2:$B$1001=B795)*('تشخيص الحالات'!$G$2:$G$1001=2))&gt;0,"، "&amp;IFERROR(INDEX('تشخيص الحالات'!$D$2:$D$1001,SUMPRODUCT(('تشخيص الحالات'!$B$2:$B$1001=B795)*('تشخيص الحالات'!$G$2:$G$1001=2)*ROW('تشخيص الحالات'!$B$2:$B$1001))-1),""),"")&amp;IF(SUMPRODUCT(('تشخيص الحالات'!$B$2:$B$1001=B795)*('تشخيص الحالات'!$G$2:$G$1001=3))&gt;0,"، "&amp;IFERROR(INDEX('تشخيص الحالات'!$D$2:$D$1001,SUMPRODUCT(('تشخيص الحالات'!$B$2:$B$1001=B795)*('تشخيص الحالات'!$G$2:$G$1001=3)*ROW('تشخيص الحالات'!$B$2:$B$1001))-1),""),"")&amp;IF(SUMPRODUCT(('تشخيص الحالات'!$B$2:$B$1001=B795)*('تشخيص الحالات'!$G$2:$G$1001=4))&gt;0,"، "&amp;IFERROR(INDEX('تشخيص الحالات'!$D$2:$D$1001,SUMPRODUCT(('تشخيص الحالات'!$B$2:$B$1001=B795)*('تشخيص الحالات'!$G$2:$G$1001=4)*ROW('تشخيص الحالات'!$B$2:$B$1001))-1),""),"")&amp;IF(SUMPRODUCT(('تشخيص الحالات'!$B$2:$B$1001=B795)*('تشخيص الحالات'!$G$2:$G$1001=5))&gt;0,"، "&amp;IFERROR(INDEX('تشخيص الحالات'!$D$2:$D$1001,SUMPRODUCT(('تشخيص الحالات'!$B$2:$B$1001=B795)*('تشخيص الحالات'!$G$2:$G$1001=5)*ROW('تشخيص الحالات'!$B$2:$B$1001))-1),""),"")&amp;IF(SUMPRODUCT(('تشخيص الحالات'!$B$2:$B$1001=B795)*('تشخيص الحالات'!$G$2:$G$1001=6))&gt;0,"، "&amp;IFERROR(INDEX('تشخيص الحالات'!$D$2:$D$1001,SUMPRODUCT(('تشخيص الحالات'!$B$2:$B$1001=B795)*('تشخيص الحالات'!$G$2:$G$1001=6)*ROW('تشخيص الحالات'!$B$2:$B$1001))-1),""),"")&amp;IF(SUMPRODUCT(('تشخيص الحالات'!$B$2:$B$1001=B795)*('تشخيص الحالات'!$G$2:$G$1001=7))&gt;0,"، "&amp;IFERROR(INDEX('تشخيص الحالات'!$D$2:$D$1001,SUMPRODUCT(('تشخيص الحالات'!$B$2:$B$1001=B795)*('تشخيص الحالات'!$G$2:$G$1001=7)*ROW('تشخيص الحالات'!$B$2:$B$1001))-1),""),"")&amp;IF(SUMPRODUCT(('تشخيص الحالات'!$B$2:$B$1001=B795)*('تشخيص الحالات'!$G$2:$G$1001=8))&gt;0,"، "&amp;IFERROR(INDEX('تشخيص الحالات'!$D$2:$D$1001,SUMPRODUCT(('تشخيص الحالات'!$B$2:$B$1001=B795)*('تشخيص الحالات'!$G$2:$G$1001=8)*ROW('تشخيص الحالات'!$B$2:$B$1001))-1),""),"")</f>
        <v/>
      </c>
      <c r="J795" s="1"/>
      <c r="K795" s="1"/>
      <c r="L795" s="1"/>
      <c r="M795" s="1"/>
    </row>
    <row r="796" spans="1:13" x14ac:dyDescent="0.2">
      <c r="A796" s="1"/>
      <c r="B796" s="1"/>
      <c r="C796" s="1"/>
      <c r="D796" s="1"/>
      <c r="E796" s="1"/>
      <c r="F796" s="1"/>
      <c r="G796" s="1"/>
      <c r="H796" s="1"/>
      <c r="I796" t="str">
        <f>IFERROR(INDEX('تشخيص الحالات'!$D$2:$D$1001,SUMPRODUCT(('تشخيص الحالات'!$B$2:$B$1001=B796)*('تشخيص الحالات'!$G$2:$G$1001=1)*ROW('تشخيص الحالات'!$B$2:$B$1001))-1),"")&amp;IF(SUMPRODUCT(('تشخيص الحالات'!$B$2:$B$1001=B796)*('تشخيص الحالات'!$G$2:$G$1001=2))&gt;0,"، "&amp;IFERROR(INDEX('تشخيص الحالات'!$D$2:$D$1001,SUMPRODUCT(('تشخيص الحالات'!$B$2:$B$1001=B796)*('تشخيص الحالات'!$G$2:$G$1001=2)*ROW('تشخيص الحالات'!$B$2:$B$1001))-1),""),"")&amp;IF(SUMPRODUCT(('تشخيص الحالات'!$B$2:$B$1001=B796)*('تشخيص الحالات'!$G$2:$G$1001=3))&gt;0,"، "&amp;IFERROR(INDEX('تشخيص الحالات'!$D$2:$D$1001,SUMPRODUCT(('تشخيص الحالات'!$B$2:$B$1001=B796)*('تشخيص الحالات'!$G$2:$G$1001=3)*ROW('تشخيص الحالات'!$B$2:$B$1001))-1),""),"")&amp;IF(SUMPRODUCT(('تشخيص الحالات'!$B$2:$B$1001=B796)*('تشخيص الحالات'!$G$2:$G$1001=4))&gt;0,"، "&amp;IFERROR(INDEX('تشخيص الحالات'!$D$2:$D$1001,SUMPRODUCT(('تشخيص الحالات'!$B$2:$B$1001=B796)*('تشخيص الحالات'!$G$2:$G$1001=4)*ROW('تشخيص الحالات'!$B$2:$B$1001))-1),""),"")&amp;IF(SUMPRODUCT(('تشخيص الحالات'!$B$2:$B$1001=B796)*('تشخيص الحالات'!$G$2:$G$1001=5))&gt;0,"، "&amp;IFERROR(INDEX('تشخيص الحالات'!$D$2:$D$1001,SUMPRODUCT(('تشخيص الحالات'!$B$2:$B$1001=B796)*('تشخيص الحالات'!$G$2:$G$1001=5)*ROW('تشخيص الحالات'!$B$2:$B$1001))-1),""),"")&amp;IF(SUMPRODUCT(('تشخيص الحالات'!$B$2:$B$1001=B796)*('تشخيص الحالات'!$G$2:$G$1001=6))&gt;0,"، "&amp;IFERROR(INDEX('تشخيص الحالات'!$D$2:$D$1001,SUMPRODUCT(('تشخيص الحالات'!$B$2:$B$1001=B796)*('تشخيص الحالات'!$G$2:$G$1001=6)*ROW('تشخيص الحالات'!$B$2:$B$1001))-1),""),"")&amp;IF(SUMPRODUCT(('تشخيص الحالات'!$B$2:$B$1001=B796)*('تشخيص الحالات'!$G$2:$G$1001=7))&gt;0,"، "&amp;IFERROR(INDEX('تشخيص الحالات'!$D$2:$D$1001,SUMPRODUCT(('تشخيص الحالات'!$B$2:$B$1001=B796)*('تشخيص الحالات'!$G$2:$G$1001=7)*ROW('تشخيص الحالات'!$B$2:$B$1001))-1),""),"")&amp;IF(SUMPRODUCT(('تشخيص الحالات'!$B$2:$B$1001=B796)*('تشخيص الحالات'!$G$2:$G$1001=8))&gt;0,"، "&amp;IFERROR(INDEX('تشخيص الحالات'!$D$2:$D$1001,SUMPRODUCT(('تشخيص الحالات'!$B$2:$B$1001=B796)*('تشخيص الحالات'!$G$2:$G$1001=8)*ROW('تشخيص الحالات'!$B$2:$B$1001))-1),""),"")</f>
        <v/>
      </c>
      <c r="J796" s="1"/>
      <c r="K796" s="1"/>
      <c r="L796" s="1"/>
      <c r="M796" s="1"/>
    </row>
    <row r="797" spans="1:13" x14ac:dyDescent="0.2">
      <c r="A797" s="1"/>
      <c r="B797" s="1"/>
      <c r="C797" s="1"/>
      <c r="D797" s="1"/>
      <c r="E797" s="1"/>
      <c r="F797" s="1"/>
      <c r="G797" s="1"/>
      <c r="H797" s="1"/>
      <c r="I797" t="str">
        <f>IFERROR(INDEX('تشخيص الحالات'!$D$2:$D$1001,SUMPRODUCT(('تشخيص الحالات'!$B$2:$B$1001=B797)*('تشخيص الحالات'!$G$2:$G$1001=1)*ROW('تشخيص الحالات'!$B$2:$B$1001))-1),"")&amp;IF(SUMPRODUCT(('تشخيص الحالات'!$B$2:$B$1001=B797)*('تشخيص الحالات'!$G$2:$G$1001=2))&gt;0,"، "&amp;IFERROR(INDEX('تشخيص الحالات'!$D$2:$D$1001,SUMPRODUCT(('تشخيص الحالات'!$B$2:$B$1001=B797)*('تشخيص الحالات'!$G$2:$G$1001=2)*ROW('تشخيص الحالات'!$B$2:$B$1001))-1),""),"")&amp;IF(SUMPRODUCT(('تشخيص الحالات'!$B$2:$B$1001=B797)*('تشخيص الحالات'!$G$2:$G$1001=3))&gt;0,"، "&amp;IFERROR(INDEX('تشخيص الحالات'!$D$2:$D$1001,SUMPRODUCT(('تشخيص الحالات'!$B$2:$B$1001=B797)*('تشخيص الحالات'!$G$2:$G$1001=3)*ROW('تشخيص الحالات'!$B$2:$B$1001))-1),""),"")&amp;IF(SUMPRODUCT(('تشخيص الحالات'!$B$2:$B$1001=B797)*('تشخيص الحالات'!$G$2:$G$1001=4))&gt;0,"، "&amp;IFERROR(INDEX('تشخيص الحالات'!$D$2:$D$1001,SUMPRODUCT(('تشخيص الحالات'!$B$2:$B$1001=B797)*('تشخيص الحالات'!$G$2:$G$1001=4)*ROW('تشخيص الحالات'!$B$2:$B$1001))-1),""),"")&amp;IF(SUMPRODUCT(('تشخيص الحالات'!$B$2:$B$1001=B797)*('تشخيص الحالات'!$G$2:$G$1001=5))&gt;0,"، "&amp;IFERROR(INDEX('تشخيص الحالات'!$D$2:$D$1001,SUMPRODUCT(('تشخيص الحالات'!$B$2:$B$1001=B797)*('تشخيص الحالات'!$G$2:$G$1001=5)*ROW('تشخيص الحالات'!$B$2:$B$1001))-1),""),"")&amp;IF(SUMPRODUCT(('تشخيص الحالات'!$B$2:$B$1001=B797)*('تشخيص الحالات'!$G$2:$G$1001=6))&gt;0,"، "&amp;IFERROR(INDEX('تشخيص الحالات'!$D$2:$D$1001,SUMPRODUCT(('تشخيص الحالات'!$B$2:$B$1001=B797)*('تشخيص الحالات'!$G$2:$G$1001=6)*ROW('تشخيص الحالات'!$B$2:$B$1001))-1),""),"")&amp;IF(SUMPRODUCT(('تشخيص الحالات'!$B$2:$B$1001=B797)*('تشخيص الحالات'!$G$2:$G$1001=7))&gt;0,"، "&amp;IFERROR(INDEX('تشخيص الحالات'!$D$2:$D$1001,SUMPRODUCT(('تشخيص الحالات'!$B$2:$B$1001=B797)*('تشخيص الحالات'!$G$2:$G$1001=7)*ROW('تشخيص الحالات'!$B$2:$B$1001))-1),""),"")&amp;IF(SUMPRODUCT(('تشخيص الحالات'!$B$2:$B$1001=B797)*('تشخيص الحالات'!$G$2:$G$1001=8))&gt;0,"، "&amp;IFERROR(INDEX('تشخيص الحالات'!$D$2:$D$1001,SUMPRODUCT(('تشخيص الحالات'!$B$2:$B$1001=B797)*('تشخيص الحالات'!$G$2:$G$1001=8)*ROW('تشخيص الحالات'!$B$2:$B$1001))-1),""),"")</f>
        <v/>
      </c>
      <c r="J797" s="1"/>
      <c r="K797" s="1"/>
      <c r="L797" s="1"/>
      <c r="M797" s="1"/>
    </row>
    <row r="798" spans="1:13" x14ac:dyDescent="0.2">
      <c r="A798" s="1"/>
      <c r="B798" s="1"/>
      <c r="C798" s="1"/>
      <c r="D798" s="1"/>
      <c r="E798" s="1"/>
      <c r="F798" s="1"/>
      <c r="G798" s="1"/>
      <c r="H798" s="1"/>
      <c r="I798" t="str">
        <f>IFERROR(INDEX('تشخيص الحالات'!$D$2:$D$1001,SUMPRODUCT(('تشخيص الحالات'!$B$2:$B$1001=B798)*('تشخيص الحالات'!$G$2:$G$1001=1)*ROW('تشخيص الحالات'!$B$2:$B$1001))-1),"")&amp;IF(SUMPRODUCT(('تشخيص الحالات'!$B$2:$B$1001=B798)*('تشخيص الحالات'!$G$2:$G$1001=2))&gt;0,"، "&amp;IFERROR(INDEX('تشخيص الحالات'!$D$2:$D$1001,SUMPRODUCT(('تشخيص الحالات'!$B$2:$B$1001=B798)*('تشخيص الحالات'!$G$2:$G$1001=2)*ROW('تشخيص الحالات'!$B$2:$B$1001))-1),""),"")&amp;IF(SUMPRODUCT(('تشخيص الحالات'!$B$2:$B$1001=B798)*('تشخيص الحالات'!$G$2:$G$1001=3))&gt;0,"، "&amp;IFERROR(INDEX('تشخيص الحالات'!$D$2:$D$1001,SUMPRODUCT(('تشخيص الحالات'!$B$2:$B$1001=B798)*('تشخيص الحالات'!$G$2:$G$1001=3)*ROW('تشخيص الحالات'!$B$2:$B$1001))-1),""),"")&amp;IF(SUMPRODUCT(('تشخيص الحالات'!$B$2:$B$1001=B798)*('تشخيص الحالات'!$G$2:$G$1001=4))&gt;0,"، "&amp;IFERROR(INDEX('تشخيص الحالات'!$D$2:$D$1001,SUMPRODUCT(('تشخيص الحالات'!$B$2:$B$1001=B798)*('تشخيص الحالات'!$G$2:$G$1001=4)*ROW('تشخيص الحالات'!$B$2:$B$1001))-1),""),"")&amp;IF(SUMPRODUCT(('تشخيص الحالات'!$B$2:$B$1001=B798)*('تشخيص الحالات'!$G$2:$G$1001=5))&gt;0,"، "&amp;IFERROR(INDEX('تشخيص الحالات'!$D$2:$D$1001,SUMPRODUCT(('تشخيص الحالات'!$B$2:$B$1001=B798)*('تشخيص الحالات'!$G$2:$G$1001=5)*ROW('تشخيص الحالات'!$B$2:$B$1001))-1),""),"")&amp;IF(SUMPRODUCT(('تشخيص الحالات'!$B$2:$B$1001=B798)*('تشخيص الحالات'!$G$2:$G$1001=6))&gt;0,"، "&amp;IFERROR(INDEX('تشخيص الحالات'!$D$2:$D$1001,SUMPRODUCT(('تشخيص الحالات'!$B$2:$B$1001=B798)*('تشخيص الحالات'!$G$2:$G$1001=6)*ROW('تشخيص الحالات'!$B$2:$B$1001))-1),""),"")&amp;IF(SUMPRODUCT(('تشخيص الحالات'!$B$2:$B$1001=B798)*('تشخيص الحالات'!$G$2:$G$1001=7))&gt;0,"، "&amp;IFERROR(INDEX('تشخيص الحالات'!$D$2:$D$1001,SUMPRODUCT(('تشخيص الحالات'!$B$2:$B$1001=B798)*('تشخيص الحالات'!$G$2:$G$1001=7)*ROW('تشخيص الحالات'!$B$2:$B$1001))-1),""),"")&amp;IF(SUMPRODUCT(('تشخيص الحالات'!$B$2:$B$1001=B798)*('تشخيص الحالات'!$G$2:$G$1001=8))&gt;0,"، "&amp;IFERROR(INDEX('تشخيص الحالات'!$D$2:$D$1001,SUMPRODUCT(('تشخيص الحالات'!$B$2:$B$1001=B798)*('تشخيص الحالات'!$G$2:$G$1001=8)*ROW('تشخيص الحالات'!$B$2:$B$1001))-1),""),"")</f>
        <v/>
      </c>
      <c r="J798" s="1"/>
      <c r="K798" s="1"/>
      <c r="L798" s="1"/>
      <c r="M798" s="1"/>
    </row>
    <row r="799" spans="1:13" x14ac:dyDescent="0.2">
      <c r="A799" s="1"/>
      <c r="B799" s="1"/>
      <c r="C799" s="1"/>
      <c r="D799" s="1"/>
      <c r="E799" s="1"/>
      <c r="F799" s="1"/>
      <c r="G799" s="1"/>
      <c r="H799" s="1"/>
      <c r="I799" t="str">
        <f>IFERROR(INDEX('تشخيص الحالات'!$D$2:$D$1001,SUMPRODUCT(('تشخيص الحالات'!$B$2:$B$1001=B799)*('تشخيص الحالات'!$G$2:$G$1001=1)*ROW('تشخيص الحالات'!$B$2:$B$1001))-1),"")&amp;IF(SUMPRODUCT(('تشخيص الحالات'!$B$2:$B$1001=B799)*('تشخيص الحالات'!$G$2:$G$1001=2))&gt;0,"، "&amp;IFERROR(INDEX('تشخيص الحالات'!$D$2:$D$1001,SUMPRODUCT(('تشخيص الحالات'!$B$2:$B$1001=B799)*('تشخيص الحالات'!$G$2:$G$1001=2)*ROW('تشخيص الحالات'!$B$2:$B$1001))-1),""),"")&amp;IF(SUMPRODUCT(('تشخيص الحالات'!$B$2:$B$1001=B799)*('تشخيص الحالات'!$G$2:$G$1001=3))&gt;0,"، "&amp;IFERROR(INDEX('تشخيص الحالات'!$D$2:$D$1001,SUMPRODUCT(('تشخيص الحالات'!$B$2:$B$1001=B799)*('تشخيص الحالات'!$G$2:$G$1001=3)*ROW('تشخيص الحالات'!$B$2:$B$1001))-1),""),"")&amp;IF(SUMPRODUCT(('تشخيص الحالات'!$B$2:$B$1001=B799)*('تشخيص الحالات'!$G$2:$G$1001=4))&gt;0,"، "&amp;IFERROR(INDEX('تشخيص الحالات'!$D$2:$D$1001,SUMPRODUCT(('تشخيص الحالات'!$B$2:$B$1001=B799)*('تشخيص الحالات'!$G$2:$G$1001=4)*ROW('تشخيص الحالات'!$B$2:$B$1001))-1),""),"")&amp;IF(SUMPRODUCT(('تشخيص الحالات'!$B$2:$B$1001=B799)*('تشخيص الحالات'!$G$2:$G$1001=5))&gt;0,"، "&amp;IFERROR(INDEX('تشخيص الحالات'!$D$2:$D$1001,SUMPRODUCT(('تشخيص الحالات'!$B$2:$B$1001=B799)*('تشخيص الحالات'!$G$2:$G$1001=5)*ROW('تشخيص الحالات'!$B$2:$B$1001))-1),""),"")&amp;IF(SUMPRODUCT(('تشخيص الحالات'!$B$2:$B$1001=B799)*('تشخيص الحالات'!$G$2:$G$1001=6))&gt;0,"، "&amp;IFERROR(INDEX('تشخيص الحالات'!$D$2:$D$1001,SUMPRODUCT(('تشخيص الحالات'!$B$2:$B$1001=B799)*('تشخيص الحالات'!$G$2:$G$1001=6)*ROW('تشخيص الحالات'!$B$2:$B$1001))-1),""),"")&amp;IF(SUMPRODUCT(('تشخيص الحالات'!$B$2:$B$1001=B799)*('تشخيص الحالات'!$G$2:$G$1001=7))&gt;0,"، "&amp;IFERROR(INDEX('تشخيص الحالات'!$D$2:$D$1001,SUMPRODUCT(('تشخيص الحالات'!$B$2:$B$1001=B799)*('تشخيص الحالات'!$G$2:$G$1001=7)*ROW('تشخيص الحالات'!$B$2:$B$1001))-1),""),"")&amp;IF(SUMPRODUCT(('تشخيص الحالات'!$B$2:$B$1001=B799)*('تشخيص الحالات'!$G$2:$G$1001=8))&gt;0,"، "&amp;IFERROR(INDEX('تشخيص الحالات'!$D$2:$D$1001,SUMPRODUCT(('تشخيص الحالات'!$B$2:$B$1001=B799)*('تشخيص الحالات'!$G$2:$G$1001=8)*ROW('تشخيص الحالات'!$B$2:$B$1001))-1),""),"")</f>
        <v/>
      </c>
      <c r="J799" s="1"/>
      <c r="K799" s="1"/>
      <c r="L799" s="1"/>
      <c r="M799" s="1"/>
    </row>
    <row r="800" spans="1:13" x14ac:dyDescent="0.2">
      <c r="A800" s="1"/>
      <c r="B800" s="1"/>
      <c r="C800" s="1"/>
      <c r="D800" s="1"/>
      <c r="E800" s="1"/>
      <c r="F800" s="1"/>
      <c r="G800" s="1"/>
      <c r="H800" s="1"/>
      <c r="I800" t="str">
        <f>IFERROR(INDEX('تشخيص الحالات'!$D$2:$D$1001,SUMPRODUCT(('تشخيص الحالات'!$B$2:$B$1001=B800)*('تشخيص الحالات'!$G$2:$G$1001=1)*ROW('تشخيص الحالات'!$B$2:$B$1001))-1),"")&amp;IF(SUMPRODUCT(('تشخيص الحالات'!$B$2:$B$1001=B800)*('تشخيص الحالات'!$G$2:$G$1001=2))&gt;0,"، "&amp;IFERROR(INDEX('تشخيص الحالات'!$D$2:$D$1001,SUMPRODUCT(('تشخيص الحالات'!$B$2:$B$1001=B800)*('تشخيص الحالات'!$G$2:$G$1001=2)*ROW('تشخيص الحالات'!$B$2:$B$1001))-1),""),"")&amp;IF(SUMPRODUCT(('تشخيص الحالات'!$B$2:$B$1001=B800)*('تشخيص الحالات'!$G$2:$G$1001=3))&gt;0,"، "&amp;IFERROR(INDEX('تشخيص الحالات'!$D$2:$D$1001,SUMPRODUCT(('تشخيص الحالات'!$B$2:$B$1001=B800)*('تشخيص الحالات'!$G$2:$G$1001=3)*ROW('تشخيص الحالات'!$B$2:$B$1001))-1),""),"")&amp;IF(SUMPRODUCT(('تشخيص الحالات'!$B$2:$B$1001=B800)*('تشخيص الحالات'!$G$2:$G$1001=4))&gt;0,"، "&amp;IFERROR(INDEX('تشخيص الحالات'!$D$2:$D$1001,SUMPRODUCT(('تشخيص الحالات'!$B$2:$B$1001=B800)*('تشخيص الحالات'!$G$2:$G$1001=4)*ROW('تشخيص الحالات'!$B$2:$B$1001))-1),""),"")&amp;IF(SUMPRODUCT(('تشخيص الحالات'!$B$2:$B$1001=B800)*('تشخيص الحالات'!$G$2:$G$1001=5))&gt;0,"، "&amp;IFERROR(INDEX('تشخيص الحالات'!$D$2:$D$1001,SUMPRODUCT(('تشخيص الحالات'!$B$2:$B$1001=B800)*('تشخيص الحالات'!$G$2:$G$1001=5)*ROW('تشخيص الحالات'!$B$2:$B$1001))-1),""),"")&amp;IF(SUMPRODUCT(('تشخيص الحالات'!$B$2:$B$1001=B800)*('تشخيص الحالات'!$G$2:$G$1001=6))&gt;0,"، "&amp;IFERROR(INDEX('تشخيص الحالات'!$D$2:$D$1001,SUMPRODUCT(('تشخيص الحالات'!$B$2:$B$1001=B800)*('تشخيص الحالات'!$G$2:$G$1001=6)*ROW('تشخيص الحالات'!$B$2:$B$1001))-1),""),"")&amp;IF(SUMPRODUCT(('تشخيص الحالات'!$B$2:$B$1001=B800)*('تشخيص الحالات'!$G$2:$G$1001=7))&gt;0,"، "&amp;IFERROR(INDEX('تشخيص الحالات'!$D$2:$D$1001,SUMPRODUCT(('تشخيص الحالات'!$B$2:$B$1001=B800)*('تشخيص الحالات'!$G$2:$G$1001=7)*ROW('تشخيص الحالات'!$B$2:$B$1001))-1),""),"")&amp;IF(SUMPRODUCT(('تشخيص الحالات'!$B$2:$B$1001=B800)*('تشخيص الحالات'!$G$2:$G$1001=8))&gt;0,"، "&amp;IFERROR(INDEX('تشخيص الحالات'!$D$2:$D$1001,SUMPRODUCT(('تشخيص الحالات'!$B$2:$B$1001=B800)*('تشخيص الحالات'!$G$2:$G$1001=8)*ROW('تشخيص الحالات'!$B$2:$B$1001))-1),""),"")</f>
        <v/>
      </c>
      <c r="J800" s="1"/>
      <c r="K800" s="1"/>
      <c r="L800" s="1"/>
      <c r="M800" s="1"/>
    </row>
    <row r="801" spans="1:13" x14ac:dyDescent="0.2">
      <c r="A801" s="1"/>
      <c r="B801" s="1"/>
      <c r="C801" s="1"/>
      <c r="D801" s="1"/>
      <c r="E801" s="1"/>
      <c r="F801" s="1"/>
      <c r="G801" s="1"/>
      <c r="H801" s="1"/>
      <c r="I801" t="str">
        <f>IFERROR(INDEX('تشخيص الحالات'!$D$2:$D$1001,SUMPRODUCT(('تشخيص الحالات'!$B$2:$B$1001=B801)*('تشخيص الحالات'!$G$2:$G$1001=1)*ROW('تشخيص الحالات'!$B$2:$B$1001))-1),"")&amp;IF(SUMPRODUCT(('تشخيص الحالات'!$B$2:$B$1001=B801)*('تشخيص الحالات'!$G$2:$G$1001=2))&gt;0,"، "&amp;IFERROR(INDEX('تشخيص الحالات'!$D$2:$D$1001,SUMPRODUCT(('تشخيص الحالات'!$B$2:$B$1001=B801)*('تشخيص الحالات'!$G$2:$G$1001=2)*ROW('تشخيص الحالات'!$B$2:$B$1001))-1),""),"")&amp;IF(SUMPRODUCT(('تشخيص الحالات'!$B$2:$B$1001=B801)*('تشخيص الحالات'!$G$2:$G$1001=3))&gt;0,"، "&amp;IFERROR(INDEX('تشخيص الحالات'!$D$2:$D$1001,SUMPRODUCT(('تشخيص الحالات'!$B$2:$B$1001=B801)*('تشخيص الحالات'!$G$2:$G$1001=3)*ROW('تشخيص الحالات'!$B$2:$B$1001))-1),""),"")&amp;IF(SUMPRODUCT(('تشخيص الحالات'!$B$2:$B$1001=B801)*('تشخيص الحالات'!$G$2:$G$1001=4))&gt;0,"، "&amp;IFERROR(INDEX('تشخيص الحالات'!$D$2:$D$1001,SUMPRODUCT(('تشخيص الحالات'!$B$2:$B$1001=B801)*('تشخيص الحالات'!$G$2:$G$1001=4)*ROW('تشخيص الحالات'!$B$2:$B$1001))-1),""),"")&amp;IF(SUMPRODUCT(('تشخيص الحالات'!$B$2:$B$1001=B801)*('تشخيص الحالات'!$G$2:$G$1001=5))&gt;0,"، "&amp;IFERROR(INDEX('تشخيص الحالات'!$D$2:$D$1001,SUMPRODUCT(('تشخيص الحالات'!$B$2:$B$1001=B801)*('تشخيص الحالات'!$G$2:$G$1001=5)*ROW('تشخيص الحالات'!$B$2:$B$1001))-1),""),"")&amp;IF(SUMPRODUCT(('تشخيص الحالات'!$B$2:$B$1001=B801)*('تشخيص الحالات'!$G$2:$G$1001=6))&gt;0,"، "&amp;IFERROR(INDEX('تشخيص الحالات'!$D$2:$D$1001,SUMPRODUCT(('تشخيص الحالات'!$B$2:$B$1001=B801)*('تشخيص الحالات'!$G$2:$G$1001=6)*ROW('تشخيص الحالات'!$B$2:$B$1001))-1),""),"")&amp;IF(SUMPRODUCT(('تشخيص الحالات'!$B$2:$B$1001=B801)*('تشخيص الحالات'!$G$2:$G$1001=7))&gt;0,"، "&amp;IFERROR(INDEX('تشخيص الحالات'!$D$2:$D$1001,SUMPRODUCT(('تشخيص الحالات'!$B$2:$B$1001=B801)*('تشخيص الحالات'!$G$2:$G$1001=7)*ROW('تشخيص الحالات'!$B$2:$B$1001))-1),""),"")&amp;IF(SUMPRODUCT(('تشخيص الحالات'!$B$2:$B$1001=B801)*('تشخيص الحالات'!$G$2:$G$1001=8))&gt;0,"، "&amp;IFERROR(INDEX('تشخيص الحالات'!$D$2:$D$1001,SUMPRODUCT(('تشخيص الحالات'!$B$2:$B$1001=B801)*('تشخيص الحالات'!$G$2:$G$1001=8)*ROW('تشخيص الحالات'!$B$2:$B$1001))-1),""),"")</f>
        <v/>
      </c>
      <c r="J801" s="1"/>
      <c r="K801" s="1"/>
      <c r="L801" s="1"/>
      <c r="M801" s="1"/>
    </row>
    <row r="802" spans="1:13" x14ac:dyDescent="0.2">
      <c r="A802" s="1"/>
      <c r="B802" s="1"/>
      <c r="C802" s="1"/>
      <c r="D802" s="1"/>
      <c r="E802" s="1"/>
      <c r="F802" s="1"/>
      <c r="G802" s="1"/>
      <c r="H802" s="1"/>
      <c r="I802" t="str">
        <f>IFERROR(INDEX('تشخيص الحالات'!$D$2:$D$1001,SUMPRODUCT(('تشخيص الحالات'!$B$2:$B$1001=B802)*('تشخيص الحالات'!$G$2:$G$1001=1)*ROW('تشخيص الحالات'!$B$2:$B$1001))-1),"")&amp;IF(SUMPRODUCT(('تشخيص الحالات'!$B$2:$B$1001=B802)*('تشخيص الحالات'!$G$2:$G$1001=2))&gt;0,"، "&amp;IFERROR(INDEX('تشخيص الحالات'!$D$2:$D$1001,SUMPRODUCT(('تشخيص الحالات'!$B$2:$B$1001=B802)*('تشخيص الحالات'!$G$2:$G$1001=2)*ROW('تشخيص الحالات'!$B$2:$B$1001))-1),""),"")&amp;IF(SUMPRODUCT(('تشخيص الحالات'!$B$2:$B$1001=B802)*('تشخيص الحالات'!$G$2:$G$1001=3))&gt;0,"، "&amp;IFERROR(INDEX('تشخيص الحالات'!$D$2:$D$1001,SUMPRODUCT(('تشخيص الحالات'!$B$2:$B$1001=B802)*('تشخيص الحالات'!$G$2:$G$1001=3)*ROW('تشخيص الحالات'!$B$2:$B$1001))-1),""),"")&amp;IF(SUMPRODUCT(('تشخيص الحالات'!$B$2:$B$1001=B802)*('تشخيص الحالات'!$G$2:$G$1001=4))&gt;0,"، "&amp;IFERROR(INDEX('تشخيص الحالات'!$D$2:$D$1001,SUMPRODUCT(('تشخيص الحالات'!$B$2:$B$1001=B802)*('تشخيص الحالات'!$G$2:$G$1001=4)*ROW('تشخيص الحالات'!$B$2:$B$1001))-1),""),"")&amp;IF(SUMPRODUCT(('تشخيص الحالات'!$B$2:$B$1001=B802)*('تشخيص الحالات'!$G$2:$G$1001=5))&gt;0,"، "&amp;IFERROR(INDEX('تشخيص الحالات'!$D$2:$D$1001,SUMPRODUCT(('تشخيص الحالات'!$B$2:$B$1001=B802)*('تشخيص الحالات'!$G$2:$G$1001=5)*ROW('تشخيص الحالات'!$B$2:$B$1001))-1),""),"")&amp;IF(SUMPRODUCT(('تشخيص الحالات'!$B$2:$B$1001=B802)*('تشخيص الحالات'!$G$2:$G$1001=6))&gt;0,"، "&amp;IFERROR(INDEX('تشخيص الحالات'!$D$2:$D$1001,SUMPRODUCT(('تشخيص الحالات'!$B$2:$B$1001=B802)*('تشخيص الحالات'!$G$2:$G$1001=6)*ROW('تشخيص الحالات'!$B$2:$B$1001))-1),""),"")&amp;IF(SUMPRODUCT(('تشخيص الحالات'!$B$2:$B$1001=B802)*('تشخيص الحالات'!$G$2:$G$1001=7))&gt;0,"، "&amp;IFERROR(INDEX('تشخيص الحالات'!$D$2:$D$1001,SUMPRODUCT(('تشخيص الحالات'!$B$2:$B$1001=B802)*('تشخيص الحالات'!$G$2:$G$1001=7)*ROW('تشخيص الحالات'!$B$2:$B$1001))-1),""),"")&amp;IF(SUMPRODUCT(('تشخيص الحالات'!$B$2:$B$1001=B802)*('تشخيص الحالات'!$G$2:$G$1001=8))&gt;0,"، "&amp;IFERROR(INDEX('تشخيص الحالات'!$D$2:$D$1001,SUMPRODUCT(('تشخيص الحالات'!$B$2:$B$1001=B802)*('تشخيص الحالات'!$G$2:$G$1001=8)*ROW('تشخيص الحالات'!$B$2:$B$1001))-1),""),"")</f>
        <v/>
      </c>
      <c r="J802" s="1"/>
      <c r="K802" s="1"/>
      <c r="L802" s="1"/>
      <c r="M802" s="1"/>
    </row>
    <row r="803" spans="1:13" x14ac:dyDescent="0.2">
      <c r="A803" s="1"/>
      <c r="B803" s="1"/>
      <c r="C803" s="1"/>
      <c r="D803" s="1"/>
      <c r="E803" s="1"/>
      <c r="F803" s="1"/>
      <c r="G803" s="1"/>
      <c r="H803" s="1"/>
      <c r="I803" t="str">
        <f>IFERROR(INDEX('تشخيص الحالات'!$D$2:$D$1001,SUMPRODUCT(('تشخيص الحالات'!$B$2:$B$1001=B803)*('تشخيص الحالات'!$G$2:$G$1001=1)*ROW('تشخيص الحالات'!$B$2:$B$1001))-1),"")&amp;IF(SUMPRODUCT(('تشخيص الحالات'!$B$2:$B$1001=B803)*('تشخيص الحالات'!$G$2:$G$1001=2))&gt;0,"، "&amp;IFERROR(INDEX('تشخيص الحالات'!$D$2:$D$1001,SUMPRODUCT(('تشخيص الحالات'!$B$2:$B$1001=B803)*('تشخيص الحالات'!$G$2:$G$1001=2)*ROW('تشخيص الحالات'!$B$2:$B$1001))-1),""),"")&amp;IF(SUMPRODUCT(('تشخيص الحالات'!$B$2:$B$1001=B803)*('تشخيص الحالات'!$G$2:$G$1001=3))&gt;0,"، "&amp;IFERROR(INDEX('تشخيص الحالات'!$D$2:$D$1001,SUMPRODUCT(('تشخيص الحالات'!$B$2:$B$1001=B803)*('تشخيص الحالات'!$G$2:$G$1001=3)*ROW('تشخيص الحالات'!$B$2:$B$1001))-1),""),"")&amp;IF(SUMPRODUCT(('تشخيص الحالات'!$B$2:$B$1001=B803)*('تشخيص الحالات'!$G$2:$G$1001=4))&gt;0,"، "&amp;IFERROR(INDEX('تشخيص الحالات'!$D$2:$D$1001,SUMPRODUCT(('تشخيص الحالات'!$B$2:$B$1001=B803)*('تشخيص الحالات'!$G$2:$G$1001=4)*ROW('تشخيص الحالات'!$B$2:$B$1001))-1),""),"")&amp;IF(SUMPRODUCT(('تشخيص الحالات'!$B$2:$B$1001=B803)*('تشخيص الحالات'!$G$2:$G$1001=5))&gt;0,"، "&amp;IFERROR(INDEX('تشخيص الحالات'!$D$2:$D$1001,SUMPRODUCT(('تشخيص الحالات'!$B$2:$B$1001=B803)*('تشخيص الحالات'!$G$2:$G$1001=5)*ROW('تشخيص الحالات'!$B$2:$B$1001))-1),""),"")&amp;IF(SUMPRODUCT(('تشخيص الحالات'!$B$2:$B$1001=B803)*('تشخيص الحالات'!$G$2:$G$1001=6))&gt;0,"، "&amp;IFERROR(INDEX('تشخيص الحالات'!$D$2:$D$1001,SUMPRODUCT(('تشخيص الحالات'!$B$2:$B$1001=B803)*('تشخيص الحالات'!$G$2:$G$1001=6)*ROW('تشخيص الحالات'!$B$2:$B$1001))-1),""),"")&amp;IF(SUMPRODUCT(('تشخيص الحالات'!$B$2:$B$1001=B803)*('تشخيص الحالات'!$G$2:$G$1001=7))&gt;0,"، "&amp;IFERROR(INDEX('تشخيص الحالات'!$D$2:$D$1001,SUMPRODUCT(('تشخيص الحالات'!$B$2:$B$1001=B803)*('تشخيص الحالات'!$G$2:$G$1001=7)*ROW('تشخيص الحالات'!$B$2:$B$1001))-1),""),"")&amp;IF(SUMPRODUCT(('تشخيص الحالات'!$B$2:$B$1001=B803)*('تشخيص الحالات'!$G$2:$G$1001=8))&gt;0,"، "&amp;IFERROR(INDEX('تشخيص الحالات'!$D$2:$D$1001,SUMPRODUCT(('تشخيص الحالات'!$B$2:$B$1001=B803)*('تشخيص الحالات'!$G$2:$G$1001=8)*ROW('تشخيص الحالات'!$B$2:$B$1001))-1),""),"")</f>
        <v/>
      </c>
      <c r="J803" s="1"/>
      <c r="K803" s="1"/>
      <c r="L803" s="1"/>
      <c r="M803" s="1"/>
    </row>
    <row r="804" spans="1:13" x14ac:dyDescent="0.2">
      <c r="A804" s="1"/>
      <c r="B804" s="1"/>
      <c r="C804" s="1"/>
      <c r="D804" s="1"/>
      <c r="E804" s="1"/>
      <c r="F804" s="1"/>
      <c r="G804" s="1"/>
      <c r="H804" s="1"/>
      <c r="I804" t="str">
        <f>IFERROR(INDEX('تشخيص الحالات'!$D$2:$D$1001,SUMPRODUCT(('تشخيص الحالات'!$B$2:$B$1001=B804)*('تشخيص الحالات'!$G$2:$G$1001=1)*ROW('تشخيص الحالات'!$B$2:$B$1001))-1),"")&amp;IF(SUMPRODUCT(('تشخيص الحالات'!$B$2:$B$1001=B804)*('تشخيص الحالات'!$G$2:$G$1001=2))&gt;0,"، "&amp;IFERROR(INDEX('تشخيص الحالات'!$D$2:$D$1001,SUMPRODUCT(('تشخيص الحالات'!$B$2:$B$1001=B804)*('تشخيص الحالات'!$G$2:$G$1001=2)*ROW('تشخيص الحالات'!$B$2:$B$1001))-1),""),"")&amp;IF(SUMPRODUCT(('تشخيص الحالات'!$B$2:$B$1001=B804)*('تشخيص الحالات'!$G$2:$G$1001=3))&gt;0,"، "&amp;IFERROR(INDEX('تشخيص الحالات'!$D$2:$D$1001,SUMPRODUCT(('تشخيص الحالات'!$B$2:$B$1001=B804)*('تشخيص الحالات'!$G$2:$G$1001=3)*ROW('تشخيص الحالات'!$B$2:$B$1001))-1),""),"")&amp;IF(SUMPRODUCT(('تشخيص الحالات'!$B$2:$B$1001=B804)*('تشخيص الحالات'!$G$2:$G$1001=4))&gt;0,"، "&amp;IFERROR(INDEX('تشخيص الحالات'!$D$2:$D$1001,SUMPRODUCT(('تشخيص الحالات'!$B$2:$B$1001=B804)*('تشخيص الحالات'!$G$2:$G$1001=4)*ROW('تشخيص الحالات'!$B$2:$B$1001))-1),""),"")&amp;IF(SUMPRODUCT(('تشخيص الحالات'!$B$2:$B$1001=B804)*('تشخيص الحالات'!$G$2:$G$1001=5))&gt;0,"، "&amp;IFERROR(INDEX('تشخيص الحالات'!$D$2:$D$1001,SUMPRODUCT(('تشخيص الحالات'!$B$2:$B$1001=B804)*('تشخيص الحالات'!$G$2:$G$1001=5)*ROW('تشخيص الحالات'!$B$2:$B$1001))-1),""),"")&amp;IF(SUMPRODUCT(('تشخيص الحالات'!$B$2:$B$1001=B804)*('تشخيص الحالات'!$G$2:$G$1001=6))&gt;0,"، "&amp;IFERROR(INDEX('تشخيص الحالات'!$D$2:$D$1001,SUMPRODUCT(('تشخيص الحالات'!$B$2:$B$1001=B804)*('تشخيص الحالات'!$G$2:$G$1001=6)*ROW('تشخيص الحالات'!$B$2:$B$1001))-1),""),"")&amp;IF(SUMPRODUCT(('تشخيص الحالات'!$B$2:$B$1001=B804)*('تشخيص الحالات'!$G$2:$G$1001=7))&gt;0,"، "&amp;IFERROR(INDEX('تشخيص الحالات'!$D$2:$D$1001,SUMPRODUCT(('تشخيص الحالات'!$B$2:$B$1001=B804)*('تشخيص الحالات'!$G$2:$G$1001=7)*ROW('تشخيص الحالات'!$B$2:$B$1001))-1),""),"")&amp;IF(SUMPRODUCT(('تشخيص الحالات'!$B$2:$B$1001=B804)*('تشخيص الحالات'!$G$2:$G$1001=8))&gt;0,"، "&amp;IFERROR(INDEX('تشخيص الحالات'!$D$2:$D$1001,SUMPRODUCT(('تشخيص الحالات'!$B$2:$B$1001=B804)*('تشخيص الحالات'!$G$2:$G$1001=8)*ROW('تشخيص الحالات'!$B$2:$B$1001))-1),""),"")</f>
        <v/>
      </c>
      <c r="J804" s="1"/>
      <c r="K804" s="1"/>
      <c r="L804" s="1"/>
      <c r="M804" s="1"/>
    </row>
    <row r="805" spans="1:13" x14ac:dyDescent="0.2">
      <c r="A805" s="1"/>
      <c r="B805" s="1"/>
      <c r="C805" s="1"/>
      <c r="D805" s="1"/>
      <c r="E805" s="1"/>
      <c r="F805" s="1"/>
      <c r="G805" s="1"/>
      <c r="H805" s="1"/>
      <c r="I805" t="str">
        <f>IFERROR(INDEX('تشخيص الحالات'!$D$2:$D$1001,SUMPRODUCT(('تشخيص الحالات'!$B$2:$B$1001=B805)*('تشخيص الحالات'!$G$2:$G$1001=1)*ROW('تشخيص الحالات'!$B$2:$B$1001))-1),"")&amp;IF(SUMPRODUCT(('تشخيص الحالات'!$B$2:$B$1001=B805)*('تشخيص الحالات'!$G$2:$G$1001=2))&gt;0,"، "&amp;IFERROR(INDEX('تشخيص الحالات'!$D$2:$D$1001,SUMPRODUCT(('تشخيص الحالات'!$B$2:$B$1001=B805)*('تشخيص الحالات'!$G$2:$G$1001=2)*ROW('تشخيص الحالات'!$B$2:$B$1001))-1),""),"")&amp;IF(SUMPRODUCT(('تشخيص الحالات'!$B$2:$B$1001=B805)*('تشخيص الحالات'!$G$2:$G$1001=3))&gt;0,"، "&amp;IFERROR(INDEX('تشخيص الحالات'!$D$2:$D$1001,SUMPRODUCT(('تشخيص الحالات'!$B$2:$B$1001=B805)*('تشخيص الحالات'!$G$2:$G$1001=3)*ROW('تشخيص الحالات'!$B$2:$B$1001))-1),""),"")&amp;IF(SUMPRODUCT(('تشخيص الحالات'!$B$2:$B$1001=B805)*('تشخيص الحالات'!$G$2:$G$1001=4))&gt;0,"، "&amp;IFERROR(INDEX('تشخيص الحالات'!$D$2:$D$1001,SUMPRODUCT(('تشخيص الحالات'!$B$2:$B$1001=B805)*('تشخيص الحالات'!$G$2:$G$1001=4)*ROW('تشخيص الحالات'!$B$2:$B$1001))-1),""),"")&amp;IF(SUMPRODUCT(('تشخيص الحالات'!$B$2:$B$1001=B805)*('تشخيص الحالات'!$G$2:$G$1001=5))&gt;0,"، "&amp;IFERROR(INDEX('تشخيص الحالات'!$D$2:$D$1001,SUMPRODUCT(('تشخيص الحالات'!$B$2:$B$1001=B805)*('تشخيص الحالات'!$G$2:$G$1001=5)*ROW('تشخيص الحالات'!$B$2:$B$1001))-1),""),"")&amp;IF(SUMPRODUCT(('تشخيص الحالات'!$B$2:$B$1001=B805)*('تشخيص الحالات'!$G$2:$G$1001=6))&gt;0,"، "&amp;IFERROR(INDEX('تشخيص الحالات'!$D$2:$D$1001,SUMPRODUCT(('تشخيص الحالات'!$B$2:$B$1001=B805)*('تشخيص الحالات'!$G$2:$G$1001=6)*ROW('تشخيص الحالات'!$B$2:$B$1001))-1),""),"")&amp;IF(SUMPRODUCT(('تشخيص الحالات'!$B$2:$B$1001=B805)*('تشخيص الحالات'!$G$2:$G$1001=7))&gt;0,"، "&amp;IFERROR(INDEX('تشخيص الحالات'!$D$2:$D$1001,SUMPRODUCT(('تشخيص الحالات'!$B$2:$B$1001=B805)*('تشخيص الحالات'!$G$2:$G$1001=7)*ROW('تشخيص الحالات'!$B$2:$B$1001))-1),""),"")&amp;IF(SUMPRODUCT(('تشخيص الحالات'!$B$2:$B$1001=B805)*('تشخيص الحالات'!$G$2:$G$1001=8))&gt;0,"، "&amp;IFERROR(INDEX('تشخيص الحالات'!$D$2:$D$1001,SUMPRODUCT(('تشخيص الحالات'!$B$2:$B$1001=B805)*('تشخيص الحالات'!$G$2:$G$1001=8)*ROW('تشخيص الحالات'!$B$2:$B$1001))-1),""),"")</f>
        <v/>
      </c>
      <c r="J805" s="1"/>
      <c r="K805" s="1"/>
      <c r="L805" s="1"/>
      <c r="M805" s="1"/>
    </row>
    <row r="806" spans="1:13" x14ac:dyDescent="0.2">
      <c r="A806" s="1"/>
      <c r="B806" s="1"/>
      <c r="C806" s="1"/>
      <c r="D806" s="1"/>
      <c r="E806" s="1"/>
      <c r="F806" s="1"/>
      <c r="G806" s="1"/>
      <c r="H806" s="1"/>
      <c r="I806" t="str">
        <f>IFERROR(INDEX('تشخيص الحالات'!$D$2:$D$1001,SUMPRODUCT(('تشخيص الحالات'!$B$2:$B$1001=B806)*('تشخيص الحالات'!$G$2:$G$1001=1)*ROW('تشخيص الحالات'!$B$2:$B$1001))-1),"")&amp;IF(SUMPRODUCT(('تشخيص الحالات'!$B$2:$B$1001=B806)*('تشخيص الحالات'!$G$2:$G$1001=2))&gt;0,"، "&amp;IFERROR(INDEX('تشخيص الحالات'!$D$2:$D$1001,SUMPRODUCT(('تشخيص الحالات'!$B$2:$B$1001=B806)*('تشخيص الحالات'!$G$2:$G$1001=2)*ROW('تشخيص الحالات'!$B$2:$B$1001))-1),""),"")&amp;IF(SUMPRODUCT(('تشخيص الحالات'!$B$2:$B$1001=B806)*('تشخيص الحالات'!$G$2:$G$1001=3))&gt;0,"، "&amp;IFERROR(INDEX('تشخيص الحالات'!$D$2:$D$1001,SUMPRODUCT(('تشخيص الحالات'!$B$2:$B$1001=B806)*('تشخيص الحالات'!$G$2:$G$1001=3)*ROW('تشخيص الحالات'!$B$2:$B$1001))-1),""),"")&amp;IF(SUMPRODUCT(('تشخيص الحالات'!$B$2:$B$1001=B806)*('تشخيص الحالات'!$G$2:$G$1001=4))&gt;0,"، "&amp;IFERROR(INDEX('تشخيص الحالات'!$D$2:$D$1001,SUMPRODUCT(('تشخيص الحالات'!$B$2:$B$1001=B806)*('تشخيص الحالات'!$G$2:$G$1001=4)*ROW('تشخيص الحالات'!$B$2:$B$1001))-1),""),"")&amp;IF(SUMPRODUCT(('تشخيص الحالات'!$B$2:$B$1001=B806)*('تشخيص الحالات'!$G$2:$G$1001=5))&gt;0,"، "&amp;IFERROR(INDEX('تشخيص الحالات'!$D$2:$D$1001,SUMPRODUCT(('تشخيص الحالات'!$B$2:$B$1001=B806)*('تشخيص الحالات'!$G$2:$G$1001=5)*ROW('تشخيص الحالات'!$B$2:$B$1001))-1),""),"")&amp;IF(SUMPRODUCT(('تشخيص الحالات'!$B$2:$B$1001=B806)*('تشخيص الحالات'!$G$2:$G$1001=6))&gt;0,"، "&amp;IFERROR(INDEX('تشخيص الحالات'!$D$2:$D$1001,SUMPRODUCT(('تشخيص الحالات'!$B$2:$B$1001=B806)*('تشخيص الحالات'!$G$2:$G$1001=6)*ROW('تشخيص الحالات'!$B$2:$B$1001))-1),""),"")&amp;IF(SUMPRODUCT(('تشخيص الحالات'!$B$2:$B$1001=B806)*('تشخيص الحالات'!$G$2:$G$1001=7))&gt;0,"، "&amp;IFERROR(INDEX('تشخيص الحالات'!$D$2:$D$1001,SUMPRODUCT(('تشخيص الحالات'!$B$2:$B$1001=B806)*('تشخيص الحالات'!$G$2:$G$1001=7)*ROW('تشخيص الحالات'!$B$2:$B$1001))-1),""),"")&amp;IF(SUMPRODUCT(('تشخيص الحالات'!$B$2:$B$1001=B806)*('تشخيص الحالات'!$G$2:$G$1001=8))&gt;0,"، "&amp;IFERROR(INDEX('تشخيص الحالات'!$D$2:$D$1001,SUMPRODUCT(('تشخيص الحالات'!$B$2:$B$1001=B806)*('تشخيص الحالات'!$G$2:$G$1001=8)*ROW('تشخيص الحالات'!$B$2:$B$1001))-1),""),"")</f>
        <v/>
      </c>
      <c r="J806" s="1"/>
      <c r="K806" s="1"/>
      <c r="L806" s="1"/>
      <c r="M806" s="1"/>
    </row>
    <row r="807" spans="1:13" x14ac:dyDescent="0.2">
      <c r="A807" s="1"/>
      <c r="B807" s="1"/>
      <c r="C807" s="1"/>
      <c r="D807" s="1"/>
      <c r="E807" s="1"/>
      <c r="F807" s="1"/>
      <c r="G807" s="1"/>
      <c r="H807" s="1"/>
      <c r="I807" t="str">
        <f>IFERROR(INDEX('تشخيص الحالات'!$D$2:$D$1001,SUMPRODUCT(('تشخيص الحالات'!$B$2:$B$1001=B807)*('تشخيص الحالات'!$G$2:$G$1001=1)*ROW('تشخيص الحالات'!$B$2:$B$1001))-1),"")&amp;IF(SUMPRODUCT(('تشخيص الحالات'!$B$2:$B$1001=B807)*('تشخيص الحالات'!$G$2:$G$1001=2))&gt;0,"، "&amp;IFERROR(INDEX('تشخيص الحالات'!$D$2:$D$1001,SUMPRODUCT(('تشخيص الحالات'!$B$2:$B$1001=B807)*('تشخيص الحالات'!$G$2:$G$1001=2)*ROW('تشخيص الحالات'!$B$2:$B$1001))-1),""),"")&amp;IF(SUMPRODUCT(('تشخيص الحالات'!$B$2:$B$1001=B807)*('تشخيص الحالات'!$G$2:$G$1001=3))&gt;0,"، "&amp;IFERROR(INDEX('تشخيص الحالات'!$D$2:$D$1001,SUMPRODUCT(('تشخيص الحالات'!$B$2:$B$1001=B807)*('تشخيص الحالات'!$G$2:$G$1001=3)*ROW('تشخيص الحالات'!$B$2:$B$1001))-1),""),"")&amp;IF(SUMPRODUCT(('تشخيص الحالات'!$B$2:$B$1001=B807)*('تشخيص الحالات'!$G$2:$G$1001=4))&gt;0,"، "&amp;IFERROR(INDEX('تشخيص الحالات'!$D$2:$D$1001,SUMPRODUCT(('تشخيص الحالات'!$B$2:$B$1001=B807)*('تشخيص الحالات'!$G$2:$G$1001=4)*ROW('تشخيص الحالات'!$B$2:$B$1001))-1),""),"")&amp;IF(SUMPRODUCT(('تشخيص الحالات'!$B$2:$B$1001=B807)*('تشخيص الحالات'!$G$2:$G$1001=5))&gt;0,"، "&amp;IFERROR(INDEX('تشخيص الحالات'!$D$2:$D$1001,SUMPRODUCT(('تشخيص الحالات'!$B$2:$B$1001=B807)*('تشخيص الحالات'!$G$2:$G$1001=5)*ROW('تشخيص الحالات'!$B$2:$B$1001))-1),""),"")&amp;IF(SUMPRODUCT(('تشخيص الحالات'!$B$2:$B$1001=B807)*('تشخيص الحالات'!$G$2:$G$1001=6))&gt;0,"، "&amp;IFERROR(INDEX('تشخيص الحالات'!$D$2:$D$1001,SUMPRODUCT(('تشخيص الحالات'!$B$2:$B$1001=B807)*('تشخيص الحالات'!$G$2:$G$1001=6)*ROW('تشخيص الحالات'!$B$2:$B$1001))-1),""),"")&amp;IF(SUMPRODUCT(('تشخيص الحالات'!$B$2:$B$1001=B807)*('تشخيص الحالات'!$G$2:$G$1001=7))&gt;0,"، "&amp;IFERROR(INDEX('تشخيص الحالات'!$D$2:$D$1001,SUMPRODUCT(('تشخيص الحالات'!$B$2:$B$1001=B807)*('تشخيص الحالات'!$G$2:$G$1001=7)*ROW('تشخيص الحالات'!$B$2:$B$1001))-1),""),"")&amp;IF(SUMPRODUCT(('تشخيص الحالات'!$B$2:$B$1001=B807)*('تشخيص الحالات'!$G$2:$G$1001=8))&gt;0,"، "&amp;IFERROR(INDEX('تشخيص الحالات'!$D$2:$D$1001,SUMPRODUCT(('تشخيص الحالات'!$B$2:$B$1001=B807)*('تشخيص الحالات'!$G$2:$G$1001=8)*ROW('تشخيص الحالات'!$B$2:$B$1001))-1),""),"")</f>
        <v/>
      </c>
      <c r="J807" s="1"/>
      <c r="K807" s="1"/>
      <c r="L807" s="1"/>
      <c r="M807" s="1"/>
    </row>
    <row r="808" spans="1:13" x14ac:dyDescent="0.2">
      <c r="A808" s="1"/>
      <c r="B808" s="1"/>
      <c r="C808" s="1"/>
      <c r="D808" s="1"/>
      <c r="E808" s="1"/>
      <c r="F808" s="1"/>
      <c r="G808" s="1"/>
      <c r="H808" s="1"/>
      <c r="I808" t="str">
        <f>IFERROR(INDEX('تشخيص الحالات'!$D$2:$D$1001,SUMPRODUCT(('تشخيص الحالات'!$B$2:$B$1001=B808)*('تشخيص الحالات'!$G$2:$G$1001=1)*ROW('تشخيص الحالات'!$B$2:$B$1001))-1),"")&amp;IF(SUMPRODUCT(('تشخيص الحالات'!$B$2:$B$1001=B808)*('تشخيص الحالات'!$G$2:$G$1001=2))&gt;0,"، "&amp;IFERROR(INDEX('تشخيص الحالات'!$D$2:$D$1001,SUMPRODUCT(('تشخيص الحالات'!$B$2:$B$1001=B808)*('تشخيص الحالات'!$G$2:$G$1001=2)*ROW('تشخيص الحالات'!$B$2:$B$1001))-1),""),"")&amp;IF(SUMPRODUCT(('تشخيص الحالات'!$B$2:$B$1001=B808)*('تشخيص الحالات'!$G$2:$G$1001=3))&gt;0,"، "&amp;IFERROR(INDEX('تشخيص الحالات'!$D$2:$D$1001,SUMPRODUCT(('تشخيص الحالات'!$B$2:$B$1001=B808)*('تشخيص الحالات'!$G$2:$G$1001=3)*ROW('تشخيص الحالات'!$B$2:$B$1001))-1),""),"")&amp;IF(SUMPRODUCT(('تشخيص الحالات'!$B$2:$B$1001=B808)*('تشخيص الحالات'!$G$2:$G$1001=4))&gt;0,"، "&amp;IFERROR(INDEX('تشخيص الحالات'!$D$2:$D$1001,SUMPRODUCT(('تشخيص الحالات'!$B$2:$B$1001=B808)*('تشخيص الحالات'!$G$2:$G$1001=4)*ROW('تشخيص الحالات'!$B$2:$B$1001))-1),""),"")&amp;IF(SUMPRODUCT(('تشخيص الحالات'!$B$2:$B$1001=B808)*('تشخيص الحالات'!$G$2:$G$1001=5))&gt;0,"، "&amp;IFERROR(INDEX('تشخيص الحالات'!$D$2:$D$1001,SUMPRODUCT(('تشخيص الحالات'!$B$2:$B$1001=B808)*('تشخيص الحالات'!$G$2:$G$1001=5)*ROW('تشخيص الحالات'!$B$2:$B$1001))-1),""),"")&amp;IF(SUMPRODUCT(('تشخيص الحالات'!$B$2:$B$1001=B808)*('تشخيص الحالات'!$G$2:$G$1001=6))&gt;0,"، "&amp;IFERROR(INDEX('تشخيص الحالات'!$D$2:$D$1001,SUMPRODUCT(('تشخيص الحالات'!$B$2:$B$1001=B808)*('تشخيص الحالات'!$G$2:$G$1001=6)*ROW('تشخيص الحالات'!$B$2:$B$1001))-1),""),"")&amp;IF(SUMPRODUCT(('تشخيص الحالات'!$B$2:$B$1001=B808)*('تشخيص الحالات'!$G$2:$G$1001=7))&gt;0,"، "&amp;IFERROR(INDEX('تشخيص الحالات'!$D$2:$D$1001,SUMPRODUCT(('تشخيص الحالات'!$B$2:$B$1001=B808)*('تشخيص الحالات'!$G$2:$G$1001=7)*ROW('تشخيص الحالات'!$B$2:$B$1001))-1),""),"")&amp;IF(SUMPRODUCT(('تشخيص الحالات'!$B$2:$B$1001=B808)*('تشخيص الحالات'!$G$2:$G$1001=8))&gt;0,"، "&amp;IFERROR(INDEX('تشخيص الحالات'!$D$2:$D$1001,SUMPRODUCT(('تشخيص الحالات'!$B$2:$B$1001=B808)*('تشخيص الحالات'!$G$2:$G$1001=8)*ROW('تشخيص الحالات'!$B$2:$B$1001))-1),""),"")</f>
        <v/>
      </c>
      <c r="J808" s="1"/>
      <c r="K808" s="1"/>
      <c r="L808" s="1"/>
      <c r="M808" s="1"/>
    </row>
    <row r="809" spans="1:13" x14ac:dyDescent="0.2">
      <c r="A809" s="1"/>
      <c r="B809" s="1"/>
      <c r="C809" s="1"/>
      <c r="D809" s="1"/>
      <c r="E809" s="1"/>
      <c r="F809" s="1"/>
      <c r="G809" s="1"/>
      <c r="H809" s="1"/>
      <c r="I809" t="str">
        <f>IFERROR(INDEX('تشخيص الحالات'!$D$2:$D$1001,SUMPRODUCT(('تشخيص الحالات'!$B$2:$B$1001=B809)*('تشخيص الحالات'!$G$2:$G$1001=1)*ROW('تشخيص الحالات'!$B$2:$B$1001))-1),"")&amp;IF(SUMPRODUCT(('تشخيص الحالات'!$B$2:$B$1001=B809)*('تشخيص الحالات'!$G$2:$G$1001=2))&gt;0,"، "&amp;IFERROR(INDEX('تشخيص الحالات'!$D$2:$D$1001,SUMPRODUCT(('تشخيص الحالات'!$B$2:$B$1001=B809)*('تشخيص الحالات'!$G$2:$G$1001=2)*ROW('تشخيص الحالات'!$B$2:$B$1001))-1),""),"")&amp;IF(SUMPRODUCT(('تشخيص الحالات'!$B$2:$B$1001=B809)*('تشخيص الحالات'!$G$2:$G$1001=3))&gt;0,"، "&amp;IFERROR(INDEX('تشخيص الحالات'!$D$2:$D$1001,SUMPRODUCT(('تشخيص الحالات'!$B$2:$B$1001=B809)*('تشخيص الحالات'!$G$2:$G$1001=3)*ROW('تشخيص الحالات'!$B$2:$B$1001))-1),""),"")&amp;IF(SUMPRODUCT(('تشخيص الحالات'!$B$2:$B$1001=B809)*('تشخيص الحالات'!$G$2:$G$1001=4))&gt;0,"، "&amp;IFERROR(INDEX('تشخيص الحالات'!$D$2:$D$1001,SUMPRODUCT(('تشخيص الحالات'!$B$2:$B$1001=B809)*('تشخيص الحالات'!$G$2:$G$1001=4)*ROW('تشخيص الحالات'!$B$2:$B$1001))-1),""),"")&amp;IF(SUMPRODUCT(('تشخيص الحالات'!$B$2:$B$1001=B809)*('تشخيص الحالات'!$G$2:$G$1001=5))&gt;0,"، "&amp;IFERROR(INDEX('تشخيص الحالات'!$D$2:$D$1001,SUMPRODUCT(('تشخيص الحالات'!$B$2:$B$1001=B809)*('تشخيص الحالات'!$G$2:$G$1001=5)*ROW('تشخيص الحالات'!$B$2:$B$1001))-1),""),"")&amp;IF(SUMPRODUCT(('تشخيص الحالات'!$B$2:$B$1001=B809)*('تشخيص الحالات'!$G$2:$G$1001=6))&gt;0,"، "&amp;IFERROR(INDEX('تشخيص الحالات'!$D$2:$D$1001,SUMPRODUCT(('تشخيص الحالات'!$B$2:$B$1001=B809)*('تشخيص الحالات'!$G$2:$G$1001=6)*ROW('تشخيص الحالات'!$B$2:$B$1001))-1),""),"")&amp;IF(SUMPRODUCT(('تشخيص الحالات'!$B$2:$B$1001=B809)*('تشخيص الحالات'!$G$2:$G$1001=7))&gt;0,"، "&amp;IFERROR(INDEX('تشخيص الحالات'!$D$2:$D$1001,SUMPRODUCT(('تشخيص الحالات'!$B$2:$B$1001=B809)*('تشخيص الحالات'!$G$2:$G$1001=7)*ROW('تشخيص الحالات'!$B$2:$B$1001))-1),""),"")&amp;IF(SUMPRODUCT(('تشخيص الحالات'!$B$2:$B$1001=B809)*('تشخيص الحالات'!$G$2:$G$1001=8))&gt;0,"، "&amp;IFERROR(INDEX('تشخيص الحالات'!$D$2:$D$1001,SUMPRODUCT(('تشخيص الحالات'!$B$2:$B$1001=B809)*('تشخيص الحالات'!$G$2:$G$1001=8)*ROW('تشخيص الحالات'!$B$2:$B$1001))-1),""),"")</f>
        <v/>
      </c>
      <c r="J809" s="1"/>
      <c r="K809" s="1"/>
      <c r="L809" s="1"/>
      <c r="M809" s="1"/>
    </row>
    <row r="810" spans="1:13" x14ac:dyDescent="0.2">
      <c r="A810" s="1"/>
      <c r="B810" s="1"/>
      <c r="C810" s="1"/>
      <c r="D810" s="1"/>
      <c r="E810" s="1"/>
      <c r="F810" s="1"/>
      <c r="G810" s="1"/>
      <c r="H810" s="1"/>
      <c r="I810" t="str">
        <f>IFERROR(INDEX('تشخيص الحالات'!$D$2:$D$1001,SUMPRODUCT(('تشخيص الحالات'!$B$2:$B$1001=B810)*('تشخيص الحالات'!$G$2:$G$1001=1)*ROW('تشخيص الحالات'!$B$2:$B$1001))-1),"")&amp;IF(SUMPRODUCT(('تشخيص الحالات'!$B$2:$B$1001=B810)*('تشخيص الحالات'!$G$2:$G$1001=2))&gt;0,"، "&amp;IFERROR(INDEX('تشخيص الحالات'!$D$2:$D$1001,SUMPRODUCT(('تشخيص الحالات'!$B$2:$B$1001=B810)*('تشخيص الحالات'!$G$2:$G$1001=2)*ROW('تشخيص الحالات'!$B$2:$B$1001))-1),""),"")&amp;IF(SUMPRODUCT(('تشخيص الحالات'!$B$2:$B$1001=B810)*('تشخيص الحالات'!$G$2:$G$1001=3))&gt;0,"، "&amp;IFERROR(INDEX('تشخيص الحالات'!$D$2:$D$1001,SUMPRODUCT(('تشخيص الحالات'!$B$2:$B$1001=B810)*('تشخيص الحالات'!$G$2:$G$1001=3)*ROW('تشخيص الحالات'!$B$2:$B$1001))-1),""),"")&amp;IF(SUMPRODUCT(('تشخيص الحالات'!$B$2:$B$1001=B810)*('تشخيص الحالات'!$G$2:$G$1001=4))&gt;0,"، "&amp;IFERROR(INDEX('تشخيص الحالات'!$D$2:$D$1001,SUMPRODUCT(('تشخيص الحالات'!$B$2:$B$1001=B810)*('تشخيص الحالات'!$G$2:$G$1001=4)*ROW('تشخيص الحالات'!$B$2:$B$1001))-1),""),"")&amp;IF(SUMPRODUCT(('تشخيص الحالات'!$B$2:$B$1001=B810)*('تشخيص الحالات'!$G$2:$G$1001=5))&gt;0,"، "&amp;IFERROR(INDEX('تشخيص الحالات'!$D$2:$D$1001,SUMPRODUCT(('تشخيص الحالات'!$B$2:$B$1001=B810)*('تشخيص الحالات'!$G$2:$G$1001=5)*ROW('تشخيص الحالات'!$B$2:$B$1001))-1),""),"")&amp;IF(SUMPRODUCT(('تشخيص الحالات'!$B$2:$B$1001=B810)*('تشخيص الحالات'!$G$2:$G$1001=6))&gt;0,"، "&amp;IFERROR(INDEX('تشخيص الحالات'!$D$2:$D$1001,SUMPRODUCT(('تشخيص الحالات'!$B$2:$B$1001=B810)*('تشخيص الحالات'!$G$2:$G$1001=6)*ROW('تشخيص الحالات'!$B$2:$B$1001))-1),""),"")&amp;IF(SUMPRODUCT(('تشخيص الحالات'!$B$2:$B$1001=B810)*('تشخيص الحالات'!$G$2:$G$1001=7))&gt;0,"، "&amp;IFERROR(INDEX('تشخيص الحالات'!$D$2:$D$1001,SUMPRODUCT(('تشخيص الحالات'!$B$2:$B$1001=B810)*('تشخيص الحالات'!$G$2:$G$1001=7)*ROW('تشخيص الحالات'!$B$2:$B$1001))-1),""),"")&amp;IF(SUMPRODUCT(('تشخيص الحالات'!$B$2:$B$1001=B810)*('تشخيص الحالات'!$G$2:$G$1001=8))&gt;0,"، "&amp;IFERROR(INDEX('تشخيص الحالات'!$D$2:$D$1001,SUMPRODUCT(('تشخيص الحالات'!$B$2:$B$1001=B810)*('تشخيص الحالات'!$G$2:$G$1001=8)*ROW('تشخيص الحالات'!$B$2:$B$1001))-1),""),"")</f>
        <v/>
      </c>
      <c r="J810" s="1"/>
      <c r="K810" s="1"/>
      <c r="L810" s="1"/>
      <c r="M810" s="1"/>
    </row>
    <row r="811" spans="1:13" x14ac:dyDescent="0.2">
      <c r="A811" s="1"/>
      <c r="B811" s="1"/>
      <c r="C811" s="1"/>
      <c r="D811" s="1"/>
      <c r="E811" s="1"/>
      <c r="F811" s="1"/>
      <c r="G811" s="1"/>
      <c r="H811" s="1"/>
      <c r="I811" t="str">
        <f>IFERROR(INDEX('تشخيص الحالات'!$D$2:$D$1001,SUMPRODUCT(('تشخيص الحالات'!$B$2:$B$1001=B811)*('تشخيص الحالات'!$G$2:$G$1001=1)*ROW('تشخيص الحالات'!$B$2:$B$1001))-1),"")&amp;IF(SUMPRODUCT(('تشخيص الحالات'!$B$2:$B$1001=B811)*('تشخيص الحالات'!$G$2:$G$1001=2))&gt;0,"، "&amp;IFERROR(INDEX('تشخيص الحالات'!$D$2:$D$1001,SUMPRODUCT(('تشخيص الحالات'!$B$2:$B$1001=B811)*('تشخيص الحالات'!$G$2:$G$1001=2)*ROW('تشخيص الحالات'!$B$2:$B$1001))-1),""),"")&amp;IF(SUMPRODUCT(('تشخيص الحالات'!$B$2:$B$1001=B811)*('تشخيص الحالات'!$G$2:$G$1001=3))&gt;0,"، "&amp;IFERROR(INDEX('تشخيص الحالات'!$D$2:$D$1001,SUMPRODUCT(('تشخيص الحالات'!$B$2:$B$1001=B811)*('تشخيص الحالات'!$G$2:$G$1001=3)*ROW('تشخيص الحالات'!$B$2:$B$1001))-1),""),"")&amp;IF(SUMPRODUCT(('تشخيص الحالات'!$B$2:$B$1001=B811)*('تشخيص الحالات'!$G$2:$G$1001=4))&gt;0,"، "&amp;IFERROR(INDEX('تشخيص الحالات'!$D$2:$D$1001,SUMPRODUCT(('تشخيص الحالات'!$B$2:$B$1001=B811)*('تشخيص الحالات'!$G$2:$G$1001=4)*ROW('تشخيص الحالات'!$B$2:$B$1001))-1),""),"")&amp;IF(SUMPRODUCT(('تشخيص الحالات'!$B$2:$B$1001=B811)*('تشخيص الحالات'!$G$2:$G$1001=5))&gt;0,"، "&amp;IFERROR(INDEX('تشخيص الحالات'!$D$2:$D$1001,SUMPRODUCT(('تشخيص الحالات'!$B$2:$B$1001=B811)*('تشخيص الحالات'!$G$2:$G$1001=5)*ROW('تشخيص الحالات'!$B$2:$B$1001))-1),""),"")&amp;IF(SUMPRODUCT(('تشخيص الحالات'!$B$2:$B$1001=B811)*('تشخيص الحالات'!$G$2:$G$1001=6))&gt;0,"، "&amp;IFERROR(INDEX('تشخيص الحالات'!$D$2:$D$1001,SUMPRODUCT(('تشخيص الحالات'!$B$2:$B$1001=B811)*('تشخيص الحالات'!$G$2:$G$1001=6)*ROW('تشخيص الحالات'!$B$2:$B$1001))-1),""),"")&amp;IF(SUMPRODUCT(('تشخيص الحالات'!$B$2:$B$1001=B811)*('تشخيص الحالات'!$G$2:$G$1001=7))&gt;0,"، "&amp;IFERROR(INDEX('تشخيص الحالات'!$D$2:$D$1001,SUMPRODUCT(('تشخيص الحالات'!$B$2:$B$1001=B811)*('تشخيص الحالات'!$G$2:$G$1001=7)*ROW('تشخيص الحالات'!$B$2:$B$1001))-1),""),"")&amp;IF(SUMPRODUCT(('تشخيص الحالات'!$B$2:$B$1001=B811)*('تشخيص الحالات'!$G$2:$G$1001=8))&gt;0,"، "&amp;IFERROR(INDEX('تشخيص الحالات'!$D$2:$D$1001,SUMPRODUCT(('تشخيص الحالات'!$B$2:$B$1001=B811)*('تشخيص الحالات'!$G$2:$G$1001=8)*ROW('تشخيص الحالات'!$B$2:$B$1001))-1),""),"")</f>
        <v/>
      </c>
      <c r="J811" s="1"/>
      <c r="K811" s="1"/>
      <c r="L811" s="1"/>
      <c r="M811" s="1"/>
    </row>
    <row r="812" spans="1:13" x14ac:dyDescent="0.2">
      <c r="A812" s="1"/>
      <c r="B812" s="1"/>
      <c r="C812" s="1"/>
      <c r="D812" s="1"/>
      <c r="E812" s="1"/>
      <c r="F812" s="1"/>
      <c r="G812" s="1"/>
      <c r="H812" s="1"/>
      <c r="I812" t="str">
        <f>IFERROR(INDEX('تشخيص الحالات'!$D$2:$D$1001,SUMPRODUCT(('تشخيص الحالات'!$B$2:$B$1001=B812)*('تشخيص الحالات'!$G$2:$G$1001=1)*ROW('تشخيص الحالات'!$B$2:$B$1001))-1),"")&amp;IF(SUMPRODUCT(('تشخيص الحالات'!$B$2:$B$1001=B812)*('تشخيص الحالات'!$G$2:$G$1001=2))&gt;0,"، "&amp;IFERROR(INDEX('تشخيص الحالات'!$D$2:$D$1001,SUMPRODUCT(('تشخيص الحالات'!$B$2:$B$1001=B812)*('تشخيص الحالات'!$G$2:$G$1001=2)*ROW('تشخيص الحالات'!$B$2:$B$1001))-1),""),"")&amp;IF(SUMPRODUCT(('تشخيص الحالات'!$B$2:$B$1001=B812)*('تشخيص الحالات'!$G$2:$G$1001=3))&gt;0,"، "&amp;IFERROR(INDEX('تشخيص الحالات'!$D$2:$D$1001,SUMPRODUCT(('تشخيص الحالات'!$B$2:$B$1001=B812)*('تشخيص الحالات'!$G$2:$G$1001=3)*ROW('تشخيص الحالات'!$B$2:$B$1001))-1),""),"")&amp;IF(SUMPRODUCT(('تشخيص الحالات'!$B$2:$B$1001=B812)*('تشخيص الحالات'!$G$2:$G$1001=4))&gt;0,"، "&amp;IFERROR(INDEX('تشخيص الحالات'!$D$2:$D$1001,SUMPRODUCT(('تشخيص الحالات'!$B$2:$B$1001=B812)*('تشخيص الحالات'!$G$2:$G$1001=4)*ROW('تشخيص الحالات'!$B$2:$B$1001))-1),""),"")&amp;IF(SUMPRODUCT(('تشخيص الحالات'!$B$2:$B$1001=B812)*('تشخيص الحالات'!$G$2:$G$1001=5))&gt;0,"، "&amp;IFERROR(INDEX('تشخيص الحالات'!$D$2:$D$1001,SUMPRODUCT(('تشخيص الحالات'!$B$2:$B$1001=B812)*('تشخيص الحالات'!$G$2:$G$1001=5)*ROW('تشخيص الحالات'!$B$2:$B$1001))-1),""),"")&amp;IF(SUMPRODUCT(('تشخيص الحالات'!$B$2:$B$1001=B812)*('تشخيص الحالات'!$G$2:$G$1001=6))&gt;0,"، "&amp;IFERROR(INDEX('تشخيص الحالات'!$D$2:$D$1001,SUMPRODUCT(('تشخيص الحالات'!$B$2:$B$1001=B812)*('تشخيص الحالات'!$G$2:$G$1001=6)*ROW('تشخيص الحالات'!$B$2:$B$1001))-1),""),"")&amp;IF(SUMPRODUCT(('تشخيص الحالات'!$B$2:$B$1001=B812)*('تشخيص الحالات'!$G$2:$G$1001=7))&gt;0,"، "&amp;IFERROR(INDEX('تشخيص الحالات'!$D$2:$D$1001,SUMPRODUCT(('تشخيص الحالات'!$B$2:$B$1001=B812)*('تشخيص الحالات'!$G$2:$G$1001=7)*ROW('تشخيص الحالات'!$B$2:$B$1001))-1),""),"")&amp;IF(SUMPRODUCT(('تشخيص الحالات'!$B$2:$B$1001=B812)*('تشخيص الحالات'!$G$2:$G$1001=8))&gt;0,"، "&amp;IFERROR(INDEX('تشخيص الحالات'!$D$2:$D$1001,SUMPRODUCT(('تشخيص الحالات'!$B$2:$B$1001=B812)*('تشخيص الحالات'!$G$2:$G$1001=8)*ROW('تشخيص الحالات'!$B$2:$B$1001))-1),""),"")</f>
        <v/>
      </c>
      <c r="J812" s="1"/>
      <c r="K812" s="1"/>
      <c r="L812" s="1"/>
      <c r="M812" s="1"/>
    </row>
    <row r="813" spans="1:13" x14ac:dyDescent="0.2">
      <c r="A813" s="1"/>
      <c r="B813" s="1"/>
      <c r="C813" s="1"/>
      <c r="D813" s="1"/>
      <c r="E813" s="1"/>
      <c r="F813" s="1"/>
      <c r="G813" s="1"/>
      <c r="H813" s="1"/>
      <c r="I813" t="str">
        <f>IFERROR(INDEX('تشخيص الحالات'!$D$2:$D$1001,SUMPRODUCT(('تشخيص الحالات'!$B$2:$B$1001=B813)*('تشخيص الحالات'!$G$2:$G$1001=1)*ROW('تشخيص الحالات'!$B$2:$B$1001))-1),"")&amp;IF(SUMPRODUCT(('تشخيص الحالات'!$B$2:$B$1001=B813)*('تشخيص الحالات'!$G$2:$G$1001=2))&gt;0,"، "&amp;IFERROR(INDEX('تشخيص الحالات'!$D$2:$D$1001,SUMPRODUCT(('تشخيص الحالات'!$B$2:$B$1001=B813)*('تشخيص الحالات'!$G$2:$G$1001=2)*ROW('تشخيص الحالات'!$B$2:$B$1001))-1),""),"")&amp;IF(SUMPRODUCT(('تشخيص الحالات'!$B$2:$B$1001=B813)*('تشخيص الحالات'!$G$2:$G$1001=3))&gt;0,"، "&amp;IFERROR(INDEX('تشخيص الحالات'!$D$2:$D$1001,SUMPRODUCT(('تشخيص الحالات'!$B$2:$B$1001=B813)*('تشخيص الحالات'!$G$2:$G$1001=3)*ROW('تشخيص الحالات'!$B$2:$B$1001))-1),""),"")&amp;IF(SUMPRODUCT(('تشخيص الحالات'!$B$2:$B$1001=B813)*('تشخيص الحالات'!$G$2:$G$1001=4))&gt;0,"، "&amp;IFERROR(INDEX('تشخيص الحالات'!$D$2:$D$1001,SUMPRODUCT(('تشخيص الحالات'!$B$2:$B$1001=B813)*('تشخيص الحالات'!$G$2:$G$1001=4)*ROW('تشخيص الحالات'!$B$2:$B$1001))-1),""),"")&amp;IF(SUMPRODUCT(('تشخيص الحالات'!$B$2:$B$1001=B813)*('تشخيص الحالات'!$G$2:$G$1001=5))&gt;0,"، "&amp;IFERROR(INDEX('تشخيص الحالات'!$D$2:$D$1001,SUMPRODUCT(('تشخيص الحالات'!$B$2:$B$1001=B813)*('تشخيص الحالات'!$G$2:$G$1001=5)*ROW('تشخيص الحالات'!$B$2:$B$1001))-1),""),"")&amp;IF(SUMPRODUCT(('تشخيص الحالات'!$B$2:$B$1001=B813)*('تشخيص الحالات'!$G$2:$G$1001=6))&gt;0,"، "&amp;IFERROR(INDEX('تشخيص الحالات'!$D$2:$D$1001,SUMPRODUCT(('تشخيص الحالات'!$B$2:$B$1001=B813)*('تشخيص الحالات'!$G$2:$G$1001=6)*ROW('تشخيص الحالات'!$B$2:$B$1001))-1),""),"")&amp;IF(SUMPRODUCT(('تشخيص الحالات'!$B$2:$B$1001=B813)*('تشخيص الحالات'!$G$2:$G$1001=7))&gt;0,"، "&amp;IFERROR(INDEX('تشخيص الحالات'!$D$2:$D$1001,SUMPRODUCT(('تشخيص الحالات'!$B$2:$B$1001=B813)*('تشخيص الحالات'!$G$2:$G$1001=7)*ROW('تشخيص الحالات'!$B$2:$B$1001))-1),""),"")&amp;IF(SUMPRODUCT(('تشخيص الحالات'!$B$2:$B$1001=B813)*('تشخيص الحالات'!$G$2:$G$1001=8))&gt;0,"، "&amp;IFERROR(INDEX('تشخيص الحالات'!$D$2:$D$1001,SUMPRODUCT(('تشخيص الحالات'!$B$2:$B$1001=B813)*('تشخيص الحالات'!$G$2:$G$1001=8)*ROW('تشخيص الحالات'!$B$2:$B$1001))-1),""),"")</f>
        <v/>
      </c>
      <c r="J813" s="1"/>
      <c r="K813" s="1"/>
      <c r="L813" s="1"/>
      <c r="M813" s="1"/>
    </row>
    <row r="814" spans="1:13" x14ac:dyDescent="0.2">
      <c r="A814" s="1"/>
      <c r="B814" s="1"/>
      <c r="C814" s="1"/>
      <c r="D814" s="1"/>
      <c r="E814" s="1"/>
      <c r="F814" s="1"/>
      <c r="G814" s="1"/>
      <c r="H814" s="1"/>
      <c r="I814" t="str">
        <f>IFERROR(INDEX('تشخيص الحالات'!$D$2:$D$1001,SUMPRODUCT(('تشخيص الحالات'!$B$2:$B$1001=B814)*('تشخيص الحالات'!$G$2:$G$1001=1)*ROW('تشخيص الحالات'!$B$2:$B$1001))-1),"")&amp;IF(SUMPRODUCT(('تشخيص الحالات'!$B$2:$B$1001=B814)*('تشخيص الحالات'!$G$2:$G$1001=2))&gt;0,"، "&amp;IFERROR(INDEX('تشخيص الحالات'!$D$2:$D$1001,SUMPRODUCT(('تشخيص الحالات'!$B$2:$B$1001=B814)*('تشخيص الحالات'!$G$2:$G$1001=2)*ROW('تشخيص الحالات'!$B$2:$B$1001))-1),""),"")&amp;IF(SUMPRODUCT(('تشخيص الحالات'!$B$2:$B$1001=B814)*('تشخيص الحالات'!$G$2:$G$1001=3))&gt;0,"، "&amp;IFERROR(INDEX('تشخيص الحالات'!$D$2:$D$1001,SUMPRODUCT(('تشخيص الحالات'!$B$2:$B$1001=B814)*('تشخيص الحالات'!$G$2:$G$1001=3)*ROW('تشخيص الحالات'!$B$2:$B$1001))-1),""),"")&amp;IF(SUMPRODUCT(('تشخيص الحالات'!$B$2:$B$1001=B814)*('تشخيص الحالات'!$G$2:$G$1001=4))&gt;0,"، "&amp;IFERROR(INDEX('تشخيص الحالات'!$D$2:$D$1001,SUMPRODUCT(('تشخيص الحالات'!$B$2:$B$1001=B814)*('تشخيص الحالات'!$G$2:$G$1001=4)*ROW('تشخيص الحالات'!$B$2:$B$1001))-1),""),"")&amp;IF(SUMPRODUCT(('تشخيص الحالات'!$B$2:$B$1001=B814)*('تشخيص الحالات'!$G$2:$G$1001=5))&gt;0,"، "&amp;IFERROR(INDEX('تشخيص الحالات'!$D$2:$D$1001,SUMPRODUCT(('تشخيص الحالات'!$B$2:$B$1001=B814)*('تشخيص الحالات'!$G$2:$G$1001=5)*ROW('تشخيص الحالات'!$B$2:$B$1001))-1),""),"")&amp;IF(SUMPRODUCT(('تشخيص الحالات'!$B$2:$B$1001=B814)*('تشخيص الحالات'!$G$2:$G$1001=6))&gt;0,"، "&amp;IFERROR(INDEX('تشخيص الحالات'!$D$2:$D$1001,SUMPRODUCT(('تشخيص الحالات'!$B$2:$B$1001=B814)*('تشخيص الحالات'!$G$2:$G$1001=6)*ROW('تشخيص الحالات'!$B$2:$B$1001))-1),""),"")&amp;IF(SUMPRODUCT(('تشخيص الحالات'!$B$2:$B$1001=B814)*('تشخيص الحالات'!$G$2:$G$1001=7))&gt;0,"، "&amp;IFERROR(INDEX('تشخيص الحالات'!$D$2:$D$1001,SUMPRODUCT(('تشخيص الحالات'!$B$2:$B$1001=B814)*('تشخيص الحالات'!$G$2:$G$1001=7)*ROW('تشخيص الحالات'!$B$2:$B$1001))-1),""),"")&amp;IF(SUMPRODUCT(('تشخيص الحالات'!$B$2:$B$1001=B814)*('تشخيص الحالات'!$G$2:$G$1001=8))&gt;0,"، "&amp;IFERROR(INDEX('تشخيص الحالات'!$D$2:$D$1001,SUMPRODUCT(('تشخيص الحالات'!$B$2:$B$1001=B814)*('تشخيص الحالات'!$G$2:$G$1001=8)*ROW('تشخيص الحالات'!$B$2:$B$1001))-1),""),"")</f>
        <v/>
      </c>
      <c r="J814" s="1"/>
      <c r="K814" s="1"/>
      <c r="L814" s="1"/>
      <c r="M814" s="1"/>
    </row>
    <row r="815" spans="1:13" x14ac:dyDescent="0.2">
      <c r="A815" s="1"/>
      <c r="B815" s="1"/>
      <c r="C815" s="1"/>
      <c r="D815" s="1"/>
      <c r="E815" s="1"/>
      <c r="F815" s="1"/>
      <c r="G815" s="1"/>
      <c r="H815" s="1"/>
      <c r="I815" t="str">
        <f>IFERROR(INDEX('تشخيص الحالات'!$D$2:$D$1001,SUMPRODUCT(('تشخيص الحالات'!$B$2:$B$1001=B815)*('تشخيص الحالات'!$G$2:$G$1001=1)*ROW('تشخيص الحالات'!$B$2:$B$1001))-1),"")&amp;IF(SUMPRODUCT(('تشخيص الحالات'!$B$2:$B$1001=B815)*('تشخيص الحالات'!$G$2:$G$1001=2))&gt;0,"، "&amp;IFERROR(INDEX('تشخيص الحالات'!$D$2:$D$1001,SUMPRODUCT(('تشخيص الحالات'!$B$2:$B$1001=B815)*('تشخيص الحالات'!$G$2:$G$1001=2)*ROW('تشخيص الحالات'!$B$2:$B$1001))-1),""),"")&amp;IF(SUMPRODUCT(('تشخيص الحالات'!$B$2:$B$1001=B815)*('تشخيص الحالات'!$G$2:$G$1001=3))&gt;0,"، "&amp;IFERROR(INDEX('تشخيص الحالات'!$D$2:$D$1001,SUMPRODUCT(('تشخيص الحالات'!$B$2:$B$1001=B815)*('تشخيص الحالات'!$G$2:$G$1001=3)*ROW('تشخيص الحالات'!$B$2:$B$1001))-1),""),"")&amp;IF(SUMPRODUCT(('تشخيص الحالات'!$B$2:$B$1001=B815)*('تشخيص الحالات'!$G$2:$G$1001=4))&gt;0,"، "&amp;IFERROR(INDEX('تشخيص الحالات'!$D$2:$D$1001,SUMPRODUCT(('تشخيص الحالات'!$B$2:$B$1001=B815)*('تشخيص الحالات'!$G$2:$G$1001=4)*ROW('تشخيص الحالات'!$B$2:$B$1001))-1),""),"")&amp;IF(SUMPRODUCT(('تشخيص الحالات'!$B$2:$B$1001=B815)*('تشخيص الحالات'!$G$2:$G$1001=5))&gt;0,"، "&amp;IFERROR(INDEX('تشخيص الحالات'!$D$2:$D$1001,SUMPRODUCT(('تشخيص الحالات'!$B$2:$B$1001=B815)*('تشخيص الحالات'!$G$2:$G$1001=5)*ROW('تشخيص الحالات'!$B$2:$B$1001))-1),""),"")&amp;IF(SUMPRODUCT(('تشخيص الحالات'!$B$2:$B$1001=B815)*('تشخيص الحالات'!$G$2:$G$1001=6))&gt;0,"، "&amp;IFERROR(INDEX('تشخيص الحالات'!$D$2:$D$1001,SUMPRODUCT(('تشخيص الحالات'!$B$2:$B$1001=B815)*('تشخيص الحالات'!$G$2:$G$1001=6)*ROW('تشخيص الحالات'!$B$2:$B$1001))-1),""),"")&amp;IF(SUMPRODUCT(('تشخيص الحالات'!$B$2:$B$1001=B815)*('تشخيص الحالات'!$G$2:$G$1001=7))&gt;0,"، "&amp;IFERROR(INDEX('تشخيص الحالات'!$D$2:$D$1001,SUMPRODUCT(('تشخيص الحالات'!$B$2:$B$1001=B815)*('تشخيص الحالات'!$G$2:$G$1001=7)*ROW('تشخيص الحالات'!$B$2:$B$1001))-1),""),"")&amp;IF(SUMPRODUCT(('تشخيص الحالات'!$B$2:$B$1001=B815)*('تشخيص الحالات'!$G$2:$G$1001=8))&gt;0,"، "&amp;IFERROR(INDEX('تشخيص الحالات'!$D$2:$D$1001,SUMPRODUCT(('تشخيص الحالات'!$B$2:$B$1001=B815)*('تشخيص الحالات'!$G$2:$G$1001=8)*ROW('تشخيص الحالات'!$B$2:$B$1001))-1),""),"")</f>
        <v/>
      </c>
      <c r="J815" s="1"/>
      <c r="K815" s="1"/>
      <c r="L815" s="1"/>
      <c r="M815" s="1"/>
    </row>
    <row r="816" spans="1:13" x14ac:dyDescent="0.2">
      <c r="A816" s="1"/>
      <c r="B816" s="1"/>
      <c r="C816" s="1"/>
      <c r="D816" s="1"/>
      <c r="E816" s="1"/>
      <c r="F816" s="1"/>
      <c r="G816" s="1"/>
      <c r="H816" s="1"/>
      <c r="I816" t="str">
        <f>IFERROR(INDEX('تشخيص الحالات'!$D$2:$D$1001,SUMPRODUCT(('تشخيص الحالات'!$B$2:$B$1001=B816)*('تشخيص الحالات'!$G$2:$G$1001=1)*ROW('تشخيص الحالات'!$B$2:$B$1001))-1),"")&amp;IF(SUMPRODUCT(('تشخيص الحالات'!$B$2:$B$1001=B816)*('تشخيص الحالات'!$G$2:$G$1001=2))&gt;0,"، "&amp;IFERROR(INDEX('تشخيص الحالات'!$D$2:$D$1001,SUMPRODUCT(('تشخيص الحالات'!$B$2:$B$1001=B816)*('تشخيص الحالات'!$G$2:$G$1001=2)*ROW('تشخيص الحالات'!$B$2:$B$1001))-1),""),"")&amp;IF(SUMPRODUCT(('تشخيص الحالات'!$B$2:$B$1001=B816)*('تشخيص الحالات'!$G$2:$G$1001=3))&gt;0,"، "&amp;IFERROR(INDEX('تشخيص الحالات'!$D$2:$D$1001,SUMPRODUCT(('تشخيص الحالات'!$B$2:$B$1001=B816)*('تشخيص الحالات'!$G$2:$G$1001=3)*ROW('تشخيص الحالات'!$B$2:$B$1001))-1),""),"")&amp;IF(SUMPRODUCT(('تشخيص الحالات'!$B$2:$B$1001=B816)*('تشخيص الحالات'!$G$2:$G$1001=4))&gt;0,"، "&amp;IFERROR(INDEX('تشخيص الحالات'!$D$2:$D$1001,SUMPRODUCT(('تشخيص الحالات'!$B$2:$B$1001=B816)*('تشخيص الحالات'!$G$2:$G$1001=4)*ROW('تشخيص الحالات'!$B$2:$B$1001))-1),""),"")&amp;IF(SUMPRODUCT(('تشخيص الحالات'!$B$2:$B$1001=B816)*('تشخيص الحالات'!$G$2:$G$1001=5))&gt;0,"، "&amp;IFERROR(INDEX('تشخيص الحالات'!$D$2:$D$1001,SUMPRODUCT(('تشخيص الحالات'!$B$2:$B$1001=B816)*('تشخيص الحالات'!$G$2:$G$1001=5)*ROW('تشخيص الحالات'!$B$2:$B$1001))-1),""),"")&amp;IF(SUMPRODUCT(('تشخيص الحالات'!$B$2:$B$1001=B816)*('تشخيص الحالات'!$G$2:$G$1001=6))&gt;0,"، "&amp;IFERROR(INDEX('تشخيص الحالات'!$D$2:$D$1001,SUMPRODUCT(('تشخيص الحالات'!$B$2:$B$1001=B816)*('تشخيص الحالات'!$G$2:$G$1001=6)*ROW('تشخيص الحالات'!$B$2:$B$1001))-1),""),"")&amp;IF(SUMPRODUCT(('تشخيص الحالات'!$B$2:$B$1001=B816)*('تشخيص الحالات'!$G$2:$G$1001=7))&gt;0,"، "&amp;IFERROR(INDEX('تشخيص الحالات'!$D$2:$D$1001,SUMPRODUCT(('تشخيص الحالات'!$B$2:$B$1001=B816)*('تشخيص الحالات'!$G$2:$G$1001=7)*ROW('تشخيص الحالات'!$B$2:$B$1001))-1),""),"")&amp;IF(SUMPRODUCT(('تشخيص الحالات'!$B$2:$B$1001=B816)*('تشخيص الحالات'!$G$2:$G$1001=8))&gt;0,"، "&amp;IFERROR(INDEX('تشخيص الحالات'!$D$2:$D$1001,SUMPRODUCT(('تشخيص الحالات'!$B$2:$B$1001=B816)*('تشخيص الحالات'!$G$2:$G$1001=8)*ROW('تشخيص الحالات'!$B$2:$B$1001))-1),""),"")</f>
        <v/>
      </c>
      <c r="J816" s="1"/>
      <c r="K816" s="1"/>
      <c r="L816" s="1"/>
      <c r="M816" s="1"/>
    </row>
    <row r="817" spans="1:13" x14ac:dyDescent="0.2">
      <c r="A817" s="1"/>
      <c r="B817" s="1"/>
      <c r="C817" s="1"/>
      <c r="D817" s="1"/>
      <c r="E817" s="1"/>
      <c r="F817" s="1"/>
      <c r="G817" s="1"/>
      <c r="H817" s="1"/>
      <c r="I817" t="str">
        <f>IFERROR(INDEX('تشخيص الحالات'!$D$2:$D$1001,SUMPRODUCT(('تشخيص الحالات'!$B$2:$B$1001=B817)*('تشخيص الحالات'!$G$2:$G$1001=1)*ROW('تشخيص الحالات'!$B$2:$B$1001))-1),"")&amp;IF(SUMPRODUCT(('تشخيص الحالات'!$B$2:$B$1001=B817)*('تشخيص الحالات'!$G$2:$G$1001=2))&gt;0,"، "&amp;IFERROR(INDEX('تشخيص الحالات'!$D$2:$D$1001,SUMPRODUCT(('تشخيص الحالات'!$B$2:$B$1001=B817)*('تشخيص الحالات'!$G$2:$G$1001=2)*ROW('تشخيص الحالات'!$B$2:$B$1001))-1),""),"")&amp;IF(SUMPRODUCT(('تشخيص الحالات'!$B$2:$B$1001=B817)*('تشخيص الحالات'!$G$2:$G$1001=3))&gt;0,"، "&amp;IFERROR(INDEX('تشخيص الحالات'!$D$2:$D$1001,SUMPRODUCT(('تشخيص الحالات'!$B$2:$B$1001=B817)*('تشخيص الحالات'!$G$2:$G$1001=3)*ROW('تشخيص الحالات'!$B$2:$B$1001))-1),""),"")&amp;IF(SUMPRODUCT(('تشخيص الحالات'!$B$2:$B$1001=B817)*('تشخيص الحالات'!$G$2:$G$1001=4))&gt;0,"، "&amp;IFERROR(INDEX('تشخيص الحالات'!$D$2:$D$1001,SUMPRODUCT(('تشخيص الحالات'!$B$2:$B$1001=B817)*('تشخيص الحالات'!$G$2:$G$1001=4)*ROW('تشخيص الحالات'!$B$2:$B$1001))-1),""),"")&amp;IF(SUMPRODUCT(('تشخيص الحالات'!$B$2:$B$1001=B817)*('تشخيص الحالات'!$G$2:$G$1001=5))&gt;0,"، "&amp;IFERROR(INDEX('تشخيص الحالات'!$D$2:$D$1001,SUMPRODUCT(('تشخيص الحالات'!$B$2:$B$1001=B817)*('تشخيص الحالات'!$G$2:$G$1001=5)*ROW('تشخيص الحالات'!$B$2:$B$1001))-1),""),"")&amp;IF(SUMPRODUCT(('تشخيص الحالات'!$B$2:$B$1001=B817)*('تشخيص الحالات'!$G$2:$G$1001=6))&gt;0,"، "&amp;IFERROR(INDEX('تشخيص الحالات'!$D$2:$D$1001,SUMPRODUCT(('تشخيص الحالات'!$B$2:$B$1001=B817)*('تشخيص الحالات'!$G$2:$G$1001=6)*ROW('تشخيص الحالات'!$B$2:$B$1001))-1),""),"")&amp;IF(SUMPRODUCT(('تشخيص الحالات'!$B$2:$B$1001=B817)*('تشخيص الحالات'!$G$2:$G$1001=7))&gt;0,"، "&amp;IFERROR(INDEX('تشخيص الحالات'!$D$2:$D$1001,SUMPRODUCT(('تشخيص الحالات'!$B$2:$B$1001=B817)*('تشخيص الحالات'!$G$2:$G$1001=7)*ROW('تشخيص الحالات'!$B$2:$B$1001))-1),""),"")&amp;IF(SUMPRODUCT(('تشخيص الحالات'!$B$2:$B$1001=B817)*('تشخيص الحالات'!$G$2:$G$1001=8))&gt;0,"، "&amp;IFERROR(INDEX('تشخيص الحالات'!$D$2:$D$1001,SUMPRODUCT(('تشخيص الحالات'!$B$2:$B$1001=B817)*('تشخيص الحالات'!$G$2:$G$1001=8)*ROW('تشخيص الحالات'!$B$2:$B$1001))-1),""),"")</f>
        <v/>
      </c>
      <c r="J817" s="1"/>
      <c r="K817" s="1"/>
      <c r="L817" s="1"/>
      <c r="M817" s="1"/>
    </row>
    <row r="818" spans="1:13" x14ac:dyDescent="0.2">
      <c r="A818" s="1"/>
      <c r="B818" s="1"/>
      <c r="C818" s="1"/>
      <c r="D818" s="1"/>
      <c r="E818" s="1"/>
      <c r="F818" s="1"/>
      <c r="G818" s="1"/>
      <c r="H818" s="1"/>
      <c r="I818" t="str">
        <f>IFERROR(INDEX('تشخيص الحالات'!$D$2:$D$1001,SUMPRODUCT(('تشخيص الحالات'!$B$2:$B$1001=B818)*('تشخيص الحالات'!$G$2:$G$1001=1)*ROW('تشخيص الحالات'!$B$2:$B$1001))-1),"")&amp;IF(SUMPRODUCT(('تشخيص الحالات'!$B$2:$B$1001=B818)*('تشخيص الحالات'!$G$2:$G$1001=2))&gt;0,"، "&amp;IFERROR(INDEX('تشخيص الحالات'!$D$2:$D$1001,SUMPRODUCT(('تشخيص الحالات'!$B$2:$B$1001=B818)*('تشخيص الحالات'!$G$2:$G$1001=2)*ROW('تشخيص الحالات'!$B$2:$B$1001))-1),""),"")&amp;IF(SUMPRODUCT(('تشخيص الحالات'!$B$2:$B$1001=B818)*('تشخيص الحالات'!$G$2:$G$1001=3))&gt;0,"، "&amp;IFERROR(INDEX('تشخيص الحالات'!$D$2:$D$1001,SUMPRODUCT(('تشخيص الحالات'!$B$2:$B$1001=B818)*('تشخيص الحالات'!$G$2:$G$1001=3)*ROW('تشخيص الحالات'!$B$2:$B$1001))-1),""),"")&amp;IF(SUMPRODUCT(('تشخيص الحالات'!$B$2:$B$1001=B818)*('تشخيص الحالات'!$G$2:$G$1001=4))&gt;0,"، "&amp;IFERROR(INDEX('تشخيص الحالات'!$D$2:$D$1001,SUMPRODUCT(('تشخيص الحالات'!$B$2:$B$1001=B818)*('تشخيص الحالات'!$G$2:$G$1001=4)*ROW('تشخيص الحالات'!$B$2:$B$1001))-1),""),"")&amp;IF(SUMPRODUCT(('تشخيص الحالات'!$B$2:$B$1001=B818)*('تشخيص الحالات'!$G$2:$G$1001=5))&gt;0,"، "&amp;IFERROR(INDEX('تشخيص الحالات'!$D$2:$D$1001,SUMPRODUCT(('تشخيص الحالات'!$B$2:$B$1001=B818)*('تشخيص الحالات'!$G$2:$G$1001=5)*ROW('تشخيص الحالات'!$B$2:$B$1001))-1),""),"")&amp;IF(SUMPRODUCT(('تشخيص الحالات'!$B$2:$B$1001=B818)*('تشخيص الحالات'!$G$2:$G$1001=6))&gt;0,"، "&amp;IFERROR(INDEX('تشخيص الحالات'!$D$2:$D$1001,SUMPRODUCT(('تشخيص الحالات'!$B$2:$B$1001=B818)*('تشخيص الحالات'!$G$2:$G$1001=6)*ROW('تشخيص الحالات'!$B$2:$B$1001))-1),""),"")&amp;IF(SUMPRODUCT(('تشخيص الحالات'!$B$2:$B$1001=B818)*('تشخيص الحالات'!$G$2:$G$1001=7))&gt;0,"، "&amp;IFERROR(INDEX('تشخيص الحالات'!$D$2:$D$1001,SUMPRODUCT(('تشخيص الحالات'!$B$2:$B$1001=B818)*('تشخيص الحالات'!$G$2:$G$1001=7)*ROW('تشخيص الحالات'!$B$2:$B$1001))-1),""),"")&amp;IF(SUMPRODUCT(('تشخيص الحالات'!$B$2:$B$1001=B818)*('تشخيص الحالات'!$G$2:$G$1001=8))&gt;0,"، "&amp;IFERROR(INDEX('تشخيص الحالات'!$D$2:$D$1001,SUMPRODUCT(('تشخيص الحالات'!$B$2:$B$1001=B818)*('تشخيص الحالات'!$G$2:$G$1001=8)*ROW('تشخيص الحالات'!$B$2:$B$1001))-1),""),"")</f>
        <v/>
      </c>
      <c r="J818" s="1"/>
      <c r="K818" s="1"/>
      <c r="L818" s="1"/>
      <c r="M818" s="1"/>
    </row>
    <row r="819" spans="1:13" x14ac:dyDescent="0.2">
      <c r="A819" s="1"/>
      <c r="B819" s="1"/>
      <c r="C819" s="1"/>
      <c r="D819" s="1"/>
      <c r="E819" s="1"/>
      <c r="F819" s="1"/>
      <c r="G819" s="1"/>
      <c r="H819" s="1"/>
      <c r="I819" t="str">
        <f>IFERROR(INDEX('تشخيص الحالات'!$D$2:$D$1001,SUMPRODUCT(('تشخيص الحالات'!$B$2:$B$1001=B819)*('تشخيص الحالات'!$G$2:$G$1001=1)*ROW('تشخيص الحالات'!$B$2:$B$1001))-1),"")&amp;IF(SUMPRODUCT(('تشخيص الحالات'!$B$2:$B$1001=B819)*('تشخيص الحالات'!$G$2:$G$1001=2))&gt;0,"، "&amp;IFERROR(INDEX('تشخيص الحالات'!$D$2:$D$1001,SUMPRODUCT(('تشخيص الحالات'!$B$2:$B$1001=B819)*('تشخيص الحالات'!$G$2:$G$1001=2)*ROW('تشخيص الحالات'!$B$2:$B$1001))-1),""),"")&amp;IF(SUMPRODUCT(('تشخيص الحالات'!$B$2:$B$1001=B819)*('تشخيص الحالات'!$G$2:$G$1001=3))&gt;0,"، "&amp;IFERROR(INDEX('تشخيص الحالات'!$D$2:$D$1001,SUMPRODUCT(('تشخيص الحالات'!$B$2:$B$1001=B819)*('تشخيص الحالات'!$G$2:$G$1001=3)*ROW('تشخيص الحالات'!$B$2:$B$1001))-1),""),"")&amp;IF(SUMPRODUCT(('تشخيص الحالات'!$B$2:$B$1001=B819)*('تشخيص الحالات'!$G$2:$G$1001=4))&gt;0,"، "&amp;IFERROR(INDEX('تشخيص الحالات'!$D$2:$D$1001,SUMPRODUCT(('تشخيص الحالات'!$B$2:$B$1001=B819)*('تشخيص الحالات'!$G$2:$G$1001=4)*ROW('تشخيص الحالات'!$B$2:$B$1001))-1),""),"")&amp;IF(SUMPRODUCT(('تشخيص الحالات'!$B$2:$B$1001=B819)*('تشخيص الحالات'!$G$2:$G$1001=5))&gt;0,"، "&amp;IFERROR(INDEX('تشخيص الحالات'!$D$2:$D$1001,SUMPRODUCT(('تشخيص الحالات'!$B$2:$B$1001=B819)*('تشخيص الحالات'!$G$2:$G$1001=5)*ROW('تشخيص الحالات'!$B$2:$B$1001))-1),""),"")&amp;IF(SUMPRODUCT(('تشخيص الحالات'!$B$2:$B$1001=B819)*('تشخيص الحالات'!$G$2:$G$1001=6))&gt;0,"، "&amp;IFERROR(INDEX('تشخيص الحالات'!$D$2:$D$1001,SUMPRODUCT(('تشخيص الحالات'!$B$2:$B$1001=B819)*('تشخيص الحالات'!$G$2:$G$1001=6)*ROW('تشخيص الحالات'!$B$2:$B$1001))-1),""),"")&amp;IF(SUMPRODUCT(('تشخيص الحالات'!$B$2:$B$1001=B819)*('تشخيص الحالات'!$G$2:$G$1001=7))&gt;0,"، "&amp;IFERROR(INDEX('تشخيص الحالات'!$D$2:$D$1001,SUMPRODUCT(('تشخيص الحالات'!$B$2:$B$1001=B819)*('تشخيص الحالات'!$G$2:$G$1001=7)*ROW('تشخيص الحالات'!$B$2:$B$1001))-1),""),"")&amp;IF(SUMPRODUCT(('تشخيص الحالات'!$B$2:$B$1001=B819)*('تشخيص الحالات'!$G$2:$G$1001=8))&gt;0,"، "&amp;IFERROR(INDEX('تشخيص الحالات'!$D$2:$D$1001,SUMPRODUCT(('تشخيص الحالات'!$B$2:$B$1001=B819)*('تشخيص الحالات'!$G$2:$G$1001=8)*ROW('تشخيص الحالات'!$B$2:$B$1001))-1),""),"")</f>
        <v/>
      </c>
      <c r="J819" s="1"/>
      <c r="K819" s="1"/>
      <c r="L819" s="1"/>
      <c r="M819" s="1"/>
    </row>
    <row r="820" spans="1:13" x14ac:dyDescent="0.2">
      <c r="A820" s="1"/>
      <c r="B820" s="1"/>
      <c r="C820" s="1"/>
      <c r="D820" s="1"/>
      <c r="E820" s="1"/>
      <c r="F820" s="1"/>
      <c r="G820" s="1"/>
      <c r="H820" s="1"/>
      <c r="I820" t="str">
        <f>IFERROR(INDEX('تشخيص الحالات'!$D$2:$D$1001,SUMPRODUCT(('تشخيص الحالات'!$B$2:$B$1001=B820)*('تشخيص الحالات'!$G$2:$G$1001=1)*ROW('تشخيص الحالات'!$B$2:$B$1001))-1),"")&amp;IF(SUMPRODUCT(('تشخيص الحالات'!$B$2:$B$1001=B820)*('تشخيص الحالات'!$G$2:$G$1001=2))&gt;0,"، "&amp;IFERROR(INDEX('تشخيص الحالات'!$D$2:$D$1001,SUMPRODUCT(('تشخيص الحالات'!$B$2:$B$1001=B820)*('تشخيص الحالات'!$G$2:$G$1001=2)*ROW('تشخيص الحالات'!$B$2:$B$1001))-1),""),"")&amp;IF(SUMPRODUCT(('تشخيص الحالات'!$B$2:$B$1001=B820)*('تشخيص الحالات'!$G$2:$G$1001=3))&gt;0,"، "&amp;IFERROR(INDEX('تشخيص الحالات'!$D$2:$D$1001,SUMPRODUCT(('تشخيص الحالات'!$B$2:$B$1001=B820)*('تشخيص الحالات'!$G$2:$G$1001=3)*ROW('تشخيص الحالات'!$B$2:$B$1001))-1),""),"")&amp;IF(SUMPRODUCT(('تشخيص الحالات'!$B$2:$B$1001=B820)*('تشخيص الحالات'!$G$2:$G$1001=4))&gt;0,"، "&amp;IFERROR(INDEX('تشخيص الحالات'!$D$2:$D$1001,SUMPRODUCT(('تشخيص الحالات'!$B$2:$B$1001=B820)*('تشخيص الحالات'!$G$2:$G$1001=4)*ROW('تشخيص الحالات'!$B$2:$B$1001))-1),""),"")&amp;IF(SUMPRODUCT(('تشخيص الحالات'!$B$2:$B$1001=B820)*('تشخيص الحالات'!$G$2:$G$1001=5))&gt;0,"، "&amp;IFERROR(INDEX('تشخيص الحالات'!$D$2:$D$1001,SUMPRODUCT(('تشخيص الحالات'!$B$2:$B$1001=B820)*('تشخيص الحالات'!$G$2:$G$1001=5)*ROW('تشخيص الحالات'!$B$2:$B$1001))-1),""),"")&amp;IF(SUMPRODUCT(('تشخيص الحالات'!$B$2:$B$1001=B820)*('تشخيص الحالات'!$G$2:$G$1001=6))&gt;0,"، "&amp;IFERROR(INDEX('تشخيص الحالات'!$D$2:$D$1001,SUMPRODUCT(('تشخيص الحالات'!$B$2:$B$1001=B820)*('تشخيص الحالات'!$G$2:$G$1001=6)*ROW('تشخيص الحالات'!$B$2:$B$1001))-1),""),"")&amp;IF(SUMPRODUCT(('تشخيص الحالات'!$B$2:$B$1001=B820)*('تشخيص الحالات'!$G$2:$G$1001=7))&gt;0,"، "&amp;IFERROR(INDEX('تشخيص الحالات'!$D$2:$D$1001,SUMPRODUCT(('تشخيص الحالات'!$B$2:$B$1001=B820)*('تشخيص الحالات'!$G$2:$G$1001=7)*ROW('تشخيص الحالات'!$B$2:$B$1001))-1),""),"")&amp;IF(SUMPRODUCT(('تشخيص الحالات'!$B$2:$B$1001=B820)*('تشخيص الحالات'!$G$2:$G$1001=8))&gt;0,"، "&amp;IFERROR(INDEX('تشخيص الحالات'!$D$2:$D$1001,SUMPRODUCT(('تشخيص الحالات'!$B$2:$B$1001=B820)*('تشخيص الحالات'!$G$2:$G$1001=8)*ROW('تشخيص الحالات'!$B$2:$B$1001))-1),""),"")</f>
        <v/>
      </c>
      <c r="J820" s="1"/>
      <c r="K820" s="1"/>
      <c r="L820" s="1"/>
      <c r="M820" s="1"/>
    </row>
    <row r="821" spans="1:13" x14ac:dyDescent="0.2">
      <c r="A821" s="1"/>
      <c r="B821" s="1"/>
      <c r="C821" s="1"/>
      <c r="D821" s="1"/>
      <c r="E821" s="1"/>
      <c r="F821" s="1"/>
      <c r="G821" s="1"/>
      <c r="H821" s="1"/>
      <c r="I821" t="str">
        <f>IFERROR(INDEX('تشخيص الحالات'!$D$2:$D$1001,SUMPRODUCT(('تشخيص الحالات'!$B$2:$B$1001=B821)*('تشخيص الحالات'!$G$2:$G$1001=1)*ROW('تشخيص الحالات'!$B$2:$B$1001))-1),"")&amp;IF(SUMPRODUCT(('تشخيص الحالات'!$B$2:$B$1001=B821)*('تشخيص الحالات'!$G$2:$G$1001=2))&gt;0,"، "&amp;IFERROR(INDEX('تشخيص الحالات'!$D$2:$D$1001,SUMPRODUCT(('تشخيص الحالات'!$B$2:$B$1001=B821)*('تشخيص الحالات'!$G$2:$G$1001=2)*ROW('تشخيص الحالات'!$B$2:$B$1001))-1),""),"")&amp;IF(SUMPRODUCT(('تشخيص الحالات'!$B$2:$B$1001=B821)*('تشخيص الحالات'!$G$2:$G$1001=3))&gt;0,"، "&amp;IFERROR(INDEX('تشخيص الحالات'!$D$2:$D$1001,SUMPRODUCT(('تشخيص الحالات'!$B$2:$B$1001=B821)*('تشخيص الحالات'!$G$2:$G$1001=3)*ROW('تشخيص الحالات'!$B$2:$B$1001))-1),""),"")&amp;IF(SUMPRODUCT(('تشخيص الحالات'!$B$2:$B$1001=B821)*('تشخيص الحالات'!$G$2:$G$1001=4))&gt;0,"، "&amp;IFERROR(INDEX('تشخيص الحالات'!$D$2:$D$1001,SUMPRODUCT(('تشخيص الحالات'!$B$2:$B$1001=B821)*('تشخيص الحالات'!$G$2:$G$1001=4)*ROW('تشخيص الحالات'!$B$2:$B$1001))-1),""),"")&amp;IF(SUMPRODUCT(('تشخيص الحالات'!$B$2:$B$1001=B821)*('تشخيص الحالات'!$G$2:$G$1001=5))&gt;0,"، "&amp;IFERROR(INDEX('تشخيص الحالات'!$D$2:$D$1001,SUMPRODUCT(('تشخيص الحالات'!$B$2:$B$1001=B821)*('تشخيص الحالات'!$G$2:$G$1001=5)*ROW('تشخيص الحالات'!$B$2:$B$1001))-1),""),"")&amp;IF(SUMPRODUCT(('تشخيص الحالات'!$B$2:$B$1001=B821)*('تشخيص الحالات'!$G$2:$G$1001=6))&gt;0,"، "&amp;IFERROR(INDEX('تشخيص الحالات'!$D$2:$D$1001,SUMPRODUCT(('تشخيص الحالات'!$B$2:$B$1001=B821)*('تشخيص الحالات'!$G$2:$G$1001=6)*ROW('تشخيص الحالات'!$B$2:$B$1001))-1),""),"")&amp;IF(SUMPRODUCT(('تشخيص الحالات'!$B$2:$B$1001=B821)*('تشخيص الحالات'!$G$2:$G$1001=7))&gt;0,"، "&amp;IFERROR(INDEX('تشخيص الحالات'!$D$2:$D$1001,SUMPRODUCT(('تشخيص الحالات'!$B$2:$B$1001=B821)*('تشخيص الحالات'!$G$2:$G$1001=7)*ROW('تشخيص الحالات'!$B$2:$B$1001))-1),""),"")&amp;IF(SUMPRODUCT(('تشخيص الحالات'!$B$2:$B$1001=B821)*('تشخيص الحالات'!$G$2:$G$1001=8))&gt;0,"، "&amp;IFERROR(INDEX('تشخيص الحالات'!$D$2:$D$1001,SUMPRODUCT(('تشخيص الحالات'!$B$2:$B$1001=B821)*('تشخيص الحالات'!$G$2:$G$1001=8)*ROW('تشخيص الحالات'!$B$2:$B$1001))-1),""),"")</f>
        <v/>
      </c>
      <c r="J821" s="1"/>
      <c r="K821" s="1"/>
      <c r="L821" s="1"/>
      <c r="M821" s="1"/>
    </row>
    <row r="822" spans="1:13" x14ac:dyDescent="0.2">
      <c r="A822" s="1"/>
      <c r="B822" s="1"/>
      <c r="C822" s="1"/>
      <c r="D822" s="1"/>
      <c r="E822" s="1"/>
      <c r="F822" s="1"/>
      <c r="G822" s="1"/>
      <c r="H822" s="1"/>
      <c r="I822" t="str">
        <f>IFERROR(INDEX('تشخيص الحالات'!$D$2:$D$1001,SUMPRODUCT(('تشخيص الحالات'!$B$2:$B$1001=B822)*('تشخيص الحالات'!$G$2:$G$1001=1)*ROW('تشخيص الحالات'!$B$2:$B$1001))-1),"")&amp;IF(SUMPRODUCT(('تشخيص الحالات'!$B$2:$B$1001=B822)*('تشخيص الحالات'!$G$2:$G$1001=2))&gt;0,"، "&amp;IFERROR(INDEX('تشخيص الحالات'!$D$2:$D$1001,SUMPRODUCT(('تشخيص الحالات'!$B$2:$B$1001=B822)*('تشخيص الحالات'!$G$2:$G$1001=2)*ROW('تشخيص الحالات'!$B$2:$B$1001))-1),""),"")&amp;IF(SUMPRODUCT(('تشخيص الحالات'!$B$2:$B$1001=B822)*('تشخيص الحالات'!$G$2:$G$1001=3))&gt;0,"، "&amp;IFERROR(INDEX('تشخيص الحالات'!$D$2:$D$1001,SUMPRODUCT(('تشخيص الحالات'!$B$2:$B$1001=B822)*('تشخيص الحالات'!$G$2:$G$1001=3)*ROW('تشخيص الحالات'!$B$2:$B$1001))-1),""),"")&amp;IF(SUMPRODUCT(('تشخيص الحالات'!$B$2:$B$1001=B822)*('تشخيص الحالات'!$G$2:$G$1001=4))&gt;0,"، "&amp;IFERROR(INDEX('تشخيص الحالات'!$D$2:$D$1001,SUMPRODUCT(('تشخيص الحالات'!$B$2:$B$1001=B822)*('تشخيص الحالات'!$G$2:$G$1001=4)*ROW('تشخيص الحالات'!$B$2:$B$1001))-1),""),"")&amp;IF(SUMPRODUCT(('تشخيص الحالات'!$B$2:$B$1001=B822)*('تشخيص الحالات'!$G$2:$G$1001=5))&gt;0,"، "&amp;IFERROR(INDEX('تشخيص الحالات'!$D$2:$D$1001,SUMPRODUCT(('تشخيص الحالات'!$B$2:$B$1001=B822)*('تشخيص الحالات'!$G$2:$G$1001=5)*ROW('تشخيص الحالات'!$B$2:$B$1001))-1),""),"")&amp;IF(SUMPRODUCT(('تشخيص الحالات'!$B$2:$B$1001=B822)*('تشخيص الحالات'!$G$2:$G$1001=6))&gt;0,"، "&amp;IFERROR(INDEX('تشخيص الحالات'!$D$2:$D$1001,SUMPRODUCT(('تشخيص الحالات'!$B$2:$B$1001=B822)*('تشخيص الحالات'!$G$2:$G$1001=6)*ROW('تشخيص الحالات'!$B$2:$B$1001))-1),""),"")&amp;IF(SUMPRODUCT(('تشخيص الحالات'!$B$2:$B$1001=B822)*('تشخيص الحالات'!$G$2:$G$1001=7))&gt;0,"، "&amp;IFERROR(INDEX('تشخيص الحالات'!$D$2:$D$1001,SUMPRODUCT(('تشخيص الحالات'!$B$2:$B$1001=B822)*('تشخيص الحالات'!$G$2:$G$1001=7)*ROW('تشخيص الحالات'!$B$2:$B$1001))-1),""),"")&amp;IF(SUMPRODUCT(('تشخيص الحالات'!$B$2:$B$1001=B822)*('تشخيص الحالات'!$G$2:$G$1001=8))&gt;0,"، "&amp;IFERROR(INDEX('تشخيص الحالات'!$D$2:$D$1001,SUMPRODUCT(('تشخيص الحالات'!$B$2:$B$1001=B822)*('تشخيص الحالات'!$G$2:$G$1001=8)*ROW('تشخيص الحالات'!$B$2:$B$1001))-1),""),"")</f>
        <v/>
      </c>
      <c r="J822" s="1"/>
      <c r="K822" s="1"/>
      <c r="L822" s="1"/>
      <c r="M822" s="1"/>
    </row>
    <row r="823" spans="1:13" x14ac:dyDescent="0.2">
      <c r="A823" s="1"/>
      <c r="B823" s="1"/>
      <c r="C823" s="1"/>
      <c r="D823" s="1"/>
      <c r="E823" s="1"/>
      <c r="F823" s="1"/>
      <c r="G823" s="1"/>
      <c r="H823" s="1"/>
      <c r="I823" t="str">
        <f>IFERROR(INDEX('تشخيص الحالات'!$D$2:$D$1001,SUMPRODUCT(('تشخيص الحالات'!$B$2:$B$1001=B823)*('تشخيص الحالات'!$G$2:$G$1001=1)*ROW('تشخيص الحالات'!$B$2:$B$1001))-1),"")&amp;IF(SUMPRODUCT(('تشخيص الحالات'!$B$2:$B$1001=B823)*('تشخيص الحالات'!$G$2:$G$1001=2))&gt;0,"، "&amp;IFERROR(INDEX('تشخيص الحالات'!$D$2:$D$1001,SUMPRODUCT(('تشخيص الحالات'!$B$2:$B$1001=B823)*('تشخيص الحالات'!$G$2:$G$1001=2)*ROW('تشخيص الحالات'!$B$2:$B$1001))-1),""),"")&amp;IF(SUMPRODUCT(('تشخيص الحالات'!$B$2:$B$1001=B823)*('تشخيص الحالات'!$G$2:$G$1001=3))&gt;0,"، "&amp;IFERROR(INDEX('تشخيص الحالات'!$D$2:$D$1001,SUMPRODUCT(('تشخيص الحالات'!$B$2:$B$1001=B823)*('تشخيص الحالات'!$G$2:$G$1001=3)*ROW('تشخيص الحالات'!$B$2:$B$1001))-1),""),"")&amp;IF(SUMPRODUCT(('تشخيص الحالات'!$B$2:$B$1001=B823)*('تشخيص الحالات'!$G$2:$G$1001=4))&gt;0,"، "&amp;IFERROR(INDEX('تشخيص الحالات'!$D$2:$D$1001,SUMPRODUCT(('تشخيص الحالات'!$B$2:$B$1001=B823)*('تشخيص الحالات'!$G$2:$G$1001=4)*ROW('تشخيص الحالات'!$B$2:$B$1001))-1),""),"")&amp;IF(SUMPRODUCT(('تشخيص الحالات'!$B$2:$B$1001=B823)*('تشخيص الحالات'!$G$2:$G$1001=5))&gt;0,"، "&amp;IFERROR(INDEX('تشخيص الحالات'!$D$2:$D$1001,SUMPRODUCT(('تشخيص الحالات'!$B$2:$B$1001=B823)*('تشخيص الحالات'!$G$2:$G$1001=5)*ROW('تشخيص الحالات'!$B$2:$B$1001))-1),""),"")&amp;IF(SUMPRODUCT(('تشخيص الحالات'!$B$2:$B$1001=B823)*('تشخيص الحالات'!$G$2:$G$1001=6))&gt;0,"، "&amp;IFERROR(INDEX('تشخيص الحالات'!$D$2:$D$1001,SUMPRODUCT(('تشخيص الحالات'!$B$2:$B$1001=B823)*('تشخيص الحالات'!$G$2:$G$1001=6)*ROW('تشخيص الحالات'!$B$2:$B$1001))-1),""),"")&amp;IF(SUMPRODUCT(('تشخيص الحالات'!$B$2:$B$1001=B823)*('تشخيص الحالات'!$G$2:$G$1001=7))&gt;0,"، "&amp;IFERROR(INDEX('تشخيص الحالات'!$D$2:$D$1001,SUMPRODUCT(('تشخيص الحالات'!$B$2:$B$1001=B823)*('تشخيص الحالات'!$G$2:$G$1001=7)*ROW('تشخيص الحالات'!$B$2:$B$1001))-1),""),"")&amp;IF(SUMPRODUCT(('تشخيص الحالات'!$B$2:$B$1001=B823)*('تشخيص الحالات'!$G$2:$G$1001=8))&gt;0,"، "&amp;IFERROR(INDEX('تشخيص الحالات'!$D$2:$D$1001,SUMPRODUCT(('تشخيص الحالات'!$B$2:$B$1001=B823)*('تشخيص الحالات'!$G$2:$G$1001=8)*ROW('تشخيص الحالات'!$B$2:$B$1001))-1),""),"")</f>
        <v/>
      </c>
      <c r="J823" s="1"/>
      <c r="K823" s="1"/>
      <c r="L823" s="1"/>
      <c r="M823" s="1"/>
    </row>
    <row r="824" spans="1:13" x14ac:dyDescent="0.2">
      <c r="A824" s="1"/>
      <c r="B824" s="1"/>
      <c r="C824" s="1"/>
      <c r="D824" s="1"/>
      <c r="E824" s="1"/>
      <c r="F824" s="1"/>
      <c r="G824" s="1"/>
      <c r="H824" s="1"/>
      <c r="I824" t="str">
        <f>IFERROR(INDEX('تشخيص الحالات'!$D$2:$D$1001,SUMPRODUCT(('تشخيص الحالات'!$B$2:$B$1001=B824)*('تشخيص الحالات'!$G$2:$G$1001=1)*ROW('تشخيص الحالات'!$B$2:$B$1001))-1),"")&amp;IF(SUMPRODUCT(('تشخيص الحالات'!$B$2:$B$1001=B824)*('تشخيص الحالات'!$G$2:$G$1001=2))&gt;0,"، "&amp;IFERROR(INDEX('تشخيص الحالات'!$D$2:$D$1001,SUMPRODUCT(('تشخيص الحالات'!$B$2:$B$1001=B824)*('تشخيص الحالات'!$G$2:$G$1001=2)*ROW('تشخيص الحالات'!$B$2:$B$1001))-1),""),"")&amp;IF(SUMPRODUCT(('تشخيص الحالات'!$B$2:$B$1001=B824)*('تشخيص الحالات'!$G$2:$G$1001=3))&gt;0,"، "&amp;IFERROR(INDEX('تشخيص الحالات'!$D$2:$D$1001,SUMPRODUCT(('تشخيص الحالات'!$B$2:$B$1001=B824)*('تشخيص الحالات'!$G$2:$G$1001=3)*ROW('تشخيص الحالات'!$B$2:$B$1001))-1),""),"")&amp;IF(SUMPRODUCT(('تشخيص الحالات'!$B$2:$B$1001=B824)*('تشخيص الحالات'!$G$2:$G$1001=4))&gt;0,"، "&amp;IFERROR(INDEX('تشخيص الحالات'!$D$2:$D$1001,SUMPRODUCT(('تشخيص الحالات'!$B$2:$B$1001=B824)*('تشخيص الحالات'!$G$2:$G$1001=4)*ROW('تشخيص الحالات'!$B$2:$B$1001))-1),""),"")&amp;IF(SUMPRODUCT(('تشخيص الحالات'!$B$2:$B$1001=B824)*('تشخيص الحالات'!$G$2:$G$1001=5))&gt;0,"، "&amp;IFERROR(INDEX('تشخيص الحالات'!$D$2:$D$1001,SUMPRODUCT(('تشخيص الحالات'!$B$2:$B$1001=B824)*('تشخيص الحالات'!$G$2:$G$1001=5)*ROW('تشخيص الحالات'!$B$2:$B$1001))-1),""),"")&amp;IF(SUMPRODUCT(('تشخيص الحالات'!$B$2:$B$1001=B824)*('تشخيص الحالات'!$G$2:$G$1001=6))&gt;0,"، "&amp;IFERROR(INDEX('تشخيص الحالات'!$D$2:$D$1001,SUMPRODUCT(('تشخيص الحالات'!$B$2:$B$1001=B824)*('تشخيص الحالات'!$G$2:$G$1001=6)*ROW('تشخيص الحالات'!$B$2:$B$1001))-1),""),"")&amp;IF(SUMPRODUCT(('تشخيص الحالات'!$B$2:$B$1001=B824)*('تشخيص الحالات'!$G$2:$G$1001=7))&gt;0,"، "&amp;IFERROR(INDEX('تشخيص الحالات'!$D$2:$D$1001,SUMPRODUCT(('تشخيص الحالات'!$B$2:$B$1001=B824)*('تشخيص الحالات'!$G$2:$G$1001=7)*ROW('تشخيص الحالات'!$B$2:$B$1001))-1),""),"")&amp;IF(SUMPRODUCT(('تشخيص الحالات'!$B$2:$B$1001=B824)*('تشخيص الحالات'!$G$2:$G$1001=8))&gt;0,"، "&amp;IFERROR(INDEX('تشخيص الحالات'!$D$2:$D$1001,SUMPRODUCT(('تشخيص الحالات'!$B$2:$B$1001=B824)*('تشخيص الحالات'!$G$2:$G$1001=8)*ROW('تشخيص الحالات'!$B$2:$B$1001))-1),""),"")</f>
        <v/>
      </c>
      <c r="J824" s="1"/>
      <c r="K824" s="1"/>
      <c r="L824" s="1"/>
      <c r="M824" s="1"/>
    </row>
    <row r="825" spans="1:13" x14ac:dyDescent="0.2">
      <c r="A825" s="1"/>
      <c r="B825" s="1"/>
      <c r="C825" s="1"/>
      <c r="D825" s="1"/>
      <c r="E825" s="1"/>
      <c r="F825" s="1"/>
      <c r="G825" s="1"/>
      <c r="H825" s="1"/>
      <c r="I825" t="str">
        <f>IFERROR(INDEX('تشخيص الحالات'!$D$2:$D$1001,SUMPRODUCT(('تشخيص الحالات'!$B$2:$B$1001=B825)*('تشخيص الحالات'!$G$2:$G$1001=1)*ROW('تشخيص الحالات'!$B$2:$B$1001))-1),"")&amp;IF(SUMPRODUCT(('تشخيص الحالات'!$B$2:$B$1001=B825)*('تشخيص الحالات'!$G$2:$G$1001=2))&gt;0,"، "&amp;IFERROR(INDEX('تشخيص الحالات'!$D$2:$D$1001,SUMPRODUCT(('تشخيص الحالات'!$B$2:$B$1001=B825)*('تشخيص الحالات'!$G$2:$G$1001=2)*ROW('تشخيص الحالات'!$B$2:$B$1001))-1),""),"")&amp;IF(SUMPRODUCT(('تشخيص الحالات'!$B$2:$B$1001=B825)*('تشخيص الحالات'!$G$2:$G$1001=3))&gt;0,"، "&amp;IFERROR(INDEX('تشخيص الحالات'!$D$2:$D$1001,SUMPRODUCT(('تشخيص الحالات'!$B$2:$B$1001=B825)*('تشخيص الحالات'!$G$2:$G$1001=3)*ROW('تشخيص الحالات'!$B$2:$B$1001))-1),""),"")&amp;IF(SUMPRODUCT(('تشخيص الحالات'!$B$2:$B$1001=B825)*('تشخيص الحالات'!$G$2:$G$1001=4))&gt;0,"، "&amp;IFERROR(INDEX('تشخيص الحالات'!$D$2:$D$1001,SUMPRODUCT(('تشخيص الحالات'!$B$2:$B$1001=B825)*('تشخيص الحالات'!$G$2:$G$1001=4)*ROW('تشخيص الحالات'!$B$2:$B$1001))-1),""),"")&amp;IF(SUMPRODUCT(('تشخيص الحالات'!$B$2:$B$1001=B825)*('تشخيص الحالات'!$G$2:$G$1001=5))&gt;0,"، "&amp;IFERROR(INDEX('تشخيص الحالات'!$D$2:$D$1001,SUMPRODUCT(('تشخيص الحالات'!$B$2:$B$1001=B825)*('تشخيص الحالات'!$G$2:$G$1001=5)*ROW('تشخيص الحالات'!$B$2:$B$1001))-1),""),"")&amp;IF(SUMPRODUCT(('تشخيص الحالات'!$B$2:$B$1001=B825)*('تشخيص الحالات'!$G$2:$G$1001=6))&gt;0,"، "&amp;IFERROR(INDEX('تشخيص الحالات'!$D$2:$D$1001,SUMPRODUCT(('تشخيص الحالات'!$B$2:$B$1001=B825)*('تشخيص الحالات'!$G$2:$G$1001=6)*ROW('تشخيص الحالات'!$B$2:$B$1001))-1),""),"")&amp;IF(SUMPRODUCT(('تشخيص الحالات'!$B$2:$B$1001=B825)*('تشخيص الحالات'!$G$2:$G$1001=7))&gt;0,"، "&amp;IFERROR(INDEX('تشخيص الحالات'!$D$2:$D$1001,SUMPRODUCT(('تشخيص الحالات'!$B$2:$B$1001=B825)*('تشخيص الحالات'!$G$2:$G$1001=7)*ROW('تشخيص الحالات'!$B$2:$B$1001))-1),""),"")&amp;IF(SUMPRODUCT(('تشخيص الحالات'!$B$2:$B$1001=B825)*('تشخيص الحالات'!$G$2:$G$1001=8))&gt;0,"، "&amp;IFERROR(INDEX('تشخيص الحالات'!$D$2:$D$1001,SUMPRODUCT(('تشخيص الحالات'!$B$2:$B$1001=B825)*('تشخيص الحالات'!$G$2:$G$1001=8)*ROW('تشخيص الحالات'!$B$2:$B$1001))-1),""),"")</f>
        <v/>
      </c>
      <c r="J825" s="1"/>
      <c r="K825" s="1"/>
      <c r="L825" s="1"/>
      <c r="M825" s="1"/>
    </row>
    <row r="826" spans="1:13" x14ac:dyDescent="0.2">
      <c r="A826" s="1"/>
      <c r="B826" s="1"/>
      <c r="C826" s="1"/>
      <c r="D826" s="1"/>
      <c r="E826" s="1"/>
      <c r="F826" s="1"/>
      <c r="G826" s="1"/>
      <c r="H826" s="1"/>
      <c r="I826" t="str">
        <f>IFERROR(INDEX('تشخيص الحالات'!$D$2:$D$1001,SUMPRODUCT(('تشخيص الحالات'!$B$2:$B$1001=B826)*('تشخيص الحالات'!$G$2:$G$1001=1)*ROW('تشخيص الحالات'!$B$2:$B$1001))-1),"")&amp;IF(SUMPRODUCT(('تشخيص الحالات'!$B$2:$B$1001=B826)*('تشخيص الحالات'!$G$2:$G$1001=2))&gt;0,"، "&amp;IFERROR(INDEX('تشخيص الحالات'!$D$2:$D$1001,SUMPRODUCT(('تشخيص الحالات'!$B$2:$B$1001=B826)*('تشخيص الحالات'!$G$2:$G$1001=2)*ROW('تشخيص الحالات'!$B$2:$B$1001))-1),""),"")&amp;IF(SUMPRODUCT(('تشخيص الحالات'!$B$2:$B$1001=B826)*('تشخيص الحالات'!$G$2:$G$1001=3))&gt;0,"، "&amp;IFERROR(INDEX('تشخيص الحالات'!$D$2:$D$1001,SUMPRODUCT(('تشخيص الحالات'!$B$2:$B$1001=B826)*('تشخيص الحالات'!$G$2:$G$1001=3)*ROW('تشخيص الحالات'!$B$2:$B$1001))-1),""),"")&amp;IF(SUMPRODUCT(('تشخيص الحالات'!$B$2:$B$1001=B826)*('تشخيص الحالات'!$G$2:$G$1001=4))&gt;0,"، "&amp;IFERROR(INDEX('تشخيص الحالات'!$D$2:$D$1001,SUMPRODUCT(('تشخيص الحالات'!$B$2:$B$1001=B826)*('تشخيص الحالات'!$G$2:$G$1001=4)*ROW('تشخيص الحالات'!$B$2:$B$1001))-1),""),"")&amp;IF(SUMPRODUCT(('تشخيص الحالات'!$B$2:$B$1001=B826)*('تشخيص الحالات'!$G$2:$G$1001=5))&gt;0,"، "&amp;IFERROR(INDEX('تشخيص الحالات'!$D$2:$D$1001,SUMPRODUCT(('تشخيص الحالات'!$B$2:$B$1001=B826)*('تشخيص الحالات'!$G$2:$G$1001=5)*ROW('تشخيص الحالات'!$B$2:$B$1001))-1),""),"")&amp;IF(SUMPRODUCT(('تشخيص الحالات'!$B$2:$B$1001=B826)*('تشخيص الحالات'!$G$2:$G$1001=6))&gt;0,"، "&amp;IFERROR(INDEX('تشخيص الحالات'!$D$2:$D$1001,SUMPRODUCT(('تشخيص الحالات'!$B$2:$B$1001=B826)*('تشخيص الحالات'!$G$2:$G$1001=6)*ROW('تشخيص الحالات'!$B$2:$B$1001))-1),""),"")&amp;IF(SUMPRODUCT(('تشخيص الحالات'!$B$2:$B$1001=B826)*('تشخيص الحالات'!$G$2:$G$1001=7))&gt;0,"، "&amp;IFERROR(INDEX('تشخيص الحالات'!$D$2:$D$1001,SUMPRODUCT(('تشخيص الحالات'!$B$2:$B$1001=B826)*('تشخيص الحالات'!$G$2:$G$1001=7)*ROW('تشخيص الحالات'!$B$2:$B$1001))-1),""),"")&amp;IF(SUMPRODUCT(('تشخيص الحالات'!$B$2:$B$1001=B826)*('تشخيص الحالات'!$G$2:$G$1001=8))&gt;0,"، "&amp;IFERROR(INDEX('تشخيص الحالات'!$D$2:$D$1001,SUMPRODUCT(('تشخيص الحالات'!$B$2:$B$1001=B826)*('تشخيص الحالات'!$G$2:$G$1001=8)*ROW('تشخيص الحالات'!$B$2:$B$1001))-1),""),"")</f>
        <v/>
      </c>
      <c r="J826" s="1"/>
      <c r="K826" s="1"/>
      <c r="L826" s="1"/>
      <c r="M826" s="1"/>
    </row>
    <row r="827" spans="1:13" x14ac:dyDescent="0.2">
      <c r="A827" s="1"/>
      <c r="B827" s="1"/>
      <c r="C827" s="1"/>
      <c r="D827" s="1"/>
      <c r="E827" s="1"/>
      <c r="F827" s="1"/>
      <c r="G827" s="1"/>
      <c r="H827" s="1"/>
      <c r="I827" t="str">
        <f>IFERROR(INDEX('تشخيص الحالات'!$D$2:$D$1001,SUMPRODUCT(('تشخيص الحالات'!$B$2:$B$1001=B827)*('تشخيص الحالات'!$G$2:$G$1001=1)*ROW('تشخيص الحالات'!$B$2:$B$1001))-1),"")&amp;IF(SUMPRODUCT(('تشخيص الحالات'!$B$2:$B$1001=B827)*('تشخيص الحالات'!$G$2:$G$1001=2))&gt;0,"، "&amp;IFERROR(INDEX('تشخيص الحالات'!$D$2:$D$1001,SUMPRODUCT(('تشخيص الحالات'!$B$2:$B$1001=B827)*('تشخيص الحالات'!$G$2:$G$1001=2)*ROW('تشخيص الحالات'!$B$2:$B$1001))-1),""),"")&amp;IF(SUMPRODUCT(('تشخيص الحالات'!$B$2:$B$1001=B827)*('تشخيص الحالات'!$G$2:$G$1001=3))&gt;0,"، "&amp;IFERROR(INDEX('تشخيص الحالات'!$D$2:$D$1001,SUMPRODUCT(('تشخيص الحالات'!$B$2:$B$1001=B827)*('تشخيص الحالات'!$G$2:$G$1001=3)*ROW('تشخيص الحالات'!$B$2:$B$1001))-1),""),"")&amp;IF(SUMPRODUCT(('تشخيص الحالات'!$B$2:$B$1001=B827)*('تشخيص الحالات'!$G$2:$G$1001=4))&gt;0,"، "&amp;IFERROR(INDEX('تشخيص الحالات'!$D$2:$D$1001,SUMPRODUCT(('تشخيص الحالات'!$B$2:$B$1001=B827)*('تشخيص الحالات'!$G$2:$G$1001=4)*ROW('تشخيص الحالات'!$B$2:$B$1001))-1),""),"")&amp;IF(SUMPRODUCT(('تشخيص الحالات'!$B$2:$B$1001=B827)*('تشخيص الحالات'!$G$2:$G$1001=5))&gt;0,"، "&amp;IFERROR(INDEX('تشخيص الحالات'!$D$2:$D$1001,SUMPRODUCT(('تشخيص الحالات'!$B$2:$B$1001=B827)*('تشخيص الحالات'!$G$2:$G$1001=5)*ROW('تشخيص الحالات'!$B$2:$B$1001))-1),""),"")&amp;IF(SUMPRODUCT(('تشخيص الحالات'!$B$2:$B$1001=B827)*('تشخيص الحالات'!$G$2:$G$1001=6))&gt;0,"، "&amp;IFERROR(INDEX('تشخيص الحالات'!$D$2:$D$1001,SUMPRODUCT(('تشخيص الحالات'!$B$2:$B$1001=B827)*('تشخيص الحالات'!$G$2:$G$1001=6)*ROW('تشخيص الحالات'!$B$2:$B$1001))-1),""),"")&amp;IF(SUMPRODUCT(('تشخيص الحالات'!$B$2:$B$1001=B827)*('تشخيص الحالات'!$G$2:$G$1001=7))&gt;0,"، "&amp;IFERROR(INDEX('تشخيص الحالات'!$D$2:$D$1001,SUMPRODUCT(('تشخيص الحالات'!$B$2:$B$1001=B827)*('تشخيص الحالات'!$G$2:$G$1001=7)*ROW('تشخيص الحالات'!$B$2:$B$1001))-1),""),"")&amp;IF(SUMPRODUCT(('تشخيص الحالات'!$B$2:$B$1001=B827)*('تشخيص الحالات'!$G$2:$G$1001=8))&gt;0,"، "&amp;IFERROR(INDEX('تشخيص الحالات'!$D$2:$D$1001,SUMPRODUCT(('تشخيص الحالات'!$B$2:$B$1001=B827)*('تشخيص الحالات'!$G$2:$G$1001=8)*ROW('تشخيص الحالات'!$B$2:$B$1001))-1),""),"")</f>
        <v/>
      </c>
      <c r="J827" s="1"/>
      <c r="K827" s="1"/>
      <c r="L827" s="1"/>
      <c r="M827" s="1"/>
    </row>
    <row r="828" spans="1:13" x14ac:dyDescent="0.2">
      <c r="A828" s="1"/>
      <c r="B828" s="1"/>
      <c r="C828" s="1"/>
      <c r="D828" s="1"/>
      <c r="E828" s="1"/>
      <c r="F828" s="1"/>
      <c r="G828" s="1"/>
      <c r="H828" s="1"/>
      <c r="I828" t="str">
        <f>IFERROR(INDEX('تشخيص الحالات'!$D$2:$D$1001,SUMPRODUCT(('تشخيص الحالات'!$B$2:$B$1001=B828)*('تشخيص الحالات'!$G$2:$G$1001=1)*ROW('تشخيص الحالات'!$B$2:$B$1001))-1),"")&amp;IF(SUMPRODUCT(('تشخيص الحالات'!$B$2:$B$1001=B828)*('تشخيص الحالات'!$G$2:$G$1001=2))&gt;0,"، "&amp;IFERROR(INDEX('تشخيص الحالات'!$D$2:$D$1001,SUMPRODUCT(('تشخيص الحالات'!$B$2:$B$1001=B828)*('تشخيص الحالات'!$G$2:$G$1001=2)*ROW('تشخيص الحالات'!$B$2:$B$1001))-1),""),"")&amp;IF(SUMPRODUCT(('تشخيص الحالات'!$B$2:$B$1001=B828)*('تشخيص الحالات'!$G$2:$G$1001=3))&gt;0,"، "&amp;IFERROR(INDEX('تشخيص الحالات'!$D$2:$D$1001,SUMPRODUCT(('تشخيص الحالات'!$B$2:$B$1001=B828)*('تشخيص الحالات'!$G$2:$G$1001=3)*ROW('تشخيص الحالات'!$B$2:$B$1001))-1),""),"")&amp;IF(SUMPRODUCT(('تشخيص الحالات'!$B$2:$B$1001=B828)*('تشخيص الحالات'!$G$2:$G$1001=4))&gt;0,"، "&amp;IFERROR(INDEX('تشخيص الحالات'!$D$2:$D$1001,SUMPRODUCT(('تشخيص الحالات'!$B$2:$B$1001=B828)*('تشخيص الحالات'!$G$2:$G$1001=4)*ROW('تشخيص الحالات'!$B$2:$B$1001))-1),""),"")&amp;IF(SUMPRODUCT(('تشخيص الحالات'!$B$2:$B$1001=B828)*('تشخيص الحالات'!$G$2:$G$1001=5))&gt;0,"، "&amp;IFERROR(INDEX('تشخيص الحالات'!$D$2:$D$1001,SUMPRODUCT(('تشخيص الحالات'!$B$2:$B$1001=B828)*('تشخيص الحالات'!$G$2:$G$1001=5)*ROW('تشخيص الحالات'!$B$2:$B$1001))-1),""),"")&amp;IF(SUMPRODUCT(('تشخيص الحالات'!$B$2:$B$1001=B828)*('تشخيص الحالات'!$G$2:$G$1001=6))&gt;0,"، "&amp;IFERROR(INDEX('تشخيص الحالات'!$D$2:$D$1001,SUMPRODUCT(('تشخيص الحالات'!$B$2:$B$1001=B828)*('تشخيص الحالات'!$G$2:$G$1001=6)*ROW('تشخيص الحالات'!$B$2:$B$1001))-1),""),"")&amp;IF(SUMPRODUCT(('تشخيص الحالات'!$B$2:$B$1001=B828)*('تشخيص الحالات'!$G$2:$G$1001=7))&gt;0,"، "&amp;IFERROR(INDEX('تشخيص الحالات'!$D$2:$D$1001,SUMPRODUCT(('تشخيص الحالات'!$B$2:$B$1001=B828)*('تشخيص الحالات'!$G$2:$G$1001=7)*ROW('تشخيص الحالات'!$B$2:$B$1001))-1),""),"")&amp;IF(SUMPRODUCT(('تشخيص الحالات'!$B$2:$B$1001=B828)*('تشخيص الحالات'!$G$2:$G$1001=8))&gt;0,"، "&amp;IFERROR(INDEX('تشخيص الحالات'!$D$2:$D$1001,SUMPRODUCT(('تشخيص الحالات'!$B$2:$B$1001=B828)*('تشخيص الحالات'!$G$2:$G$1001=8)*ROW('تشخيص الحالات'!$B$2:$B$1001))-1),""),"")</f>
        <v/>
      </c>
      <c r="J828" s="1"/>
      <c r="K828" s="1"/>
      <c r="L828" s="1"/>
      <c r="M828" s="1"/>
    </row>
    <row r="829" spans="1:13" x14ac:dyDescent="0.2">
      <c r="A829" s="1"/>
      <c r="B829" s="1"/>
      <c r="C829" s="1"/>
      <c r="D829" s="1"/>
      <c r="E829" s="1"/>
      <c r="F829" s="1"/>
      <c r="G829" s="1"/>
      <c r="H829" s="1"/>
      <c r="I829" t="str">
        <f>IFERROR(INDEX('تشخيص الحالات'!$D$2:$D$1001,SUMPRODUCT(('تشخيص الحالات'!$B$2:$B$1001=B829)*('تشخيص الحالات'!$G$2:$G$1001=1)*ROW('تشخيص الحالات'!$B$2:$B$1001))-1),"")&amp;IF(SUMPRODUCT(('تشخيص الحالات'!$B$2:$B$1001=B829)*('تشخيص الحالات'!$G$2:$G$1001=2))&gt;0,"، "&amp;IFERROR(INDEX('تشخيص الحالات'!$D$2:$D$1001,SUMPRODUCT(('تشخيص الحالات'!$B$2:$B$1001=B829)*('تشخيص الحالات'!$G$2:$G$1001=2)*ROW('تشخيص الحالات'!$B$2:$B$1001))-1),""),"")&amp;IF(SUMPRODUCT(('تشخيص الحالات'!$B$2:$B$1001=B829)*('تشخيص الحالات'!$G$2:$G$1001=3))&gt;0,"، "&amp;IFERROR(INDEX('تشخيص الحالات'!$D$2:$D$1001,SUMPRODUCT(('تشخيص الحالات'!$B$2:$B$1001=B829)*('تشخيص الحالات'!$G$2:$G$1001=3)*ROW('تشخيص الحالات'!$B$2:$B$1001))-1),""),"")&amp;IF(SUMPRODUCT(('تشخيص الحالات'!$B$2:$B$1001=B829)*('تشخيص الحالات'!$G$2:$G$1001=4))&gt;0,"، "&amp;IFERROR(INDEX('تشخيص الحالات'!$D$2:$D$1001,SUMPRODUCT(('تشخيص الحالات'!$B$2:$B$1001=B829)*('تشخيص الحالات'!$G$2:$G$1001=4)*ROW('تشخيص الحالات'!$B$2:$B$1001))-1),""),"")&amp;IF(SUMPRODUCT(('تشخيص الحالات'!$B$2:$B$1001=B829)*('تشخيص الحالات'!$G$2:$G$1001=5))&gt;0,"، "&amp;IFERROR(INDEX('تشخيص الحالات'!$D$2:$D$1001,SUMPRODUCT(('تشخيص الحالات'!$B$2:$B$1001=B829)*('تشخيص الحالات'!$G$2:$G$1001=5)*ROW('تشخيص الحالات'!$B$2:$B$1001))-1),""),"")&amp;IF(SUMPRODUCT(('تشخيص الحالات'!$B$2:$B$1001=B829)*('تشخيص الحالات'!$G$2:$G$1001=6))&gt;0,"، "&amp;IFERROR(INDEX('تشخيص الحالات'!$D$2:$D$1001,SUMPRODUCT(('تشخيص الحالات'!$B$2:$B$1001=B829)*('تشخيص الحالات'!$G$2:$G$1001=6)*ROW('تشخيص الحالات'!$B$2:$B$1001))-1),""),"")&amp;IF(SUMPRODUCT(('تشخيص الحالات'!$B$2:$B$1001=B829)*('تشخيص الحالات'!$G$2:$G$1001=7))&gt;0,"، "&amp;IFERROR(INDEX('تشخيص الحالات'!$D$2:$D$1001,SUMPRODUCT(('تشخيص الحالات'!$B$2:$B$1001=B829)*('تشخيص الحالات'!$G$2:$G$1001=7)*ROW('تشخيص الحالات'!$B$2:$B$1001))-1),""),"")&amp;IF(SUMPRODUCT(('تشخيص الحالات'!$B$2:$B$1001=B829)*('تشخيص الحالات'!$G$2:$G$1001=8))&gt;0,"، "&amp;IFERROR(INDEX('تشخيص الحالات'!$D$2:$D$1001,SUMPRODUCT(('تشخيص الحالات'!$B$2:$B$1001=B829)*('تشخيص الحالات'!$G$2:$G$1001=8)*ROW('تشخيص الحالات'!$B$2:$B$1001))-1),""),"")</f>
        <v/>
      </c>
      <c r="J829" s="1"/>
      <c r="K829" s="1"/>
      <c r="L829" s="1"/>
      <c r="M829" s="1"/>
    </row>
    <row r="830" spans="1:13" x14ac:dyDescent="0.2">
      <c r="A830" s="1"/>
      <c r="B830" s="1"/>
      <c r="C830" s="1"/>
      <c r="D830" s="1"/>
      <c r="E830" s="1"/>
      <c r="F830" s="1"/>
      <c r="G830" s="1"/>
      <c r="H830" s="1"/>
      <c r="I830" t="str">
        <f>IFERROR(INDEX('تشخيص الحالات'!$D$2:$D$1001,SUMPRODUCT(('تشخيص الحالات'!$B$2:$B$1001=B830)*('تشخيص الحالات'!$G$2:$G$1001=1)*ROW('تشخيص الحالات'!$B$2:$B$1001))-1),"")&amp;IF(SUMPRODUCT(('تشخيص الحالات'!$B$2:$B$1001=B830)*('تشخيص الحالات'!$G$2:$G$1001=2))&gt;0,"، "&amp;IFERROR(INDEX('تشخيص الحالات'!$D$2:$D$1001,SUMPRODUCT(('تشخيص الحالات'!$B$2:$B$1001=B830)*('تشخيص الحالات'!$G$2:$G$1001=2)*ROW('تشخيص الحالات'!$B$2:$B$1001))-1),""),"")&amp;IF(SUMPRODUCT(('تشخيص الحالات'!$B$2:$B$1001=B830)*('تشخيص الحالات'!$G$2:$G$1001=3))&gt;0,"، "&amp;IFERROR(INDEX('تشخيص الحالات'!$D$2:$D$1001,SUMPRODUCT(('تشخيص الحالات'!$B$2:$B$1001=B830)*('تشخيص الحالات'!$G$2:$G$1001=3)*ROW('تشخيص الحالات'!$B$2:$B$1001))-1),""),"")&amp;IF(SUMPRODUCT(('تشخيص الحالات'!$B$2:$B$1001=B830)*('تشخيص الحالات'!$G$2:$G$1001=4))&gt;0,"، "&amp;IFERROR(INDEX('تشخيص الحالات'!$D$2:$D$1001,SUMPRODUCT(('تشخيص الحالات'!$B$2:$B$1001=B830)*('تشخيص الحالات'!$G$2:$G$1001=4)*ROW('تشخيص الحالات'!$B$2:$B$1001))-1),""),"")&amp;IF(SUMPRODUCT(('تشخيص الحالات'!$B$2:$B$1001=B830)*('تشخيص الحالات'!$G$2:$G$1001=5))&gt;0,"، "&amp;IFERROR(INDEX('تشخيص الحالات'!$D$2:$D$1001,SUMPRODUCT(('تشخيص الحالات'!$B$2:$B$1001=B830)*('تشخيص الحالات'!$G$2:$G$1001=5)*ROW('تشخيص الحالات'!$B$2:$B$1001))-1),""),"")&amp;IF(SUMPRODUCT(('تشخيص الحالات'!$B$2:$B$1001=B830)*('تشخيص الحالات'!$G$2:$G$1001=6))&gt;0,"، "&amp;IFERROR(INDEX('تشخيص الحالات'!$D$2:$D$1001,SUMPRODUCT(('تشخيص الحالات'!$B$2:$B$1001=B830)*('تشخيص الحالات'!$G$2:$G$1001=6)*ROW('تشخيص الحالات'!$B$2:$B$1001))-1),""),"")&amp;IF(SUMPRODUCT(('تشخيص الحالات'!$B$2:$B$1001=B830)*('تشخيص الحالات'!$G$2:$G$1001=7))&gt;0,"، "&amp;IFERROR(INDEX('تشخيص الحالات'!$D$2:$D$1001,SUMPRODUCT(('تشخيص الحالات'!$B$2:$B$1001=B830)*('تشخيص الحالات'!$G$2:$G$1001=7)*ROW('تشخيص الحالات'!$B$2:$B$1001))-1),""),"")&amp;IF(SUMPRODUCT(('تشخيص الحالات'!$B$2:$B$1001=B830)*('تشخيص الحالات'!$G$2:$G$1001=8))&gt;0,"، "&amp;IFERROR(INDEX('تشخيص الحالات'!$D$2:$D$1001,SUMPRODUCT(('تشخيص الحالات'!$B$2:$B$1001=B830)*('تشخيص الحالات'!$G$2:$G$1001=8)*ROW('تشخيص الحالات'!$B$2:$B$1001))-1),""),"")</f>
        <v/>
      </c>
      <c r="J830" s="1"/>
      <c r="K830" s="1"/>
      <c r="L830" s="1"/>
      <c r="M830" s="1"/>
    </row>
    <row r="831" spans="1:13" x14ac:dyDescent="0.2">
      <c r="A831" s="1"/>
      <c r="B831" s="1"/>
      <c r="C831" s="1"/>
      <c r="D831" s="1"/>
      <c r="E831" s="1"/>
      <c r="F831" s="1"/>
      <c r="G831" s="1"/>
      <c r="H831" s="1"/>
      <c r="I831" t="str">
        <f>IFERROR(INDEX('تشخيص الحالات'!$D$2:$D$1001,SUMPRODUCT(('تشخيص الحالات'!$B$2:$B$1001=B831)*('تشخيص الحالات'!$G$2:$G$1001=1)*ROW('تشخيص الحالات'!$B$2:$B$1001))-1),"")&amp;IF(SUMPRODUCT(('تشخيص الحالات'!$B$2:$B$1001=B831)*('تشخيص الحالات'!$G$2:$G$1001=2))&gt;0,"، "&amp;IFERROR(INDEX('تشخيص الحالات'!$D$2:$D$1001,SUMPRODUCT(('تشخيص الحالات'!$B$2:$B$1001=B831)*('تشخيص الحالات'!$G$2:$G$1001=2)*ROW('تشخيص الحالات'!$B$2:$B$1001))-1),""),"")&amp;IF(SUMPRODUCT(('تشخيص الحالات'!$B$2:$B$1001=B831)*('تشخيص الحالات'!$G$2:$G$1001=3))&gt;0,"، "&amp;IFERROR(INDEX('تشخيص الحالات'!$D$2:$D$1001,SUMPRODUCT(('تشخيص الحالات'!$B$2:$B$1001=B831)*('تشخيص الحالات'!$G$2:$G$1001=3)*ROW('تشخيص الحالات'!$B$2:$B$1001))-1),""),"")&amp;IF(SUMPRODUCT(('تشخيص الحالات'!$B$2:$B$1001=B831)*('تشخيص الحالات'!$G$2:$G$1001=4))&gt;0,"، "&amp;IFERROR(INDEX('تشخيص الحالات'!$D$2:$D$1001,SUMPRODUCT(('تشخيص الحالات'!$B$2:$B$1001=B831)*('تشخيص الحالات'!$G$2:$G$1001=4)*ROW('تشخيص الحالات'!$B$2:$B$1001))-1),""),"")&amp;IF(SUMPRODUCT(('تشخيص الحالات'!$B$2:$B$1001=B831)*('تشخيص الحالات'!$G$2:$G$1001=5))&gt;0,"، "&amp;IFERROR(INDEX('تشخيص الحالات'!$D$2:$D$1001,SUMPRODUCT(('تشخيص الحالات'!$B$2:$B$1001=B831)*('تشخيص الحالات'!$G$2:$G$1001=5)*ROW('تشخيص الحالات'!$B$2:$B$1001))-1),""),"")&amp;IF(SUMPRODUCT(('تشخيص الحالات'!$B$2:$B$1001=B831)*('تشخيص الحالات'!$G$2:$G$1001=6))&gt;0,"، "&amp;IFERROR(INDEX('تشخيص الحالات'!$D$2:$D$1001,SUMPRODUCT(('تشخيص الحالات'!$B$2:$B$1001=B831)*('تشخيص الحالات'!$G$2:$G$1001=6)*ROW('تشخيص الحالات'!$B$2:$B$1001))-1),""),"")&amp;IF(SUMPRODUCT(('تشخيص الحالات'!$B$2:$B$1001=B831)*('تشخيص الحالات'!$G$2:$G$1001=7))&gt;0,"، "&amp;IFERROR(INDEX('تشخيص الحالات'!$D$2:$D$1001,SUMPRODUCT(('تشخيص الحالات'!$B$2:$B$1001=B831)*('تشخيص الحالات'!$G$2:$G$1001=7)*ROW('تشخيص الحالات'!$B$2:$B$1001))-1),""),"")&amp;IF(SUMPRODUCT(('تشخيص الحالات'!$B$2:$B$1001=B831)*('تشخيص الحالات'!$G$2:$G$1001=8))&gt;0,"، "&amp;IFERROR(INDEX('تشخيص الحالات'!$D$2:$D$1001,SUMPRODUCT(('تشخيص الحالات'!$B$2:$B$1001=B831)*('تشخيص الحالات'!$G$2:$G$1001=8)*ROW('تشخيص الحالات'!$B$2:$B$1001))-1),""),"")</f>
        <v/>
      </c>
      <c r="J831" s="1"/>
      <c r="K831" s="1"/>
      <c r="L831" s="1"/>
      <c r="M831" s="1"/>
    </row>
    <row r="832" spans="1:13" x14ac:dyDescent="0.2">
      <c r="A832" s="1"/>
      <c r="B832" s="1"/>
      <c r="C832" s="1"/>
      <c r="D832" s="1"/>
      <c r="E832" s="1"/>
      <c r="F832" s="1"/>
      <c r="G832" s="1"/>
      <c r="H832" s="1"/>
      <c r="I832" t="str">
        <f>IFERROR(INDEX('تشخيص الحالات'!$D$2:$D$1001,SUMPRODUCT(('تشخيص الحالات'!$B$2:$B$1001=B832)*('تشخيص الحالات'!$G$2:$G$1001=1)*ROW('تشخيص الحالات'!$B$2:$B$1001))-1),"")&amp;IF(SUMPRODUCT(('تشخيص الحالات'!$B$2:$B$1001=B832)*('تشخيص الحالات'!$G$2:$G$1001=2))&gt;0,"، "&amp;IFERROR(INDEX('تشخيص الحالات'!$D$2:$D$1001,SUMPRODUCT(('تشخيص الحالات'!$B$2:$B$1001=B832)*('تشخيص الحالات'!$G$2:$G$1001=2)*ROW('تشخيص الحالات'!$B$2:$B$1001))-1),""),"")&amp;IF(SUMPRODUCT(('تشخيص الحالات'!$B$2:$B$1001=B832)*('تشخيص الحالات'!$G$2:$G$1001=3))&gt;0,"، "&amp;IFERROR(INDEX('تشخيص الحالات'!$D$2:$D$1001,SUMPRODUCT(('تشخيص الحالات'!$B$2:$B$1001=B832)*('تشخيص الحالات'!$G$2:$G$1001=3)*ROW('تشخيص الحالات'!$B$2:$B$1001))-1),""),"")&amp;IF(SUMPRODUCT(('تشخيص الحالات'!$B$2:$B$1001=B832)*('تشخيص الحالات'!$G$2:$G$1001=4))&gt;0,"، "&amp;IFERROR(INDEX('تشخيص الحالات'!$D$2:$D$1001,SUMPRODUCT(('تشخيص الحالات'!$B$2:$B$1001=B832)*('تشخيص الحالات'!$G$2:$G$1001=4)*ROW('تشخيص الحالات'!$B$2:$B$1001))-1),""),"")&amp;IF(SUMPRODUCT(('تشخيص الحالات'!$B$2:$B$1001=B832)*('تشخيص الحالات'!$G$2:$G$1001=5))&gt;0,"، "&amp;IFERROR(INDEX('تشخيص الحالات'!$D$2:$D$1001,SUMPRODUCT(('تشخيص الحالات'!$B$2:$B$1001=B832)*('تشخيص الحالات'!$G$2:$G$1001=5)*ROW('تشخيص الحالات'!$B$2:$B$1001))-1),""),"")&amp;IF(SUMPRODUCT(('تشخيص الحالات'!$B$2:$B$1001=B832)*('تشخيص الحالات'!$G$2:$G$1001=6))&gt;0,"، "&amp;IFERROR(INDEX('تشخيص الحالات'!$D$2:$D$1001,SUMPRODUCT(('تشخيص الحالات'!$B$2:$B$1001=B832)*('تشخيص الحالات'!$G$2:$G$1001=6)*ROW('تشخيص الحالات'!$B$2:$B$1001))-1),""),"")&amp;IF(SUMPRODUCT(('تشخيص الحالات'!$B$2:$B$1001=B832)*('تشخيص الحالات'!$G$2:$G$1001=7))&gt;0,"، "&amp;IFERROR(INDEX('تشخيص الحالات'!$D$2:$D$1001,SUMPRODUCT(('تشخيص الحالات'!$B$2:$B$1001=B832)*('تشخيص الحالات'!$G$2:$G$1001=7)*ROW('تشخيص الحالات'!$B$2:$B$1001))-1),""),"")&amp;IF(SUMPRODUCT(('تشخيص الحالات'!$B$2:$B$1001=B832)*('تشخيص الحالات'!$G$2:$G$1001=8))&gt;0,"، "&amp;IFERROR(INDEX('تشخيص الحالات'!$D$2:$D$1001,SUMPRODUCT(('تشخيص الحالات'!$B$2:$B$1001=B832)*('تشخيص الحالات'!$G$2:$G$1001=8)*ROW('تشخيص الحالات'!$B$2:$B$1001))-1),""),"")</f>
        <v/>
      </c>
      <c r="J832" s="1"/>
      <c r="K832" s="1"/>
      <c r="L832" s="1"/>
      <c r="M832" s="1"/>
    </row>
    <row r="833" spans="1:13" x14ac:dyDescent="0.2">
      <c r="A833" s="1"/>
      <c r="B833" s="1"/>
      <c r="C833" s="1"/>
      <c r="D833" s="1"/>
      <c r="E833" s="1"/>
      <c r="F833" s="1"/>
      <c r="G833" s="1"/>
      <c r="H833" s="1"/>
      <c r="I833" t="str">
        <f>IFERROR(INDEX('تشخيص الحالات'!$D$2:$D$1001,SUMPRODUCT(('تشخيص الحالات'!$B$2:$B$1001=B833)*('تشخيص الحالات'!$G$2:$G$1001=1)*ROW('تشخيص الحالات'!$B$2:$B$1001))-1),"")&amp;IF(SUMPRODUCT(('تشخيص الحالات'!$B$2:$B$1001=B833)*('تشخيص الحالات'!$G$2:$G$1001=2))&gt;0,"، "&amp;IFERROR(INDEX('تشخيص الحالات'!$D$2:$D$1001,SUMPRODUCT(('تشخيص الحالات'!$B$2:$B$1001=B833)*('تشخيص الحالات'!$G$2:$G$1001=2)*ROW('تشخيص الحالات'!$B$2:$B$1001))-1),""),"")&amp;IF(SUMPRODUCT(('تشخيص الحالات'!$B$2:$B$1001=B833)*('تشخيص الحالات'!$G$2:$G$1001=3))&gt;0,"، "&amp;IFERROR(INDEX('تشخيص الحالات'!$D$2:$D$1001,SUMPRODUCT(('تشخيص الحالات'!$B$2:$B$1001=B833)*('تشخيص الحالات'!$G$2:$G$1001=3)*ROW('تشخيص الحالات'!$B$2:$B$1001))-1),""),"")&amp;IF(SUMPRODUCT(('تشخيص الحالات'!$B$2:$B$1001=B833)*('تشخيص الحالات'!$G$2:$G$1001=4))&gt;0,"، "&amp;IFERROR(INDEX('تشخيص الحالات'!$D$2:$D$1001,SUMPRODUCT(('تشخيص الحالات'!$B$2:$B$1001=B833)*('تشخيص الحالات'!$G$2:$G$1001=4)*ROW('تشخيص الحالات'!$B$2:$B$1001))-1),""),"")&amp;IF(SUMPRODUCT(('تشخيص الحالات'!$B$2:$B$1001=B833)*('تشخيص الحالات'!$G$2:$G$1001=5))&gt;0,"، "&amp;IFERROR(INDEX('تشخيص الحالات'!$D$2:$D$1001,SUMPRODUCT(('تشخيص الحالات'!$B$2:$B$1001=B833)*('تشخيص الحالات'!$G$2:$G$1001=5)*ROW('تشخيص الحالات'!$B$2:$B$1001))-1),""),"")&amp;IF(SUMPRODUCT(('تشخيص الحالات'!$B$2:$B$1001=B833)*('تشخيص الحالات'!$G$2:$G$1001=6))&gt;0,"، "&amp;IFERROR(INDEX('تشخيص الحالات'!$D$2:$D$1001,SUMPRODUCT(('تشخيص الحالات'!$B$2:$B$1001=B833)*('تشخيص الحالات'!$G$2:$G$1001=6)*ROW('تشخيص الحالات'!$B$2:$B$1001))-1),""),"")&amp;IF(SUMPRODUCT(('تشخيص الحالات'!$B$2:$B$1001=B833)*('تشخيص الحالات'!$G$2:$G$1001=7))&gt;0,"، "&amp;IFERROR(INDEX('تشخيص الحالات'!$D$2:$D$1001,SUMPRODUCT(('تشخيص الحالات'!$B$2:$B$1001=B833)*('تشخيص الحالات'!$G$2:$G$1001=7)*ROW('تشخيص الحالات'!$B$2:$B$1001))-1),""),"")&amp;IF(SUMPRODUCT(('تشخيص الحالات'!$B$2:$B$1001=B833)*('تشخيص الحالات'!$G$2:$G$1001=8))&gt;0,"، "&amp;IFERROR(INDEX('تشخيص الحالات'!$D$2:$D$1001,SUMPRODUCT(('تشخيص الحالات'!$B$2:$B$1001=B833)*('تشخيص الحالات'!$G$2:$G$1001=8)*ROW('تشخيص الحالات'!$B$2:$B$1001))-1),""),"")</f>
        <v/>
      </c>
      <c r="J833" s="1"/>
      <c r="K833" s="1"/>
      <c r="L833" s="1"/>
      <c r="M833" s="1"/>
    </row>
    <row r="834" spans="1:13" x14ac:dyDescent="0.2">
      <c r="A834" s="1"/>
      <c r="B834" s="1"/>
      <c r="C834" s="1"/>
      <c r="D834" s="1"/>
      <c r="E834" s="1"/>
      <c r="F834" s="1"/>
      <c r="G834" s="1"/>
      <c r="H834" s="1"/>
      <c r="I834" t="str">
        <f>IFERROR(INDEX('تشخيص الحالات'!$D$2:$D$1001,SUMPRODUCT(('تشخيص الحالات'!$B$2:$B$1001=B834)*('تشخيص الحالات'!$G$2:$G$1001=1)*ROW('تشخيص الحالات'!$B$2:$B$1001))-1),"")&amp;IF(SUMPRODUCT(('تشخيص الحالات'!$B$2:$B$1001=B834)*('تشخيص الحالات'!$G$2:$G$1001=2))&gt;0,"، "&amp;IFERROR(INDEX('تشخيص الحالات'!$D$2:$D$1001,SUMPRODUCT(('تشخيص الحالات'!$B$2:$B$1001=B834)*('تشخيص الحالات'!$G$2:$G$1001=2)*ROW('تشخيص الحالات'!$B$2:$B$1001))-1),""),"")&amp;IF(SUMPRODUCT(('تشخيص الحالات'!$B$2:$B$1001=B834)*('تشخيص الحالات'!$G$2:$G$1001=3))&gt;0,"، "&amp;IFERROR(INDEX('تشخيص الحالات'!$D$2:$D$1001,SUMPRODUCT(('تشخيص الحالات'!$B$2:$B$1001=B834)*('تشخيص الحالات'!$G$2:$G$1001=3)*ROW('تشخيص الحالات'!$B$2:$B$1001))-1),""),"")&amp;IF(SUMPRODUCT(('تشخيص الحالات'!$B$2:$B$1001=B834)*('تشخيص الحالات'!$G$2:$G$1001=4))&gt;0,"، "&amp;IFERROR(INDEX('تشخيص الحالات'!$D$2:$D$1001,SUMPRODUCT(('تشخيص الحالات'!$B$2:$B$1001=B834)*('تشخيص الحالات'!$G$2:$G$1001=4)*ROW('تشخيص الحالات'!$B$2:$B$1001))-1),""),"")&amp;IF(SUMPRODUCT(('تشخيص الحالات'!$B$2:$B$1001=B834)*('تشخيص الحالات'!$G$2:$G$1001=5))&gt;0,"، "&amp;IFERROR(INDEX('تشخيص الحالات'!$D$2:$D$1001,SUMPRODUCT(('تشخيص الحالات'!$B$2:$B$1001=B834)*('تشخيص الحالات'!$G$2:$G$1001=5)*ROW('تشخيص الحالات'!$B$2:$B$1001))-1),""),"")&amp;IF(SUMPRODUCT(('تشخيص الحالات'!$B$2:$B$1001=B834)*('تشخيص الحالات'!$G$2:$G$1001=6))&gt;0,"، "&amp;IFERROR(INDEX('تشخيص الحالات'!$D$2:$D$1001,SUMPRODUCT(('تشخيص الحالات'!$B$2:$B$1001=B834)*('تشخيص الحالات'!$G$2:$G$1001=6)*ROW('تشخيص الحالات'!$B$2:$B$1001))-1),""),"")&amp;IF(SUMPRODUCT(('تشخيص الحالات'!$B$2:$B$1001=B834)*('تشخيص الحالات'!$G$2:$G$1001=7))&gt;0,"، "&amp;IFERROR(INDEX('تشخيص الحالات'!$D$2:$D$1001,SUMPRODUCT(('تشخيص الحالات'!$B$2:$B$1001=B834)*('تشخيص الحالات'!$G$2:$G$1001=7)*ROW('تشخيص الحالات'!$B$2:$B$1001))-1),""),"")&amp;IF(SUMPRODUCT(('تشخيص الحالات'!$B$2:$B$1001=B834)*('تشخيص الحالات'!$G$2:$G$1001=8))&gt;0,"، "&amp;IFERROR(INDEX('تشخيص الحالات'!$D$2:$D$1001,SUMPRODUCT(('تشخيص الحالات'!$B$2:$B$1001=B834)*('تشخيص الحالات'!$G$2:$G$1001=8)*ROW('تشخيص الحالات'!$B$2:$B$1001))-1),""),"")</f>
        <v/>
      </c>
      <c r="J834" s="1"/>
      <c r="K834" s="1"/>
      <c r="L834" s="1"/>
      <c r="M834" s="1"/>
    </row>
    <row r="835" spans="1:13" x14ac:dyDescent="0.2">
      <c r="A835" s="1"/>
      <c r="B835" s="1"/>
      <c r="C835" s="1"/>
      <c r="D835" s="1"/>
      <c r="E835" s="1"/>
      <c r="F835" s="1"/>
      <c r="G835" s="1"/>
      <c r="H835" s="1"/>
      <c r="I835" t="str">
        <f>IFERROR(INDEX('تشخيص الحالات'!$D$2:$D$1001,SUMPRODUCT(('تشخيص الحالات'!$B$2:$B$1001=B835)*('تشخيص الحالات'!$G$2:$G$1001=1)*ROW('تشخيص الحالات'!$B$2:$B$1001))-1),"")&amp;IF(SUMPRODUCT(('تشخيص الحالات'!$B$2:$B$1001=B835)*('تشخيص الحالات'!$G$2:$G$1001=2))&gt;0,"، "&amp;IFERROR(INDEX('تشخيص الحالات'!$D$2:$D$1001,SUMPRODUCT(('تشخيص الحالات'!$B$2:$B$1001=B835)*('تشخيص الحالات'!$G$2:$G$1001=2)*ROW('تشخيص الحالات'!$B$2:$B$1001))-1),""),"")&amp;IF(SUMPRODUCT(('تشخيص الحالات'!$B$2:$B$1001=B835)*('تشخيص الحالات'!$G$2:$G$1001=3))&gt;0,"، "&amp;IFERROR(INDEX('تشخيص الحالات'!$D$2:$D$1001,SUMPRODUCT(('تشخيص الحالات'!$B$2:$B$1001=B835)*('تشخيص الحالات'!$G$2:$G$1001=3)*ROW('تشخيص الحالات'!$B$2:$B$1001))-1),""),"")&amp;IF(SUMPRODUCT(('تشخيص الحالات'!$B$2:$B$1001=B835)*('تشخيص الحالات'!$G$2:$G$1001=4))&gt;0,"، "&amp;IFERROR(INDEX('تشخيص الحالات'!$D$2:$D$1001,SUMPRODUCT(('تشخيص الحالات'!$B$2:$B$1001=B835)*('تشخيص الحالات'!$G$2:$G$1001=4)*ROW('تشخيص الحالات'!$B$2:$B$1001))-1),""),"")&amp;IF(SUMPRODUCT(('تشخيص الحالات'!$B$2:$B$1001=B835)*('تشخيص الحالات'!$G$2:$G$1001=5))&gt;0,"، "&amp;IFERROR(INDEX('تشخيص الحالات'!$D$2:$D$1001,SUMPRODUCT(('تشخيص الحالات'!$B$2:$B$1001=B835)*('تشخيص الحالات'!$G$2:$G$1001=5)*ROW('تشخيص الحالات'!$B$2:$B$1001))-1),""),"")&amp;IF(SUMPRODUCT(('تشخيص الحالات'!$B$2:$B$1001=B835)*('تشخيص الحالات'!$G$2:$G$1001=6))&gt;0,"، "&amp;IFERROR(INDEX('تشخيص الحالات'!$D$2:$D$1001,SUMPRODUCT(('تشخيص الحالات'!$B$2:$B$1001=B835)*('تشخيص الحالات'!$G$2:$G$1001=6)*ROW('تشخيص الحالات'!$B$2:$B$1001))-1),""),"")&amp;IF(SUMPRODUCT(('تشخيص الحالات'!$B$2:$B$1001=B835)*('تشخيص الحالات'!$G$2:$G$1001=7))&gt;0,"، "&amp;IFERROR(INDEX('تشخيص الحالات'!$D$2:$D$1001,SUMPRODUCT(('تشخيص الحالات'!$B$2:$B$1001=B835)*('تشخيص الحالات'!$G$2:$G$1001=7)*ROW('تشخيص الحالات'!$B$2:$B$1001))-1),""),"")&amp;IF(SUMPRODUCT(('تشخيص الحالات'!$B$2:$B$1001=B835)*('تشخيص الحالات'!$G$2:$G$1001=8))&gt;0,"، "&amp;IFERROR(INDEX('تشخيص الحالات'!$D$2:$D$1001,SUMPRODUCT(('تشخيص الحالات'!$B$2:$B$1001=B835)*('تشخيص الحالات'!$G$2:$G$1001=8)*ROW('تشخيص الحالات'!$B$2:$B$1001))-1),""),"")</f>
        <v/>
      </c>
      <c r="J835" s="1"/>
      <c r="K835" s="1"/>
      <c r="L835" s="1"/>
      <c r="M835" s="1"/>
    </row>
    <row r="836" spans="1:13" x14ac:dyDescent="0.2">
      <c r="A836" s="1"/>
      <c r="B836" s="1"/>
      <c r="C836" s="1"/>
      <c r="D836" s="1"/>
      <c r="E836" s="1"/>
      <c r="F836" s="1"/>
      <c r="G836" s="1"/>
      <c r="H836" s="1"/>
      <c r="I836" t="str">
        <f>IFERROR(INDEX('تشخيص الحالات'!$D$2:$D$1001,SUMPRODUCT(('تشخيص الحالات'!$B$2:$B$1001=B836)*('تشخيص الحالات'!$G$2:$G$1001=1)*ROW('تشخيص الحالات'!$B$2:$B$1001))-1),"")&amp;IF(SUMPRODUCT(('تشخيص الحالات'!$B$2:$B$1001=B836)*('تشخيص الحالات'!$G$2:$G$1001=2))&gt;0,"، "&amp;IFERROR(INDEX('تشخيص الحالات'!$D$2:$D$1001,SUMPRODUCT(('تشخيص الحالات'!$B$2:$B$1001=B836)*('تشخيص الحالات'!$G$2:$G$1001=2)*ROW('تشخيص الحالات'!$B$2:$B$1001))-1),""),"")&amp;IF(SUMPRODUCT(('تشخيص الحالات'!$B$2:$B$1001=B836)*('تشخيص الحالات'!$G$2:$G$1001=3))&gt;0,"، "&amp;IFERROR(INDEX('تشخيص الحالات'!$D$2:$D$1001,SUMPRODUCT(('تشخيص الحالات'!$B$2:$B$1001=B836)*('تشخيص الحالات'!$G$2:$G$1001=3)*ROW('تشخيص الحالات'!$B$2:$B$1001))-1),""),"")&amp;IF(SUMPRODUCT(('تشخيص الحالات'!$B$2:$B$1001=B836)*('تشخيص الحالات'!$G$2:$G$1001=4))&gt;0,"، "&amp;IFERROR(INDEX('تشخيص الحالات'!$D$2:$D$1001,SUMPRODUCT(('تشخيص الحالات'!$B$2:$B$1001=B836)*('تشخيص الحالات'!$G$2:$G$1001=4)*ROW('تشخيص الحالات'!$B$2:$B$1001))-1),""),"")&amp;IF(SUMPRODUCT(('تشخيص الحالات'!$B$2:$B$1001=B836)*('تشخيص الحالات'!$G$2:$G$1001=5))&gt;0,"، "&amp;IFERROR(INDEX('تشخيص الحالات'!$D$2:$D$1001,SUMPRODUCT(('تشخيص الحالات'!$B$2:$B$1001=B836)*('تشخيص الحالات'!$G$2:$G$1001=5)*ROW('تشخيص الحالات'!$B$2:$B$1001))-1),""),"")&amp;IF(SUMPRODUCT(('تشخيص الحالات'!$B$2:$B$1001=B836)*('تشخيص الحالات'!$G$2:$G$1001=6))&gt;0,"، "&amp;IFERROR(INDEX('تشخيص الحالات'!$D$2:$D$1001,SUMPRODUCT(('تشخيص الحالات'!$B$2:$B$1001=B836)*('تشخيص الحالات'!$G$2:$G$1001=6)*ROW('تشخيص الحالات'!$B$2:$B$1001))-1),""),"")&amp;IF(SUMPRODUCT(('تشخيص الحالات'!$B$2:$B$1001=B836)*('تشخيص الحالات'!$G$2:$G$1001=7))&gt;0,"، "&amp;IFERROR(INDEX('تشخيص الحالات'!$D$2:$D$1001,SUMPRODUCT(('تشخيص الحالات'!$B$2:$B$1001=B836)*('تشخيص الحالات'!$G$2:$G$1001=7)*ROW('تشخيص الحالات'!$B$2:$B$1001))-1),""),"")&amp;IF(SUMPRODUCT(('تشخيص الحالات'!$B$2:$B$1001=B836)*('تشخيص الحالات'!$G$2:$G$1001=8))&gt;0,"، "&amp;IFERROR(INDEX('تشخيص الحالات'!$D$2:$D$1001,SUMPRODUCT(('تشخيص الحالات'!$B$2:$B$1001=B836)*('تشخيص الحالات'!$G$2:$G$1001=8)*ROW('تشخيص الحالات'!$B$2:$B$1001))-1),""),"")</f>
        <v/>
      </c>
      <c r="J836" s="1"/>
      <c r="K836" s="1"/>
      <c r="L836" s="1"/>
      <c r="M836" s="1"/>
    </row>
    <row r="837" spans="1:13" x14ac:dyDescent="0.2">
      <c r="A837" s="1"/>
      <c r="B837" s="1"/>
      <c r="C837" s="1"/>
      <c r="D837" s="1"/>
      <c r="E837" s="1"/>
      <c r="F837" s="1"/>
      <c r="G837" s="1"/>
      <c r="H837" s="1"/>
      <c r="I837" t="str">
        <f>IFERROR(INDEX('تشخيص الحالات'!$D$2:$D$1001,SUMPRODUCT(('تشخيص الحالات'!$B$2:$B$1001=B837)*('تشخيص الحالات'!$G$2:$G$1001=1)*ROW('تشخيص الحالات'!$B$2:$B$1001))-1),"")&amp;IF(SUMPRODUCT(('تشخيص الحالات'!$B$2:$B$1001=B837)*('تشخيص الحالات'!$G$2:$G$1001=2))&gt;0,"، "&amp;IFERROR(INDEX('تشخيص الحالات'!$D$2:$D$1001,SUMPRODUCT(('تشخيص الحالات'!$B$2:$B$1001=B837)*('تشخيص الحالات'!$G$2:$G$1001=2)*ROW('تشخيص الحالات'!$B$2:$B$1001))-1),""),"")&amp;IF(SUMPRODUCT(('تشخيص الحالات'!$B$2:$B$1001=B837)*('تشخيص الحالات'!$G$2:$G$1001=3))&gt;0,"، "&amp;IFERROR(INDEX('تشخيص الحالات'!$D$2:$D$1001,SUMPRODUCT(('تشخيص الحالات'!$B$2:$B$1001=B837)*('تشخيص الحالات'!$G$2:$G$1001=3)*ROW('تشخيص الحالات'!$B$2:$B$1001))-1),""),"")&amp;IF(SUMPRODUCT(('تشخيص الحالات'!$B$2:$B$1001=B837)*('تشخيص الحالات'!$G$2:$G$1001=4))&gt;0,"، "&amp;IFERROR(INDEX('تشخيص الحالات'!$D$2:$D$1001,SUMPRODUCT(('تشخيص الحالات'!$B$2:$B$1001=B837)*('تشخيص الحالات'!$G$2:$G$1001=4)*ROW('تشخيص الحالات'!$B$2:$B$1001))-1),""),"")&amp;IF(SUMPRODUCT(('تشخيص الحالات'!$B$2:$B$1001=B837)*('تشخيص الحالات'!$G$2:$G$1001=5))&gt;0,"، "&amp;IFERROR(INDEX('تشخيص الحالات'!$D$2:$D$1001,SUMPRODUCT(('تشخيص الحالات'!$B$2:$B$1001=B837)*('تشخيص الحالات'!$G$2:$G$1001=5)*ROW('تشخيص الحالات'!$B$2:$B$1001))-1),""),"")&amp;IF(SUMPRODUCT(('تشخيص الحالات'!$B$2:$B$1001=B837)*('تشخيص الحالات'!$G$2:$G$1001=6))&gt;0,"، "&amp;IFERROR(INDEX('تشخيص الحالات'!$D$2:$D$1001,SUMPRODUCT(('تشخيص الحالات'!$B$2:$B$1001=B837)*('تشخيص الحالات'!$G$2:$G$1001=6)*ROW('تشخيص الحالات'!$B$2:$B$1001))-1),""),"")&amp;IF(SUMPRODUCT(('تشخيص الحالات'!$B$2:$B$1001=B837)*('تشخيص الحالات'!$G$2:$G$1001=7))&gt;0,"، "&amp;IFERROR(INDEX('تشخيص الحالات'!$D$2:$D$1001,SUMPRODUCT(('تشخيص الحالات'!$B$2:$B$1001=B837)*('تشخيص الحالات'!$G$2:$G$1001=7)*ROW('تشخيص الحالات'!$B$2:$B$1001))-1),""),"")&amp;IF(SUMPRODUCT(('تشخيص الحالات'!$B$2:$B$1001=B837)*('تشخيص الحالات'!$G$2:$G$1001=8))&gt;0,"، "&amp;IFERROR(INDEX('تشخيص الحالات'!$D$2:$D$1001,SUMPRODUCT(('تشخيص الحالات'!$B$2:$B$1001=B837)*('تشخيص الحالات'!$G$2:$G$1001=8)*ROW('تشخيص الحالات'!$B$2:$B$1001))-1),""),"")</f>
        <v/>
      </c>
      <c r="J837" s="1"/>
      <c r="K837" s="1"/>
      <c r="L837" s="1"/>
      <c r="M837" s="1"/>
    </row>
    <row r="838" spans="1:13" x14ac:dyDescent="0.2">
      <c r="A838" s="1"/>
      <c r="B838" s="1"/>
      <c r="C838" s="1"/>
      <c r="D838" s="1"/>
      <c r="E838" s="1"/>
      <c r="F838" s="1"/>
      <c r="G838" s="1"/>
      <c r="H838" s="1"/>
      <c r="I838" t="str">
        <f>IFERROR(INDEX('تشخيص الحالات'!$D$2:$D$1001,SUMPRODUCT(('تشخيص الحالات'!$B$2:$B$1001=B838)*('تشخيص الحالات'!$G$2:$G$1001=1)*ROW('تشخيص الحالات'!$B$2:$B$1001))-1),"")&amp;IF(SUMPRODUCT(('تشخيص الحالات'!$B$2:$B$1001=B838)*('تشخيص الحالات'!$G$2:$G$1001=2))&gt;0,"، "&amp;IFERROR(INDEX('تشخيص الحالات'!$D$2:$D$1001,SUMPRODUCT(('تشخيص الحالات'!$B$2:$B$1001=B838)*('تشخيص الحالات'!$G$2:$G$1001=2)*ROW('تشخيص الحالات'!$B$2:$B$1001))-1),""),"")&amp;IF(SUMPRODUCT(('تشخيص الحالات'!$B$2:$B$1001=B838)*('تشخيص الحالات'!$G$2:$G$1001=3))&gt;0,"، "&amp;IFERROR(INDEX('تشخيص الحالات'!$D$2:$D$1001,SUMPRODUCT(('تشخيص الحالات'!$B$2:$B$1001=B838)*('تشخيص الحالات'!$G$2:$G$1001=3)*ROW('تشخيص الحالات'!$B$2:$B$1001))-1),""),"")&amp;IF(SUMPRODUCT(('تشخيص الحالات'!$B$2:$B$1001=B838)*('تشخيص الحالات'!$G$2:$G$1001=4))&gt;0,"، "&amp;IFERROR(INDEX('تشخيص الحالات'!$D$2:$D$1001,SUMPRODUCT(('تشخيص الحالات'!$B$2:$B$1001=B838)*('تشخيص الحالات'!$G$2:$G$1001=4)*ROW('تشخيص الحالات'!$B$2:$B$1001))-1),""),"")&amp;IF(SUMPRODUCT(('تشخيص الحالات'!$B$2:$B$1001=B838)*('تشخيص الحالات'!$G$2:$G$1001=5))&gt;0,"، "&amp;IFERROR(INDEX('تشخيص الحالات'!$D$2:$D$1001,SUMPRODUCT(('تشخيص الحالات'!$B$2:$B$1001=B838)*('تشخيص الحالات'!$G$2:$G$1001=5)*ROW('تشخيص الحالات'!$B$2:$B$1001))-1),""),"")&amp;IF(SUMPRODUCT(('تشخيص الحالات'!$B$2:$B$1001=B838)*('تشخيص الحالات'!$G$2:$G$1001=6))&gt;0,"، "&amp;IFERROR(INDEX('تشخيص الحالات'!$D$2:$D$1001,SUMPRODUCT(('تشخيص الحالات'!$B$2:$B$1001=B838)*('تشخيص الحالات'!$G$2:$G$1001=6)*ROW('تشخيص الحالات'!$B$2:$B$1001))-1),""),"")&amp;IF(SUMPRODUCT(('تشخيص الحالات'!$B$2:$B$1001=B838)*('تشخيص الحالات'!$G$2:$G$1001=7))&gt;0,"، "&amp;IFERROR(INDEX('تشخيص الحالات'!$D$2:$D$1001,SUMPRODUCT(('تشخيص الحالات'!$B$2:$B$1001=B838)*('تشخيص الحالات'!$G$2:$G$1001=7)*ROW('تشخيص الحالات'!$B$2:$B$1001))-1),""),"")&amp;IF(SUMPRODUCT(('تشخيص الحالات'!$B$2:$B$1001=B838)*('تشخيص الحالات'!$G$2:$G$1001=8))&gt;0,"، "&amp;IFERROR(INDEX('تشخيص الحالات'!$D$2:$D$1001,SUMPRODUCT(('تشخيص الحالات'!$B$2:$B$1001=B838)*('تشخيص الحالات'!$G$2:$G$1001=8)*ROW('تشخيص الحالات'!$B$2:$B$1001))-1),""),"")</f>
        <v/>
      </c>
      <c r="J838" s="1"/>
      <c r="K838" s="1"/>
      <c r="L838" s="1"/>
      <c r="M838" s="1"/>
    </row>
    <row r="839" spans="1:13" x14ac:dyDescent="0.2">
      <c r="A839" s="1"/>
      <c r="B839" s="1"/>
      <c r="C839" s="1"/>
      <c r="D839" s="1"/>
      <c r="E839" s="1"/>
      <c r="F839" s="1"/>
      <c r="G839" s="1"/>
      <c r="H839" s="1"/>
      <c r="I839" t="str">
        <f>IFERROR(INDEX('تشخيص الحالات'!$D$2:$D$1001,SUMPRODUCT(('تشخيص الحالات'!$B$2:$B$1001=B839)*('تشخيص الحالات'!$G$2:$G$1001=1)*ROW('تشخيص الحالات'!$B$2:$B$1001))-1),"")&amp;IF(SUMPRODUCT(('تشخيص الحالات'!$B$2:$B$1001=B839)*('تشخيص الحالات'!$G$2:$G$1001=2))&gt;0,"، "&amp;IFERROR(INDEX('تشخيص الحالات'!$D$2:$D$1001,SUMPRODUCT(('تشخيص الحالات'!$B$2:$B$1001=B839)*('تشخيص الحالات'!$G$2:$G$1001=2)*ROW('تشخيص الحالات'!$B$2:$B$1001))-1),""),"")&amp;IF(SUMPRODUCT(('تشخيص الحالات'!$B$2:$B$1001=B839)*('تشخيص الحالات'!$G$2:$G$1001=3))&gt;0,"، "&amp;IFERROR(INDEX('تشخيص الحالات'!$D$2:$D$1001,SUMPRODUCT(('تشخيص الحالات'!$B$2:$B$1001=B839)*('تشخيص الحالات'!$G$2:$G$1001=3)*ROW('تشخيص الحالات'!$B$2:$B$1001))-1),""),"")&amp;IF(SUMPRODUCT(('تشخيص الحالات'!$B$2:$B$1001=B839)*('تشخيص الحالات'!$G$2:$G$1001=4))&gt;0,"، "&amp;IFERROR(INDEX('تشخيص الحالات'!$D$2:$D$1001,SUMPRODUCT(('تشخيص الحالات'!$B$2:$B$1001=B839)*('تشخيص الحالات'!$G$2:$G$1001=4)*ROW('تشخيص الحالات'!$B$2:$B$1001))-1),""),"")&amp;IF(SUMPRODUCT(('تشخيص الحالات'!$B$2:$B$1001=B839)*('تشخيص الحالات'!$G$2:$G$1001=5))&gt;0,"، "&amp;IFERROR(INDEX('تشخيص الحالات'!$D$2:$D$1001,SUMPRODUCT(('تشخيص الحالات'!$B$2:$B$1001=B839)*('تشخيص الحالات'!$G$2:$G$1001=5)*ROW('تشخيص الحالات'!$B$2:$B$1001))-1),""),"")&amp;IF(SUMPRODUCT(('تشخيص الحالات'!$B$2:$B$1001=B839)*('تشخيص الحالات'!$G$2:$G$1001=6))&gt;0,"، "&amp;IFERROR(INDEX('تشخيص الحالات'!$D$2:$D$1001,SUMPRODUCT(('تشخيص الحالات'!$B$2:$B$1001=B839)*('تشخيص الحالات'!$G$2:$G$1001=6)*ROW('تشخيص الحالات'!$B$2:$B$1001))-1),""),"")&amp;IF(SUMPRODUCT(('تشخيص الحالات'!$B$2:$B$1001=B839)*('تشخيص الحالات'!$G$2:$G$1001=7))&gt;0,"، "&amp;IFERROR(INDEX('تشخيص الحالات'!$D$2:$D$1001,SUMPRODUCT(('تشخيص الحالات'!$B$2:$B$1001=B839)*('تشخيص الحالات'!$G$2:$G$1001=7)*ROW('تشخيص الحالات'!$B$2:$B$1001))-1),""),"")&amp;IF(SUMPRODUCT(('تشخيص الحالات'!$B$2:$B$1001=B839)*('تشخيص الحالات'!$G$2:$G$1001=8))&gt;0,"، "&amp;IFERROR(INDEX('تشخيص الحالات'!$D$2:$D$1001,SUMPRODUCT(('تشخيص الحالات'!$B$2:$B$1001=B839)*('تشخيص الحالات'!$G$2:$G$1001=8)*ROW('تشخيص الحالات'!$B$2:$B$1001))-1),""),"")</f>
        <v/>
      </c>
      <c r="J839" s="1"/>
      <c r="K839" s="1"/>
      <c r="L839" s="1"/>
      <c r="M839" s="1"/>
    </row>
    <row r="840" spans="1:13" x14ac:dyDescent="0.2">
      <c r="A840" s="1"/>
      <c r="B840" s="1"/>
      <c r="C840" s="1"/>
      <c r="D840" s="1"/>
      <c r="E840" s="1"/>
      <c r="F840" s="1"/>
      <c r="G840" s="1"/>
      <c r="H840" s="1"/>
      <c r="I840" t="str">
        <f>IFERROR(INDEX('تشخيص الحالات'!$D$2:$D$1001,SUMPRODUCT(('تشخيص الحالات'!$B$2:$B$1001=B840)*('تشخيص الحالات'!$G$2:$G$1001=1)*ROW('تشخيص الحالات'!$B$2:$B$1001))-1),"")&amp;IF(SUMPRODUCT(('تشخيص الحالات'!$B$2:$B$1001=B840)*('تشخيص الحالات'!$G$2:$G$1001=2))&gt;0,"، "&amp;IFERROR(INDEX('تشخيص الحالات'!$D$2:$D$1001,SUMPRODUCT(('تشخيص الحالات'!$B$2:$B$1001=B840)*('تشخيص الحالات'!$G$2:$G$1001=2)*ROW('تشخيص الحالات'!$B$2:$B$1001))-1),""),"")&amp;IF(SUMPRODUCT(('تشخيص الحالات'!$B$2:$B$1001=B840)*('تشخيص الحالات'!$G$2:$G$1001=3))&gt;0,"، "&amp;IFERROR(INDEX('تشخيص الحالات'!$D$2:$D$1001,SUMPRODUCT(('تشخيص الحالات'!$B$2:$B$1001=B840)*('تشخيص الحالات'!$G$2:$G$1001=3)*ROW('تشخيص الحالات'!$B$2:$B$1001))-1),""),"")&amp;IF(SUMPRODUCT(('تشخيص الحالات'!$B$2:$B$1001=B840)*('تشخيص الحالات'!$G$2:$G$1001=4))&gt;0,"، "&amp;IFERROR(INDEX('تشخيص الحالات'!$D$2:$D$1001,SUMPRODUCT(('تشخيص الحالات'!$B$2:$B$1001=B840)*('تشخيص الحالات'!$G$2:$G$1001=4)*ROW('تشخيص الحالات'!$B$2:$B$1001))-1),""),"")&amp;IF(SUMPRODUCT(('تشخيص الحالات'!$B$2:$B$1001=B840)*('تشخيص الحالات'!$G$2:$G$1001=5))&gt;0,"، "&amp;IFERROR(INDEX('تشخيص الحالات'!$D$2:$D$1001,SUMPRODUCT(('تشخيص الحالات'!$B$2:$B$1001=B840)*('تشخيص الحالات'!$G$2:$G$1001=5)*ROW('تشخيص الحالات'!$B$2:$B$1001))-1),""),"")&amp;IF(SUMPRODUCT(('تشخيص الحالات'!$B$2:$B$1001=B840)*('تشخيص الحالات'!$G$2:$G$1001=6))&gt;0,"، "&amp;IFERROR(INDEX('تشخيص الحالات'!$D$2:$D$1001,SUMPRODUCT(('تشخيص الحالات'!$B$2:$B$1001=B840)*('تشخيص الحالات'!$G$2:$G$1001=6)*ROW('تشخيص الحالات'!$B$2:$B$1001))-1),""),"")&amp;IF(SUMPRODUCT(('تشخيص الحالات'!$B$2:$B$1001=B840)*('تشخيص الحالات'!$G$2:$G$1001=7))&gt;0,"، "&amp;IFERROR(INDEX('تشخيص الحالات'!$D$2:$D$1001,SUMPRODUCT(('تشخيص الحالات'!$B$2:$B$1001=B840)*('تشخيص الحالات'!$G$2:$G$1001=7)*ROW('تشخيص الحالات'!$B$2:$B$1001))-1),""),"")&amp;IF(SUMPRODUCT(('تشخيص الحالات'!$B$2:$B$1001=B840)*('تشخيص الحالات'!$G$2:$G$1001=8))&gt;0,"، "&amp;IFERROR(INDEX('تشخيص الحالات'!$D$2:$D$1001,SUMPRODUCT(('تشخيص الحالات'!$B$2:$B$1001=B840)*('تشخيص الحالات'!$G$2:$G$1001=8)*ROW('تشخيص الحالات'!$B$2:$B$1001))-1),""),"")</f>
        <v/>
      </c>
      <c r="J840" s="1"/>
      <c r="K840" s="1"/>
      <c r="L840" s="1"/>
      <c r="M840" s="1"/>
    </row>
    <row r="841" spans="1:13" x14ac:dyDescent="0.2">
      <c r="A841" s="1"/>
      <c r="B841" s="1"/>
      <c r="C841" s="1"/>
      <c r="D841" s="1"/>
      <c r="E841" s="1"/>
      <c r="F841" s="1"/>
      <c r="G841" s="1"/>
      <c r="H841" s="1"/>
      <c r="I841" t="str">
        <f>IFERROR(INDEX('تشخيص الحالات'!$D$2:$D$1001,SUMPRODUCT(('تشخيص الحالات'!$B$2:$B$1001=B841)*('تشخيص الحالات'!$G$2:$G$1001=1)*ROW('تشخيص الحالات'!$B$2:$B$1001))-1),"")&amp;IF(SUMPRODUCT(('تشخيص الحالات'!$B$2:$B$1001=B841)*('تشخيص الحالات'!$G$2:$G$1001=2))&gt;0,"، "&amp;IFERROR(INDEX('تشخيص الحالات'!$D$2:$D$1001,SUMPRODUCT(('تشخيص الحالات'!$B$2:$B$1001=B841)*('تشخيص الحالات'!$G$2:$G$1001=2)*ROW('تشخيص الحالات'!$B$2:$B$1001))-1),""),"")&amp;IF(SUMPRODUCT(('تشخيص الحالات'!$B$2:$B$1001=B841)*('تشخيص الحالات'!$G$2:$G$1001=3))&gt;0,"، "&amp;IFERROR(INDEX('تشخيص الحالات'!$D$2:$D$1001,SUMPRODUCT(('تشخيص الحالات'!$B$2:$B$1001=B841)*('تشخيص الحالات'!$G$2:$G$1001=3)*ROW('تشخيص الحالات'!$B$2:$B$1001))-1),""),"")&amp;IF(SUMPRODUCT(('تشخيص الحالات'!$B$2:$B$1001=B841)*('تشخيص الحالات'!$G$2:$G$1001=4))&gt;0,"، "&amp;IFERROR(INDEX('تشخيص الحالات'!$D$2:$D$1001,SUMPRODUCT(('تشخيص الحالات'!$B$2:$B$1001=B841)*('تشخيص الحالات'!$G$2:$G$1001=4)*ROW('تشخيص الحالات'!$B$2:$B$1001))-1),""),"")&amp;IF(SUMPRODUCT(('تشخيص الحالات'!$B$2:$B$1001=B841)*('تشخيص الحالات'!$G$2:$G$1001=5))&gt;0,"، "&amp;IFERROR(INDEX('تشخيص الحالات'!$D$2:$D$1001,SUMPRODUCT(('تشخيص الحالات'!$B$2:$B$1001=B841)*('تشخيص الحالات'!$G$2:$G$1001=5)*ROW('تشخيص الحالات'!$B$2:$B$1001))-1),""),"")&amp;IF(SUMPRODUCT(('تشخيص الحالات'!$B$2:$B$1001=B841)*('تشخيص الحالات'!$G$2:$G$1001=6))&gt;0,"، "&amp;IFERROR(INDEX('تشخيص الحالات'!$D$2:$D$1001,SUMPRODUCT(('تشخيص الحالات'!$B$2:$B$1001=B841)*('تشخيص الحالات'!$G$2:$G$1001=6)*ROW('تشخيص الحالات'!$B$2:$B$1001))-1),""),"")&amp;IF(SUMPRODUCT(('تشخيص الحالات'!$B$2:$B$1001=B841)*('تشخيص الحالات'!$G$2:$G$1001=7))&gt;0,"، "&amp;IFERROR(INDEX('تشخيص الحالات'!$D$2:$D$1001,SUMPRODUCT(('تشخيص الحالات'!$B$2:$B$1001=B841)*('تشخيص الحالات'!$G$2:$G$1001=7)*ROW('تشخيص الحالات'!$B$2:$B$1001))-1),""),"")&amp;IF(SUMPRODUCT(('تشخيص الحالات'!$B$2:$B$1001=B841)*('تشخيص الحالات'!$G$2:$G$1001=8))&gt;0,"، "&amp;IFERROR(INDEX('تشخيص الحالات'!$D$2:$D$1001,SUMPRODUCT(('تشخيص الحالات'!$B$2:$B$1001=B841)*('تشخيص الحالات'!$G$2:$G$1001=8)*ROW('تشخيص الحالات'!$B$2:$B$1001))-1),""),"")</f>
        <v/>
      </c>
      <c r="J841" s="1"/>
      <c r="K841" s="1"/>
      <c r="L841" s="1"/>
      <c r="M841" s="1"/>
    </row>
    <row r="842" spans="1:13" x14ac:dyDescent="0.2">
      <c r="A842" s="1"/>
      <c r="B842" s="1"/>
      <c r="C842" s="1"/>
      <c r="D842" s="1"/>
      <c r="E842" s="1"/>
      <c r="F842" s="1"/>
      <c r="G842" s="1"/>
      <c r="H842" s="1"/>
      <c r="I842" t="str">
        <f>IFERROR(INDEX('تشخيص الحالات'!$D$2:$D$1001,SUMPRODUCT(('تشخيص الحالات'!$B$2:$B$1001=B842)*('تشخيص الحالات'!$G$2:$G$1001=1)*ROW('تشخيص الحالات'!$B$2:$B$1001))-1),"")&amp;IF(SUMPRODUCT(('تشخيص الحالات'!$B$2:$B$1001=B842)*('تشخيص الحالات'!$G$2:$G$1001=2))&gt;0,"، "&amp;IFERROR(INDEX('تشخيص الحالات'!$D$2:$D$1001,SUMPRODUCT(('تشخيص الحالات'!$B$2:$B$1001=B842)*('تشخيص الحالات'!$G$2:$G$1001=2)*ROW('تشخيص الحالات'!$B$2:$B$1001))-1),""),"")&amp;IF(SUMPRODUCT(('تشخيص الحالات'!$B$2:$B$1001=B842)*('تشخيص الحالات'!$G$2:$G$1001=3))&gt;0,"، "&amp;IFERROR(INDEX('تشخيص الحالات'!$D$2:$D$1001,SUMPRODUCT(('تشخيص الحالات'!$B$2:$B$1001=B842)*('تشخيص الحالات'!$G$2:$G$1001=3)*ROW('تشخيص الحالات'!$B$2:$B$1001))-1),""),"")&amp;IF(SUMPRODUCT(('تشخيص الحالات'!$B$2:$B$1001=B842)*('تشخيص الحالات'!$G$2:$G$1001=4))&gt;0,"، "&amp;IFERROR(INDEX('تشخيص الحالات'!$D$2:$D$1001,SUMPRODUCT(('تشخيص الحالات'!$B$2:$B$1001=B842)*('تشخيص الحالات'!$G$2:$G$1001=4)*ROW('تشخيص الحالات'!$B$2:$B$1001))-1),""),"")&amp;IF(SUMPRODUCT(('تشخيص الحالات'!$B$2:$B$1001=B842)*('تشخيص الحالات'!$G$2:$G$1001=5))&gt;0,"، "&amp;IFERROR(INDEX('تشخيص الحالات'!$D$2:$D$1001,SUMPRODUCT(('تشخيص الحالات'!$B$2:$B$1001=B842)*('تشخيص الحالات'!$G$2:$G$1001=5)*ROW('تشخيص الحالات'!$B$2:$B$1001))-1),""),"")&amp;IF(SUMPRODUCT(('تشخيص الحالات'!$B$2:$B$1001=B842)*('تشخيص الحالات'!$G$2:$G$1001=6))&gt;0,"، "&amp;IFERROR(INDEX('تشخيص الحالات'!$D$2:$D$1001,SUMPRODUCT(('تشخيص الحالات'!$B$2:$B$1001=B842)*('تشخيص الحالات'!$G$2:$G$1001=6)*ROW('تشخيص الحالات'!$B$2:$B$1001))-1),""),"")&amp;IF(SUMPRODUCT(('تشخيص الحالات'!$B$2:$B$1001=B842)*('تشخيص الحالات'!$G$2:$G$1001=7))&gt;0,"، "&amp;IFERROR(INDEX('تشخيص الحالات'!$D$2:$D$1001,SUMPRODUCT(('تشخيص الحالات'!$B$2:$B$1001=B842)*('تشخيص الحالات'!$G$2:$G$1001=7)*ROW('تشخيص الحالات'!$B$2:$B$1001))-1),""),"")&amp;IF(SUMPRODUCT(('تشخيص الحالات'!$B$2:$B$1001=B842)*('تشخيص الحالات'!$G$2:$G$1001=8))&gt;0,"، "&amp;IFERROR(INDEX('تشخيص الحالات'!$D$2:$D$1001,SUMPRODUCT(('تشخيص الحالات'!$B$2:$B$1001=B842)*('تشخيص الحالات'!$G$2:$G$1001=8)*ROW('تشخيص الحالات'!$B$2:$B$1001))-1),""),"")</f>
        <v/>
      </c>
      <c r="J842" s="1"/>
      <c r="K842" s="1"/>
      <c r="L842" s="1"/>
      <c r="M842" s="1"/>
    </row>
    <row r="843" spans="1:13" x14ac:dyDescent="0.2">
      <c r="A843" s="1"/>
      <c r="B843" s="1"/>
      <c r="C843" s="1"/>
      <c r="D843" s="1"/>
      <c r="E843" s="1"/>
      <c r="F843" s="1"/>
      <c r="G843" s="1"/>
      <c r="H843" s="1"/>
      <c r="I843" t="str">
        <f>IFERROR(INDEX('تشخيص الحالات'!$D$2:$D$1001,SUMPRODUCT(('تشخيص الحالات'!$B$2:$B$1001=B843)*('تشخيص الحالات'!$G$2:$G$1001=1)*ROW('تشخيص الحالات'!$B$2:$B$1001))-1),"")&amp;IF(SUMPRODUCT(('تشخيص الحالات'!$B$2:$B$1001=B843)*('تشخيص الحالات'!$G$2:$G$1001=2))&gt;0,"، "&amp;IFERROR(INDEX('تشخيص الحالات'!$D$2:$D$1001,SUMPRODUCT(('تشخيص الحالات'!$B$2:$B$1001=B843)*('تشخيص الحالات'!$G$2:$G$1001=2)*ROW('تشخيص الحالات'!$B$2:$B$1001))-1),""),"")&amp;IF(SUMPRODUCT(('تشخيص الحالات'!$B$2:$B$1001=B843)*('تشخيص الحالات'!$G$2:$G$1001=3))&gt;0,"، "&amp;IFERROR(INDEX('تشخيص الحالات'!$D$2:$D$1001,SUMPRODUCT(('تشخيص الحالات'!$B$2:$B$1001=B843)*('تشخيص الحالات'!$G$2:$G$1001=3)*ROW('تشخيص الحالات'!$B$2:$B$1001))-1),""),"")&amp;IF(SUMPRODUCT(('تشخيص الحالات'!$B$2:$B$1001=B843)*('تشخيص الحالات'!$G$2:$G$1001=4))&gt;0,"، "&amp;IFERROR(INDEX('تشخيص الحالات'!$D$2:$D$1001,SUMPRODUCT(('تشخيص الحالات'!$B$2:$B$1001=B843)*('تشخيص الحالات'!$G$2:$G$1001=4)*ROW('تشخيص الحالات'!$B$2:$B$1001))-1),""),"")&amp;IF(SUMPRODUCT(('تشخيص الحالات'!$B$2:$B$1001=B843)*('تشخيص الحالات'!$G$2:$G$1001=5))&gt;0,"، "&amp;IFERROR(INDEX('تشخيص الحالات'!$D$2:$D$1001,SUMPRODUCT(('تشخيص الحالات'!$B$2:$B$1001=B843)*('تشخيص الحالات'!$G$2:$G$1001=5)*ROW('تشخيص الحالات'!$B$2:$B$1001))-1),""),"")&amp;IF(SUMPRODUCT(('تشخيص الحالات'!$B$2:$B$1001=B843)*('تشخيص الحالات'!$G$2:$G$1001=6))&gt;0,"، "&amp;IFERROR(INDEX('تشخيص الحالات'!$D$2:$D$1001,SUMPRODUCT(('تشخيص الحالات'!$B$2:$B$1001=B843)*('تشخيص الحالات'!$G$2:$G$1001=6)*ROW('تشخيص الحالات'!$B$2:$B$1001))-1),""),"")&amp;IF(SUMPRODUCT(('تشخيص الحالات'!$B$2:$B$1001=B843)*('تشخيص الحالات'!$G$2:$G$1001=7))&gt;0,"، "&amp;IFERROR(INDEX('تشخيص الحالات'!$D$2:$D$1001,SUMPRODUCT(('تشخيص الحالات'!$B$2:$B$1001=B843)*('تشخيص الحالات'!$G$2:$G$1001=7)*ROW('تشخيص الحالات'!$B$2:$B$1001))-1),""),"")&amp;IF(SUMPRODUCT(('تشخيص الحالات'!$B$2:$B$1001=B843)*('تشخيص الحالات'!$G$2:$G$1001=8))&gt;0,"، "&amp;IFERROR(INDEX('تشخيص الحالات'!$D$2:$D$1001,SUMPRODUCT(('تشخيص الحالات'!$B$2:$B$1001=B843)*('تشخيص الحالات'!$G$2:$G$1001=8)*ROW('تشخيص الحالات'!$B$2:$B$1001))-1),""),"")</f>
        <v/>
      </c>
      <c r="J843" s="1"/>
      <c r="K843" s="1"/>
      <c r="L843" s="1"/>
      <c r="M843" s="1"/>
    </row>
    <row r="844" spans="1:13" x14ac:dyDescent="0.2">
      <c r="A844" s="1"/>
      <c r="B844" s="1"/>
      <c r="C844" s="1"/>
      <c r="D844" s="1"/>
      <c r="E844" s="1"/>
      <c r="F844" s="1"/>
      <c r="G844" s="1"/>
      <c r="H844" s="1"/>
      <c r="I844" t="str">
        <f>IFERROR(INDEX('تشخيص الحالات'!$D$2:$D$1001,SUMPRODUCT(('تشخيص الحالات'!$B$2:$B$1001=B844)*('تشخيص الحالات'!$G$2:$G$1001=1)*ROW('تشخيص الحالات'!$B$2:$B$1001))-1),"")&amp;IF(SUMPRODUCT(('تشخيص الحالات'!$B$2:$B$1001=B844)*('تشخيص الحالات'!$G$2:$G$1001=2))&gt;0,"، "&amp;IFERROR(INDEX('تشخيص الحالات'!$D$2:$D$1001,SUMPRODUCT(('تشخيص الحالات'!$B$2:$B$1001=B844)*('تشخيص الحالات'!$G$2:$G$1001=2)*ROW('تشخيص الحالات'!$B$2:$B$1001))-1),""),"")&amp;IF(SUMPRODUCT(('تشخيص الحالات'!$B$2:$B$1001=B844)*('تشخيص الحالات'!$G$2:$G$1001=3))&gt;0,"، "&amp;IFERROR(INDEX('تشخيص الحالات'!$D$2:$D$1001,SUMPRODUCT(('تشخيص الحالات'!$B$2:$B$1001=B844)*('تشخيص الحالات'!$G$2:$G$1001=3)*ROW('تشخيص الحالات'!$B$2:$B$1001))-1),""),"")&amp;IF(SUMPRODUCT(('تشخيص الحالات'!$B$2:$B$1001=B844)*('تشخيص الحالات'!$G$2:$G$1001=4))&gt;0,"، "&amp;IFERROR(INDEX('تشخيص الحالات'!$D$2:$D$1001,SUMPRODUCT(('تشخيص الحالات'!$B$2:$B$1001=B844)*('تشخيص الحالات'!$G$2:$G$1001=4)*ROW('تشخيص الحالات'!$B$2:$B$1001))-1),""),"")&amp;IF(SUMPRODUCT(('تشخيص الحالات'!$B$2:$B$1001=B844)*('تشخيص الحالات'!$G$2:$G$1001=5))&gt;0,"، "&amp;IFERROR(INDEX('تشخيص الحالات'!$D$2:$D$1001,SUMPRODUCT(('تشخيص الحالات'!$B$2:$B$1001=B844)*('تشخيص الحالات'!$G$2:$G$1001=5)*ROW('تشخيص الحالات'!$B$2:$B$1001))-1),""),"")&amp;IF(SUMPRODUCT(('تشخيص الحالات'!$B$2:$B$1001=B844)*('تشخيص الحالات'!$G$2:$G$1001=6))&gt;0,"، "&amp;IFERROR(INDEX('تشخيص الحالات'!$D$2:$D$1001,SUMPRODUCT(('تشخيص الحالات'!$B$2:$B$1001=B844)*('تشخيص الحالات'!$G$2:$G$1001=6)*ROW('تشخيص الحالات'!$B$2:$B$1001))-1),""),"")&amp;IF(SUMPRODUCT(('تشخيص الحالات'!$B$2:$B$1001=B844)*('تشخيص الحالات'!$G$2:$G$1001=7))&gt;0,"، "&amp;IFERROR(INDEX('تشخيص الحالات'!$D$2:$D$1001,SUMPRODUCT(('تشخيص الحالات'!$B$2:$B$1001=B844)*('تشخيص الحالات'!$G$2:$G$1001=7)*ROW('تشخيص الحالات'!$B$2:$B$1001))-1),""),"")&amp;IF(SUMPRODUCT(('تشخيص الحالات'!$B$2:$B$1001=B844)*('تشخيص الحالات'!$G$2:$G$1001=8))&gt;0,"، "&amp;IFERROR(INDEX('تشخيص الحالات'!$D$2:$D$1001,SUMPRODUCT(('تشخيص الحالات'!$B$2:$B$1001=B844)*('تشخيص الحالات'!$G$2:$G$1001=8)*ROW('تشخيص الحالات'!$B$2:$B$1001))-1),""),"")</f>
        <v/>
      </c>
      <c r="J844" s="1"/>
      <c r="K844" s="1"/>
      <c r="L844" s="1"/>
      <c r="M844" s="1"/>
    </row>
    <row r="845" spans="1:13" x14ac:dyDescent="0.2">
      <c r="A845" s="1"/>
      <c r="B845" s="1"/>
      <c r="C845" s="1"/>
      <c r="D845" s="1"/>
      <c r="E845" s="1"/>
      <c r="F845" s="1"/>
      <c r="G845" s="1"/>
      <c r="H845" s="1"/>
      <c r="I845" t="str">
        <f>IFERROR(INDEX('تشخيص الحالات'!$D$2:$D$1001,SUMPRODUCT(('تشخيص الحالات'!$B$2:$B$1001=B845)*('تشخيص الحالات'!$G$2:$G$1001=1)*ROW('تشخيص الحالات'!$B$2:$B$1001))-1),"")&amp;IF(SUMPRODUCT(('تشخيص الحالات'!$B$2:$B$1001=B845)*('تشخيص الحالات'!$G$2:$G$1001=2))&gt;0,"، "&amp;IFERROR(INDEX('تشخيص الحالات'!$D$2:$D$1001,SUMPRODUCT(('تشخيص الحالات'!$B$2:$B$1001=B845)*('تشخيص الحالات'!$G$2:$G$1001=2)*ROW('تشخيص الحالات'!$B$2:$B$1001))-1),""),"")&amp;IF(SUMPRODUCT(('تشخيص الحالات'!$B$2:$B$1001=B845)*('تشخيص الحالات'!$G$2:$G$1001=3))&gt;0,"، "&amp;IFERROR(INDEX('تشخيص الحالات'!$D$2:$D$1001,SUMPRODUCT(('تشخيص الحالات'!$B$2:$B$1001=B845)*('تشخيص الحالات'!$G$2:$G$1001=3)*ROW('تشخيص الحالات'!$B$2:$B$1001))-1),""),"")&amp;IF(SUMPRODUCT(('تشخيص الحالات'!$B$2:$B$1001=B845)*('تشخيص الحالات'!$G$2:$G$1001=4))&gt;0,"، "&amp;IFERROR(INDEX('تشخيص الحالات'!$D$2:$D$1001,SUMPRODUCT(('تشخيص الحالات'!$B$2:$B$1001=B845)*('تشخيص الحالات'!$G$2:$G$1001=4)*ROW('تشخيص الحالات'!$B$2:$B$1001))-1),""),"")&amp;IF(SUMPRODUCT(('تشخيص الحالات'!$B$2:$B$1001=B845)*('تشخيص الحالات'!$G$2:$G$1001=5))&gt;0,"، "&amp;IFERROR(INDEX('تشخيص الحالات'!$D$2:$D$1001,SUMPRODUCT(('تشخيص الحالات'!$B$2:$B$1001=B845)*('تشخيص الحالات'!$G$2:$G$1001=5)*ROW('تشخيص الحالات'!$B$2:$B$1001))-1),""),"")&amp;IF(SUMPRODUCT(('تشخيص الحالات'!$B$2:$B$1001=B845)*('تشخيص الحالات'!$G$2:$G$1001=6))&gt;0,"، "&amp;IFERROR(INDEX('تشخيص الحالات'!$D$2:$D$1001,SUMPRODUCT(('تشخيص الحالات'!$B$2:$B$1001=B845)*('تشخيص الحالات'!$G$2:$G$1001=6)*ROW('تشخيص الحالات'!$B$2:$B$1001))-1),""),"")&amp;IF(SUMPRODUCT(('تشخيص الحالات'!$B$2:$B$1001=B845)*('تشخيص الحالات'!$G$2:$G$1001=7))&gt;0,"، "&amp;IFERROR(INDEX('تشخيص الحالات'!$D$2:$D$1001,SUMPRODUCT(('تشخيص الحالات'!$B$2:$B$1001=B845)*('تشخيص الحالات'!$G$2:$G$1001=7)*ROW('تشخيص الحالات'!$B$2:$B$1001))-1),""),"")&amp;IF(SUMPRODUCT(('تشخيص الحالات'!$B$2:$B$1001=B845)*('تشخيص الحالات'!$G$2:$G$1001=8))&gt;0,"، "&amp;IFERROR(INDEX('تشخيص الحالات'!$D$2:$D$1001,SUMPRODUCT(('تشخيص الحالات'!$B$2:$B$1001=B845)*('تشخيص الحالات'!$G$2:$G$1001=8)*ROW('تشخيص الحالات'!$B$2:$B$1001))-1),""),"")</f>
        <v/>
      </c>
      <c r="J845" s="1"/>
      <c r="K845" s="1"/>
      <c r="L845" s="1"/>
      <c r="M845" s="1"/>
    </row>
    <row r="846" spans="1:13" x14ac:dyDescent="0.2">
      <c r="A846" s="1"/>
      <c r="B846" s="1"/>
      <c r="C846" s="1"/>
      <c r="D846" s="1"/>
      <c r="E846" s="1"/>
      <c r="F846" s="1"/>
      <c r="G846" s="1"/>
      <c r="H846" s="1"/>
      <c r="I846" t="str">
        <f>IFERROR(INDEX('تشخيص الحالات'!$D$2:$D$1001,SUMPRODUCT(('تشخيص الحالات'!$B$2:$B$1001=B846)*('تشخيص الحالات'!$G$2:$G$1001=1)*ROW('تشخيص الحالات'!$B$2:$B$1001))-1),"")&amp;IF(SUMPRODUCT(('تشخيص الحالات'!$B$2:$B$1001=B846)*('تشخيص الحالات'!$G$2:$G$1001=2))&gt;0,"، "&amp;IFERROR(INDEX('تشخيص الحالات'!$D$2:$D$1001,SUMPRODUCT(('تشخيص الحالات'!$B$2:$B$1001=B846)*('تشخيص الحالات'!$G$2:$G$1001=2)*ROW('تشخيص الحالات'!$B$2:$B$1001))-1),""),"")&amp;IF(SUMPRODUCT(('تشخيص الحالات'!$B$2:$B$1001=B846)*('تشخيص الحالات'!$G$2:$G$1001=3))&gt;0,"، "&amp;IFERROR(INDEX('تشخيص الحالات'!$D$2:$D$1001,SUMPRODUCT(('تشخيص الحالات'!$B$2:$B$1001=B846)*('تشخيص الحالات'!$G$2:$G$1001=3)*ROW('تشخيص الحالات'!$B$2:$B$1001))-1),""),"")&amp;IF(SUMPRODUCT(('تشخيص الحالات'!$B$2:$B$1001=B846)*('تشخيص الحالات'!$G$2:$G$1001=4))&gt;0,"، "&amp;IFERROR(INDEX('تشخيص الحالات'!$D$2:$D$1001,SUMPRODUCT(('تشخيص الحالات'!$B$2:$B$1001=B846)*('تشخيص الحالات'!$G$2:$G$1001=4)*ROW('تشخيص الحالات'!$B$2:$B$1001))-1),""),"")&amp;IF(SUMPRODUCT(('تشخيص الحالات'!$B$2:$B$1001=B846)*('تشخيص الحالات'!$G$2:$G$1001=5))&gt;0,"، "&amp;IFERROR(INDEX('تشخيص الحالات'!$D$2:$D$1001,SUMPRODUCT(('تشخيص الحالات'!$B$2:$B$1001=B846)*('تشخيص الحالات'!$G$2:$G$1001=5)*ROW('تشخيص الحالات'!$B$2:$B$1001))-1),""),"")&amp;IF(SUMPRODUCT(('تشخيص الحالات'!$B$2:$B$1001=B846)*('تشخيص الحالات'!$G$2:$G$1001=6))&gt;0,"، "&amp;IFERROR(INDEX('تشخيص الحالات'!$D$2:$D$1001,SUMPRODUCT(('تشخيص الحالات'!$B$2:$B$1001=B846)*('تشخيص الحالات'!$G$2:$G$1001=6)*ROW('تشخيص الحالات'!$B$2:$B$1001))-1),""),"")&amp;IF(SUMPRODUCT(('تشخيص الحالات'!$B$2:$B$1001=B846)*('تشخيص الحالات'!$G$2:$G$1001=7))&gt;0,"، "&amp;IFERROR(INDEX('تشخيص الحالات'!$D$2:$D$1001,SUMPRODUCT(('تشخيص الحالات'!$B$2:$B$1001=B846)*('تشخيص الحالات'!$G$2:$G$1001=7)*ROW('تشخيص الحالات'!$B$2:$B$1001))-1),""),"")&amp;IF(SUMPRODUCT(('تشخيص الحالات'!$B$2:$B$1001=B846)*('تشخيص الحالات'!$G$2:$G$1001=8))&gt;0,"، "&amp;IFERROR(INDEX('تشخيص الحالات'!$D$2:$D$1001,SUMPRODUCT(('تشخيص الحالات'!$B$2:$B$1001=B846)*('تشخيص الحالات'!$G$2:$G$1001=8)*ROW('تشخيص الحالات'!$B$2:$B$1001))-1),""),"")</f>
        <v/>
      </c>
      <c r="J846" s="1"/>
      <c r="K846" s="1"/>
      <c r="L846" s="1"/>
      <c r="M846" s="1"/>
    </row>
    <row r="847" spans="1:13" x14ac:dyDescent="0.2">
      <c r="A847" s="1"/>
      <c r="B847" s="1"/>
      <c r="C847" s="1"/>
      <c r="D847" s="1"/>
      <c r="E847" s="1"/>
      <c r="F847" s="1"/>
      <c r="G847" s="1"/>
      <c r="H847" s="1"/>
      <c r="I847" t="str">
        <f>IFERROR(INDEX('تشخيص الحالات'!$D$2:$D$1001,SUMPRODUCT(('تشخيص الحالات'!$B$2:$B$1001=B847)*('تشخيص الحالات'!$G$2:$G$1001=1)*ROW('تشخيص الحالات'!$B$2:$B$1001))-1),"")&amp;IF(SUMPRODUCT(('تشخيص الحالات'!$B$2:$B$1001=B847)*('تشخيص الحالات'!$G$2:$G$1001=2))&gt;0,"، "&amp;IFERROR(INDEX('تشخيص الحالات'!$D$2:$D$1001,SUMPRODUCT(('تشخيص الحالات'!$B$2:$B$1001=B847)*('تشخيص الحالات'!$G$2:$G$1001=2)*ROW('تشخيص الحالات'!$B$2:$B$1001))-1),""),"")&amp;IF(SUMPRODUCT(('تشخيص الحالات'!$B$2:$B$1001=B847)*('تشخيص الحالات'!$G$2:$G$1001=3))&gt;0,"، "&amp;IFERROR(INDEX('تشخيص الحالات'!$D$2:$D$1001,SUMPRODUCT(('تشخيص الحالات'!$B$2:$B$1001=B847)*('تشخيص الحالات'!$G$2:$G$1001=3)*ROW('تشخيص الحالات'!$B$2:$B$1001))-1),""),"")&amp;IF(SUMPRODUCT(('تشخيص الحالات'!$B$2:$B$1001=B847)*('تشخيص الحالات'!$G$2:$G$1001=4))&gt;0,"، "&amp;IFERROR(INDEX('تشخيص الحالات'!$D$2:$D$1001,SUMPRODUCT(('تشخيص الحالات'!$B$2:$B$1001=B847)*('تشخيص الحالات'!$G$2:$G$1001=4)*ROW('تشخيص الحالات'!$B$2:$B$1001))-1),""),"")&amp;IF(SUMPRODUCT(('تشخيص الحالات'!$B$2:$B$1001=B847)*('تشخيص الحالات'!$G$2:$G$1001=5))&gt;0,"، "&amp;IFERROR(INDEX('تشخيص الحالات'!$D$2:$D$1001,SUMPRODUCT(('تشخيص الحالات'!$B$2:$B$1001=B847)*('تشخيص الحالات'!$G$2:$G$1001=5)*ROW('تشخيص الحالات'!$B$2:$B$1001))-1),""),"")&amp;IF(SUMPRODUCT(('تشخيص الحالات'!$B$2:$B$1001=B847)*('تشخيص الحالات'!$G$2:$G$1001=6))&gt;0,"، "&amp;IFERROR(INDEX('تشخيص الحالات'!$D$2:$D$1001,SUMPRODUCT(('تشخيص الحالات'!$B$2:$B$1001=B847)*('تشخيص الحالات'!$G$2:$G$1001=6)*ROW('تشخيص الحالات'!$B$2:$B$1001))-1),""),"")&amp;IF(SUMPRODUCT(('تشخيص الحالات'!$B$2:$B$1001=B847)*('تشخيص الحالات'!$G$2:$G$1001=7))&gt;0,"، "&amp;IFERROR(INDEX('تشخيص الحالات'!$D$2:$D$1001,SUMPRODUCT(('تشخيص الحالات'!$B$2:$B$1001=B847)*('تشخيص الحالات'!$G$2:$G$1001=7)*ROW('تشخيص الحالات'!$B$2:$B$1001))-1),""),"")&amp;IF(SUMPRODUCT(('تشخيص الحالات'!$B$2:$B$1001=B847)*('تشخيص الحالات'!$G$2:$G$1001=8))&gt;0,"، "&amp;IFERROR(INDEX('تشخيص الحالات'!$D$2:$D$1001,SUMPRODUCT(('تشخيص الحالات'!$B$2:$B$1001=B847)*('تشخيص الحالات'!$G$2:$G$1001=8)*ROW('تشخيص الحالات'!$B$2:$B$1001))-1),""),"")</f>
        <v/>
      </c>
      <c r="J847" s="1"/>
      <c r="K847" s="1"/>
      <c r="L847" s="1"/>
      <c r="M847" s="1"/>
    </row>
    <row r="848" spans="1:13" x14ac:dyDescent="0.2">
      <c r="A848" s="1"/>
      <c r="B848" s="1"/>
      <c r="C848" s="1"/>
      <c r="D848" s="1"/>
      <c r="E848" s="1"/>
      <c r="F848" s="1"/>
      <c r="G848" s="1"/>
      <c r="H848" s="1"/>
      <c r="I848" t="str">
        <f>IFERROR(INDEX('تشخيص الحالات'!$D$2:$D$1001,SUMPRODUCT(('تشخيص الحالات'!$B$2:$B$1001=B848)*('تشخيص الحالات'!$G$2:$G$1001=1)*ROW('تشخيص الحالات'!$B$2:$B$1001))-1),"")&amp;IF(SUMPRODUCT(('تشخيص الحالات'!$B$2:$B$1001=B848)*('تشخيص الحالات'!$G$2:$G$1001=2))&gt;0,"، "&amp;IFERROR(INDEX('تشخيص الحالات'!$D$2:$D$1001,SUMPRODUCT(('تشخيص الحالات'!$B$2:$B$1001=B848)*('تشخيص الحالات'!$G$2:$G$1001=2)*ROW('تشخيص الحالات'!$B$2:$B$1001))-1),""),"")&amp;IF(SUMPRODUCT(('تشخيص الحالات'!$B$2:$B$1001=B848)*('تشخيص الحالات'!$G$2:$G$1001=3))&gt;0,"، "&amp;IFERROR(INDEX('تشخيص الحالات'!$D$2:$D$1001,SUMPRODUCT(('تشخيص الحالات'!$B$2:$B$1001=B848)*('تشخيص الحالات'!$G$2:$G$1001=3)*ROW('تشخيص الحالات'!$B$2:$B$1001))-1),""),"")&amp;IF(SUMPRODUCT(('تشخيص الحالات'!$B$2:$B$1001=B848)*('تشخيص الحالات'!$G$2:$G$1001=4))&gt;0,"، "&amp;IFERROR(INDEX('تشخيص الحالات'!$D$2:$D$1001,SUMPRODUCT(('تشخيص الحالات'!$B$2:$B$1001=B848)*('تشخيص الحالات'!$G$2:$G$1001=4)*ROW('تشخيص الحالات'!$B$2:$B$1001))-1),""),"")&amp;IF(SUMPRODUCT(('تشخيص الحالات'!$B$2:$B$1001=B848)*('تشخيص الحالات'!$G$2:$G$1001=5))&gt;0,"، "&amp;IFERROR(INDEX('تشخيص الحالات'!$D$2:$D$1001,SUMPRODUCT(('تشخيص الحالات'!$B$2:$B$1001=B848)*('تشخيص الحالات'!$G$2:$G$1001=5)*ROW('تشخيص الحالات'!$B$2:$B$1001))-1),""),"")&amp;IF(SUMPRODUCT(('تشخيص الحالات'!$B$2:$B$1001=B848)*('تشخيص الحالات'!$G$2:$G$1001=6))&gt;0,"، "&amp;IFERROR(INDEX('تشخيص الحالات'!$D$2:$D$1001,SUMPRODUCT(('تشخيص الحالات'!$B$2:$B$1001=B848)*('تشخيص الحالات'!$G$2:$G$1001=6)*ROW('تشخيص الحالات'!$B$2:$B$1001))-1),""),"")&amp;IF(SUMPRODUCT(('تشخيص الحالات'!$B$2:$B$1001=B848)*('تشخيص الحالات'!$G$2:$G$1001=7))&gt;0,"، "&amp;IFERROR(INDEX('تشخيص الحالات'!$D$2:$D$1001,SUMPRODUCT(('تشخيص الحالات'!$B$2:$B$1001=B848)*('تشخيص الحالات'!$G$2:$G$1001=7)*ROW('تشخيص الحالات'!$B$2:$B$1001))-1),""),"")&amp;IF(SUMPRODUCT(('تشخيص الحالات'!$B$2:$B$1001=B848)*('تشخيص الحالات'!$G$2:$G$1001=8))&gt;0,"، "&amp;IFERROR(INDEX('تشخيص الحالات'!$D$2:$D$1001,SUMPRODUCT(('تشخيص الحالات'!$B$2:$B$1001=B848)*('تشخيص الحالات'!$G$2:$G$1001=8)*ROW('تشخيص الحالات'!$B$2:$B$1001))-1),""),"")</f>
        <v/>
      </c>
      <c r="J848" s="1"/>
      <c r="K848" s="1"/>
      <c r="L848" s="1"/>
      <c r="M848" s="1"/>
    </row>
    <row r="849" spans="1:13" x14ac:dyDescent="0.2">
      <c r="A849" s="1"/>
      <c r="B849" s="1"/>
      <c r="C849" s="1"/>
      <c r="D849" s="1"/>
      <c r="E849" s="1"/>
      <c r="F849" s="1"/>
      <c r="G849" s="1"/>
      <c r="H849" s="1"/>
      <c r="I849" t="str">
        <f>IFERROR(INDEX('تشخيص الحالات'!$D$2:$D$1001,SUMPRODUCT(('تشخيص الحالات'!$B$2:$B$1001=B849)*('تشخيص الحالات'!$G$2:$G$1001=1)*ROW('تشخيص الحالات'!$B$2:$B$1001))-1),"")&amp;IF(SUMPRODUCT(('تشخيص الحالات'!$B$2:$B$1001=B849)*('تشخيص الحالات'!$G$2:$G$1001=2))&gt;0,"، "&amp;IFERROR(INDEX('تشخيص الحالات'!$D$2:$D$1001,SUMPRODUCT(('تشخيص الحالات'!$B$2:$B$1001=B849)*('تشخيص الحالات'!$G$2:$G$1001=2)*ROW('تشخيص الحالات'!$B$2:$B$1001))-1),""),"")&amp;IF(SUMPRODUCT(('تشخيص الحالات'!$B$2:$B$1001=B849)*('تشخيص الحالات'!$G$2:$G$1001=3))&gt;0,"، "&amp;IFERROR(INDEX('تشخيص الحالات'!$D$2:$D$1001,SUMPRODUCT(('تشخيص الحالات'!$B$2:$B$1001=B849)*('تشخيص الحالات'!$G$2:$G$1001=3)*ROW('تشخيص الحالات'!$B$2:$B$1001))-1),""),"")&amp;IF(SUMPRODUCT(('تشخيص الحالات'!$B$2:$B$1001=B849)*('تشخيص الحالات'!$G$2:$G$1001=4))&gt;0,"، "&amp;IFERROR(INDEX('تشخيص الحالات'!$D$2:$D$1001,SUMPRODUCT(('تشخيص الحالات'!$B$2:$B$1001=B849)*('تشخيص الحالات'!$G$2:$G$1001=4)*ROW('تشخيص الحالات'!$B$2:$B$1001))-1),""),"")&amp;IF(SUMPRODUCT(('تشخيص الحالات'!$B$2:$B$1001=B849)*('تشخيص الحالات'!$G$2:$G$1001=5))&gt;0,"، "&amp;IFERROR(INDEX('تشخيص الحالات'!$D$2:$D$1001,SUMPRODUCT(('تشخيص الحالات'!$B$2:$B$1001=B849)*('تشخيص الحالات'!$G$2:$G$1001=5)*ROW('تشخيص الحالات'!$B$2:$B$1001))-1),""),"")&amp;IF(SUMPRODUCT(('تشخيص الحالات'!$B$2:$B$1001=B849)*('تشخيص الحالات'!$G$2:$G$1001=6))&gt;0,"، "&amp;IFERROR(INDEX('تشخيص الحالات'!$D$2:$D$1001,SUMPRODUCT(('تشخيص الحالات'!$B$2:$B$1001=B849)*('تشخيص الحالات'!$G$2:$G$1001=6)*ROW('تشخيص الحالات'!$B$2:$B$1001))-1),""),"")&amp;IF(SUMPRODUCT(('تشخيص الحالات'!$B$2:$B$1001=B849)*('تشخيص الحالات'!$G$2:$G$1001=7))&gt;0,"، "&amp;IFERROR(INDEX('تشخيص الحالات'!$D$2:$D$1001,SUMPRODUCT(('تشخيص الحالات'!$B$2:$B$1001=B849)*('تشخيص الحالات'!$G$2:$G$1001=7)*ROW('تشخيص الحالات'!$B$2:$B$1001))-1),""),"")&amp;IF(SUMPRODUCT(('تشخيص الحالات'!$B$2:$B$1001=B849)*('تشخيص الحالات'!$G$2:$G$1001=8))&gt;0,"، "&amp;IFERROR(INDEX('تشخيص الحالات'!$D$2:$D$1001,SUMPRODUCT(('تشخيص الحالات'!$B$2:$B$1001=B849)*('تشخيص الحالات'!$G$2:$G$1001=8)*ROW('تشخيص الحالات'!$B$2:$B$1001))-1),""),"")</f>
        <v/>
      </c>
      <c r="J849" s="1"/>
      <c r="K849" s="1"/>
      <c r="L849" s="1"/>
      <c r="M849" s="1"/>
    </row>
    <row r="850" spans="1:13" x14ac:dyDescent="0.2">
      <c r="A850" s="1"/>
      <c r="B850" s="1"/>
      <c r="C850" s="1"/>
      <c r="D850" s="1"/>
      <c r="E850" s="1"/>
      <c r="F850" s="1"/>
      <c r="G850" s="1"/>
      <c r="H850" s="1"/>
      <c r="I850" t="str">
        <f>IFERROR(INDEX('تشخيص الحالات'!$D$2:$D$1001,SUMPRODUCT(('تشخيص الحالات'!$B$2:$B$1001=B850)*('تشخيص الحالات'!$G$2:$G$1001=1)*ROW('تشخيص الحالات'!$B$2:$B$1001))-1),"")&amp;IF(SUMPRODUCT(('تشخيص الحالات'!$B$2:$B$1001=B850)*('تشخيص الحالات'!$G$2:$G$1001=2))&gt;0,"، "&amp;IFERROR(INDEX('تشخيص الحالات'!$D$2:$D$1001,SUMPRODUCT(('تشخيص الحالات'!$B$2:$B$1001=B850)*('تشخيص الحالات'!$G$2:$G$1001=2)*ROW('تشخيص الحالات'!$B$2:$B$1001))-1),""),"")&amp;IF(SUMPRODUCT(('تشخيص الحالات'!$B$2:$B$1001=B850)*('تشخيص الحالات'!$G$2:$G$1001=3))&gt;0,"، "&amp;IFERROR(INDEX('تشخيص الحالات'!$D$2:$D$1001,SUMPRODUCT(('تشخيص الحالات'!$B$2:$B$1001=B850)*('تشخيص الحالات'!$G$2:$G$1001=3)*ROW('تشخيص الحالات'!$B$2:$B$1001))-1),""),"")&amp;IF(SUMPRODUCT(('تشخيص الحالات'!$B$2:$B$1001=B850)*('تشخيص الحالات'!$G$2:$G$1001=4))&gt;0,"، "&amp;IFERROR(INDEX('تشخيص الحالات'!$D$2:$D$1001,SUMPRODUCT(('تشخيص الحالات'!$B$2:$B$1001=B850)*('تشخيص الحالات'!$G$2:$G$1001=4)*ROW('تشخيص الحالات'!$B$2:$B$1001))-1),""),"")&amp;IF(SUMPRODUCT(('تشخيص الحالات'!$B$2:$B$1001=B850)*('تشخيص الحالات'!$G$2:$G$1001=5))&gt;0,"، "&amp;IFERROR(INDEX('تشخيص الحالات'!$D$2:$D$1001,SUMPRODUCT(('تشخيص الحالات'!$B$2:$B$1001=B850)*('تشخيص الحالات'!$G$2:$G$1001=5)*ROW('تشخيص الحالات'!$B$2:$B$1001))-1),""),"")&amp;IF(SUMPRODUCT(('تشخيص الحالات'!$B$2:$B$1001=B850)*('تشخيص الحالات'!$G$2:$G$1001=6))&gt;0,"، "&amp;IFERROR(INDEX('تشخيص الحالات'!$D$2:$D$1001,SUMPRODUCT(('تشخيص الحالات'!$B$2:$B$1001=B850)*('تشخيص الحالات'!$G$2:$G$1001=6)*ROW('تشخيص الحالات'!$B$2:$B$1001))-1),""),"")&amp;IF(SUMPRODUCT(('تشخيص الحالات'!$B$2:$B$1001=B850)*('تشخيص الحالات'!$G$2:$G$1001=7))&gt;0,"، "&amp;IFERROR(INDEX('تشخيص الحالات'!$D$2:$D$1001,SUMPRODUCT(('تشخيص الحالات'!$B$2:$B$1001=B850)*('تشخيص الحالات'!$G$2:$G$1001=7)*ROW('تشخيص الحالات'!$B$2:$B$1001))-1),""),"")&amp;IF(SUMPRODUCT(('تشخيص الحالات'!$B$2:$B$1001=B850)*('تشخيص الحالات'!$G$2:$G$1001=8))&gt;0,"، "&amp;IFERROR(INDEX('تشخيص الحالات'!$D$2:$D$1001,SUMPRODUCT(('تشخيص الحالات'!$B$2:$B$1001=B850)*('تشخيص الحالات'!$G$2:$G$1001=8)*ROW('تشخيص الحالات'!$B$2:$B$1001))-1),""),"")</f>
        <v/>
      </c>
      <c r="J850" s="1"/>
      <c r="K850" s="1"/>
      <c r="L850" s="1"/>
      <c r="M850" s="1"/>
    </row>
    <row r="851" spans="1:13" x14ac:dyDescent="0.2">
      <c r="A851" s="1"/>
      <c r="B851" s="1"/>
      <c r="C851" s="1"/>
      <c r="D851" s="1"/>
      <c r="E851" s="1"/>
      <c r="F851" s="1"/>
      <c r="G851" s="1"/>
      <c r="H851" s="1"/>
      <c r="I851" t="str">
        <f>IFERROR(INDEX('تشخيص الحالات'!$D$2:$D$1001,SUMPRODUCT(('تشخيص الحالات'!$B$2:$B$1001=B851)*('تشخيص الحالات'!$G$2:$G$1001=1)*ROW('تشخيص الحالات'!$B$2:$B$1001))-1),"")&amp;IF(SUMPRODUCT(('تشخيص الحالات'!$B$2:$B$1001=B851)*('تشخيص الحالات'!$G$2:$G$1001=2))&gt;0,"، "&amp;IFERROR(INDEX('تشخيص الحالات'!$D$2:$D$1001,SUMPRODUCT(('تشخيص الحالات'!$B$2:$B$1001=B851)*('تشخيص الحالات'!$G$2:$G$1001=2)*ROW('تشخيص الحالات'!$B$2:$B$1001))-1),""),"")&amp;IF(SUMPRODUCT(('تشخيص الحالات'!$B$2:$B$1001=B851)*('تشخيص الحالات'!$G$2:$G$1001=3))&gt;0,"، "&amp;IFERROR(INDEX('تشخيص الحالات'!$D$2:$D$1001,SUMPRODUCT(('تشخيص الحالات'!$B$2:$B$1001=B851)*('تشخيص الحالات'!$G$2:$G$1001=3)*ROW('تشخيص الحالات'!$B$2:$B$1001))-1),""),"")&amp;IF(SUMPRODUCT(('تشخيص الحالات'!$B$2:$B$1001=B851)*('تشخيص الحالات'!$G$2:$G$1001=4))&gt;0,"، "&amp;IFERROR(INDEX('تشخيص الحالات'!$D$2:$D$1001,SUMPRODUCT(('تشخيص الحالات'!$B$2:$B$1001=B851)*('تشخيص الحالات'!$G$2:$G$1001=4)*ROW('تشخيص الحالات'!$B$2:$B$1001))-1),""),"")&amp;IF(SUMPRODUCT(('تشخيص الحالات'!$B$2:$B$1001=B851)*('تشخيص الحالات'!$G$2:$G$1001=5))&gt;0,"، "&amp;IFERROR(INDEX('تشخيص الحالات'!$D$2:$D$1001,SUMPRODUCT(('تشخيص الحالات'!$B$2:$B$1001=B851)*('تشخيص الحالات'!$G$2:$G$1001=5)*ROW('تشخيص الحالات'!$B$2:$B$1001))-1),""),"")&amp;IF(SUMPRODUCT(('تشخيص الحالات'!$B$2:$B$1001=B851)*('تشخيص الحالات'!$G$2:$G$1001=6))&gt;0,"، "&amp;IFERROR(INDEX('تشخيص الحالات'!$D$2:$D$1001,SUMPRODUCT(('تشخيص الحالات'!$B$2:$B$1001=B851)*('تشخيص الحالات'!$G$2:$G$1001=6)*ROW('تشخيص الحالات'!$B$2:$B$1001))-1),""),"")&amp;IF(SUMPRODUCT(('تشخيص الحالات'!$B$2:$B$1001=B851)*('تشخيص الحالات'!$G$2:$G$1001=7))&gt;0,"، "&amp;IFERROR(INDEX('تشخيص الحالات'!$D$2:$D$1001,SUMPRODUCT(('تشخيص الحالات'!$B$2:$B$1001=B851)*('تشخيص الحالات'!$G$2:$G$1001=7)*ROW('تشخيص الحالات'!$B$2:$B$1001))-1),""),"")&amp;IF(SUMPRODUCT(('تشخيص الحالات'!$B$2:$B$1001=B851)*('تشخيص الحالات'!$G$2:$G$1001=8))&gt;0,"، "&amp;IFERROR(INDEX('تشخيص الحالات'!$D$2:$D$1001,SUMPRODUCT(('تشخيص الحالات'!$B$2:$B$1001=B851)*('تشخيص الحالات'!$G$2:$G$1001=8)*ROW('تشخيص الحالات'!$B$2:$B$1001))-1),""),"")</f>
        <v/>
      </c>
      <c r="J851" s="1"/>
      <c r="K851" s="1"/>
      <c r="L851" s="1"/>
      <c r="M851" s="1"/>
    </row>
    <row r="852" spans="1:13" x14ac:dyDescent="0.2">
      <c r="A852" s="1"/>
      <c r="B852" s="1"/>
      <c r="C852" s="1"/>
      <c r="D852" s="1"/>
      <c r="E852" s="1"/>
      <c r="F852" s="1"/>
      <c r="G852" s="1"/>
      <c r="H852" s="1"/>
      <c r="I852" t="str">
        <f>IFERROR(INDEX('تشخيص الحالات'!$D$2:$D$1001,SUMPRODUCT(('تشخيص الحالات'!$B$2:$B$1001=B852)*('تشخيص الحالات'!$G$2:$G$1001=1)*ROW('تشخيص الحالات'!$B$2:$B$1001))-1),"")&amp;IF(SUMPRODUCT(('تشخيص الحالات'!$B$2:$B$1001=B852)*('تشخيص الحالات'!$G$2:$G$1001=2))&gt;0,"، "&amp;IFERROR(INDEX('تشخيص الحالات'!$D$2:$D$1001,SUMPRODUCT(('تشخيص الحالات'!$B$2:$B$1001=B852)*('تشخيص الحالات'!$G$2:$G$1001=2)*ROW('تشخيص الحالات'!$B$2:$B$1001))-1),""),"")&amp;IF(SUMPRODUCT(('تشخيص الحالات'!$B$2:$B$1001=B852)*('تشخيص الحالات'!$G$2:$G$1001=3))&gt;0,"، "&amp;IFERROR(INDEX('تشخيص الحالات'!$D$2:$D$1001,SUMPRODUCT(('تشخيص الحالات'!$B$2:$B$1001=B852)*('تشخيص الحالات'!$G$2:$G$1001=3)*ROW('تشخيص الحالات'!$B$2:$B$1001))-1),""),"")&amp;IF(SUMPRODUCT(('تشخيص الحالات'!$B$2:$B$1001=B852)*('تشخيص الحالات'!$G$2:$G$1001=4))&gt;0,"، "&amp;IFERROR(INDEX('تشخيص الحالات'!$D$2:$D$1001,SUMPRODUCT(('تشخيص الحالات'!$B$2:$B$1001=B852)*('تشخيص الحالات'!$G$2:$G$1001=4)*ROW('تشخيص الحالات'!$B$2:$B$1001))-1),""),"")&amp;IF(SUMPRODUCT(('تشخيص الحالات'!$B$2:$B$1001=B852)*('تشخيص الحالات'!$G$2:$G$1001=5))&gt;0,"، "&amp;IFERROR(INDEX('تشخيص الحالات'!$D$2:$D$1001,SUMPRODUCT(('تشخيص الحالات'!$B$2:$B$1001=B852)*('تشخيص الحالات'!$G$2:$G$1001=5)*ROW('تشخيص الحالات'!$B$2:$B$1001))-1),""),"")&amp;IF(SUMPRODUCT(('تشخيص الحالات'!$B$2:$B$1001=B852)*('تشخيص الحالات'!$G$2:$G$1001=6))&gt;0,"، "&amp;IFERROR(INDEX('تشخيص الحالات'!$D$2:$D$1001,SUMPRODUCT(('تشخيص الحالات'!$B$2:$B$1001=B852)*('تشخيص الحالات'!$G$2:$G$1001=6)*ROW('تشخيص الحالات'!$B$2:$B$1001))-1),""),"")&amp;IF(SUMPRODUCT(('تشخيص الحالات'!$B$2:$B$1001=B852)*('تشخيص الحالات'!$G$2:$G$1001=7))&gt;0,"، "&amp;IFERROR(INDEX('تشخيص الحالات'!$D$2:$D$1001,SUMPRODUCT(('تشخيص الحالات'!$B$2:$B$1001=B852)*('تشخيص الحالات'!$G$2:$G$1001=7)*ROW('تشخيص الحالات'!$B$2:$B$1001))-1),""),"")&amp;IF(SUMPRODUCT(('تشخيص الحالات'!$B$2:$B$1001=B852)*('تشخيص الحالات'!$G$2:$G$1001=8))&gt;0,"، "&amp;IFERROR(INDEX('تشخيص الحالات'!$D$2:$D$1001,SUMPRODUCT(('تشخيص الحالات'!$B$2:$B$1001=B852)*('تشخيص الحالات'!$G$2:$G$1001=8)*ROW('تشخيص الحالات'!$B$2:$B$1001))-1),""),"")</f>
        <v/>
      </c>
      <c r="J852" s="1"/>
      <c r="K852" s="1"/>
      <c r="L852" s="1"/>
      <c r="M852" s="1"/>
    </row>
    <row r="853" spans="1:13" x14ac:dyDescent="0.2">
      <c r="A853" s="1"/>
      <c r="B853" s="1"/>
      <c r="C853" s="1"/>
      <c r="D853" s="1"/>
      <c r="E853" s="1"/>
      <c r="F853" s="1"/>
      <c r="G853" s="1"/>
      <c r="H853" s="1"/>
      <c r="I853" t="str">
        <f>IFERROR(INDEX('تشخيص الحالات'!$D$2:$D$1001,SUMPRODUCT(('تشخيص الحالات'!$B$2:$B$1001=B853)*('تشخيص الحالات'!$G$2:$G$1001=1)*ROW('تشخيص الحالات'!$B$2:$B$1001))-1),"")&amp;IF(SUMPRODUCT(('تشخيص الحالات'!$B$2:$B$1001=B853)*('تشخيص الحالات'!$G$2:$G$1001=2))&gt;0,"، "&amp;IFERROR(INDEX('تشخيص الحالات'!$D$2:$D$1001,SUMPRODUCT(('تشخيص الحالات'!$B$2:$B$1001=B853)*('تشخيص الحالات'!$G$2:$G$1001=2)*ROW('تشخيص الحالات'!$B$2:$B$1001))-1),""),"")&amp;IF(SUMPRODUCT(('تشخيص الحالات'!$B$2:$B$1001=B853)*('تشخيص الحالات'!$G$2:$G$1001=3))&gt;0,"، "&amp;IFERROR(INDEX('تشخيص الحالات'!$D$2:$D$1001,SUMPRODUCT(('تشخيص الحالات'!$B$2:$B$1001=B853)*('تشخيص الحالات'!$G$2:$G$1001=3)*ROW('تشخيص الحالات'!$B$2:$B$1001))-1),""),"")&amp;IF(SUMPRODUCT(('تشخيص الحالات'!$B$2:$B$1001=B853)*('تشخيص الحالات'!$G$2:$G$1001=4))&gt;0,"، "&amp;IFERROR(INDEX('تشخيص الحالات'!$D$2:$D$1001,SUMPRODUCT(('تشخيص الحالات'!$B$2:$B$1001=B853)*('تشخيص الحالات'!$G$2:$G$1001=4)*ROW('تشخيص الحالات'!$B$2:$B$1001))-1),""),"")&amp;IF(SUMPRODUCT(('تشخيص الحالات'!$B$2:$B$1001=B853)*('تشخيص الحالات'!$G$2:$G$1001=5))&gt;0,"، "&amp;IFERROR(INDEX('تشخيص الحالات'!$D$2:$D$1001,SUMPRODUCT(('تشخيص الحالات'!$B$2:$B$1001=B853)*('تشخيص الحالات'!$G$2:$G$1001=5)*ROW('تشخيص الحالات'!$B$2:$B$1001))-1),""),"")&amp;IF(SUMPRODUCT(('تشخيص الحالات'!$B$2:$B$1001=B853)*('تشخيص الحالات'!$G$2:$G$1001=6))&gt;0,"، "&amp;IFERROR(INDEX('تشخيص الحالات'!$D$2:$D$1001,SUMPRODUCT(('تشخيص الحالات'!$B$2:$B$1001=B853)*('تشخيص الحالات'!$G$2:$G$1001=6)*ROW('تشخيص الحالات'!$B$2:$B$1001))-1),""),"")&amp;IF(SUMPRODUCT(('تشخيص الحالات'!$B$2:$B$1001=B853)*('تشخيص الحالات'!$G$2:$G$1001=7))&gt;0,"، "&amp;IFERROR(INDEX('تشخيص الحالات'!$D$2:$D$1001,SUMPRODUCT(('تشخيص الحالات'!$B$2:$B$1001=B853)*('تشخيص الحالات'!$G$2:$G$1001=7)*ROW('تشخيص الحالات'!$B$2:$B$1001))-1),""),"")&amp;IF(SUMPRODUCT(('تشخيص الحالات'!$B$2:$B$1001=B853)*('تشخيص الحالات'!$G$2:$G$1001=8))&gt;0,"، "&amp;IFERROR(INDEX('تشخيص الحالات'!$D$2:$D$1001,SUMPRODUCT(('تشخيص الحالات'!$B$2:$B$1001=B853)*('تشخيص الحالات'!$G$2:$G$1001=8)*ROW('تشخيص الحالات'!$B$2:$B$1001))-1),""),"")</f>
        <v/>
      </c>
      <c r="J853" s="1"/>
      <c r="K853" s="1"/>
      <c r="L853" s="1"/>
      <c r="M853" s="1"/>
    </row>
    <row r="854" spans="1:13" x14ac:dyDescent="0.2">
      <c r="A854" s="1"/>
      <c r="B854" s="1"/>
      <c r="C854" s="1"/>
      <c r="D854" s="1"/>
      <c r="E854" s="1"/>
      <c r="F854" s="1"/>
      <c r="G854" s="1"/>
      <c r="H854" s="1"/>
      <c r="I854" t="str">
        <f>IFERROR(INDEX('تشخيص الحالات'!$D$2:$D$1001,SUMPRODUCT(('تشخيص الحالات'!$B$2:$B$1001=B854)*('تشخيص الحالات'!$G$2:$G$1001=1)*ROW('تشخيص الحالات'!$B$2:$B$1001))-1),"")&amp;IF(SUMPRODUCT(('تشخيص الحالات'!$B$2:$B$1001=B854)*('تشخيص الحالات'!$G$2:$G$1001=2))&gt;0,"، "&amp;IFERROR(INDEX('تشخيص الحالات'!$D$2:$D$1001,SUMPRODUCT(('تشخيص الحالات'!$B$2:$B$1001=B854)*('تشخيص الحالات'!$G$2:$G$1001=2)*ROW('تشخيص الحالات'!$B$2:$B$1001))-1),""),"")&amp;IF(SUMPRODUCT(('تشخيص الحالات'!$B$2:$B$1001=B854)*('تشخيص الحالات'!$G$2:$G$1001=3))&gt;0,"، "&amp;IFERROR(INDEX('تشخيص الحالات'!$D$2:$D$1001,SUMPRODUCT(('تشخيص الحالات'!$B$2:$B$1001=B854)*('تشخيص الحالات'!$G$2:$G$1001=3)*ROW('تشخيص الحالات'!$B$2:$B$1001))-1),""),"")&amp;IF(SUMPRODUCT(('تشخيص الحالات'!$B$2:$B$1001=B854)*('تشخيص الحالات'!$G$2:$G$1001=4))&gt;0,"، "&amp;IFERROR(INDEX('تشخيص الحالات'!$D$2:$D$1001,SUMPRODUCT(('تشخيص الحالات'!$B$2:$B$1001=B854)*('تشخيص الحالات'!$G$2:$G$1001=4)*ROW('تشخيص الحالات'!$B$2:$B$1001))-1),""),"")&amp;IF(SUMPRODUCT(('تشخيص الحالات'!$B$2:$B$1001=B854)*('تشخيص الحالات'!$G$2:$G$1001=5))&gt;0,"، "&amp;IFERROR(INDEX('تشخيص الحالات'!$D$2:$D$1001,SUMPRODUCT(('تشخيص الحالات'!$B$2:$B$1001=B854)*('تشخيص الحالات'!$G$2:$G$1001=5)*ROW('تشخيص الحالات'!$B$2:$B$1001))-1),""),"")&amp;IF(SUMPRODUCT(('تشخيص الحالات'!$B$2:$B$1001=B854)*('تشخيص الحالات'!$G$2:$G$1001=6))&gt;0,"، "&amp;IFERROR(INDEX('تشخيص الحالات'!$D$2:$D$1001,SUMPRODUCT(('تشخيص الحالات'!$B$2:$B$1001=B854)*('تشخيص الحالات'!$G$2:$G$1001=6)*ROW('تشخيص الحالات'!$B$2:$B$1001))-1),""),"")&amp;IF(SUMPRODUCT(('تشخيص الحالات'!$B$2:$B$1001=B854)*('تشخيص الحالات'!$G$2:$G$1001=7))&gt;0,"، "&amp;IFERROR(INDEX('تشخيص الحالات'!$D$2:$D$1001,SUMPRODUCT(('تشخيص الحالات'!$B$2:$B$1001=B854)*('تشخيص الحالات'!$G$2:$G$1001=7)*ROW('تشخيص الحالات'!$B$2:$B$1001))-1),""),"")&amp;IF(SUMPRODUCT(('تشخيص الحالات'!$B$2:$B$1001=B854)*('تشخيص الحالات'!$G$2:$G$1001=8))&gt;0,"، "&amp;IFERROR(INDEX('تشخيص الحالات'!$D$2:$D$1001,SUMPRODUCT(('تشخيص الحالات'!$B$2:$B$1001=B854)*('تشخيص الحالات'!$G$2:$G$1001=8)*ROW('تشخيص الحالات'!$B$2:$B$1001))-1),""),"")</f>
        <v/>
      </c>
      <c r="J854" s="1"/>
      <c r="K854" s="1"/>
      <c r="L854" s="1"/>
      <c r="M854" s="1"/>
    </row>
    <row r="855" spans="1:13" x14ac:dyDescent="0.2">
      <c r="A855" s="1"/>
      <c r="B855" s="1"/>
      <c r="C855" s="1"/>
      <c r="D855" s="1"/>
      <c r="E855" s="1"/>
      <c r="F855" s="1"/>
      <c r="G855" s="1"/>
      <c r="H855" s="1"/>
      <c r="I855" t="str">
        <f>IFERROR(INDEX('تشخيص الحالات'!$D$2:$D$1001,SUMPRODUCT(('تشخيص الحالات'!$B$2:$B$1001=B855)*('تشخيص الحالات'!$G$2:$G$1001=1)*ROW('تشخيص الحالات'!$B$2:$B$1001))-1),"")&amp;IF(SUMPRODUCT(('تشخيص الحالات'!$B$2:$B$1001=B855)*('تشخيص الحالات'!$G$2:$G$1001=2))&gt;0,"، "&amp;IFERROR(INDEX('تشخيص الحالات'!$D$2:$D$1001,SUMPRODUCT(('تشخيص الحالات'!$B$2:$B$1001=B855)*('تشخيص الحالات'!$G$2:$G$1001=2)*ROW('تشخيص الحالات'!$B$2:$B$1001))-1),""),"")&amp;IF(SUMPRODUCT(('تشخيص الحالات'!$B$2:$B$1001=B855)*('تشخيص الحالات'!$G$2:$G$1001=3))&gt;0,"، "&amp;IFERROR(INDEX('تشخيص الحالات'!$D$2:$D$1001,SUMPRODUCT(('تشخيص الحالات'!$B$2:$B$1001=B855)*('تشخيص الحالات'!$G$2:$G$1001=3)*ROW('تشخيص الحالات'!$B$2:$B$1001))-1),""),"")&amp;IF(SUMPRODUCT(('تشخيص الحالات'!$B$2:$B$1001=B855)*('تشخيص الحالات'!$G$2:$G$1001=4))&gt;0,"، "&amp;IFERROR(INDEX('تشخيص الحالات'!$D$2:$D$1001,SUMPRODUCT(('تشخيص الحالات'!$B$2:$B$1001=B855)*('تشخيص الحالات'!$G$2:$G$1001=4)*ROW('تشخيص الحالات'!$B$2:$B$1001))-1),""),"")&amp;IF(SUMPRODUCT(('تشخيص الحالات'!$B$2:$B$1001=B855)*('تشخيص الحالات'!$G$2:$G$1001=5))&gt;0,"، "&amp;IFERROR(INDEX('تشخيص الحالات'!$D$2:$D$1001,SUMPRODUCT(('تشخيص الحالات'!$B$2:$B$1001=B855)*('تشخيص الحالات'!$G$2:$G$1001=5)*ROW('تشخيص الحالات'!$B$2:$B$1001))-1),""),"")&amp;IF(SUMPRODUCT(('تشخيص الحالات'!$B$2:$B$1001=B855)*('تشخيص الحالات'!$G$2:$G$1001=6))&gt;0,"، "&amp;IFERROR(INDEX('تشخيص الحالات'!$D$2:$D$1001,SUMPRODUCT(('تشخيص الحالات'!$B$2:$B$1001=B855)*('تشخيص الحالات'!$G$2:$G$1001=6)*ROW('تشخيص الحالات'!$B$2:$B$1001))-1),""),"")&amp;IF(SUMPRODUCT(('تشخيص الحالات'!$B$2:$B$1001=B855)*('تشخيص الحالات'!$G$2:$G$1001=7))&gt;0,"، "&amp;IFERROR(INDEX('تشخيص الحالات'!$D$2:$D$1001,SUMPRODUCT(('تشخيص الحالات'!$B$2:$B$1001=B855)*('تشخيص الحالات'!$G$2:$G$1001=7)*ROW('تشخيص الحالات'!$B$2:$B$1001))-1),""),"")&amp;IF(SUMPRODUCT(('تشخيص الحالات'!$B$2:$B$1001=B855)*('تشخيص الحالات'!$G$2:$G$1001=8))&gt;0,"، "&amp;IFERROR(INDEX('تشخيص الحالات'!$D$2:$D$1001,SUMPRODUCT(('تشخيص الحالات'!$B$2:$B$1001=B855)*('تشخيص الحالات'!$G$2:$G$1001=8)*ROW('تشخيص الحالات'!$B$2:$B$1001))-1),""),"")</f>
        <v/>
      </c>
      <c r="J855" s="1"/>
      <c r="K855" s="1"/>
      <c r="L855" s="1"/>
      <c r="M855" s="1"/>
    </row>
    <row r="856" spans="1:13" x14ac:dyDescent="0.2">
      <c r="A856" s="1"/>
      <c r="B856" s="1"/>
      <c r="C856" s="1"/>
      <c r="D856" s="1"/>
      <c r="E856" s="1"/>
      <c r="F856" s="1"/>
      <c r="G856" s="1"/>
      <c r="H856" s="1"/>
      <c r="I856" t="str">
        <f>IFERROR(INDEX('تشخيص الحالات'!$D$2:$D$1001,SUMPRODUCT(('تشخيص الحالات'!$B$2:$B$1001=B856)*('تشخيص الحالات'!$G$2:$G$1001=1)*ROW('تشخيص الحالات'!$B$2:$B$1001))-1),"")&amp;IF(SUMPRODUCT(('تشخيص الحالات'!$B$2:$B$1001=B856)*('تشخيص الحالات'!$G$2:$G$1001=2))&gt;0,"، "&amp;IFERROR(INDEX('تشخيص الحالات'!$D$2:$D$1001,SUMPRODUCT(('تشخيص الحالات'!$B$2:$B$1001=B856)*('تشخيص الحالات'!$G$2:$G$1001=2)*ROW('تشخيص الحالات'!$B$2:$B$1001))-1),""),"")&amp;IF(SUMPRODUCT(('تشخيص الحالات'!$B$2:$B$1001=B856)*('تشخيص الحالات'!$G$2:$G$1001=3))&gt;0,"، "&amp;IFERROR(INDEX('تشخيص الحالات'!$D$2:$D$1001,SUMPRODUCT(('تشخيص الحالات'!$B$2:$B$1001=B856)*('تشخيص الحالات'!$G$2:$G$1001=3)*ROW('تشخيص الحالات'!$B$2:$B$1001))-1),""),"")&amp;IF(SUMPRODUCT(('تشخيص الحالات'!$B$2:$B$1001=B856)*('تشخيص الحالات'!$G$2:$G$1001=4))&gt;0,"، "&amp;IFERROR(INDEX('تشخيص الحالات'!$D$2:$D$1001,SUMPRODUCT(('تشخيص الحالات'!$B$2:$B$1001=B856)*('تشخيص الحالات'!$G$2:$G$1001=4)*ROW('تشخيص الحالات'!$B$2:$B$1001))-1),""),"")&amp;IF(SUMPRODUCT(('تشخيص الحالات'!$B$2:$B$1001=B856)*('تشخيص الحالات'!$G$2:$G$1001=5))&gt;0,"، "&amp;IFERROR(INDEX('تشخيص الحالات'!$D$2:$D$1001,SUMPRODUCT(('تشخيص الحالات'!$B$2:$B$1001=B856)*('تشخيص الحالات'!$G$2:$G$1001=5)*ROW('تشخيص الحالات'!$B$2:$B$1001))-1),""),"")&amp;IF(SUMPRODUCT(('تشخيص الحالات'!$B$2:$B$1001=B856)*('تشخيص الحالات'!$G$2:$G$1001=6))&gt;0,"، "&amp;IFERROR(INDEX('تشخيص الحالات'!$D$2:$D$1001,SUMPRODUCT(('تشخيص الحالات'!$B$2:$B$1001=B856)*('تشخيص الحالات'!$G$2:$G$1001=6)*ROW('تشخيص الحالات'!$B$2:$B$1001))-1),""),"")&amp;IF(SUMPRODUCT(('تشخيص الحالات'!$B$2:$B$1001=B856)*('تشخيص الحالات'!$G$2:$G$1001=7))&gt;0,"، "&amp;IFERROR(INDEX('تشخيص الحالات'!$D$2:$D$1001,SUMPRODUCT(('تشخيص الحالات'!$B$2:$B$1001=B856)*('تشخيص الحالات'!$G$2:$G$1001=7)*ROW('تشخيص الحالات'!$B$2:$B$1001))-1),""),"")&amp;IF(SUMPRODUCT(('تشخيص الحالات'!$B$2:$B$1001=B856)*('تشخيص الحالات'!$G$2:$G$1001=8))&gt;0,"، "&amp;IFERROR(INDEX('تشخيص الحالات'!$D$2:$D$1001,SUMPRODUCT(('تشخيص الحالات'!$B$2:$B$1001=B856)*('تشخيص الحالات'!$G$2:$G$1001=8)*ROW('تشخيص الحالات'!$B$2:$B$1001))-1),""),"")</f>
        <v/>
      </c>
      <c r="J856" s="1"/>
      <c r="K856" s="1"/>
      <c r="L856" s="1"/>
      <c r="M856" s="1"/>
    </row>
    <row r="857" spans="1:13" x14ac:dyDescent="0.2">
      <c r="A857" s="1"/>
      <c r="B857" s="1"/>
      <c r="C857" s="1"/>
      <c r="D857" s="1"/>
      <c r="E857" s="1"/>
      <c r="F857" s="1"/>
      <c r="G857" s="1"/>
      <c r="H857" s="1"/>
      <c r="I857" t="str">
        <f>IFERROR(INDEX('تشخيص الحالات'!$D$2:$D$1001,SUMPRODUCT(('تشخيص الحالات'!$B$2:$B$1001=B857)*('تشخيص الحالات'!$G$2:$G$1001=1)*ROW('تشخيص الحالات'!$B$2:$B$1001))-1),"")&amp;IF(SUMPRODUCT(('تشخيص الحالات'!$B$2:$B$1001=B857)*('تشخيص الحالات'!$G$2:$G$1001=2))&gt;0,"، "&amp;IFERROR(INDEX('تشخيص الحالات'!$D$2:$D$1001,SUMPRODUCT(('تشخيص الحالات'!$B$2:$B$1001=B857)*('تشخيص الحالات'!$G$2:$G$1001=2)*ROW('تشخيص الحالات'!$B$2:$B$1001))-1),""),"")&amp;IF(SUMPRODUCT(('تشخيص الحالات'!$B$2:$B$1001=B857)*('تشخيص الحالات'!$G$2:$G$1001=3))&gt;0,"، "&amp;IFERROR(INDEX('تشخيص الحالات'!$D$2:$D$1001,SUMPRODUCT(('تشخيص الحالات'!$B$2:$B$1001=B857)*('تشخيص الحالات'!$G$2:$G$1001=3)*ROW('تشخيص الحالات'!$B$2:$B$1001))-1),""),"")&amp;IF(SUMPRODUCT(('تشخيص الحالات'!$B$2:$B$1001=B857)*('تشخيص الحالات'!$G$2:$G$1001=4))&gt;0,"، "&amp;IFERROR(INDEX('تشخيص الحالات'!$D$2:$D$1001,SUMPRODUCT(('تشخيص الحالات'!$B$2:$B$1001=B857)*('تشخيص الحالات'!$G$2:$G$1001=4)*ROW('تشخيص الحالات'!$B$2:$B$1001))-1),""),"")&amp;IF(SUMPRODUCT(('تشخيص الحالات'!$B$2:$B$1001=B857)*('تشخيص الحالات'!$G$2:$G$1001=5))&gt;0,"، "&amp;IFERROR(INDEX('تشخيص الحالات'!$D$2:$D$1001,SUMPRODUCT(('تشخيص الحالات'!$B$2:$B$1001=B857)*('تشخيص الحالات'!$G$2:$G$1001=5)*ROW('تشخيص الحالات'!$B$2:$B$1001))-1),""),"")&amp;IF(SUMPRODUCT(('تشخيص الحالات'!$B$2:$B$1001=B857)*('تشخيص الحالات'!$G$2:$G$1001=6))&gt;0,"، "&amp;IFERROR(INDEX('تشخيص الحالات'!$D$2:$D$1001,SUMPRODUCT(('تشخيص الحالات'!$B$2:$B$1001=B857)*('تشخيص الحالات'!$G$2:$G$1001=6)*ROW('تشخيص الحالات'!$B$2:$B$1001))-1),""),"")&amp;IF(SUMPRODUCT(('تشخيص الحالات'!$B$2:$B$1001=B857)*('تشخيص الحالات'!$G$2:$G$1001=7))&gt;0,"، "&amp;IFERROR(INDEX('تشخيص الحالات'!$D$2:$D$1001,SUMPRODUCT(('تشخيص الحالات'!$B$2:$B$1001=B857)*('تشخيص الحالات'!$G$2:$G$1001=7)*ROW('تشخيص الحالات'!$B$2:$B$1001))-1),""),"")&amp;IF(SUMPRODUCT(('تشخيص الحالات'!$B$2:$B$1001=B857)*('تشخيص الحالات'!$G$2:$G$1001=8))&gt;0,"، "&amp;IFERROR(INDEX('تشخيص الحالات'!$D$2:$D$1001,SUMPRODUCT(('تشخيص الحالات'!$B$2:$B$1001=B857)*('تشخيص الحالات'!$G$2:$G$1001=8)*ROW('تشخيص الحالات'!$B$2:$B$1001))-1),""),"")</f>
        <v/>
      </c>
      <c r="J857" s="1"/>
      <c r="K857" s="1"/>
      <c r="L857" s="1"/>
      <c r="M857" s="1"/>
    </row>
    <row r="858" spans="1:13" x14ac:dyDescent="0.2">
      <c r="A858" s="1"/>
      <c r="B858" s="1"/>
      <c r="C858" s="1"/>
      <c r="D858" s="1"/>
      <c r="E858" s="1"/>
      <c r="F858" s="1"/>
      <c r="G858" s="1"/>
      <c r="H858" s="1"/>
      <c r="I858" t="str">
        <f>IFERROR(INDEX('تشخيص الحالات'!$D$2:$D$1001,SUMPRODUCT(('تشخيص الحالات'!$B$2:$B$1001=B858)*('تشخيص الحالات'!$G$2:$G$1001=1)*ROW('تشخيص الحالات'!$B$2:$B$1001))-1),"")&amp;IF(SUMPRODUCT(('تشخيص الحالات'!$B$2:$B$1001=B858)*('تشخيص الحالات'!$G$2:$G$1001=2))&gt;0,"، "&amp;IFERROR(INDEX('تشخيص الحالات'!$D$2:$D$1001,SUMPRODUCT(('تشخيص الحالات'!$B$2:$B$1001=B858)*('تشخيص الحالات'!$G$2:$G$1001=2)*ROW('تشخيص الحالات'!$B$2:$B$1001))-1),""),"")&amp;IF(SUMPRODUCT(('تشخيص الحالات'!$B$2:$B$1001=B858)*('تشخيص الحالات'!$G$2:$G$1001=3))&gt;0,"، "&amp;IFERROR(INDEX('تشخيص الحالات'!$D$2:$D$1001,SUMPRODUCT(('تشخيص الحالات'!$B$2:$B$1001=B858)*('تشخيص الحالات'!$G$2:$G$1001=3)*ROW('تشخيص الحالات'!$B$2:$B$1001))-1),""),"")&amp;IF(SUMPRODUCT(('تشخيص الحالات'!$B$2:$B$1001=B858)*('تشخيص الحالات'!$G$2:$G$1001=4))&gt;0,"، "&amp;IFERROR(INDEX('تشخيص الحالات'!$D$2:$D$1001,SUMPRODUCT(('تشخيص الحالات'!$B$2:$B$1001=B858)*('تشخيص الحالات'!$G$2:$G$1001=4)*ROW('تشخيص الحالات'!$B$2:$B$1001))-1),""),"")&amp;IF(SUMPRODUCT(('تشخيص الحالات'!$B$2:$B$1001=B858)*('تشخيص الحالات'!$G$2:$G$1001=5))&gt;0,"، "&amp;IFERROR(INDEX('تشخيص الحالات'!$D$2:$D$1001,SUMPRODUCT(('تشخيص الحالات'!$B$2:$B$1001=B858)*('تشخيص الحالات'!$G$2:$G$1001=5)*ROW('تشخيص الحالات'!$B$2:$B$1001))-1),""),"")&amp;IF(SUMPRODUCT(('تشخيص الحالات'!$B$2:$B$1001=B858)*('تشخيص الحالات'!$G$2:$G$1001=6))&gt;0,"، "&amp;IFERROR(INDEX('تشخيص الحالات'!$D$2:$D$1001,SUMPRODUCT(('تشخيص الحالات'!$B$2:$B$1001=B858)*('تشخيص الحالات'!$G$2:$G$1001=6)*ROW('تشخيص الحالات'!$B$2:$B$1001))-1),""),"")&amp;IF(SUMPRODUCT(('تشخيص الحالات'!$B$2:$B$1001=B858)*('تشخيص الحالات'!$G$2:$G$1001=7))&gt;0,"، "&amp;IFERROR(INDEX('تشخيص الحالات'!$D$2:$D$1001,SUMPRODUCT(('تشخيص الحالات'!$B$2:$B$1001=B858)*('تشخيص الحالات'!$G$2:$G$1001=7)*ROW('تشخيص الحالات'!$B$2:$B$1001))-1),""),"")&amp;IF(SUMPRODUCT(('تشخيص الحالات'!$B$2:$B$1001=B858)*('تشخيص الحالات'!$G$2:$G$1001=8))&gt;0,"، "&amp;IFERROR(INDEX('تشخيص الحالات'!$D$2:$D$1001,SUMPRODUCT(('تشخيص الحالات'!$B$2:$B$1001=B858)*('تشخيص الحالات'!$G$2:$G$1001=8)*ROW('تشخيص الحالات'!$B$2:$B$1001))-1),""),"")</f>
        <v/>
      </c>
      <c r="J858" s="1"/>
      <c r="K858" s="1"/>
      <c r="L858" s="1"/>
      <c r="M858" s="1"/>
    </row>
    <row r="859" spans="1:13" x14ac:dyDescent="0.2">
      <c r="A859" s="1"/>
      <c r="B859" s="1"/>
      <c r="C859" s="1"/>
      <c r="D859" s="1"/>
      <c r="E859" s="1"/>
      <c r="F859" s="1"/>
      <c r="G859" s="1"/>
      <c r="H859" s="1"/>
      <c r="I859" t="str">
        <f>IFERROR(INDEX('تشخيص الحالات'!$D$2:$D$1001,SUMPRODUCT(('تشخيص الحالات'!$B$2:$B$1001=B859)*('تشخيص الحالات'!$G$2:$G$1001=1)*ROW('تشخيص الحالات'!$B$2:$B$1001))-1),"")&amp;IF(SUMPRODUCT(('تشخيص الحالات'!$B$2:$B$1001=B859)*('تشخيص الحالات'!$G$2:$G$1001=2))&gt;0,"، "&amp;IFERROR(INDEX('تشخيص الحالات'!$D$2:$D$1001,SUMPRODUCT(('تشخيص الحالات'!$B$2:$B$1001=B859)*('تشخيص الحالات'!$G$2:$G$1001=2)*ROW('تشخيص الحالات'!$B$2:$B$1001))-1),""),"")&amp;IF(SUMPRODUCT(('تشخيص الحالات'!$B$2:$B$1001=B859)*('تشخيص الحالات'!$G$2:$G$1001=3))&gt;0,"، "&amp;IFERROR(INDEX('تشخيص الحالات'!$D$2:$D$1001,SUMPRODUCT(('تشخيص الحالات'!$B$2:$B$1001=B859)*('تشخيص الحالات'!$G$2:$G$1001=3)*ROW('تشخيص الحالات'!$B$2:$B$1001))-1),""),"")&amp;IF(SUMPRODUCT(('تشخيص الحالات'!$B$2:$B$1001=B859)*('تشخيص الحالات'!$G$2:$G$1001=4))&gt;0,"، "&amp;IFERROR(INDEX('تشخيص الحالات'!$D$2:$D$1001,SUMPRODUCT(('تشخيص الحالات'!$B$2:$B$1001=B859)*('تشخيص الحالات'!$G$2:$G$1001=4)*ROW('تشخيص الحالات'!$B$2:$B$1001))-1),""),"")&amp;IF(SUMPRODUCT(('تشخيص الحالات'!$B$2:$B$1001=B859)*('تشخيص الحالات'!$G$2:$G$1001=5))&gt;0,"، "&amp;IFERROR(INDEX('تشخيص الحالات'!$D$2:$D$1001,SUMPRODUCT(('تشخيص الحالات'!$B$2:$B$1001=B859)*('تشخيص الحالات'!$G$2:$G$1001=5)*ROW('تشخيص الحالات'!$B$2:$B$1001))-1),""),"")&amp;IF(SUMPRODUCT(('تشخيص الحالات'!$B$2:$B$1001=B859)*('تشخيص الحالات'!$G$2:$G$1001=6))&gt;0,"، "&amp;IFERROR(INDEX('تشخيص الحالات'!$D$2:$D$1001,SUMPRODUCT(('تشخيص الحالات'!$B$2:$B$1001=B859)*('تشخيص الحالات'!$G$2:$G$1001=6)*ROW('تشخيص الحالات'!$B$2:$B$1001))-1),""),"")&amp;IF(SUMPRODUCT(('تشخيص الحالات'!$B$2:$B$1001=B859)*('تشخيص الحالات'!$G$2:$G$1001=7))&gt;0,"، "&amp;IFERROR(INDEX('تشخيص الحالات'!$D$2:$D$1001,SUMPRODUCT(('تشخيص الحالات'!$B$2:$B$1001=B859)*('تشخيص الحالات'!$G$2:$G$1001=7)*ROW('تشخيص الحالات'!$B$2:$B$1001))-1),""),"")&amp;IF(SUMPRODUCT(('تشخيص الحالات'!$B$2:$B$1001=B859)*('تشخيص الحالات'!$G$2:$G$1001=8))&gt;0,"، "&amp;IFERROR(INDEX('تشخيص الحالات'!$D$2:$D$1001,SUMPRODUCT(('تشخيص الحالات'!$B$2:$B$1001=B859)*('تشخيص الحالات'!$G$2:$G$1001=8)*ROW('تشخيص الحالات'!$B$2:$B$1001))-1),""),"")</f>
        <v/>
      </c>
      <c r="J859" s="1"/>
      <c r="K859" s="1"/>
      <c r="L859" s="1"/>
      <c r="M859" s="1"/>
    </row>
    <row r="860" spans="1:13" x14ac:dyDescent="0.2">
      <c r="A860" s="1"/>
      <c r="B860" s="1"/>
      <c r="C860" s="1"/>
      <c r="D860" s="1"/>
      <c r="E860" s="1"/>
      <c r="F860" s="1"/>
      <c r="G860" s="1"/>
      <c r="H860" s="1"/>
      <c r="I860" t="str">
        <f>IFERROR(INDEX('تشخيص الحالات'!$D$2:$D$1001,SUMPRODUCT(('تشخيص الحالات'!$B$2:$B$1001=B860)*('تشخيص الحالات'!$G$2:$G$1001=1)*ROW('تشخيص الحالات'!$B$2:$B$1001))-1),"")&amp;IF(SUMPRODUCT(('تشخيص الحالات'!$B$2:$B$1001=B860)*('تشخيص الحالات'!$G$2:$G$1001=2))&gt;0,"، "&amp;IFERROR(INDEX('تشخيص الحالات'!$D$2:$D$1001,SUMPRODUCT(('تشخيص الحالات'!$B$2:$B$1001=B860)*('تشخيص الحالات'!$G$2:$G$1001=2)*ROW('تشخيص الحالات'!$B$2:$B$1001))-1),""),"")&amp;IF(SUMPRODUCT(('تشخيص الحالات'!$B$2:$B$1001=B860)*('تشخيص الحالات'!$G$2:$G$1001=3))&gt;0,"، "&amp;IFERROR(INDEX('تشخيص الحالات'!$D$2:$D$1001,SUMPRODUCT(('تشخيص الحالات'!$B$2:$B$1001=B860)*('تشخيص الحالات'!$G$2:$G$1001=3)*ROW('تشخيص الحالات'!$B$2:$B$1001))-1),""),"")&amp;IF(SUMPRODUCT(('تشخيص الحالات'!$B$2:$B$1001=B860)*('تشخيص الحالات'!$G$2:$G$1001=4))&gt;0,"، "&amp;IFERROR(INDEX('تشخيص الحالات'!$D$2:$D$1001,SUMPRODUCT(('تشخيص الحالات'!$B$2:$B$1001=B860)*('تشخيص الحالات'!$G$2:$G$1001=4)*ROW('تشخيص الحالات'!$B$2:$B$1001))-1),""),"")&amp;IF(SUMPRODUCT(('تشخيص الحالات'!$B$2:$B$1001=B860)*('تشخيص الحالات'!$G$2:$G$1001=5))&gt;0,"، "&amp;IFERROR(INDEX('تشخيص الحالات'!$D$2:$D$1001,SUMPRODUCT(('تشخيص الحالات'!$B$2:$B$1001=B860)*('تشخيص الحالات'!$G$2:$G$1001=5)*ROW('تشخيص الحالات'!$B$2:$B$1001))-1),""),"")&amp;IF(SUMPRODUCT(('تشخيص الحالات'!$B$2:$B$1001=B860)*('تشخيص الحالات'!$G$2:$G$1001=6))&gt;0,"، "&amp;IFERROR(INDEX('تشخيص الحالات'!$D$2:$D$1001,SUMPRODUCT(('تشخيص الحالات'!$B$2:$B$1001=B860)*('تشخيص الحالات'!$G$2:$G$1001=6)*ROW('تشخيص الحالات'!$B$2:$B$1001))-1),""),"")&amp;IF(SUMPRODUCT(('تشخيص الحالات'!$B$2:$B$1001=B860)*('تشخيص الحالات'!$G$2:$G$1001=7))&gt;0,"، "&amp;IFERROR(INDEX('تشخيص الحالات'!$D$2:$D$1001,SUMPRODUCT(('تشخيص الحالات'!$B$2:$B$1001=B860)*('تشخيص الحالات'!$G$2:$G$1001=7)*ROW('تشخيص الحالات'!$B$2:$B$1001))-1),""),"")&amp;IF(SUMPRODUCT(('تشخيص الحالات'!$B$2:$B$1001=B860)*('تشخيص الحالات'!$G$2:$G$1001=8))&gt;0,"، "&amp;IFERROR(INDEX('تشخيص الحالات'!$D$2:$D$1001,SUMPRODUCT(('تشخيص الحالات'!$B$2:$B$1001=B860)*('تشخيص الحالات'!$G$2:$G$1001=8)*ROW('تشخيص الحالات'!$B$2:$B$1001))-1),""),"")</f>
        <v/>
      </c>
      <c r="J860" s="1"/>
      <c r="K860" s="1"/>
      <c r="L860" s="1"/>
      <c r="M860" s="1"/>
    </row>
    <row r="861" spans="1:13" x14ac:dyDescent="0.2">
      <c r="A861" s="1"/>
      <c r="B861" s="1"/>
      <c r="C861" s="1"/>
      <c r="D861" s="1"/>
      <c r="E861" s="1"/>
      <c r="F861" s="1"/>
      <c r="G861" s="1"/>
      <c r="H861" s="1"/>
      <c r="I861" t="str">
        <f>IFERROR(INDEX('تشخيص الحالات'!$D$2:$D$1001,SUMPRODUCT(('تشخيص الحالات'!$B$2:$B$1001=B861)*('تشخيص الحالات'!$G$2:$G$1001=1)*ROW('تشخيص الحالات'!$B$2:$B$1001))-1),"")&amp;IF(SUMPRODUCT(('تشخيص الحالات'!$B$2:$B$1001=B861)*('تشخيص الحالات'!$G$2:$G$1001=2))&gt;0,"، "&amp;IFERROR(INDEX('تشخيص الحالات'!$D$2:$D$1001,SUMPRODUCT(('تشخيص الحالات'!$B$2:$B$1001=B861)*('تشخيص الحالات'!$G$2:$G$1001=2)*ROW('تشخيص الحالات'!$B$2:$B$1001))-1),""),"")&amp;IF(SUMPRODUCT(('تشخيص الحالات'!$B$2:$B$1001=B861)*('تشخيص الحالات'!$G$2:$G$1001=3))&gt;0,"، "&amp;IFERROR(INDEX('تشخيص الحالات'!$D$2:$D$1001,SUMPRODUCT(('تشخيص الحالات'!$B$2:$B$1001=B861)*('تشخيص الحالات'!$G$2:$G$1001=3)*ROW('تشخيص الحالات'!$B$2:$B$1001))-1),""),"")&amp;IF(SUMPRODUCT(('تشخيص الحالات'!$B$2:$B$1001=B861)*('تشخيص الحالات'!$G$2:$G$1001=4))&gt;0,"، "&amp;IFERROR(INDEX('تشخيص الحالات'!$D$2:$D$1001,SUMPRODUCT(('تشخيص الحالات'!$B$2:$B$1001=B861)*('تشخيص الحالات'!$G$2:$G$1001=4)*ROW('تشخيص الحالات'!$B$2:$B$1001))-1),""),"")&amp;IF(SUMPRODUCT(('تشخيص الحالات'!$B$2:$B$1001=B861)*('تشخيص الحالات'!$G$2:$G$1001=5))&gt;0,"، "&amp;IFERROR(INDEX('تشخيص الحالات'!$D$2:$D$1001,SUMPRODUCT(('تشخيص الحالات'!$B$2:$B$1001=B861)*('تشخيص الحالات'!$G$2:$G$1001=5)*ROW('تشخيص الحالات'!$B$2:$B$1001))-1),""),"")&amp;IF(SUMPRODUCT(('تشخيص الحالات'!$B$2:$B$1001=B861)*('تشخيص الحالات'!$G$2:$G$1001=6))&gt;0,"، "&amp;IFERROR(INDEX('تشخيص الحالات'!$D$2:$D$1001,SUMPRODUCT(('تشخيص الحالات'!$B$2:$B$1001=B861)*('تشخيص الحالات'!$G$2:$G$1001=6)*ROW('تشخيص الحالات'!$B$2:$B$1001))-1),""),"")&amp;IF(SUMPRODUCT(('تشخيص الحالات'!$B$2:$B$1001=B861)*('تشخيص الحالات'!$G$2:$G$1001=7))&gt;0,"، "&amp;IFERROR(INDEX('تشخيص الحالات'!$D$2:$D$1001,SUMPRODUCT(('تشخيص الحالات'!$B$2:$B$1001=B861)*('تشخيص الحالات'!$G$2:$G$1001=7)*ROW('تشخيص الحالات'!$B$2:$B$1001))-1),""),"")&amp;IF(SUMPRODUCT(('تشخيص الحالات'!$B$2:$B$1001=B861)*('تشخيص الحالات'!$G$2:$G$1001=8))&gt;0,"، "&amp;IFERROR(INDEX('تشخيص الحالات'!$D$2:$D$1001,SUMPRODUCT(('تشخيص الحالات'!$B$2:$B$1001=B861)*('تشخيص الحالات'!$G$2:$G$1001=8)*ROW('تشخيص الحالات'!$B$2:$B$1001))-1),""),"")</f>
        <v/>
      </c>
      <c r="J861" s="1"/>
      <c r="K861" s="1"/>
      <c r="L861" s="1"/>
      <c r="M861" s="1"/>
    </row>
    <row r="862" spans="1:13" x14ac:dyDescent="0.2">
      <c r="A862" s="1"/>
      <c r="B862" s="1"/>
      <c r="C862" s="1"/>
      <c r="D862" s="1"/>
      <c r="E862" s="1"/>
      <c r="F862" s="1"/>
      <c r="G862" s="1"/>
      <c r="H862" s="1"/>
      <c r="I862" t="str">
        <f>IFERROR(INDEX('تشخيص الحالات'!$D$2:$D$1001,SUMPRODUCT(('تشخيص الحالات'!$B$2:$B$1001=B862)*('تشخيص الحالات'!$G$2:$G$1001=1)*ROW('تشخيص الحالات'!$B$2:$B$1001))-1),"")&amp;IF(SUMPRODUCT(('تشخيص الحالات'!$B$2:$B$1001=B862)*('تشخيص الحالات'!$G$2:$G$1001=2))&gt;0,"، "&amp;IFERROR(INDEX('تشخيص الحالات'!$D$2:$D$1001,SUMPRODUCT(('تشخيص الحالات'!$B$2:$B$1001=B862)*('تشخيص الحالات'!$G$2:$G$1001=2)*ROW('تشخيص الحالات'!$B$2:$B$1001))-1),""),"")&amp;IF(SUMPRODUCT(('تشخيص الحالات'!$B$2:$B$1001=B862)*('تشخيص الحالات'!$G$2:$G$1001=3))&gt;0,"، "&amp;IFERROR(INDEX('تشخيص الحالات'!$D$2:$D$1001,SUMPRODUCT(('تشخيص الحالات'!$B$2:$B$1001=B862)*('تشخيص الحالات'!$G$2:$G$1001=3)*ROW('تشخيص الحالات'!$B$2:$B$1001))-1),""),"")&amp;IF(SUMPRODUCT(('تشخيص الحالات'!$B$2:$B$1001=B862)*('تشخيص الحالات'!$G$2:$G$1001=4))&gt;0,"، "&amp;IFERROR(INDEX('تشخيص الحالات'!$D$2:$D$1001,SUMPRODUCT(('تشخيص الحالات'!$B$2:$B$1001=B862)*('تشخيص الحالات'!$G$2:$G$1001=4)*ROW('تشخيص الحالات'!$B$2:$B$1001))-1),""),"")&amp;IF(SUMPRODUCT(('تشخيص الحالات'!$B$2:$B$1001=B862)*('تشخيص الحالات'!$G$2:$G$1001=5))&gt;0,"، "&amp;IFERROR(INDEX('تشخيص الحالات'!$D$2:$D$1001,SUMPRODUCT(('تشخيص الحالات'!$B$2:$B$1001=B862)*('تشخيص الحالات'!$G$2:$G$1001=5)*ROW('تشخيص الحالات'!$B$2:$B$1001))-1),""),"")&amp;IF(SUMPRODUCT(('تشخيص الحالات'!$B$2:$B$1001=B862)*('تشخيص الحالات'!$G$2:$G$1001=6))&gt;0,"، "&amp;IFERROR(INDEX('تشخيص الحالات'!$D$2:$D$1001,SUMPRODUCT(('تشخيص الحالات'!$B$2:$B$1001=B862)*('تشخيص الحالات'!$G$2:$G$1001=6)*ROW('تشخيص الحالات'!$B$2:$B$1001))-1),""),"")&amp;IF(SUMPRODUCT(('تشخيص الحالات'!$B$2:$B$1001=B862)*('تشخيص الحالات'!$G$2:$G$1001=7))&gt;0,"، "&amp;IFERROR(INDEX('تشخيص الحالات'!$D$2:$D$1001,SUMPRODUCT(('تشخيص الحالات'!$B$2:$B$1001=B862)*('تشخيص الحالات'!$G$2:$G$1001=7)*ROW('تشخيص الحالات'!$B$2:$B$1001))-1),""),"")&amp;IF(SUMPRODUCT(('تشخيص الحالات'!$B$2:$B$1001=B862)*('تشخيص الحالات'!$G$2:$G$1001=8))&gt;0,"، "&amp;IFERROR(INDEX('تشخيص الحالات'!$D$2:$D$1001,SUMPRODUCT(('تشخيص الحالات'!$B$2:$B$1001=B862)*('تشخيص الحالات'!$G$2:$G$1001=8)*ROW('تشخيص الحالات'!$B$2:$B$1001))-1),""),"")</f>
        <v/>
      </c>
      <c r="J862" s="1"/>
      <c r="K862" s="1"/>
      <c r="L862" s="1"/>
      <c r="M862" s="1"/>
    </row>
    <row r="863" spans="1:13" x14ac:dyDescent="0.2">
      <c r="A863" s="1"/>
      <c r="B863" s="1"/>
      <c r="C863" s="1"/>
      <c r="D863" s="1"/>
      <c r="E863" s="1"/>
      <c r="F863" s="1"/>
      <c r="G863" s="1"/>
      <c r="H863" s="1"/>
      <c r="I863" t="str">
        <f>IFERROR(INDEX('تشخيص الحالات'!$D$2:$D$1001,SUMPRODUCT(('تشخيص الحالات'!$B$2:$B$1001=B863)*('تشخيص الحالات'!$G$2:$G$1001=1)*ROW('تشخيص الحالات'!$B$2:$B$1001))-1),"")&amp;IF(SUMPRODUCT(('تشخيص الحالات'!$B$2:$B$1001=B863)*('تشخيص الحالات'!$G$2:$G$1001=2))&gt;0,"، "&amp;IFERROR(INDEX('تشخيص الحالات'!$D$2:$D$1001,SUMPRODUCT(('تشخيص الحالات'!$B$2:$B$1001=B863)*('تشخيص الحالات'!$G$2:$G$1001=2)*ROW('تشخيص الحالات'!$B$2:$B$1001))-1),""),"")&amp;IF(SUMPRODUCT(('تشخيص الحالات'!$B$2:$B$1001=B863)*('تشخيص الحالات'!$G$2:$G$1001=3))&gt;0,"، "&amp;IFERROR(INDEX('تشخيص الحالات'!$D$2:$D$1001,SUMPRODUCT(('تشخيص الحالات'!$B$2:$B$1001=B863)*('تشخيص الحالات'!$G$2:$G$1001=3)*ROW('تشخيص الحالات'!$B$2:$B$1001))-1),""),"")&amp;IF(SUMPRODUCT(('تشخيص الحالات'!$B$2:$B$1001=B863)*('تشخيص الحالات'!$G$2:$G$1001=4))&gt;0,"، "&amp;IFERROR(INDEX('تشخيص الحالات'!$D$2:$D$1001,SUMPRODUCT(('تشخيص الحالات'!$B$2:$B$1001=B863)*('تشخيص الحالات'!$G$2:$G$1001=4)*ROW('تشخيص الحالات'!$B$2:$B$1001))-1),""),"")&amp;IF(SUMPRODUCT(('تشخيص الحالات'!$B$2:$B$1001=B863)*('تشخيص الحالات'!$G$2:$G$1001=5))&gt;0,"، "&amp;IFERROR(INDEX('تشخيص الحالات'!$D$2:$D$1001,SUMPRODUCT(('تشخيص الحالات'!$B$2:$B$1001=B863)*('تشخيص الحالات'!$G$2:$G$1001=5)*ROW('تشخيص الحالات'!$B$2:$B$1001))-1),""),"")&amp;IF(SUMPRODUCT(('تشخيص الحالات'!$B$2:$B$1001=B863)*('تشخيص الحالات'!$G$2:$G$1001=6))&gt;0,"، "&amp;IFERROR(INDEX('تشخيص الحالات'!$D$2:$D$1001,SUMPRODUCT(('تشخيص الحالات'!$B$2:$B$1001=B863)*('تشخيص الحالات'!$G$2:$G$1001=6)*ROW('تشخيص الحالات'!$B$2:$B$1001))-1),""),"")&amp;IF(SUMPRODUCT(('تشخيص الحالات'!$B$2:$B$1001=B863)*('تشخيص الحالات'!$G$2:$G$1001=7))&gt;0,"، "&amp;IFERROR(INDEX('تشخيص الحالات'!$D$2:$D$1001,SUMPRODUCT(('تشخيص الحالات'!$B$2:$B$1001=B863)*('تشخيص الحالات'!$G$2:$G$1001=7)*ROW('تشخيص الحالات'!$B$2:$B$1001))-1),""),"")&amp;IF(SUMPRODUCT(('تشخيص الحالات'!$B$2:$B$1001=B863)*('تشخيص الحالات'!$G$2:$G$1001=8))&gt;0,"، "&amp;IFERROR(INDEX('تشخيص الحالات'!$D$2:$D$1001,SUMPRODUCT(('تشخيص الحالات'!$B$2:$B$1001=B863)*('تشخيص الحالات'!$G$2:$G$1001=8)*ROW('تشخيص الحالات'!$B$2:$B$1001))-1),""),"")</f>
        <v/>
      </c>
      <c r="J863" s="1"/>
      <c r="K863" s="1"/>
      <c r="L863" s="1"/>
      <c r="M863" s="1"/>
    </row>
    <row r="864" spans="1:13" x14ac:dyDescent="0.2">
      <c r="A864" s="1"/>
      <c r="B864" s="1"/>
      <c r="C864" s="1"/>
      <c r="D864" s="1"/>
      <c r="E864" s="1"/>
      <c r="F864" s="1"/>
      <c r="G864" s="1"/>
      <c r="H864" s="1"/>
      <c r="I864" t="str">
        <f>IFERROR(INDEX('تشخيص الحالات'!$D$2:$D$1001,SUMPRODUCT(('تشخيص الحالات'!$B$2:$B$1001=B864)*('تشخيص الحالات'!$G$2:$G$1001=1)*ROW('تشخيص الحالات'!$B$2:$B$1001))-1),"")&amp;IF(SUMPRODUCT(('تشخيص الحالات'!$B$2:$B$1001=B864)*('تشخيص الحالات'!$G$2:$G$1001=2))&gt;0,"، "&amp;IFERROR(INDEX('تشخيص الحالات'!$D$2:$D$1001,SUMPRODUCT(('تشخيص الحالات'!$B$2:$B$1001=B864)*('تشخيص الحالات'!$G$2:$G$1001=2)*ROW('تشخيص الحالات'!$B$2:$B$1001))-1),""),"")&amp;IF(SUMPRODUCT(('تشخيص الحالات'!$B$2:$B$1001=B864)*('تشخيص الحالات'!$G$2:$G$1001=3))&gt;0,"، "&amp;IFERROR(INDEX('تشخيص الحالات'!$D$2:$D$1001,SUMPRODUCT(('تشخيص الحالات'!$B$2:$B$1001=B864)*('تشخيص الحالات'!$G$2:$G$1001=3)*ROW('تشخيص الحالات'!$B$2:$B$1001))-1),""),"")&amp;IF(SUMPRODUCT(('تشخيص الحالات'!$B$2:$B$1001=B864)*('تشخيص الحالات'!$G$2:$G$1001=4))&gt;0,"، "&amp;IFERROR(INDEX('تشخيص الحالات'!$D$2:$D$1001,SUMPRODUCT(('تشخيص الحالات'!$B$2:$B$1001=B864)*('تشخيص الحالات'!$G$2:$G$1001=4)*ROW('تشخيص الحالات'!$B$2:$B$1001))-1),""),"")&amp;IF(SUMPRODUCT(('تشخيص الحالات'!$B$2:$B$1001=B864)*('تشخيص الحالات'!$G$2:$G$1001=5))&gt;0,"، "&amp;IFERROR(INDEX('تشخيص الحالات'!$D$2:$D$1001,SUMPRODUCT(('تشخيص الحالات'!$B$2:$B$1001=B864)*('تشخيص الحالات'!$G$2:$G$1001=5)*ROW('تشخيص الحالات'!$B$2:$B$1001))-1),""),"")&amp;IF(SUMPRODUCT(('تشخيص الحالات'!$B$2:$B$1001=B864)*('تشخيص الحالات'!$G$2:$G$1001=6))&gt;0,"، "&amp;IFERROR(INDEX('تشخيص الحالات'!$D$2:$D$1001,SUMPRODUCT(('تشخيص الحالات'!$B$2:$B$1001=B864)*('تشخيص الحالات'!$G$2:$G$1001=6)*ROW('تشخيص الحالات'!$B$2:$B$1001))-1),""),"")&amp;IF(SUMPRODUCT(('تشخيص الحالات'!$B$2:$B$1001=B864)*('تشخيص الحالات'!$G$2:$G$1001=7))&gt;0,"، "&amp;IFERROR(INDEX('تشخيص الحالات'!$D$2:$D$1001,SUMPRODUCT(('تشخيص الحالات'!$B$2:$B$1001=B864)*('تشخيص الحالات'!$G$2:$G$1001=7)*ROW('تشخيص الحالات'!$B$2:$B$1001))-1),""),"")&amp;IF(SUMPRODUCT(('تشخيص الحالات'!$B$2:$B$1001=B864)*('تشخيص الحالات'!$G$2:$G$1001=8))&gt;0,"، "&amp;IFERROR(INDEX('تشخيص الحالات'!$D$2:$D$1001,SUMPRODUCT(('تشخيص الحالات'!$B$2:$B$1001=B864)*('تشخيص الحالات'!$G$2:$G$1001=8)*ROW('تشخيص الحالات'!$B$2:$B$1001))-1),""),"")</f>
        <v/>
      </c>
      <c r="J864" s="1"/>
      <c r="K864" s="1"/>
      <c r="L864" s="1"/>
      <c r="M864" s="1"/>
    </row>
    <row r="865" spans="1:13" x14ac:dyDescent="0.2">
      <c r="A865" s="1"/>
      <c r="B865" s="1"/>
      <c r="C865" s="1"/>
      <c r="D865" s="1"/>
      <c r="E865" s="1"/>
      <c r="F865" s="1"/>
      <c r="G865" s="1"/>
      <c r="H865" s="1"/>
      <c r="I865" t="str">
        <f>IFERROR(INDEX('تشخيص الحالات'!$D$2:$D$1001,SUMPRODUCT(('تشخيص الحالات'!$B$2:$B$1001=B865)*('تشخيص الحالات'!$G$2:$G$1001=1)*ROW('تشخيص الحالات'!$B$2:$B$1001))-1),"")&amp;IF(SUMPRODUCT(('تشخيص الحالات'!$B$2:$B$1001=B865)*('تشخيص الحالات'!$G$2:$G$1001=2))&gt;0,"، "&amp;IFERROR(INDEX('تشخيص الحالات'!$D$2:$D$1001,SUMPRODUCT(('تشخيص الحالات'!$B$2:$B$1001=B865)*('تشخيص الحالات'!$G$2:$G$1001=2)*ROW('تشخيص الحالات'!$B$2:$B$1001))-1),""),"")&amp;IF(SUMPRODUCT(('تشخيص الحالات'!$B$2:$B$1001=B865)*('تشخيص الحالات'!$G$2:$G$1001=3))&gt;0,"، "&amp;IFERROR(INDEX('تشخيص الحالات'!$D$2:$D$1001,SUMPRODUCT(('تشخيص الحالات'!$B$2:$B$1001=B865)*('تشخيص الحالات'!$G$2:$G$1001=3)*ROW('تشخيص الحالات'!$B$2:$B$1001))-1),""),"")&amp;IF(SUMPRODUCT(('تشخيص الحالات'!$B$2:$B$1001=B865)*('تشخيص الحالات'!$G$2:$G$1001=4))&gt;0,"، "&amp;IFERROR(INDEX('تشخيص الحالات'!$D$2:$D$1001,SUMPRODUCT(('تشخيص الحالات'!$B$2:$B$1001=B865)*('تشخيص الحالات'!$G$2:$G$1001=4)*ROW('تشخيص الحالات'!$B$2:$B$1001))-1),""),"")&amp;IF(SUMPRODUCT(('تشخيص الحالات'!$B$2:$B$1001=B865)*('تشخيص الحالات'!$G$2:$G$1001=5))&gt;0,"، "&amp;IFERROR(INDEX('تشخيص الحالات'!$D$2:$D$1001,SUMPRODUCT(('تشخيص الحالات'!$B$2:$B$1001=B865)*('تشخيص الحالات'!$G$2:$G$1001=5)*ROW('تشخيص الحالات'!$B$2:$B$1001))-1),""),"")&amp;IF(SUMPRODUCT(('تشخيص الحالات'!$B$2:$B$1001=B865)*('تشخيص الحالات'!$G$2:$G$1001=6))&gt;0,"، "&amp;IFERROR(INDEX('تشخيص الحالات'!$D$2:$D$1001,SUMPRODUCT(('تشخيص الحالات'!$B$2:$B$1001=B865)*('تشخيص الحالات'!$G$2:$G$1001=6)*ROW('تشخيص الحالات'!$B$2:$B$1001))-1),""),"")&amp;IF(SUMPRODUCT(('تشخيص الحالات'!$B$2:$B$1001=B865)*('تشخيص الحالات'!$G$2:$G$1001=7))&gt;0,"، "&amp;IFERROR(INDEX('تشخيص الحالات'!$D$2:$D$1001,SUMPRODUCT(('تشخيص الحالات'!$B$2:$B$1001=B865)*('تشخيص الحالات'!$G$2:$G$1001=7)*ROW('تشخيص الحالات'!$B$2:$B$1001))-1),""),"")&amp;IF(SUMPRODUCT(('تشخيص الحالات'!$B$2:$B$1001=B865)*('تشخيص الحالات'!$G$2:$G$1001=8))&gt;0,"، "&amp;IFERROR(INDEX('تشخيص الحالات'!$D$2:$D$1001,SUMPRODUCT(('تشخيص الحالات'!$B$2:$B$1001=B865)*('تشخيص الحالات'!$G$2:$G$1001=8)*ROW('تشخيص الحالات'!$B$2:$B$1001))-1),""),"")</f>
        <v/>
      </c>
      <c r="J865" s="1"/>
      <c r="K865" s="1"/>
      <c r="L865" s="1"/>
      <c r="M865" s="1"/>
    </row>
    <row r="866" spans="1:13" x14ac:dyDescent="0.2">
      <c r="A866" s="1"/>
      <c r="B866" s="1"/>
      <c r="C866" s="1"/>
      <c r="D866" s="1"/>
      <c r="E866" s="1"/>
      <c r="F866" s="1"/>
      <c r="G866" s="1"/>
      <c r="H866" s="1"/>
      <c r="I866" t="str">
        <f>IFERROR(INDEX('تشخيص الحالات'!$D$2:$D$1001,SUMPRODUCT(('تشخيص الحالات'!$B$2:$B$1001=B866)*('تشخيص الحالات'!$G$2:$G$1001=1)*ROW('تشخيص الحالات'!$B$2:$B$1001))-1),"")&amp;IF(SUMPRODUCT(('تشخيص الحالات'!$B$2:$B$1001=B866)*('تشخيص الحالات'!$G$2:$G$1001=2))&gt;0,"، "&amp;IFERROR(INDEX('تشخيص الحالات'!$D$2:$D$1001,SUMPRODUCT(('تشخيص الحالات'!$B$2:$B$1001=B866)*('تشخيص الحالات'!$G$2:$G$1001=2)*ROW('تشخيص الحالات'!$B$2:$B$1001))-1),""),"")&amp;IF(SUMPRODUCT(('تشخيص الحالات'!$B$2:$B$1001=B866)*('تشخيص الحالات'!$G$2:$G$1001=3))&gt;0,"، "&amp;IFERROR(INDEX('تشخيص الحالات'!$D$2:$D$1001,SUMPRODUCT(('تشخيص الحالات'!$B$2:$B$1001=B866)*('تشخيص الحالات'!$G$2:$G$1001=3)*ROW('تشخيص الحالات'!$B$2:$B$1001))-1),""),"")&amp;IF(SUMPRODUCT(('تشخيص الحالات'!$B$2:$B$1001=B866)*('تشخيص الحالات'!$G$2:$G$1001=4))&gt;0,"، "&amp;IFERROR(INDEX('تشخيص الحالات'!$D$2:$D$1001,SUMPRODUCT(('تشخيص الحالات'!$B$2:$B$1001=B866)*('تشخيص الحالات'!$G$2:$G$1001=4)*ROW('تشخيص الحالات'!$B$2:$B$1001))-1),""),"")&amp;IF(SUMPRODUCT(('تشخيص الحالات'!$B$2:$B$1001=B866)*('تشخيص الحالات'!$G$2:$G$1001=5))&gt;0,"، "&amp;IFERROR(INDEX('تشخيص الحالات'!$D$2:$D$1001,SUMPRODUCT(('تشخيص الحالات'!$B$2:$B$1001=B866)*('تشخيص الحالات'!$G$2:$G$1001=5)*ROW('تشخيص الحالات'!$B$2:$B$1001))-1),""),"")&amp;IF(SUMPRODUCT(('تشخيص الحالات'!$B$2:$B$1001=B866)*('تشخيص الحالات'!$G$2:$G$1001=6))&gt;0,"، "&amp;IFERROR(INDEX('تشخيص الحالات'!$D$2:$D$1001,SUMPRODUCT(('تشخيص الحالات'!$B$2:$B$1001=B866)*('تشخيص الحالات'!$G$2:$G$1001=6)*ROW('تشخيص الحالات'!$B$2:$B$1001))-1),""),"")&amp;IF(SUMPRODUCT(('تشخيص الحالات'!$B$2:$B$1001=B866)*('تشخيص الحالات'!$G$2:$G$1001=7))&gt;0,"، "&amp;IFERROR(INDEX('تشخيص الحالات'!$D$2:$D$1001,SUMPRODUCT(('تشخيص الحالات'!$B$2:$B$1001=B866)*('تشخيص الحالات'!$G$2:$G$1001=7)*ROW('تشخيص الحالات'!$B$2:$B$1001))-1),""),"")&amp;IF(SUMPRODUCT(('تشخيص الحالات'!$B$2:$B$1001=B866)*('تشخيص الحالات'!$G$2:$G$1001=8))&gt;0,"، "&amp;IFERROR(INDEX('تشخيص الحالات'!$D$2:$D$1001,SUMPRODUCT(('تشخيص الحالات'!$B$2:$B$1001=B866)*('تشخيص الحالات'!$G$2:$G$1001=8)*ROW('تشخيص الحالات'!$B$2:$B$1001))-1),""),"")</f>
        <v/>
      </c>
      <c r="J866" s="1"/>
      <c r="K866" s="1"/>
      <c r="L866" s="1"/>
      <c r="M866" s="1"/>
    </row>
    <row r="867" spans="1:13" x14ac:dyDescent="0.2">
      <c r="A867" s="1"/>
      <c r="B867" s="1"/>
      <c r="C867" s="1"/>
      <c r="D867" s="1"/>
      <c r="E867" s="1"/>
      <c r="F867" s="1"/>
      <c r="G867" s="1"/>
      <c r="H867" s="1"/>
      <c r="I867" t="str">
        <f>IFERROR(INDEX('تشخيص الحالات'!$D$2:$D$1001,SUMPRODUCT(('تشخيص الحالات'!$B$2:$B$1001=B867)*('تشخيص الحالات'!$G$2:$G$1001=1)*ROW('تشخيص الحالات'!$B$2:$B$1001))-1),"")&amp;IF(SUMPRODUCT(('تشخيص الحالات'!$B$2:$B$1001=B867)*('تشخيص الحالات'!$G$2:$G$1001=2))&gt;0,"، "&amp;IFERROR(INDEX('تشخيص الحالات'!$D$2:$D$1001,SUMPRODUCT(('تشخيص الحالات'!$B$2:$B$1001=B867)*('تشخيص الحالات'!$G$2:$G$1001=2)*ROW('تشخيص الحالات'!$B$2:$B$1001))-1),""),"")&amp;IF(SUMPRODUCT(('تشخيص الحالات'!$B$2:$B$1001=B867)*('تشخيص الحالات'!$G$2:$G$1001=3))&gt;0,"، "&amp;IFERROR(INDEX('تشخيص الحالات'!$D$2:$D$1001,SUMPRODUCT(('تشخيص الحالات'!$B$2:$B$1001=B867)*('تشخيص الحالات'!$G$2:$G$1001=3)*ROW('تشخيص الحالات'!$B$2:$B$1001))-1),""),"")&amp;IF(SUMPRODUCT(('تشخيص الحالات'!$B$2:$B$1001=B867)*('تشخيص الحالات'!$G$2:$G$1001=4))&gt;0,"، "&amp;IFERROR(INDEX('تشخيص الحالات'!$D$2:$D$1001,SUMPRODUCT(('تشخيص الحالات'!$B$2:$B$1001=B867)*('تشخيص الحالات'!$G$2:$G$1001=4)*ROW('تشخيص الحالات'!$B$2:$B$1001))-1),""),"")&amp;IF(SUMPRODUCT(('تشخيص الحالات'!$B$2:$B$1001=B867)*('تشخيص الحالات'!$G$2:$G$1001=5))&gt;0,"، "&amp;IFERROR(INDEX('تشخيص الحالات'!$D$2:$D$1001,SUMPRODUCT(('تشخيص الحالات'!$B$2:$B$1001=B867)*('تشخيص الحالات'!$G$2:$G$1001=5)*ROW('تشخيص الحالات'!$B$2:$B$1001))-1),""),"")&amp;IF(SUMPRODUCT(('تشخيص الحالات'!$B$2:$B$1001=B867)*('تشخيص الحالات'!$G$2:$G$1001=6))&gt;0,"، "&amp;IFERROR(INDEX('تشخيص الحالات'!$D$2:$D$1001,SUMPRODUCT(('تشخيص الحالات'!$B$2:$B$1001=B867)*('تشخيص الحالات'!$G$2:$G$1001=6)*ROW('تشخيص الحالات'!$B$2:$B$1001))-1),""),"")&amp;IF(SUMPRODUCT(('تشخيص الحالات'!$B$2:$B$1001=B867)*('تشخيص الحالات'!$G$2:$G$1001=7))&gt;0,"، "&amp;IFERROR(INDEX('تشخيص الحالات'!$D$2:$D$1001,SUMPRODUCT(('تشخيص الحالات'!$B$2:$B$1001=B867)*('تشخيص الحالات'!$G$2:$G$1001=7)*ROW('تشخيص الحالات'!$B$2:$B$1001))-1),""),"")&amp;IF(SUMPRODUCT(('تشخيص الحالات'!$B$2:$B$1001=B867)*('تشخيص الحالات'!$G$2:$G$1001=8))&gt;0,"، "&amp;IFERROR(INDEX('تشخيص الحالات'!$D$2:$D$1001,SUMPRODUCT(('تشخيص الحالات'!$B$2:$B$1001=B867)*('تشخيص الحالات'!$G$2:$G$1001=8)*ROW('تشخيص الحالات'!$B$2:$B$1001))-1),""),"")</f>
        <v/>
      </c>
      <c r="J867" s="1"/>
      <c r="K867" s="1"/>
      <c r="L867" s="1"/>
      <c r="M867" s="1"/>
    </row>
    <row r="868" spans="1:13" x14ac:dyDescent="0.2">
      <c r="A868" s="1"/>
      <c r="B868" s="1"/>
      <c r="C868" s="1"/>
      <c r="D868" s="1"/>
      <c r="E868" s="1"/>
      <c r="F868" s="1"/>
      <c r="G868" s="1"/>
      <c r="H868" s="1"/>
      <c r="I868" t="str">
        <f>IFERROR(INDEX('تشخيص الحالات'!$D$2:$D$1001,SUMPRODUCT(('تشخيص الحالات'!$B$2:$B$1001=B868)*('تشخيص الحالات'!$G$2:$G$1001=1)*ROW('تشخيص الحالات'!$B$2:$B$1001))-1),"")&amp;IF(SUMPRODUCT(('تشخيص الحالات'!$B$2:$B$1001=B868)*('تشخيص الحالات'!$G$2:$G$1001=2))&gt;0,"، "&amp;IFERROR(INDEX('تشخيص الحالات'!$D$2:$D$1001,SUMPRODUCT(('تشخيص الحالات'!$B$2:$B$1001=B868)*('تشخيص الحالات'!$G$2:$G$1001=2)*ROW('تشخيص الحالات'!$B$2:$B$1001))-1),""),"")&amp;IF(SUMPRODUCT(('تشخيص الحالات'!$B$2:$B$1001=B868)*('تشخيص الحالات'!$G$2:$G$1001=3))&gt;0,"، "&amp;IFERROR(INDEX('تشخيص الحالات'!$D$2:$D$1001,SUMPRODUCT(('تشخيص الحالات'!$B$2:$B$1001=B868)*('تشخيص الحالات'!$G$2:$G$1001=3)*ROW('تشخيص الحالات'!$B$2:$B$1001))-1),""),"")&amp;IF(SUMPRODUCT(('تشخيص الحالات'!$B$2:$B$1001=B868)*('تشخيص الحالات'!$G$2:$G$1001=4))&gt;0,"، "&amp;IFERROR(INDEX('تشخيص الحالات'!$D$2:$D$1001,SUMPRODUCT(('تشخيص الحالات'!$B$2:$B$1001=B868)*('تشخيص الحالات'!$G$2:$G$1001=4)*ROW('تشخيص الحالات'!$B$2:$B$1001))-1),""),"")&amp;IF(SUMPRODUCT(('تشخيص الحالات'!$B$2:$B$1001=B868)*('تشخيص الحالات'!$G$2:$G$1001=5))&gt;0,"، "&amp;IFERROR(INDEX('تشخيص الحالات'!$D$2:$D$1001,SUMPRODUCT(('تشخيص الحالات'!$B$2:$B$1001=B868)*('تشخيص الحالات'!$G$2:$G$1001=5)*ROW('تشخيص الحالات'!$B$2:$B$1001))-1),""),"")&amp;IF(SUMPRODUCT(('تشخيص الحالات'!$B$2:$B$1001=B868)*('تشخيص الحالات'!$G$2:$G$1001=6))&gt;0,"، "&amp;IFERROR(INDEX('تشخيص الحالات'!$D$2:$D$1001,SUMPRODUCT(('تشخيص الحالات'!$B$2:$B$1001=B868)*('تشخيص الحالات'!$G$2:$G$1001=6)*ROW('تشخيص الحالات'!$B$2:$B$1001))-1),""),"")&amp;IF(SUMPRODUCT(('تشخيص الحالات'!$B$2:$B$1001=B868)*('تشخيص الحالات'!$G$2:$G$1001=7))&gt;0,"، "&amp;IFERROR(INDEX('تشخيص الحالات'!$D$2:$D$1001,SUMPRODUCT(('تشخيص الحالات'!$B$2:$B$1001=B868)*('تشخيص الحالات'!$G$2:$G$1001=7)*ROW('تشخيص الحالات'!$B$2:$B$1001))-1),""),"")&amp;IF(SUMPRODUCT(('تشخيص الحالات'!$B$2:$B$1001=B868)*('تشخيص الحالات'!$G$2:$G$1001=8))&gt;0,"، "&amp;IFERROR(INDEX('تشخيص الحالات'!$D$2:$D$1001,SUMPRODUCT(('تشخيص الحالات'!$B$2:$B$1001=B868)*('تشخيص الحالات'!$G$2:$G$1001=8)*ROW('تشخيص الحالات'!$B$2:$B$1001))-1),""),"")</f>
        <v/>
      </c>
      <c r="J868" s="1"/>
      <c r="K868" s="1"/>
      <c r="L868" s="1"/>
      <c r="M868" s="1"/>
    </row>
    <row r="869" spans="1:13" x14ac:dyDescent="0.2">
      <c r="A869" s="1"/>
      <c r="B869" s="1"/>
      <c r="C869" s="1"/>
      <c r="D869" s="1"/>
      <c r="E869" s="1"/>
      <c r="F869" s="1"/>
      <c r="G869" s="1"/>
      <c r="H869" s="1"/>
      <c r="I869" t="str">
        <f>IFERROR(INDEX('تشخيص الحالات'!$D$2:$D$1001,SUMPRODUCT(('تشخيص الحالات'!$B$2:$B$1001=B869)*('تشخيص الحالات'!$G$2:$G$1001=1)*ROW('تشخيص الحالات'!$B$2:$B$1001))-1),"")&amp;IF(SUMPRODUCT(('تشخيص الحالات'!$B$2:$B$1001=B869)*('تشخيص الحالات'!$G$2:$G$1001=2))&gt;0,"، "&amp;IFERROR(INDEX('تشخيص الحالات'!$D$2:$D$1001,SUMPRODUCT(('تشخيص الحالات'!$B$2:$B$1001=B869)*('تشخيص الحالات'!$G$2:$G$1001=2)*ROW('تشخيص الحالات'!$B$2:$B$1001))-1),""),"")&amp;IF(SUMPRODUCT(('تشخيص الحالات'!$B$2:$B$1001=B869)*('تشخيص الحالات'!$G$2:$G$1001=3))&gt;0,"، "&amp;IFERROR(INDEX('تشخيص الحالات'!$D$2:$D$1001,SUMPRODUCT(('تشخيص الحالات'!$B$2:$B$1001=B869)*('تشخيص الحالات'!$G$2:$G$1001=3)*ROW('تشخيص الحالات'!$B$2:$B$1001))-1),""),"")&amp;IF(SUMPRODUCT(('تشخيص الحالات'!$B$2:$B$1001=B869)*('تشخيص الحالات'!$G$2:$G$1001=4))&gt;0,"، "&amp;IFERROR(INDEX('تشخيص الحالات'!$D$2:$D$1001,SUMPRODUCT(('تشخيص الحالات'!$B$2:$B$1001=B869)*('تشخيص الحالات'!$G$2:$G$1001=4)*ROW('تشخيص الحالات'!$B$2:$B$1001))-1),""),"")&amp;IF(SUMPRODUCT(('تشخيص الحالات'!$B$2:$B$1001=B869)*('تشخيص الحالات'!$G$2:$G$1001=5))&gt;0,"، "&amp;IFERROR(INDEX('تشخيص الحالات'!$D$2:$D$1001,SUMPRODUCT(('تشخيص الحالات'!$B$2:$B$1001=B869)*('تشخيص الحالات'!$G$2:$G$1001=5)*ROW('تشخيص الحالات'!$B$2:$B$1001))-1),""),"")&amp;IF(SUMPRODUCT(('تشخيص الحالات'!$B$2:$B$1001=B869)*('تشخيص الحالات'!$G$2:$G$1001=6))&gt;0,"، "&amp;IFERROR(INDEX('تشخيص الحالات'!$D$2:$D$1001,SUMPRODUCT(('تشخيص الحالات'!$B$2:$B$1001=B869)*('تشخيص الحالات'!$G$2:$G$1001=6)*ROW('تشخيص الحالات'!$B$2:$B$1001))-1),""),"")&amp;IF(SUMPRODUCT(('تشخيص الحالات'!$B$2:$B$1001=B869)*('تشخيص الحالات'!$G$2:$G$1001=7))&gt;0,"، "&amp;IFERROR(INDEX('تشخيص الحالات'!$D$2:$D$1001,SUMPRODUCT(('تشخيص الحالات'!$B$2:$B$1001=B869)*('تشخيص الحالات'!$G$2:$G$1001=7)*ROW('تشخيص الحالات'!$B$2:$B$1001))-1),""),"")&amp;IF(SUMPRODUCT(('تشخيص الحالات'!$B$2:$B$1001=B869)*('تشخيص الحالات'!$G$2:$G$1001=8))&gt;0,"، "&amp;IFERROR(INDEX('تشخيص الحالات'!$D$2:$D$1001,SUMPRODUCT(('تشخيص الحالات'!$B$2:$B$1001=B869)*('تشخيص الحالات'!$G$2:$G$1001=8)*ROW('تشخيص الحالات'!$B$2:$B$1001))-1),""),"")</f>
        <v/>
      </c>
      <c r="J869" s="1"/>
      <c r="K869" s="1"/>
      <c r="L869" s="1"/>
      <c r="M869" s="1"/>
    </row>
    <row r="870" spans="1:13" x14ac:dyDescent="0.2">
      <c r="A870" s="1"/>
      <c r="B870" s="1"/>
      <c r="C870" s="1"/>
      <c r="D870" s="1"/>
      <c r="E870" s="1"/>
      <c r="F870" s="1"/>
      <c r="G870" s="1"/>
      <c r="H870" s="1"/>
      <c r="I870" t="str">
        <f>IFERROR(INDEX('تشخيص الحالات'!$D$2:$D$1001,SUMPRODUCT(('تشخيص الحالات'!$B$2:$B$1001=B870)*('تشخيص الحالات'!$G$2:$G$1001=1)*ROW('تشخيص الحالات'!$B$2:$B$1001))-1),"")&amp;IF(SUMPRODUCT(('تشخيص الحالات'!$B$2:$B$1001=B870)*('تشخيص الحالات'!$G$2:$G$1001=2))&gt;0,"، "&amp;IFERROR(INDEX('تشخيص الحالات'!$D$2:$D$1001,SUMPRODUCT(('تشخيص الحالات'!$B$2:$B$1001=B870)*('تشخيص الحالات'!$G$2:$G$1001=2)*ROW('تشخيص الحالات'!$B$2:$B$1001))-1),""),"")&amp;IF(SUMPRODUCT(('تشخيص الحالات'!$B$2:$B$1001=B870)*('تشخيص الحالات'!$G$2:$G$1001=3))&gt;0,"، "&amp;IFERROR(INDEX('تشخيص الحالات'!$D$2:$D$1001,SUMPRODUCT(('تشخيص الحالات'!$B$2:$B$1001=B870)*('تشخيص الحالات'!$G$2:$G$1001=3)*ROW('تشخيص الحالات'!$B$2:$B$1001))-1),""),"")&amp;IF(SUMPRODUCT(('تشخيص الحالات'!$B$2:$B$1001=B870)*('تشخيص الحالات'!$G$2:$G$1001=4))&gt;0,"، "&amp;IFERROR(INDEX('تشخيص الحالات'!$D$2:$D$1001,SUMPRODUCT(('تشخيص الحالات'!$B$2:$B$1001=B870)*('تشخيص الحالات'!$G$2:$G$1001=4)*ROW('تشخيص الحالات'!$B$2:$B$1001))-1),""),"")&amp;IF(SUMPRODUCT(('تشخيص الحالات'!$B$2:$B$1001=B870)*('تشخيص الحالات'!$G$2:$G$1001=5))&gt;0,"، "&amp;IFERROR(INDEX('تشخيص الحالات'!$D$2:$D$1001,SUMPRODUCT(('تشخيص الحالات'!$B$2:$B$1001=B870)*('تشخيص الحالات'!$G$2:$G$1001=5)*ROW('تشخيص الحالات'!$B$2:$B$1001))-1),""),"")&amp;IF(SUMPRODUCT(('تشخيص الحالات'!$B$2:$B$1001=B870)*('تشخيص الحالات'!$G$2:$G$1001=6))&gt;0,"، "&amp;IFERROR(INDEX('تشخيص الحالات'!$D$2:$D$1001,SUMPRODUCT(('تشخيص الحالات'!$B$2:$B$1001=B870)*('تشخيص الحالات'!$G$2:$G$1001=6)*ROW('تشخيص الحالات'!$B$2:$B$1001))-1),""),"")&amp;IF(SUMPRODUCT(('تشخيص الحالات'!$B$2:$B$1001=B870)*('تشخيص الحالات'!$G$2:$G$1001=7))&gt;0,"، "&amp;IFERROR(INDEX('تشخيص الحالات'!$D$2:$D$1001,SUMPRODUCT(('تشخيص الحالات'!$B$2:$B$1001=B870)*('تشخيص الحالات'!$G$2:$G$1001=7)*ROW('تشخيص الحالات'!$B$2:$B$1001))-1),""),"")&amp;IF(SUMPRODUCT(('تشخيص الحالات'!$B$2:$B$1001=B870)*('تشخيص الحالات'!$G$2:$G$1001=8))&gt;0,"، "&amp;IFERROR(INDEX('تشخيص الحالات'!$D$2:$D$1001,SUMPRODUCT(('تشخيص الحالات'!$B$2:$B$1001=B870)*('تشخيص الحالات'!$G$2:$G$1001=8)*ROW('تشخيص الحالات'!$B$2:$B$1001))-1),""),"")</f>
        <v/>
      </c>
      <c r="J870" s="1"/>
      <c r="K870" s="1"/>
      <c r="L870" s="1"/>
      <c r="M870" s="1"/>
    </row>
    <row r="871" spans="1:13" x14ac:dyDescent="0.2">
      <c r="A871" s="1"/>
      <c r="B871" s="1"/>
      <c r="C871" s="1"/>
      <c r="D871" s="1"/>
      <c r="E871" s="1"/>
      <c r="F871" s="1"/>
      <c r="G871" s="1"/>
      <c r="H871" s="1"/>
      <c r="I871" t="str">
        <f>IFERROR(INDEX('تشخيص الحالات'!$D$2:$D$1001,SUMPRODUCT(('تشخيص الحالات'!$B$2:$B$1001=B871)*('تشخيص الحالات'!$G$2:$G$1001=1)*ROW('تشخيص الحالات'!$B$2:$B$1001))-1),"")&amp;IF(SUMPRODUCT(('تشخيص الحالات'!$B$2:$B$1001=B871)*('تشخيص الحالات'!$G$2:$G$1001=2))&gt;0,"، "&amp;IFERROR(INDEX('تشخيص الحالات'!$D$2:$D$1001,SUMPRODUCT(('تشخيص الحالات'!$B$2:$B$1001=B871)*('تشخيص الحالات'!$G$2:$G$1001=2)*ROW('تشخيص الحالات'!$B$2:$B$1001))-1),""),"")&amp;IF(SUMPRODUCT(('تشخيص الحالات'!$B$2:$B$1001=B871)*('تشخيص الحالات'!$G$2:$G$1001=3))&gt;0,"، "&amp;IFERROR(INDEX('تشخيص الحالات'!$D$2:$D$1001,SUMPRODUCT(('تشخيص الحالات'!$B$2:$B$1001=B871)*('تشخيص الحالات'!$G$2:$G$1001=3)*ROW('تشخيص الحالات'!$B$2:$B$1001))-1),""),"")&amp;IF(SUMPRODUCT(('تشخيص الحالات'!$B$2:$B$1001=B871)*('تشخيص الحالات'!$G$2:$G$1001=4))&gt;0,"، "&amp;IFERROR(INDEX('تشخيص الحالات'!$D$2:$D$1001,SUMPRODUCT(('تشخيص الحالات'!$B$2:$B$1001=B871)*('تشخيص الحالات'!$G$2:$G$1001=4)*ROW('تشخيص الحالات'!$B$2:$B$1001))-1),""),"")&amp;IF(SUMPRODUCT(('تشخيص الحالات'!$B$2:$B$1001=B871)*('تشخيص الحالات'!$G$2:$G$1001=5))&gt;0,"، "&amp;IFERROR(INDEX('تشخيص الحالات'!$D$2:$D$1001,SUMPRODUCT(('تشخيص الحالات'!$B$2:$B$1001=B871)*('تشخيص الحالات'!$G$2:$G$1001=5)*ROW('تشخيص الحالات'!$B$2:$B$1001))-1),""),"")&amp;IF(SUMPRODUCT(('تشخيص الحالات'!$B$2:$B$1001=B871)*('تشخيص الحالات'!$G$2:$G$1001=6))&gt;0,"، "&amp;IFERROR(INDEX('تشخيص الحالات'!$D$2:$D$1001,SUMPRODUCT(('تشخيص الحالات'!$B$2:$B$1001=B871)*('تشخيص الحالات'!$G$2:$G$1001=6)*ROW('تشخيص الحالات'!$B$2:$B$1001))-1),""),"")&amp;IF(SUMPRODUCT(('تشخيص الحالات'!$B$2:$B$1001=B871)*('تشخيص الحالات'!$G$2:$G$1001=7))&gt;0,"، "&amp;IFERROR(INDEX('تشخيص الحالات'!$D$2:$D$1001,SUMPRODUCT(('تشخيص الحالات'!$B$2:$B$1001=B871)*('تشخيص الحالات'!$G$2:$G$1001=7)*ROW('تشخيص الحالات'!$B$2:$B$1001))-1),""),"")&amp;IF(SUMPRODUCT(('تشخيص الحالات'!$B$2:$B$1001=B871)*('تشخيص الحالات'!$G$2:$G$1001=8))&gt;0,"، "&amp;IFERROR(INDEX('تشخيص الحالات'!$D$2:$D$1001,SUMPRODUCT(('تشخيص الحالات'!$B$2:$B$1001=B871)*('تشخيص الحالات'!$G$2:$G$1001=8)*ROW('تشخيص الحالات'!$B$2:$B$1001))-1),""),"")</f>
        <v/>
      </c>
      <c r="J871" s="1"/>
      <c r="K871" s="1"/>
      <c r="L871" s="1"/>
      <c r="M871" s="1"/>
    </row>
    <row r="872" spans="1:13" x14ac:dyDescent="0.2">
      <c r="A872" s="1"/>
      <c r="B872" s="1"/>
      <c r="C872" s="1"/>
      <c r="D872" s="1"/>
      <c r="E872" s="1"/>
      <c r="F872" s="1"/>
      <c r="G872" s="1"/>
      <c r="H872" s="1"/>
      <c r="I872" t="str">
        <f>IFERROR(INDEX('تشخيص الحالات'!$D$2:$D$1001,SUMPRODUCT(('تشخيص الحالات'!$B$2:$B$1001=B872)*('تشخيص الحالات'!$G$2:$G$1001=1)*ROW('تشخيص الحالات'!$B$2:$B$1001))-1),"")&amp;IF(SUMPRODUCT(('تشخيص الحالات'!$B$2:$B$1001=B872)*('تشخيص الحالات'!$G$2:$G$1001=2))&gt;0,"، "&amp;IFERROR(INDEX('تشخيص الحالات'!$D$2:$D$1001,SUMPRODUCT(('تشخيص الحالات'!$B$2:$B$1001=B872)*('تشخيص الحالات'!$G$2:$G$1001=2)*ROW('تشخيص الحالات'!$B$2:$B$1001))-1),""),"")&amp;IF(SUMPRODUCT(('تشخيص الحالات'!$B$2:$B$1001=B872)*('تشخيص الحالات'!$G$2:$G$1001=3))&gt;0,"، "&amp;IFERROR(INDEX('تشخيص الحالات'!$D$2:$D$1001,SUMPRODUCT(('تشخيص الحالات'!$B$2:$B$1001=B872)*('تشخيص الحالات'!$G$2:$G$1001=3)*ROW('تشخيص الحالات'!$B$2:$B$1001))-1),""),"")&amp;IF(SUMPRODUCT(('تشخيص الحالات'!$B$2:$B$1001=B872)*('تشخيص الحالات'!$G$2:$G$1001=4))&gt;0,"، "&amp;IFERROR(INDEX('تشخيص الحالات'!$D$2:$D$1001,SUMPRODUCT(('تشخيص الحالات'!$B$2:$B$1001=B872)*('تشخيص الحالات'!$G$2:$G$1001=4)*ROW('تشخيص الحالات'!$B$2:$B$1001))-1),""),"")&amp;IF(SUMPRODUCT(('تشخيص الحالات'!$B$2:$B$1001=B872)*('تشخيص الحالات'!$G$2:$G$1001=5))&gt;0,"، "&amp;IFERROR(INDEX('تشخيص الحالات'!$D$2:$D$1001,SUMPRODUCT(('تشخيص الحالات'!$B$2:$B$1001=B872)*('تشخيص الحالات'!$G$2:$G$1001=5)*ROW('تشخيص الحالات'!$B$2:$B$1001))-1),""),"")&amp;IF(SUMPRODUCT(('تشخيص الحالات'!$B$2:$B$1001=B872)*('تشخيص الحالات'!$G$2:$G$1001=6))&gt;0,"، "&amp;IFERROR(INDEX('تشخيص الحالات'!$D$2:$D$1001,SUMPRODUCT(('تشخيص الحالات'!$B$2:$B$1001=B872)*('تشخيص الحالات'!$G$2:$G$1001=6)*ROW('تشخيص الحالات'!$B$2:$B$1001))-1),""),"")&amp;IF(SUMPRODUCT(('تشخيص الحالات'!$B$2:$B$1001=B872)*('تشخيص الحالات'!$G$2:$G$1001=7))&gt;0,"، "&amp;IFERROR(INDEX('تشخيص الحالات'!$D$2:$D$1001,SUMPRODUCT(('تشخيص الحالات'!$B$2:$B$1001=B872)*('تشخيص الحالات'!$G$2:$G$1001=7)*ROW('تشخيص الحالات'!$B$2:$B$1001))-1),""),"")&amp;IF(SUMPRODUCT(('تشخيص الحالات'!$B$2:$B$1001=B872)*('تشخيص الحالات'!$G$2:$G$1001=8))&gt;0,"، "&amp;IFERROR(INDEX('تشخيص الحالات'!$D$2:$D$1001,SUMPRODUCT(('تشخيص الحالات'!$B$2:$B$1001=B872)*('تشخيص الحالات'!$G$2:$G$1001=8)*ROW('تشخيص الحالات'!$B$2:$B$1001))-1),""),"")</f>
        <v/>
      </c>
      <c r="J872" s="1"/>
      <c r="K872" s="1"/>
      <c r="L872" s="1"/>
      <c r="M872" s="1"/>
    </row>
    <row r="873" spans="1:13" x14ac:dyDescent="0.2">
      <c r="A873" s="1"/>
      <c r="B873" s="1"/>
      <c r="C873" s="1"/>
      <c r="D873" s="1"/>
      <c r="E873" s="1"/>
      <c r="F873" s="1"/>
      <c r="G873" s="1"/>
      <c r="H873" s="1"/>
      <c r="I873" t="str">
        <f>IFERROR(INDEX('تشخيص الحالات'!$D$2:$D$1001,SUMPRODUCT(('تشخيص الحالات'!$B$2:$B$1001=B873)*('تشخيص الحالات'!$G$2:$G$1001=1)*ROW('تشخيص الحالات'!$B$2:$B$1001))-1),"")&amp;IF(SUMPRODUCT(('تشخيص الحالات'!$B$2:$B$1001=B873)*('تشخيص الحالات'!$G$2:$G$1001=2))&gt;0,"، "&amp;IFERROR(INDEX('تشخيص الحالات'!$D$2:$D$1001,SUMPRODUCT(('تشخيص الحالات'!$B$2:$B$1001=B873)*('تشخيص الحالات'!$G$2:$G$1001=2)*ROW('تشخيص الحالات'!$B$2:$B$1001))-1),""),"")&amp;IF(SUMPRODUCT(('تشخيص الحالات'!$B$2:$B$1001=B873)*('تشخيص الحالات'!$G$2:$G$1001=3))&gt;0,"، "&amp;IFERROR(INDEX('تشخيص الحالات'!$D$2:$D$1001,SUMPRODUCT(('تشخيص الحالات'!$B$2:$B$1001=B873)*('تشخيص الحالات'!$G$2:$G$1001=3)*ROW('تشخيص الحالات'!$B$2:$B$1001))-1),""),"")&amp;IF(SUMPRODUCT(('تشخيص الحالات'!$B$2:$B$1001=B873)*('تشخيص الحالات'!$G$2:$G$1001=4))&gt;0,"، "&amp;IFERROR(INDEX('تشخيص الحالات'!$D$2:$D$1001,SUMPRODUCT(('تشخيص الحالات'!$B$2:$B$1001=B873)*('تشخيص الحالات'!$G$2:$G$1001=4)*ROW('تشخيص الحالات'!$B$2:$B$1001))-1),""),"")&amp;IF(SUMPRODUCT(('تشخيص الحالات'!$B$2:$B$1001=B873)*('تشخيص الحالات'!$G$2:$G$1001=5))&gt;0,"، "&amp;IFERROR(INDEX('تشخيص الحالات'!$D$2:$D$1001,SUMPRODUCT(('تشخيص الحالات'!$B$2:$B$1001=B873)*('تشخيص الحالات'!$G$2:$G$1001=5)*ROW('تشخيص الحالات'!$B$2:$B$1001))-1),""),"")&amp;IF(SUMPRODUCT(('تشخيص الحالات'!$B$2:$B$1001=B873)*('تشخيص الحالات'!$G$2:$G$1001=6))&gt;0,"، "&amp;IFERROR(INDEX('تشخيص الحالات'!$D$2:$D$1001,SUMPRODUCT(('تشخيص الحالات'!$B$2:$B$1001=B873)*('تشخيص الحالات'!$G$2:$G$1001=6)*ROW('تشخيص الحالات'!$B$2:$B$1001))-1),""),"")&amp;IF(SUMPRODUCT(('تشخيص الحالات'!$B$2:$B$1001=B873)*('تشخيص الحالات'!$G$2:$G$1001=7))&gt;0,"، "&amp;IFERROR(INDEX('تشخيص الحالات'!$D$2:$D$1001,SUMPRODUCT(('تشخيص الحالات'!$B$2:$B$1001=B873)*('تشخيص الحالات'!$G$2:$G$1001=7)*ROW('تشخيص الحالات'!$B$2:$B$1001))-1),""),"")&amp;IF(SUMPRODUCT(('تشخيص الحالات'!$B$2:$B$1001=B873)*('تشخيص الحالات'!$G$2:$G$1001=8))&gt;0,"، "&amp;IFERROR(INDEX('تشخيص الحالات'!$D$2:$D$1001,SUMPRODUCT(('تشخيص الحالات'!$B$2:$B$1001=B873)*('تشخيص الحالات'!$G$2:$G$1001=8)*ROW('تشخيص الحالات'!$B$2:$B$1001))-1),""),"")</f>
        <v/>
      </c>
      <c r="J873" s="1"/>
      <c r="K873" s="1"/>
      <c r="L873" s="1"/>
      <c r="M873" s="1"/>
    </row>
    <row r="874" spans="1:13" x14ac:dyDescent="0.2">
      <c r="A874" s="1"/>
      <c r="B874" s="1"/>
      <c r="C874" s="1"/>
      <c r="D874" s="1"/>
      <c r="E874" s="1"/>
      <c r="F874" s="1"/>
      <c r="G874" s="1"/>
      <c r="H874" s="1"/>
      <c r="I874" t="str">
        <f>IFERROR(INDEX('تشخيص الحالات'!$D$2:$D$1001,SUMPRODUCT(('تشخيص الحالات'!$B$2:$B$1001=B874)*('تشخيص الحالات'!$G$2:$G$1001=1)*ROW('تشخيص الحالات'!$B$2:$B$1001))-1),"")&amp;IF(SUMPRODUCT(('تشخيص الحالات'!$B$2:$B$1001=B874)*('تشخيص الحالات'!$G$2:$G$1001=2))&gt;0,"، "&amp;IFERROR(INDEX('تشخيص الحالات'!$D$2:$D$1001,SUMPRODUCT(('تشخيص الحالات'!$B$2:$B$1001=B874)*('تشخيص الحالات'!$G$2:$G$1001=2)*ROW('تشخيص الحالات'!$B$2:$B$1001))-1),""),"")&amp;IF(SUMPRODUCT(('تشخيص الحالات'!$B$2:$B$1001=B874)*('تشخيص الحالات'!$G$2:$G$1001=3))&gt;0,"، "&amp;IFERROR(INDEX('تشخيص الحالات'!$D$2:$D$1001,SUMPRODUCT(('تشخيص الحالات'!$B$2:$B$1001=B874)*('تشخيص الحالات'!$G$2:$G$1001=3)*ROW('تشخيص الحالات'!$B$2:$B$1001))-1),""),"")&amp;IF(SUMPRODUCT(('تشخيص الحالات'!$B$2:$B$1001=B874)*('تشخيص الحالات'!$G$2:$G$1001=4))&gt;0,"، "&amp;IFERROR(INDEX('تشخيص الحالات'!$D$2:$D$1001,SUMPRODUCT(('تشخيص الحالات'!$B$2:$B$1001=B874)*('تشخيص الحالات'!$G$2:$G$1001=4)*ROW('تشخيص الحالات'!$B$2:$B$1001))-1),""),"")&amp;IF(SUMPRODUCT(('تشخيص الحالات'!$B$2:$B$1001=B874)*('تشخيص الحالات'!$G$2:$G$1001=5))&gt;0,"، "&amp;IFERROR(INDEX('تشخيص الحالات'!$D$2:$D$1001,SUMPRODUCT(('تشخيص الحالات'!$B$2:$B$1001=B874)*('تشخيص الحالات'!$G$2:$G$1001=5)*ROW('تشخيص الحالات'!$B$2:$B$1001))-1),""),"")&amp;IF(SUMPRODUCT(('تشخيص الحالات'!$B$2:$B$1001=B874)*('تشخيص الحالات'!$G$2:$G$1001=6))&gt;0,"، "&amp;IFERROR(INDEX('تشخيص الحالات'!$D$2:$D$1001,SUMPRODUCT(('تشخيص الحالات'!$B$2:$B$1001=B874)*('تشخيص الحالات'!$G$2:$G$1001=6)*ROW('تشخيص الحالات'!$B$2:$B$1001))-1),""),"")&amp;IF(SUMPRODUCT(('تشخيص الحالات'!$B$2:$B$1001=B874)*('تشخيص الحالات'!$G$2:$G$1001=7))&gt;0,"، "&amp;IFERROR(INDEX('تشخيص الحالات'!$D$2:$D$1001,SUMPRODUCT(('تشخيص الحالات'!$B$2:$B$1001=B874)*('تشخيص الحالات'!$G$2:$G$1001=7)*ROW('تشخيص الحالات'!$B$2:$B$1001))-1),""),"")&amp;IF(SUMPRODUCT(('تشخيص الحالات'!$B$2:$B$1001=B874)*('تشخيص الحالات'!$G$2:$G$1001=8))&gt;0,"، "&amp;IFERROR(INDEX('تشخيص الحالات'!$D$2:$D$1001,SUMPRODUCT(('تشخيص الحالات'!$B$2:$B$1001=B874)*('تشخيص الحالات'!$G$2:$G$1001=8)*ROW('تشخيص الحالات'!$B$2:$B$1001))-1),""),"")</f>
        <v/>
      </c>
      <c r="J874" s="1"/>
      <c r="K874" s="1"/>
      <c r="L874" s="1"/>
      <c r="M874" s="1"/>
    </row>
    <row r="875" spans="1:13" x14ac:dyDescent="0.2">
      <c r="A875" s="1"/>
      <c r="B875" s="1"/>
      <c r="C875" s="1"/>
      <c r="D875" s="1"/>
      <c r="E875" s="1"/>
      <c r="F875" s="1"/>
      <c r="G875" s="1"/>
      <c r="H875" s="1"/>
      <c r="I875" t="str">
        <f>IFERROR(INDEX('تشخيص الحالات'!$D$2:$D$1001,SUMPRODUCT(('تشخيص الحالات'!$B$2:$B$1001=B875)*('تشخيص الحالات'!$G$2:$G$1001=1)*ROW('تشخيص الحالات'!$B$2:$B$1001))-1),"")&amp;IF(SUMPRODUCT(('تشخيص الحالات'!$B$2:$B$1001=B875)*('تشخيص الحالات'!$G$2:$G$1001=2))&gt;0,"، "&amp;IFERROR(INDEX('تشخيص الحالات'!$D$2:$D$1001,SUMPRODUCT(('تشخيص الحالات'!$B$2:$B$1001=B875)*('تشخيص الحالات'!$G$2:$G$1001=2)*ROW('تشخيص الحالات'!$B$2:$B$1001))-1),""),"")&amp;IF(SUMPRODUCT(('تشخيص الحالات'!$B$2:$B$1001=B875)*('تشخيص الحالات'!$G$2:$G$1001=3))&gt;0,"، "&amp;IFERROR(INDEX('تشخيص الحالات'!$D$2:$D$1001,SUMPRODUCT(('تشخيص الحالات'!$B$2:$B$1001=B875)*('تشخيص الحالات'!$G$2:$G$1001=3)*ROW('تشخيص الحالات'!$B$2:$B$1001))-1),""),"")&amp;IF(SUMPRODUCT(('تشخيص الحالات'!$B$2:$B$1001=B875)*('تشخيص الحالات'!$G$2:$G$1001=4))&gt;0,"، "&amp;IFERROR(INDEX('تشخيص الحالات'!$D$2:$D$1001,SUMPRODUCT(('تشخيص الحالات'!$B$2:$B$1001=B875)*('تشخيص الحالات'!$G$2:$G$1001=4)*ROW('تشخيص الحالات'!$B$2:$B$1001))-1),""),"")&amp;IF(SUMPRODUCT(('تشخيص الحالات'!$B$2:$B$1001=B875)*('تشخيص الحالات'!$G$2:$G$1001=5))&gt;0,"، "&amp;IFERROR(INDEX('تشخيص الحالات'!$D$2:$D$1001,SUMPRODUCT(('تشخيص الحالات'!$B$2:$B$1001=B875)*('تشخيص الحالات'!$G$2:$G$1001=5)*ROW('تشخيص الحالات'!$B$2:$B$1001))-1),""),"")&amp;IF(SUMPRODUCT(('تشخيص الحالات'!$B$2:$B$1001=B875)*('تشخيص الحالات'!$G$2:$G$1001=6))&gt;0,"، "&amp;IFERROR(INDEX('تشخيص الحالات'!$D$2:$D$1001,SUMPRODUCT(('تشخيص الحالات'!$B$2:$B$1001=B875)*('تشخيص الحالات'!$G$2:$G$1001=6)*ROW('تشخيص الحالات'!$B$2:$B$1001))-1),""),"")&amp;IF(SUMPRODUCT(('تشخيص الحالات'!$B$2:$B$1001=B875)*('تشخيص الحالات'!$G$2:$G$1001=7))&gt;0,"، "&amp;IFERROR(INDEX('تشخيص الحالات'!$D$2:$D$1001,SUMPRODUCT(('تشخيص الحالات'!$B$2:$B$1001=B875)*('تشخيص الحالات'!$G$2:$G$1001=7)*ROW('تشخيص الحالات'!$B$2:$B$1001))-1),""),"")&amp;IF(SUMPRODUCT(('تشخيص الحالات'!$B$2:$B$1001=B875)*('تشخيص الحالات'!$G$2:$G$1001=8))&gt;0,"، "&amp;IFERROR(INDEX('تشخيص الحالات'!$D$2:$D$1001,SUMPRODUCT(('تشخيص الحالات'!$B$2:$B$1001=B875)*('تشخيص الحالات'!$G$2:$G$1001=8)*ROW('تشخيص الحالات'!$B$2:$B$1001))-1),""),"")</f>
        <v/>
      </c>
      <c r="J875" s="1"/>
      <c r="K875" s="1"/>
      <c r="L875" s="1"/>
      <c r="M875" s="1"/>
    </row>
    <row r="876" spans="1:13" x14ac:dyDescent="0.2">
      <c r="A876" s="1"/>
      <c r="B876" s="1"/>
      <c r="C876" s="1"/>
      <c r="D876" s="1"/>
      <c r="E876" s="1"/>
      <c r="F876" s="1"/>
      <c r="G876" s="1"/>
      <c r="H876" s="1"/>
      <c r="I876" t="str">
        <f>IFERROR(INDEX('تشخيص الحالات'!$D$2:$D$1001,SUMPRODUCT(('تشخيص الحالات'!$B$2:$B$1001=B876)*('تشخيص الحالات'!$G$2:$G$1001=1)*ROW('تشخيص الحالات'!$B$2:$B$1001))-1),"")&amp;IF(SUMPRODUCT(('تشخيص الحالات'!$B$2:$B$1001=B876)*('تشخيص الحالات'!$G$2:$G$1001=2))&gt;0,"، "&amp;IFERROR(INDEX('تشخيص الحالات'!$D$2:$D$1001,SUMPRODUCT(('تشخيص الحالات'!$B$2:$B$1001=B876)*('تشخيص الحالات'!$G$2:$G$1001=2)*ROW('تشخيص الحالات'!$B$2:$B$1001))-1),""),"")&amp;IF(SUMPRODUCT(('تشخيص الحالات'!$B$2:$B$1001=B876)*('تشخيص الحالات'!$G$2:$G$1001=3))&gt;0,"، "&amp;IFERROR(INDEX('تشخيص الحالات'!$D$2:$D$1001,SUMPRODUCT(('تشخيص الحالات'!$B$2:$B$1001=B876)*('تشخيص الحالات'!$G$2:$G$1001=3)*ROW('تشخيص الحالات'!$B$2:$B$1001))-1),""),"")&amp;IF(SUMPRODUCT(('تشخيص الحالات'!$B$2:$B$1001=B876)*('تشخيص الحالات'!$G$2:$G$1001=4))&gt;0,"، "&amp;IFERROR(INDEX('تشخيص الحالات'!$D$2:$D$1001,SUMPRODUCT(('تشخيص الحالات'!$B$2:$B$1001=B876)*('تشخيص الحالات'!$G$2:$G$1001=4)*ROW('تشخيص الحالات'!$B$2:$B$1001))-1),""),"")&amp;IF(SUMPRODUCT(('تشخيص الحالات'!$B$2:$B$1001=B876)*('تشخيص الحالات'!$G$2:$G$1001=5))&gt;0,"، "&amp;IFERROR(INDEX('تشخيص الحالات'!$D$2:$D$1001,SUMPRODUCT(('تشخيص الحالات'!$B$2:$B$1001=B876)*('تشخيص الحالات'!$G$2:$G$1001=5)*ROW('تشخيص الحالات'!$B$2:$B$1001))-1),""),"")&amp;IF(SUMPRODUCT(('تشخيص الحالات'!$B$2:$B$1001=B876)*('تشخيص الحالات'!$G$2:$G$1001=6))&gt;0,"، "&amp;IFERROR(INDEX('تشخيص الحالات'!$D$2:$D$1001,SUMPRODUCT(('تشخيص الحالات'!$B$2:$B$1001=B876)*('تشخيص الحالات'!$G$2:$G$1001=6)*ROW('تشخيص الحالات'!$B$2:$B$1001))-1),""),"")&amp;IF(SUMPRODUCT(('تشخيص الحالات'!$B$2:$B$1001=B876)*('تشخيص الحالات'!$G$2:$G$1001=7))&gt;0,"، "&amp;IFERROR(INDEX('تشخيص الحالات'!$D$2:$D$1001,SUMPRODUCT(('تشخيص الحالات'!$B$2:$B$1001=B876)*('تشخيص الحالات'!$G$2:$G$1001=7)*ROW('تشخيص الحالات'!$B$2:$B$1001))-1),""),"")&amp;IF(SUMPRODUCT(('تشخيص الحالات'!$B$2:$B$1001=B876)*('تشخيص الحالات'!$G$2:$G$1001=8))&gt;0,"، "&amp;IFERROR(INDEX('تشخيص الحالات'!$D$2:$D$1001,SUMPRODUCT(('تشخيص الحالات'!$B$2:$B$1001=B876)*('تشخيص الحالات'!$G$2:$G$1001=8)*ROW('تشخيص الحالات'!$B$2:$B$1001))-1),""),"")</f>
        <v/>
      </c>
      <c r="J876" s="1"/>
      <c r="K876" s="1"/>
      <c r="L876" s="1"/>
      <c r="M876" s="1"/>
    </row>
    <row r="877" spans="1:13" x14ac:dyDescent="0.2">
      <c r="A877" s="1"/>
      <c r="B877" s="1"/>
      <c r="C877" s="1"/>
      <c r="D877" s="1"/>
      <c r="E877" s="1"/>
      <c r="F877" s="1"/>
      <c r="G877" s="1"/>
      <c r="H877" s="1"/>
      <c r="I877" t="str">
        <f>IFERROR(INDEX('تشخيص الحالات'!$D$2:$D$1001,SUMPRODUCT(('تشخيص الحالات'!$B$2:$B$1001=B877)*('تشخيص الحالات'!$G$2:$G$1001=1)*ROW('تشخيص الحالات'!$B$2:$B$1001))-1),"")&amp;IF(SUMPRODUCT(('تشخيص الحالات'!$B$2:$B$1001=B877)*('تشخيص الحالات'!$G$2:$G$1001=2))&gt;0,"، "&amp;IFERROR(INDEX('تشخيص الحالات'!$D$2:$D$1001,SUMPRODUCT(('تشخيص الحالات'!$B$2:$B$1001=B877)*('تشخيص الحالات'!$G$2:$G$1001=2)*ROW('تشخيص الحالات'!$B$2:$B$1001))-1),""),"")&amp;IF(SUMPRODUCT(('تشخيص الحالات'!$B$2:$B$1001=B877)*('تشخيص الحالات'!$G$2:$G$1001=3))&gt;0,"، "&amp;IFERROR(INDEX('تشخيص الحالات'!$D$2:$D$1001,SUMPRODUCT(('تشخيص الحالات'!$B$2:$B$1001=B877)*('تشخيص الحالات'!$G$2:$G$1001=3)*ROW('تشخيص الحالات'!$B$2:$B$1001))-1),""),"")&amp;IF(SUMPRODUCT(('تشخيص الحالات'!$B$2:$B$1001=B877)*('تشخيص الحالات'!$G$2:$G$1001=4))&gt;0,"، "&amp;IFERROR(INDEX('تشخيص الحالات'!$D$2:$D$1001,SUMPRODUCT(('تشخيص الحالات'!$B$2:$B$1001=B877)*('تشخيص الحالات'!$G$2:$G$1001=4)*ROW('تشخيص الحالات'!$B$2:$B$1001))-1),""),"")&amp;IF(SUMPRODUCT(('تشخيص الحالات'!$B$2:$B$1001=B877)*('تشخيص الحالات'!$G$2:$G$1001=5))&gt;0,"، "&amp;IFERROR(INDEX('تشخيص الحالات'!$D$2:$D$1001,SUMPRODUCT(('تشخيص الحالات'!$B$2:$B$1001=B877)*('تشخيص الحالات'!$G$2:$G$1001=5)*ROW('تشخيص الحالات'!$B$2:$B$1001))-1),""),"")&amp;IF(SUMPRODUCT(('تشخيص الحالات'!$B$2:$B$1001=B877)*('تشخيص الحالات'!$G$2:$G$1001=6))&gt;0,"، "&amp;IFERROR(INDEX('تشخيص الحالات'!$D$2:$D$1001,SUMPRODUCT(('تشخيص الحالات'!$B$2:$B$1001=B877)*('تشخيص الحالات'!$G$2:$G$1001=6)*ROW('تشخيص الحالات'!$B$2:$B$1001))-1),""),"")&amp;IF(SUMPRODUCT(('تشخيص الحالات'!$B$2:$B$1001=B877)*('تشخيص الحالات'!$G$2:$G$1001=7))&gt;0,"، "&amp;IFERROR(INDEX('تشخيص الحالات'!$D$2:$D$1001,SUMPRODUCT(('تشخيص الحالات'!$B$2:$B$1001=B877)*('تشخيص الحالات'!$G$2:$G$1001=7)*ROW('تشخيص الحالات'!$B$2:$B$1001))-1),""),"")&amp;IF(SUMPRODUCT(('تشخيص الحالات'!$B$2:$B$1001=B877)*('تشخيص الحالات'!$G$2:$G$1001=8))&gt;0,"، "&amp;IFERROR(INDEX('تشخيص الحالات'!$D$2:$D$1001,SUMPRODUCT(('تشخيص الحالات'!$B$2:$B$1001=B877)*('تشخيص الحالات'!$G$2:$G$1001=8)*ROW('تشخيص الحالات'!$B$2:$B$1001))-1),""),"")</f>
        <v/>
      </c>
      <c r="J877" s="1"/>
      <c r="K877" s="1"/>
      <c r="L877" s="1"/>
      <c r="M877" s="1"/>
    </row>
    <row r="878" spans="1:13" x14ac:dyDescent="0.2">
      <c r="A878" s="1"/>
      <c r="B878" s="1"/>
      <c r="C878" s="1"/>
      <c r="D878" s="1"/>
      <c r="E878" s="1"/>
      <c r="F878" s="1"/>
      <c r="G878" s="1"/>
      <c r="H878" s="1"/>
      <c r="I878" t="str">
        <f>IFERROR(INDEX('تشخيص الحالات'!$D$2:$D$1001,SUMPRODUCT(('تشخيص الحالات'!$B$2:$B$1001=B878)*('تشخيص الحالات'!$G$2:$G$1001=1)*ROW('تشخيص الحالات'!$B$2:$B$1001))-1),"")&amp;IF(SUMPRODUCT(('تشخيص الحالات'!$B$2:$B$1001=B878)*('تشخيص الحالات'!$G$2:$G$1001=2))&gt;0,"، "&amp;IFERROR(INDEX('تشخيص الحالات'!$D$2:$D$1001,SUMPRODUCT(('تشخيص الحالات'!$B$2:$B$1001=B878)*('تشخيص الحالات'!$G$2:$G$1001=2)*ROW('تشخيص الحالات'!$B$2:$B$1001))-1),""),"")&amp;IF(SUMPRODUCT(('تشخيص الحالات'!$B$2:$B$1001=B878)*('تشخيص الحالات'!$G$2:$G$1001=3))&gt;0,"، "&amp;IFERROR(INDEX('تشخيص الحالات'!$D$2:$D$1001,SUMPRODUCT(('تشخيص الحالات'!$B$2:$B$1001=B878)*('تشخيص الحالات'!$G$2:$G$1001=3)*ROW('تشخيص الحالات'!$B$2:$B$1001))-1),""),"")&amp;IF(SUMPRODUCT(('تشخيص الحالات'!$B$2:$B$1001=B878)*('تشخيص الحالات'!$G$2:$G$1001=4))&gt;0,"، "&amp;IFERROR(INDEX('تشخيص الحالات'!$D$2:$D$1001,SUMPRODUCT(('تشخيص الحالات'!$B$2:$B$1001=B878)*('تشخيص الحالات'!$G$2:$G$1001=4)*ROW('تشخيص الحالات'!$B$2:$B$1001))-1),""),"")&amp;IF(SUMPRODUCT(('تشخيص الحالات'!$B$2:$B$1001=B878)*('تشخيص الحالات'!$G$2:$G$1001=5))&gt;0,"، "&amp;IFERROR(INDEX('تشخيص الحالات'!$D$2:$D$1001,SUMPRODUCT(('تشخيص الحالات'!$B$2:$B$1001=B878)*('تشخيص الحالات'!$G$2:$G$1001=5)*ROW('تشخيص الحالات'!$B$2:$B$1001))-1),""),"")&amp;IF(SUMPRODUCT(('تشخيص الحالات'!$B$2:$B$1001=B878)*('تشخيص الحالات'!$G$2:$G$1001=6))&gt;0,"، "&amp;IFERROR(INDEX('تشخيص الحالات'!$D$2:$D$1001,SUMPRODUCT(('تشخيص الحالات'!$B$2:$B$1001=B878)*('تشخيص الحالات'!$G$2:$G$1001=6)*ROW('تشخيص الحالات'!$B$2:$B$1001))-1),""),"")&amp;IF(SUMPRODUCT(('تشخيص الحالات'!$B$2:$B$1001=B878)*('تشخيص الحالات'!$G$2:$G$1001=7))&gt;0,"، "&amp;IFERROR(INDEX('تشخيص الحالات'!$D$2:$D$1001,SUMPRODUCT(('تشخيص الحالات'!$B$2:$B$1001=B878)*('تشخيص الحالات'!$G$2:$G$1001=7)*ROW('تشخيص الحالات'!$B$2:$B$1001))-1),""),"")&amp;IF(SUMPRODUCT(('تشخيص الحالات'!$B$2:$B$1001=B878)*('تشخيص الحالات'!$G$2:$G$1001=8))&gt;0,"، "&amp;IFERROR(INDEX('تشخيص الحالات'!$D$2:$D$1001,SUMPRODUCT(('تشخيص الحالات'!$B$2:$B$1001=B878)*('تشخيص الحالات'!$G$2:$G$1001=8)*ROW('تشخيص الحالات'!$B$2:$B$1001))-1),""),"")</f>
        <v/>
      </c>
      <c r="J878" s="1"/>
      <c r="K878" s="1"/>
      <c r="L878" s="1"/>
      <c r="M878" s="1"/>
    </row>
    <row r="879" spans="1:13" x14ac:dyDescent="0.2">
      <c r="A879" s="1"/>
      <c r="B879" s="1"/>
      <c r="C879" s="1"/>
      <c r="D879" s="1"/>
      <c r="E879" s="1"/>
      <c r="F879" s="1"/>
      <c r="G879" s="1"/>
      <c r="H879" s="1"/>
      <c r="I879" t="str">
        <f>IFERROR(INDEX('تشخيص الحالات'!$D$2:$D$1001,SUMPRODUCT(('تشخيص الحالات'!$B$2:$B$1001=B879)*('تشخيص الحالات'!$G$2:$G$1001=1)*ROW('تشخيص الحالات'!$B$2:$B$1001))-1),"")&amp;IF(SUMPRODUCT(('تشخيص الحالات'!$B$2:$B$1001=B879)*('تشخيص الحالات'!$G$2:$G$1001=2))&gt;0,"، "&amp;IFERROR(INDEX('تشخيص الحالات'!$D$2:$D$1001,SUMPRODUCT(('تشخيص الحالات'!$B$2:$B$1001=B879)*('تشخيص الحالات'!$G$2:$G$1001=2)*ROW('تشخيص الحالات'!$B$2:$B$1001))-1),""),"")&amp;IF(SUMPRODUCT(('تشخيص الحالات'!$B$2:$B$1001=B879)*('تشخيص الحالات'!$G$2:$G$1001=3))&gt;0,"، "&amp;IFERROR(INDEX('تشخيص الحالات'!$D$2:$D$1001,SUMPRODUCT(('تشخيص الحالات'!$B$2:$B$1001=B879)*('تشخيص الحالات'!$G$2:$G$1001=3)*ROW('تشخيص الحالات'!$B$2:$B$1001))-1),""),"")&amp;IF(SUMPRODUCT(('تشخيص الحالات'!$B$2:$B$1001=B879)*('تشخيص الحالات'!$G$2:$G$1001=4))&gt;0,"، "&amp;IFERROR(INDEX('تشخيص الحالات'!$D$2:$D$1001,SUMPRODUCT(('تشخيص الحالات'!$B$2:$B$1001=B879)*('تشخيص الحالات'!$G$2:$G$1001=4)*ROW('تشخيص الحالات'!$B$2:$B$1001))-1),""),"")&amp;IF(SUMPRODUCT(('تشخيص الحالات'!$B$2:$B$1001=B879)*('تشخيص الحالات'!$G$2:$G$1001=5))&gt;0,"، "&amp;IFERROR(INDEX('تشخيص الحالات'!$D$2:$D$1001,SUMPRODUCT(('تشخيص الحالات'!$B$2:$B$1001=B879)*('تشخيص الحالات'!$G$2:$G$1001=5)*ROW('تشخيص الحالات'!$B$2:$B$1001))-1),""),"")&amp;IF(SUMPRODUCT(('تشخيص الحالات'!$B$2:$B$1001=B879)*('تشخيص الحالات'!$G$2:$G$1001=6))&gt;0,"، "&amp;IFERROR(INDEX('تشخيص الحالات'!$D$2:$D$1001,SUMPRODUCT(('تشخيص الحالات'!$B$2:$B$1001=B879)*('تشخيص الحالات'!$G$2:$G$1001=6)*ROW('تشخيص الحالات'!$B$2:$B$1001))-1),""),"")&amp;IF(SUMPRODUCT(('تشخيص الحالات'!$B$2:$B$1001=B879)*('تشخيص الحالات'!$G$2:$G$1001=7))&gt;0,"، "&amp;IFERROR(INDEX('تشخيص الحالات'!$D$2:$D$1001,SUMPRODUCT(('تشخيص الحالات'!$B$2:$B$1001=B879)*('تشخيص الحالات'!$G$2:$G$1001=7)*ROW('تشخيص الحالات'!$B$2:$B$1001))-1),""),"")&amp;IF(SUMPRODUCT(('تشخيص الحالات'!$B$2:$B$1001=B879)*('تشخيص الحالات'!$G$2:$G$1001=8))&gt;0,"، "&amp;IFERROR(INDEX('تشخيص الحالات'!$D$2:$D$1001,SUMPRODUCT(('تشخيص الحالات'!$B$2:$B$1001=B879)*('تشخيص الحالات'!$G$2:$G$1001=8)*ROW('تشخيص الحالات'!$B$2:$B$1001))-1),""),"")</f>
        <v/>
      </c>
      <c r="J879" s="1"/>
      <c r="K879" s="1"/>
      <c r="L879" s="1"/>
      <c r="M879" s="1"/>
    </row>
    <row r="880" spans="1:13" x14ac:dyDescent="0.2">
      <c r="A880" s="1"/>
      <c r="B880" s="1"/>
      <c r="C880" s="1"/>
      <c r="D880" s="1"/>
      <c r="E880" s="1"/>
      <c r="F880" s="1"/>
      <c r="G880" s="1"/>
      <c r="H880" s="1"/>
      <c r="I880" t="str">
        <f>IFERROR(INDEX('تشخيص الحالات'!$D$2:$D$1001,SUMPRODUCT(('تشخيص الحالات'!$B$2:$B$1001=B880)*('تشخيص الحالات'!$G$2:$G$1001=1)*ROW('تشخيص الحالات'!$B$2:$B$1001))-1),"")&amp;IF(SUMPRODUCT(('تشخيص الحالات'!$B$2:$B$1001=B880)*('تشخيص الحالات'!$G$2:$G$1001=2))&gt;0,"، "&amp;IFERROR(INDEX('تشخيص الحالات'!$D$2:$D$1001,SUMPRODUCT(('تشخيص الحالات'!$B$2:$B$1001=B880)*('تشخيص الحالات'!$G$2:$G$1001=2)*ROW('تشخيص الحالات'!$B$2:$B$1001))-1),""),"")&amp;IF(SUMPRODUCT(('تشخيص الحالات'!$B$2:$B$1001=B880)*('تشخيص الحالات'!$G$2:$G$1001=3))&gt;0,"، "&amp;IFERROR(INDEX('تشخيص الحالات'!$D$2:$D$1001,SUMPRODUCT(('تشخيص الحالات'!$B$2:$B$1001=B880)*('تشخيص الحالات'!$G$2:$G$1001=3)*ROW('تشخيص الحالات'!$B$2:$B$1001))-1),""),"")&amp;IF(SUMPRODUCT(('تشخيص الحالات'!$B$2:$B$1001=B880)*('تشخيص الحالات'!$G$2:$G$1001=4))&gt;0,"، "&amp;IFERROR(INDEX('تشخيص الحالات'!$D$2:$D$1001,SUMPRODUCT(('تشخيص الحالات'!$B$2:$B$1001=B880)*('تشخيص الحالات'!$G$2:$G$1001=4)*ROW('تشخيص الحالات'!$B$2:$B$1001))-1),""),"")&amp;IF(SUMPRODUCT(('تشخيص الحالات'!$B$2:$B$1001=B880)*('تشخيص الحالات'!$G$2:$G$1001=5))&gt;0,"، "&amp;IFERROR(INDEX('تشخيص الحالات'!$D$2:$D$1001,SUMPRODUCT(('تشخيص الحالات'!$B$2:$B$1001=B880)*('تشخيص الحالات'!$G$2:$G$1001=5)*ROW('تشخيص الحالات'!$B$2:$B$1001))-1),""),"")&amp;IF(SUMPRODUCT(('تشخيص الحالات'!$B$2:$B$1001=B880)*('تشخيص الحالات'!$G$2:$G$1001=6))&gt;0,"، "&amp;IFERROR(INDEX('تشخيص الحالات'!$D$2:$D$1001,SUMPRODUCT(('تشخيص الحالات'!$B$2:$B$1001=B880)*('تشخيص الحالات'!$G$2:$G$1001=6)*ROW('تشخيص الحالات'!$B$2:$B$1001))-1),""),"")&amp;IF(SUMPRODUCT(('تشخيص الحالات'!$B$2:$B$1001=B880)*('تشخيص الحالات'!$G$2:$G$1001=7))&gt;0,"، "&amp;IFERROR(INDEX('تشخيص الحالات'!$D$2:$D$1001,SUMPRODUCT(('تشخيص الحالات'!$B$2:$B$1001=B880)*('تشخيص الحالات'!$G$2:$G$1001=7)*ROW('تشخيص الحالات'!$B$2:$B$1001))-1),""),"")&amp;IF(SUMPRODUCT(('تشخيص الحالات'!$B$2:$B$1001=B880)*('تشخيص الحالات'!$G$2:$G$1001=8))&gt;0,"، "&amp;IFERROR(INDEX('تشخيص الحالات'!$D$2:$D$1001,SUMPRODUCT(('تشخيص الحالات'!$B$2:$B$1001=B880)*('تشخيص الحالات'!$G$2:$G$1001=8)*ROW('تشخيص الحالات'!$B$2:$B$1001))-1),""),"")</f>
        <v/>
      </c>
      <c r="J880" s="1"/>
      <c r="K880" s="1"/>
      <c r="L880" s="1"/>
      <c r="M880" s="1"/>
    </row>
    <row r="881" spans="1:13" x14ac:dyDescent="0.2">
      <c r="A881" s="1"/>
      <c r="B881" s="1"/>
      <c r="C881" s="1"/>
      <c r="D881" s="1"/>
      <c r="E881" s="1"/>
      <c r="F881" s="1"/>
      <c r="G881" s="1"/>
      <c r="H881" s="1"/>
      <c r="I881" t="str">
        <f>IFERROR(INDEX('تشخيص الحالات'!$D$2:$D$1001,SUMPRODUCT(('تشخيص الحالات'!$B$2:$B$1001=B881)*('تشخيص الحالات'!$G$2:$G$1001=1)*ROW('تشخيص الحالات'!$B$2:$B$1001))-1),"")&amp;IF(SUMPRODUCT(('تشخيص الحالات'!$B$2:$B$1001=B881)*('تشخيص الحالات'!$G$2:$G$1001=2))&gt;0,"، "&amp;IFERROR(INDEX('تشخيص الحالات'!$D$2:$D$1001,SUMPRODUCT(('تشخيص الحالات'!$B$2:$B$1001=B881)*('تشخيص الحالات'!$G$2:$G$1001=2)*ROW('تشخيص الحالات'!$B$2:$B$1001))-1),""),"")&amp;IF(SUMPRODUCT(('تشخيص الحالات'!$B$2:$B$1001=B881)*('تشخيص الحالات'!$G$2:$G$1001=3))&gt;0,"، "&amp;IFERROR(INDEX('تشخيص الحالات'!$D$2:$D$1001,SUMPRODUCT(('تشخيص الحالات'!$B$2:$B$1001=B881)*('تشخيص الحالات'!$G$2:$G$1001=3)*ROW('تشخيص الحالات'!$B$2:$B$1001))-1),""),"")&amp;IF(SUMPRODUCT(('تشخيص الحالات'!$B$2:$B$1001=B881)*('تشخيص الحالات'!$G$2:$G$1001=4))&gt;0,"، "&amp;IFERROR(INDEX('تشخيص الحالات'!$D$2:$D$1001,SUMPRODUCT(('تشخيص الحالات'!$B$2:$B$1001=B881)*('تشخيص الحالات'!$G$2:$G$1001=4)*ROW('تشخيص الحالات'!$B$2:$B$1001))-1),""),"")&amp;IF(SUMPRODUCT(('تشخيص الحالات'!$B$2:$B$1001=B881)*('تشخيص الحالات'!$G$2:$G$1001=5))&gt;0,"، "&amp;IFERROR(INDEX('تشخيص الحالات'!$D$2:$D$1001,SUMPRODUCT(('تشخيص الحالات'!$B$2:$B$1001=B881)*('تشخيص الحالات'!$G$2:$G$1001=5)*ROW('تشخيص الحالات'!$B$2:$B$1001))-1),""),"")&amp;IF(SUMPRODUCT(('تشخيص الحالات'!$B$2:$B$1001=B881)*('تشخيص الحالات'!$G$2:$G$1001=6))&gt;0,"، "&amp;IFERROR(INDEX('تشخيص الحالات'!$D$2:$D$1001,SUMPRODUCT(('تشخيص الحالات'!$B$2:$B$1001=B881)*('تشخيص الحالات'!$G$2:$G$1001=6)*ROW('تشخيص الحالات'!$B$2:$B$1001))-1),""),"")&amp;IF(SUMPRODUCT(('تشخيص الحالات'!$B$2:$B$1001=B881)*('تشخيص الحالات'!$G$2:$G$1001=7))&gt;0,"، "&amp;IFERROR(INDEX('تشخيص الحالات'!$D$2:$D$1001,SUMPRODUCT(('تشخيص الحالات'!$B$2:$B$1001=B881)*('تشخيص الحالات'!$G$2:$G$1001=7)*ROW('تشخيص الحالات'!$B$2:$B$1001))-1),""),"")&amp;IF(SUMPRODUCT(('تشخيص الحالات'!$B$2:$B$1001=B881)*('تشخيص الحالات'!$G$2:$G$1001=8))&gt;0,"، "&amp;IFERROR(INDEX('تشخيص الحالات'!$D$2:$D$1001,SUMPRODUCT(('تشخيص الحالات'!$B$2:$B$1001=B881)*('تشخيص الحالات'!$G$2:$G$1001=8)*ROW('تشخيص الحالات'!$B$2:$B$1001))-1),""),"")</f>
        <v/>
      </c>
      <c r="J881" s="1"/>
      <c r="K881" s="1"/>
      <c r="L881" s="1"/>
      <c r="M881" s="1"/>
    </row>
    <row r="882" spans="1:13" x14ac:dyDescent="0.2">
      <c r="A882" s="1"/>
      <c r="B882" s="1"/>
      <c r="C882" s="1"/>
      <c r="D882" s="1"/>
      <c r="E882" s="1"/>
      <c r="F882" s="1"/>
      <c r="G882" s="1"/>
      <c r="H882" s="1"/>
      <c r="I882" t="str">
        <f>IFERROR(INDEX('تشخيص الحالات'!$D$2:$D$1001,SUMPRODUCT(('تشخيص الحالات'!$B$2:$B$1001=B882)*('تشخيص الحالات'!$G$2:$G$1001=1)*ROW('تشخيص الحالات'!$B$2:$B$1001))-1),"")&amp;IF(SUMPRODUCT(('تشخيص الحالات'!$B$2:$B$1001=B882)*('تشخيص الحالات'!$G$2:$G$1001=2))&gt;0,"، "&amp;IFERROR(INDEX('تشخيص الحالات'!$D$2:$D$1001,SUMPRODUCT(('تشخيص الحالات'!$B$2:$B$1001=B882)*('تشخيص الحالات'!$G$2:$G$1001=2)*ROW('تشخيص الحالات'!$B$2:$B$1001))-1),""),"")&amp;IF(SUMPRODUCT(('تشخيص الحالات'!$B$2:$B$1001=B882)*('تشخيص الحالات'!$G$2:$G$1001=3))&gt;0,"، "&amp;IFERROR(INDEX('تشخيص الحالات'!$D$2:$D$1001,SUMPRODUCT(('تشخيص الحالات'!$B$2:$B$1001=B882)*('تشخيص الحالات'!$G$2:$G$1001=3)*ROW('تشخيص الحالات'!$B$2:$B$1001))-1),""),"")&amp;IF(SUMPRODUCT(('تشخيص الحالات'!$B$2:$B$1001=B882)*('تشخيص الحالات'!$G$2:$G$1001=4))&gt;0,"، "&amp;IFERROR(INDEX('تشخيص الحالات'!$D$2:$D$1001,SUMPRODUCT(('تشخيص الحالات'!$B$2:$B$1001=B882)*('تشخيص الحالات'!$G$2:$G$1001=4)*ROW('تشخيص الحالات'!$B$2:$B$1001))-1),""),"")&amp;IF(SUMPRODUCT(('تشخيص الحالات'!$B$2:$B$1001=B882)*('تشخيص الحالات'!$G$2:$G$1001=5))&gt;0,"، "&amp;IFERROR(INDEX('تشخيص الحالات'!$D$2:$D$1001,SUMPRODUCT(('تشخيص الحالات'!$B$2:$B$1001=B882)*('تشخيص الحالات'!$G$2:$G$1001=5)*ROW('تشخيص الحالات'!$B$2:$B$1001))-1),""),"")&amp;IF(SUMPRODUCT(('تشخيص الحالات'!$B$2:$B$1001=B882)*('تشخيص الحالات'!$G$2:$G$1001=6))&gt;0,"، "&amp;IFERROR(INDEX('تشخيص الحالات'!$D$2:$D$1001,SUMPRODUCT(('تشخيص الحالات'!$B$2:$B$1001=B882)*('تشخيص الحالات'!$G$2:$G$1001=6)*ROW('تشخيص الحالات'!$B$2:$B$1001))-1),""),"")&amp;IF(SUMPRODUCT(('تشخيص الحالات'!$B$2:$B$1001=B882)*('تشخيص الحالات'!$G$2:$G$1001=7))&gt;0,"، "&amp;IFERROR(INDEX('تشخيص الحالات'!$D$2:$D$1001,SUMPRODUCT(('تشخيص الحالات'!$B$2:$B$1001=B882)*('تشخيص الحالات'!$G$2:$G$1001=7)*ROW('تشخيص الحالات'!$B$2:$B$1001))-1),""),"")&amp;IF(SUMPRODUCT(('تشخيص الحالات'!$B$2:$B$1001=B882)*('تشخيص الحالات'!$G$2:$G$1001=8))&gt;0,"، "&amp;IFERROR(INDEX('تشخيص الحالات'!$D$2:$D$1001,SUMPRODUCT(('تشخيص الحالات'!$B$2:$B$1001=B882)*('تشخيص الحالات'!$G$2:$G$1001=8)*ROW('تشخيص الحالات'!$B$2:$B$1001))-1),""),"")</f>
        <v/>
      </c>
      <c r="J882" s="1"/>
      <c r="K882" s="1"/>
      <c r="L882" s="1"/>
      <c r="M882" s="1"/>
    </row>
    <row r="883" spans="1:13" x14ac:dyDescent="0.2">
      <c r="A883" s="1"/>
      <c r="B883" s="1"/>
      <c r="C883" s="1"/>
      <c r="D883" s="1"/>
      <c r="E883" s="1"/>
      <c r="F883" s="1"/>
      <c r="G883" s="1"/>
      <c r="H883" s="1"/>
      <c r="I883" t="str">
        <f>IFERROR(INDEX('تشخيص الحالات'!$D$2:$D$1001,SUMPRODUCT(('تشخيص الحالات'!$B$2:$B$1001=B883)*('تشخيص الحالات'!$G$2:$G$1001=1)*ROW('تشخيص الحالات'!$B$2:$B$1001))-1),"")&amp;IF(SUMPRODUCT(('تشخيص الحالات'!$B$2:$B$1001=B883)*('تشخيص الحالات'!$G$2:$G$1001=2))&gt;0,"، "&amp;IFERROR(INDEX('تشخيص الحالات'!$D$2:$D$1001,SUMPRODUCT(('تشخيص الحالات'!$B$2:$B$1001=B883)*('تشخيص الحالات'!$G$2:$G$1001=2)*ROW('تشخيص الحالات'!$B$2:$B$1001))-1),""),"")&amp;IF(SUMPRODUCT(('تشخيص الحالات'!$B$2:$B$1001=B883)*('تشخيص الحالات'!$G$2:$G$1001=3))&gt;0,"، "&amp;IFERROR(INDEX('تشخيص الحالات'!$D$2:$D$1001,SUMPRODUCT(('تشخيص الحالات'!$B$2:$B$1001=B883)*('تشخيص الحالات'!$G$2:$G$1001=3)*ROW('تشخيص الحالات'!$B$2:$B$1001))-1),""),"")&amp;IF(SUMPRODUCT(('تشخيص الحالات'!$B$2:$B$1001=B883)*('تشخيص الحالات'!$G$2:$G$1001=4))&gt;0,"، "&amp;IFERROR(INDEX('تشخيص الحالات'!$D$2:$D$1001,SUMPRODUCT(('تشخيص الحالات'!$B$2:$B$1001=B883)*('تشخيص الحالات'!$G$2:$G$1001=4)*ROW('تشخيص الحالات'!$B$2:$B$1001))-1),""),"")&amp;IF(SUMPRODUCT(('تشخيص الحالات'!$B$2:$B$1001=B883)*('تشخيص الحالات'!$G$2:$G$1001=5))&gt;0,"، "&amp;IFERROR(INDEX('تشخيص الحالات'!$D$2:$D$1001,SUMPRODUCT(('تشخيص الحالات'!$B$2:$B$1001=B883)*('تشخيص الحالات'!$G$2:$G$1001=5)*ROW('تشخيص الحالات'!$B$2:$B$1001))-1),""),"")&amp;IF(SUMPRODUCT(('تشخيص الحالات'!$B$2:$B$1001=B883)*('تشخيص الحالات'!$G$2:$G$1001=6))&gt;0,"، "&amp;IFERROR(INDEX('تشخيص الحالات'!$D$2:$D$1001,SUMPRODUCT(('تشخيص الحالات'!$B$2:$B$1001=B883)*('تشخيص الحالات'!$G$2:$G$1001=6)*ROW('تشخيص الحالات'!$B$2:$B$1001))-1),""),"")&amp;IF(SUMPRODUCT(('تشخيص الحالات'!$B$2:$B$1001=B883)*('تشخيص الحالات'!$G$2:$G$1001=7))&gt;0,"، "&amp;IFERROR(INDEX('تشخيص الحالات'!$D$2:$D$1001,SUMPRODUCT(('تشخيص الحالات'!$B$2:$B$1001=B883)*('تشخيص الحالات'!$G$2:$G$1001=7)*ROW('تشخيص الحالات'!$B$2:$B$1001))-1),""),"")&amp;IF(SUMPRODUCT(('تشخيص الحالات'!$B$2:$B$1001=B883)*('تشخيص الحالات'!$G$2:$G$1001=8))&gt;0,"، "&amp;IFERROR(INDEX('تشخيص الحالات'!$D$2:$D$1001,SUMPRODUCT(('تشخيص الحالات'!$B$2:$B$1001=B883)*('تشخيص الحالات'!$G$2:$G$1001=8)*ROW('تشخيص الحالات'!$B$2:$B$1001))-1),""),"")</f>
        <v/>
      </c>
      <c r="J883" s="1"/>
      <c r="K883" s="1"/>
      <c r="L883" s="1"/>
      <c r="M883" s="1"/>
    </row>
    <row r="884" spans="1:13" x14ac:dyDescent="0.2">
      <c r="A884" s="1"/>
      <c r="B884" s="1"/>
      <c r="C884" s="1"/>
      <c r="D884" s="1"/>
      <c r="E884" s="1"/>
      <c r="F884" s="1"/>
      <c r="G884" s="1"/>
      <c r="H884" s="1"/>
      <c r="I884" t="str">
        <f>IFERROR(INDEX('تشخيص الحالات'!$D$2:$D$1001,SUMPRODUCT(('تشخيص الحالات'!$B$2:$B$1001=B884)*('تشخيص الحالات'!$G$2:$G$1001=1)*ROW('تشخيص الحالات'!$B$2:$B$1001))-1),"")&amp;IF(SUMPRODUCT(('تشخيص الحالات'!$B$2:$B$1001=B884)*('تشخيص الحالات'!$G$2:$G$1001=2))&gt;0,"، "&amp;IFERROR(INDEX('تشخيص الحالات'!$D$2:$D$1001,SUMPRODUCT(('تشخيص الحالات'!$B$2:$B$1001=B884)*('تشخيص الحالات'!$G$2:$G$1001=2)*ROW('تشخيص الحالات'!$B$2:$B$1001))-1),""),"")&amp;IF(SUMPRODUCT(('تشخيص الحالات'!$B$2:$B$1001=B884)*('تشخيص الحالات'!$G$2:$G$1001=3))&gt;0,"، "&amp;IFERROR(INDEX('تشخيص الحالات'!$D$2:$D$1001,SUMPRODUCT(('تشخيص الحالات'!$B$2:$B$1001=B884)*('تشخيص الحالات'!$G$2:$G$1001=3)*ROW('تشخيص الحالات'!$B$2:$B$1001))-1),""),"")&amp;IF(SUMPRODUCT(('تشخيص الحالات'!$B$2:$B$1001=B884)*('تشخيص الحالات'!$G$2:$G$1001=4))&gt;0,"، "&amp;IFERROR(INDEX('تشخيص الحالات'!$D$2:$D$1001,SUMPRODUCT(('تشخيص الحالات'!$B$2:$B$1001=B884)*('تشخيص الحالات'!$G$2:$G$1001=4)*ROW('تشخيص الحالات'!$B$2:$B$1001))-1),""),"")&amp;IF(SUMPRODUCT(('تشخيص الحالات'!$B$2:$B$1001=B884)*('تشخيص الحالات'!$G$2:$G$1001=5))&gt;0,"، "&amp;IFERROR(INDEX('تشخيص الحالات'!$D$2:$D$1001,SUMPRODUCT(('تشخيص الحالات'!$B$2:$B$1001=B884)*('تشخيص الحالات'!$G$2:$G$1001=5)*ROW('تشخيص الحالات'!$B$2:$B$1001))-1),""),"")&amp;IF(SUMPRODUCT(('تشخيص الحالات'!$B$2:$B$1001=B884)*('تشخيص الحالات'!$G$2:$G$1001=6))&gt;0,"، "&amp;IFERROR(INDEX('تشخيص الحالات'!$D$2:$D$1001,SUMPRODUCT(('تشخيص الحالات'!$B$2:$B$1001=B884)*('تشخيص الحالات'!$G$2:$G$1001=6)*ROW('تشخيص الحالات'!$B$2:$B$1001))-1),""),"")&amp;IF(SUMPRODUCT(('تشخيص الحالات'!$B$2:$B$1001=B884)*('تشخيص الحالات'!$G$2:$G$1001=7))&gt;0,"، "&amp;IFERROR(INDEX('تشخيص الحالات'!$D$2:$D$1001,SUMPRODUCT(('تشخيص الحالات'!$B$2:$B$1001=B884)*('تشخيص الحالات'!$G$2:$G$1001=7)*ROW('تشخيص الحالات'!$B$2:$B$1001))-1),""),"")&amp;IF(SUMPRODUCT(('تشخيص الحالات'!$B$2:$B$1001=B884)*('تشخيص الحالات'!$G$2:$G$1001=8))&gt;0,"، "&amp;IFERROR(INDEX('تشخيص الحالات'!$D$2:$D$1001,SUMPRODUCT(('تشخيص الحالات'!$B$2:$B$1001=B884)*('تشخيص الحالات'!$G$2:$G$1001=8)*ROW('تشخيص الحالات'!$B$2:$B$1001))-1),""),"")</f>
        <v/>
      </c>
      <c r="J884" s="1"/>
      <c r="K884" s="1"/>
      <c r="L884" s="1"/>
      <c r="M884" s="1"/>
    </row>
    <row r="885" spans="1:13" x14ac:dyDescent="0.2">
      <c r="A885" s="1"/>
      <c r="B885" s="1"/>
      <c r="C885" s="1"/>
      <c r="D885" s="1"/>
      <c r="E885" s="1"/>
      <c r="F885" s="1"/>
      <c r="G885" s="1"/>
      <c r="H885" s="1"/>
      <c r="I885" t="str">
        <f>IFERROR(INDEX('تشخيص الحالات'!$D$2:$D$1001,SUMPRODUCT(('تشخيص الحالات'!$B$2:$B$1001=B885)*('تشخيص الحالات'!$G$2:$G$1001=1)*ROW('تشخيص الحالات'!$B$2:$B$1001))-1),"")&amp;IF(SUMPRODUCT(('تشخيص الحالات'!$B$2:$B$1001=B885)*('تشخيص الحالات'!$G$2:$G$1001=2))&gt;0,"، "&amp;IFERROR(INDEX('تشخيص الحالات'!$D$2:$D$1001,SUMPRODUCT(('تشخيص الحالات'!$B$2:$B$1001=B885)*('تشخيص الحالات'!$G$2:$G$1001=2)*ROW('تشخيص الحالات'!$B$2:$B$1001))-1),""),"")&amp;IF(SUMPRODUCT(('تشخيص الحالات'!$B$2:$B$1001=B885)*('تشخيص الحالات'!$G$2:$G$1001=3))&gt;0,"، "&amp;IFERROR(INDEX('تشخيص الحالات'!$D$2:$D$1001,SUMPRODUCT(('تشخيص الحالات'!$B$2:$B$1001=B885)*('تشخيص الحالات'!$G$2:$G$1001=3)*ROW('تشخيص الحالات'!$B$2:$B$1001))-1),""),"")&amp;IF(SUMPRODUCT(('تشخيص الحالات'!$B$2:$B$1001=B885)*('تشخيص الحالات'!$G$2:$G$1001=4))&gt;0,"، "&amp;IFERROR(INDEX('تشخيص الحالات'!$D$2:$D$1001,SUMPRODUCT(('تشخيص الحالات'!$B$2:$B$1001=B885)*('تشخيص الحالات'!$G$2:$G$1001=4)*ROW('تشخيص الحالات'!$B$2:$B$1001))-1),""),"")&amp;IF(SUMPRODUCT(('تشخيص الحالات'!$B$2:$B$1001=B885)*('تشخيص الحالات'!$G$2:$G$1001=5))&gt;0,"، "&amp;IFERROR(INDEX('تشخيص الحالات'!$D$2:$D$1001,SUMPRODUCT(('تشخيص الحالات'!$B$2:$B$1001=B885)*('تشخيص الحالات'!$G$2:$G$1001=5)*ROW('تشخيص الحالات'!$B$2:$B$1001))-1),""),"")&amp;IF(SUMPRODUCT(('تشخيص الحالات'!$B$2:$B$1001=B885)*('تشخيص الحالات'!$G$2:$G$1001=6))&gt;0,"، "&amp;IFERROR(INDEX('تشخيص الحالات'!$D$2:$D$1001,SUMPRODUCT(('تشخيص الحالات'!$B$2:$B$1001=B885)*('تشخيص الحالات'!$G$2:$G$1001=6)*ROW('تشخيص الحالات'!$B$2:$B$1001))-1),""),"")&amp;IF(SUMPRODUCT(('تشخيص الحالات'!$B$2:$B$1001=B885)*('تشخيص الحالات'!$G$2:$G$1001=7))&gt;0,"، "&amp;IFERROR(INDEX('تشخيص الحالات'!$D$2:$D$1001,SUMPRODUCT(('تشخيص الحالات'!$B$2:$B$1001=B885)*('تشخيص الحالات'!$G$2:$G$1001=7)*ROW('تشخيص الحالات'!$B$2:$B$1001))-1),""),"")&amp;IF(SUMPRODUCT(('تشخيص الحالات'!$B$2:$B$1001=B885)*('تشخيص الحالات'!$G$2:$G$1001=8))&gt;0,"، "&amp;IFERROR(INDEX('تشخيص الحالات'!$D$2:$D$1001,SUMPRODUCT(('تشخيص الحالات'!$B$2:$B$1001=B885)*('تشخيص الحالات'!$G$2:$G$1001=8)*ROW('تشخيص الحالات'!$B$2:$B$1001))-1),""),"")</f>
        <v/>
      </c>
      <c r="J885" s="1"/>
      <c r="K885" s="1"/>
      <c r="L885" s="1"/>
      <c r="M885" s="1"/>
    </row>
    <row r="886" spans="1:13" x14ac:dyDescent="0.2">
      <c r="A886" s="1"/>
      <c r="B886" s="1"/>
      <c r="C886" s="1"/>
      <c r="D886" s="1"/>
      <c r="E886" s="1"/>
      <c r="F886" s="1"/>
      <c r="G886" s="1"/>
      <c r="H886" s="1"/>
      <c r="I886" t="str">
        <f>IFERROR(INDEX('تشخيص الحالات'!$D$2:$D$1001,SUMPRODUCT(('تشخيص الحالات'!$B$2:$B$1001=B886)*('تشخيص الحالات'!$G$2:$G$1001=1)*ROW('تشخيص الحالات'!$B$2:$B$1001))-1),"")&amp;IF(SUMPRODUCT(('تشخيص الحالات'!$B$2:$B$1001=B886)*('تشخيص الحالات'!$G$2:$G$1001=2))&gt;0,"، "&amp;IFERROR(INDEX('تشخيص الحالات'!$D$2:$D$1001,SUMPRODUCT(('تشخيص الحالات'!$B$2:$B$1001=B886)*('تشخيص الحالات'!$G$2:$G$1001=2)*ROW('تشخيص الحالات'!$B$2:$B$1001))-1),""),"")&amp;IF(SUMPRODUCT(('تشخيص الحالات'!$B$2:$B$1001=B886)*('تشخيص الحالات'!$G$2:$G$1001=3))&gt;0,"، "&amp;IFERROR(INDEX('تشخيص الحالات'!$D$2:$D$1001,SUMPRODUCT(('تشخيص الحالات'!$B$2:$B$1001=B886)*('تشخيص الحالات'!$G$2:$G$1001=3)*ROW('تشخيص الحالات'!$B$2:$B$1001))-1),""),"")&amp;IF(SUMPRODUCT(('تشخيص الحالات'!$B$2:$B$1001=B886)*('تشخيص الحالات'!$G$2:$G$1001=4))&gt;0,"، "&amp;IFERROR(INDEX('تشخيص الحالات'!$D$2:$D$1001,SUMPRODUCT(('تشخيص الحالات'!$B$2:$B$1001=B886)*('تشخيص الحالات'!$G$2:$G$1001=4)*ROW('تشخيص الحالات'!$B$2:$B$1001))-1),""),"")&amp;IF(SUMPRODUCT(('تشخيص الحالات'!$B$2:$B$1001=B886)*('تشخيص الحالات'!$G$2:$G$1001=5))&gt;0,"، "&amp;IFERROR(INDEX('تشخيص الحالات'!$D$2:$D$1001,SUMPRODUCT(('تشخيص الحالات'!$B$2:$B$1001=B886)*('تشخيص الحالات'!$G$2:$G$1001=5)*ROW('تشخيص الحالات'!$B$2:$B$1001))-1),""),"")&amp;IF(SUMPRODUCT(('تشخيص الحالات'!$B$2:$B$1001=B886)*('تشخيص الحالات'!$G$2:$G$1001=6))&gt;0,"، "&amp;IFERROR(INDEX('تشخيص الحالات'!$D$2:$D$1001,SUMPRODUCT(('تشخيص الحالات'!$B$2:$B$1001=B886)*('تشخيص الحالات'!$G$2:$G$1001=6)*ROW('تشخيص الحالات'!$B$2:$B$1001))-1),""),"")&amp;IF(SUMPRODUCT(('تشخيص الحالات'!$B$2:$B$1001=B886)*('تشخيص الحالات'!$G$2:$G$1001=7))&gt;0,"، "&amp;IFERROR(INDEX('تشخيص الحالات'!$D$2:$D$1001,SUMPRODUCT(('تشخيص الحالات'!$B$2:$B$1001=B886)*('تشخيص الحالات'!$G$2:$G$1001=7)*ROW('تشخيص الحالات'!$B$2:$B$1001))-1),""),"")&amp;IF(SUMPRODUCT(('تشخيص الحالات'!$B$2:$B$1001=B886)*('تشخيص الحالات'!$G$2:$G$1001=8))&gt;0,"، "&amp;IFERROR(INDEX('تشخيص الحالات'!$D$2:$D$1001,SUMPRODUCT(('تشخيص الحالات'!$B$2:$B$1001=B886)*('تشخيص الحالات'!$G$2:$G$1001=8)*ROW('تشخيص الحالات'!$B$2:$B$1001))-1),""),"")</f>
        <v/>
      </c>
      <c r="J886" s="1"/>
      <c r="K886" s="1"/>
      <c r="L886" s="1"/>
      <c r="M886" s="1"/>
    </row>
    <row r="887" spans="1:13" x14ac:dyDescent="0.2">
      <c r="A887" s="1"/>
      <c r="B887" s="1"/>
      <c r="C887" s="1"/>
      <c r="D887" s="1"/>
      <c r="E887" s="1"/>
      <c r="F887" s="1"/>
      <c r="G887" s="1"/>
      <c r="H887" s="1"/>
      <c r="I887" t="str">
        <f>IFERROR(INDEX('تشخيص الحالات'!$D$2:$D$1001,SUMPRODUCT(('تشخيص الحالات'!$B$2:$B$1001=B887)*('تشخيص الحالات'!$G$2:$G$1001=1)*ROW('تشخيص الحالات'!$B$2:$B$1001))-1),"")&amp;IF(SUMPRODUCT(('تشخيص الحالات'!$B$2:$B$1001=B887)*('تشخيص الحالات'!$G$2:$G$1001=2))&gt;0,"، "&amp;IFERROR(INDEX('تشخيص الحالات'!$D$2:$D$1001,SUMPRODUCT(('تشخيص الحالات'!$B$2:$B$1001=B887)*('تشخيص الحالات'!$G$2:$G$1001=2)*ROW('تشخيص الحالات'!$B$2:$B$1001))-1),""),"")&amp;IF(SUMPRODUCT(('تشخيص الحالات'!$B$2:$B$1001=B887)*('تشخيص الحالات'!$G$2:$G$1001=3))&gt;0,"، "&amp;IFERROR(INDEX('تشخيص الحالات'!$D$2:$D$1001,SUMPRODUCT(('تشخيص الحالات'!$B$2:$B$1001=B887)*('تشخيص الحالات'!$G$2:$G$1001=3)*ROW('تشخيص الحالات'!$B$2:$B$1001))-1),""),"")&amp;IF(SUMPRODUCT(('تشخيص الحالات'!$B$2:$B$1001=B887)*('تشخيص الحالات'!$G$2:$G$1001=4))&gt;0,"، "&amp;IFERROR(INDEX('تشخيص الحالات'!$D$2:$D$1001,SUMPRODUCT(('تشخيص الحالات'!$B$2:$B$1001=B887)*('تشخيص الحالات'!$G$2:$G$1001=4)*ROW('تشخيص الحالات'!$B$2:$B$1001))-1),""),"")&amp;IF(SUMPRODUCT(('تشخيص الحالات'!$B$2:$B$1001=B887)*('تشخيص الحالات'!$G$2:$G$1001=5))&gt;0,"، "&amp;IFERROR(INDEX('تشخيص الحالات'!$D$2:$D$1001,SUMPRODUCT(('تشخيص الحالات'!$B$2:$B$1001=B887)*('تشخيص الحالات'!$G$2:$G$1001=5)*ROW('تشخيص الحالات'!$B$2:$B$1001))-1),""),"")&amp;IF(SUMPRODUCT(('تشخيص الحالات'!$B$2:$B$1001=B887)*('تشخيص الحالات'!$G$2:$G$1001=6))&gt;0,"، "&amp;IFERROR(INDEX('تشخيص الحالات'!$D$2:$D$1001,SUMPRODUCT(('تشخيص الحالات'!$B$2:$B$1001=B887)*('تشخيص الحالات'!$G$2:$G$1001=6)*ROW('تشخيص الحالات'!$B$2:$B$1001))-1),""),"")&amp;IF(SUMPRODUCT(('تشخيص الحالات'!$B$2:$B$1001=B887)*('تشخيص الحالات'!$G$2:$G$1001=7))&gt;0,"، "&amp;IFERROR(INDEX('تشخيص الحالات'!$D$2:$D$1001,SUMPRODUCT(('تشخيص الحالات'!$B$2:$B$1001=B887)*('تشخيص الحالات'!$G$2:$G$1001=7)*ROW('تشخيص الحالات'!$B$2:$B$1001))-1),""),"")&amp;IF(SUMPRODUCT(('تشخيص الحالات'!$B$2:$B$1001=B887)*('تشخيص الحالات'!$G$2:$G$1001=8))&gt;0,"، "&amp;IFERROR(INDEX('تشخيص الحالات'!$D$2:$D$1001,SUMPRODUCT(('تشخيص الحالات'!$B$2:$B$1001=B887)*('تشخيص الحالات'!$G$2:$G$1001=8)*ROW('تشخيص الحالات'!$B$2:$B$1001))-1),""),"")</f>
        <v/>
      </c>
      <c r="J887" s="1"/>
      <c r="K887" s="1"/>
      <c r="L887" s="1"/>
      <c r="M887" s="1"/>
    </row>
    <row r="888" spans="1:13" x14ac:dyDescent="0.2">
      <c r="A888" s="1"/>
      <c r="B888" s="1"/>
      <c r="C888" s="1"/>
      <c r="D888" s="1"/>
      <c r="E888" s="1"/>
      <c r="F888" s="1"/>
      <c r="G888" s="1"/>
      <c r="H888" s="1"/>
      <c r="I888" t="str">
        <f>IFERROR(INDEX('تشخيص الحالات'!$D$2:$D$1001,SUMPRODUCT(('تشخيص الحالات'!$B$2:$B$1001=B888)*('تشخيص الحالات'!$G$2:$G$1001=1)*ROW('تشخيص الحالات'!$B$2:$B$1001))-1),"")&amp;IF(SUMPRODUCT(('تشخيص الحالات'!$B$2:$B$1001=B888)*('تشخيص الحالات'!$G$2:$G$1001=2))&gt;0,"، "&amp;IFERROR(INDEX('تشخيص الحالات'!$D$2:$D$1001,SUMPRODUCT(('تشخيص الحالات'!$B$2:$B$1001=B888)*('تشخيص الحالات'!$G$2:$G$1001=2)*ROW('تشخيص الحالات'!$B$2:$B$1001))-1),""),"")&amp;IF(SUMPRODUCT(('تشخيص الحالات'!$B$2:$B$1001=B888)*('تشخيص الحالات'!$G$2:$G$1001=3))&gt;0,"، "&amp;IFERROR(INDEX('تشخيص الحالات'!$D$2:$D$1001,SUMPRODUCT(('تشخيص الحالات'!$B$2:$B$1001=B888)*('تشخيص الحالات'!$G$2:$G$1001=3)*ROW('تشخيص الحالات'!$B$2:$B$1001))-1),""),"")&amp;IF(SUMPRODUCT(('تشخيص الحالات'!$B$2:$B$1001=B888)*('تشخيص الحالات'!$G$2:$G$1001=4))&gt;0,"، "&amp;IFERROR(INDEX('تشخيص الحالات'!$D$2:$D$1001,SUMPRODUCT(('تشخيص الحالات'!$B$2:$B$1001=B888)*('تشخيص الحالات'!$G$2:$G$1001=4)*ROW('تشخيص الحالات'!$B$2:$B$1001))-1),""),"")&amp;IF(SUMPRODUCT(('تشخيص الحالات'!$B$2:$B$1001=B888)*('تشخيص الحالات'!$G$2:$G$1001=5))&gt;0,"، "&amp;IFERROR(INDEX('تشخيص الحالات'!$D$2:$D$1001,SUMPRODUCT(('تشخيص الحالات'!$B$2:$B$1001=B888)*('تشخيص الحالات'!$G$2:$G$1001=5)*ROW('تشخيص الحالات'!$B$2:$B$1001))-1),""),"")&amp;IF(SUMPRODUCT(('تشخيص الحالات'!$B$2:$B$1001=B888)*('تشخيص الحالات'!$G$2:$G$1001=6))&gt;0,"، "&amp;IFERROR(INDEX('تشخيص الحالات'!$D$2:$D$1001,SUMPRODUCT(('تشخيص الحالات'!$B$2:$B$1001=B888)*('تشخيص الحالات'!$G$2:$G$1001=6)*ROW('تشخيص الحالات'!$B$2:$B$1001))-1),""),"")&amp;IF(SUMPRODUCT(('تشخيص الحالات'!$B$2:$B$1001=B888)*('تشخيص الحالات'!$G$2:$G$1001=7))&gt;0,"، "&amp;IFERROR(INDEX('تشخيص الحالات'!$D$2:$D$1001,SUMPRODUCT(('تشخيص الحالات'!$B$2:$B$1001=B888)*('تشخيص الحالات'!$G$2:$G$1001=7)*ROW('تشخيص الحالات'!$B$2:$B$1001))-1),""),"")&amp;IF(SUMPRODUCT(('تشخيص الحالات'!$B$2:$B$1001=B888)*('تشخيص الحالات'!$G$2:$G$1001=8))&gt;0,"، "&amp;IFERROR(INDEX('تشخيص الحالات'!$D$2:$D$1001,SUMPRODUCT(('تشخيص الحالات'!$B$2:$B$1001=B888)*('تشخيص الحالات'!$G$2:$G$1001=8)*ROW('تشخيص الحالات'!$B$2:$B$1001))-1),""),"")</f>
        <v/>
      </c>
      <c r="J888" s="1"/>
      <c r="K888" s="1"/>
      <c r="L888" s="1"/>
      <c r="M888" s="1"/>
    </row>
    <row r="889" spans="1:13" x14ac:dyDescent="0.2">
      <c r="A889" s="1"/>
      <c r="B889" s="1"/>
      <c r="C889" s="1"/>
      <c r="D889" s="1"/>
      <c r="E889" s="1"/>
      <c r="F889" s="1"/>
      <c r="G889" s="1"/>
      <c r="H889" s="1"/>
      <c r="I889" t="str">
        <f>IFERROR(INDEX('تشخيص الحالات'!$D$2:$D$1001,SUMPRODUCT(('تشخيص الحالات'!$B$2:$B$1001=B889)*('تشخيص الحالات'!$G$2:$G$1001=1)*ROW('تشخيص الحالات'!$B$2:$B$1001))-1),"")&amp;IF(SUMPRODUCT(('تشخيص الحالات'!$B$2:$B$1001=B889)*('تشخيص الحالات'!$G$2:$G$1001=2))&gt;0,"، "&amp;IFERROR(INDEX('تشخيص الحالات'!$D$2:$D$1001,SUMPRODUCT(('تشخيص الحالات'!$B$2:$B$1001=B889)*('تشخيص الحالات'!$G$2:$G$1001=2)*ROW('تشخيص الحالات'!$B$2:$B$1001))-1),""),"")&amp;IF(SUMPRODUCT(('تشخيص الحالات'!$B$2:$B$1001=B889)*('تشخيص الحالات'!$G$2:$G$1001=3))&gt;0,"، "&amp;IFERROR(INDEX('تشخيص الحالات'!$D$2:$D$1001,SUMPRODUCT(('تشخيص الحالات'!$B$2:$B$1001=B889)*('تشخيص الحالات'!$G$2:$G$1001=3)*ROW('تشخيص الحالات'!$B$2:$B$1001))-1),""),"")&amp;IF(SUMPRODUCT(('تشخيص الحالات'!$B$2:$B$1001=B889)*('تشخيص الحالات'!$G$2:$G$1001=4))&gt;0,"، "&amp;IFERROR(INDEX('تشخيص الحالات'!$D$2:$D$1001,SUMPRODUCT(('تشخيص الحالات'!$B$2:$B$1001=B889)*('تشخيص الحالات'!$G$2:$G$1001=4)*ROW('تشخيص الحالات'!$B$2:$B$1001))-1),""),"")&amp;IF(SUMPRODUCT(('تشخيص الحالات'!$B$2:$B$1001=B889)*('تشخيص الحالات'!$G$2:$G$1001=5))&gt;0,"، "&amp;IFERROR(INDEX('تشخيص الحالات'!$D$2:$D$1001,SUMPRODUCT(('تشخيص الحالات'!$B$2:$B$1001=B889)*('تشخيص الحالات'!$G$2:$G$1001=5)*ROW('تشخيص الحالات'!$B$2:$B$1001))-1),""),"")&amp;IF(SUMPRODUCT(('تشخيص الحالات'!$B$2:$B$1001=B889)*('تشخيص الحالات'!$G$2:$G$1001=6))&gt;0,"، "&amp;IFERROR(INDEX('تشخيص الحالات'!$D$2:$D$1001,SUMPRODUCT(('تشخيص الحالات'!$B$2:$B$1001=B889)*('تشخيص الحالات'!$G$2:$G$1001=6)*ROW('تشخيص الحالات'!$B$2:$B$1001))-1),""),"")&amp;IF(SUMPRODUCT(('تشخيص الحالات'!$B$2:$B$1001=B889)*('تشخيص الحالات'!$G$2:$G$1001=7))&gt;0,"، "&amp;IFERROR(INDEX('تشخيص الحالات'!$D$2:$D$1001,SUMPRODUCT(('تشخيص الحالات'!$B$2:$B$1001=B889)*('تشخيص الحالات'!$G$2:$G$1001=7)*ROW('تشخيص الحالات'!$B$2:$B$1001))-1),""),"")&amp;IF(SUMPRODUCT(('تشخيص الحالات'!$B$2:$B$1001=B889)*('تشخيص الحالات'!$G$2:$G$1001=8))&gt;0,"، "&amp;IFERROR(INDEX('تشخيص الحالات'!$D$2:$D$1001,SUMPRODUCT(('تشخيص الحالات'!$B$2:$B$1001=B889)*('تشخيص الحالات'!$G$2:$G$1001=8)*ROW('تشخيص الحالات'!$B$2:$B$1001))-1),""),"")</f>
        <v/>
      </c>
      <c r="J889" s="1"/>
      <c r="K889" s="1"/>
      <c r="L889" s="1"/>
      <c r="M889" s="1"/>
    </row>
    <row r="890" spans="1:13" x14ac:dyDescent="0.2">
      <c r="A890" s="1"/>
      <c r="B890" s="1"/>
      <c r="C890" s="1"/>
      <c r="D890" s="1"/>
      <c r="E890" s="1"/>
      <c r="F890" s="1"/>
      <c r="G890" s="1"/>
      <c r="H890" s="1"/>
      <c r="I890" t="str">
        <f>IFERROR(INDEX('تشخيص الحالات'!$D$2:$D$1001,SUMPRODUCT(('تشخيص الحالات'!$B$2:$B$1001=B890)*('تشخيص الحالات'!$G$2:$G$1001=1)*ROW('تشخيص الحالات'!$B$2:$B$1001))-1),"")&amp;IF(SUMPRODUCT(('تشخيص الحالات'!$B$2:$B$1001=B890)*('تشخيص الحالات'!$G$2:$G$1001=2))&gt;0,"، "&amp;IFERROR(INDEX('تشخيص الحالات'!$D$2:$D$1001,SUMPRODUCT(('تشخيص الحالات'!$B$2:$B$1001=B890)*('تشخيص الحالات'!$G$2:$G$1001=2)*ROW('تشخيص الحالات'!$B$2:$B$1001))-1),""),"")&amp;IF(SUMPRODUCT(('تشخيص الحالات'!$B$2:$B$1001=B890)*('تشخيص الحالات'!$G$2:$G$1001=3))&gt;0,"، "&amp;IFERROR(INDEX('تشخيص الحالات'!$D$2:$D$1001,SUMPRODUCT(('تشخيص الحالات'!$B$2:$B$1001=B890)*('تشخيص الحالات'!$G$2:$G$1001=3)*ROW('تشخيص الحالات'!$B$2:$B$1001))-1),""),"")&amp;IF(SUMPRODUCT(('تشخيص الحالات'!$B$2:$B$1001=B890)*('تشخيص الحالات'!$G$2:$G$1001=4))&gt;0,"، "&amp;IFERROR(INDEX('تشخيص الحالات'!$D$2:$D$1001,SUMPRODUCT(('تشخيص الحالات'!$B$2:$B$1001=B890)*('تشخيص الحالات'!$G$2:$G$1001=4)*ROW('تشخيص الحالات'!$B$2:$B$1001))-1),""),"")&amp;IF(SUMPRODUCT(('تشخيص الحالات'!$B$2:$B$1001=B890)*('تشخيص الحالات'!$G$2:$G$1001=5))&gt;0,"، "&amp;IFERROR(INDEX('تشخيص الحالات'!$D$2:$D$1001,SUMPRODUCT(('تشخيص الحالات'!$B$2:$B$1001=B890)*('تشخيص الحالات'!$G$2:$G$1001=5)*ROW('تشخيص الحالات'!$B$2:$B$1001))-1),""),"")&amp;IF(SUMPRODUCT(('تشخيص الحالات'!$B$2:$B$1001=B890)*('تشخيص الحالات'!$G$2:$G$1001=6))&gt;0,"، "&amp;IFERROR(INDEX('تشخيص الحالات'!$D$2:$D$1001,SUMPRODUCT(('تشخيص الحالات'!$B$2:$B$1001=B890)*('تشخيص الحالات'!$G$2:$G$1001=6)*ROW('تشخيص الحالات'!$B$2:$B$1001))-1),""),"")&amp;IF(SUMPRODUCT(('تشخيص الحالات'!$B$2:$B$1001=B890)*('تشخيص الحالات'!$G$2:$G$1001=7))&gt;0,"، "&amp;IFERROR(INDEX('تشخيص الحالات'!$D$2:$D$1001,SUMPRODUCT(('تشخيص الحالات'!$B$2:$B$1001=B890)*('تشخيص الحالات'!$G$2:$G$1001=7)*ROW('تشخيص الحالات'!$B$2:$B$1001))-1),""),"")&amp;IF(SUMPRODUCT(('تشخيص الحالات'!$B$2:$B$1001=B890)*('تشخيص الحالات'!$G$2:$G$1001=8))&gt;0,"، "&amp;IFERROR(INDEX('تشخيص الحالات'!$D$2:$D$1001,SUMPRODUCT(('تشخيص الحالات'!$B$2:$B$1001=B890)*('تشخيص الحالات'!$G$2:$G$1001=8)*ROW('تشخيص الحالات'!$B$2:$B$1001))-1),""),"")</f>
        <v/>
      </c>
      <c r="J890" s="1"/>
      <c r="K890" s="1"/>
      <c r="L890" s="1"/>
      <c r="M890" s="1"/>
    </row>
    <row r="891" spans="1:13" x14ac:dyDescent="0.2">
      <c r="A891" s="1"/>
      <c r="B891" s="1"/>
      <c r="C891" s="1"/>
      <c r="D891" s="1"/>
      <c r="E891" s="1"/>
      <c r="F891" s="1"/>
      <c r="G891" s="1"/>
      <c r="H891" s="1"/>
      <c r="I891" t="str">
        <f>IFERROR(INDEX('تشخيص الحالات'!$D$2:$D$1001,SUMPRODUCT(('تشخيص الحالات'!$B$2:$B$1001=B891)*('تشخيص الحالات'!$G$2:$G$1001=1)*ROW('تشخيص الحالات'!$B$2:$B$1001))-1),"")&amp;IF(SUMPRODUCT(('تشخيص الحالات'!$B$2:$B$1001=B891)*('تشخيص الحالات'!$G$2:$G$1001=2))&gt;0,"، "&amp;IFERROR(INDEX('تشخيص الحالات'!$D$2:$D$1001,SUMPRODUCT(('تشخيص الحالات'!$B$2:$B$1001=B891)*('تشخيص الحالات'!$G$2:$G$1001=2)*ROW('تشخيص الحالات'!$B$2:$B$1001))-1),""),"")&amp;IF(SUMPRODUCT(('تشخيص الحالات'!$B$2:$B$1001=B891)*('تشخيص الحالات'!$G$2:$G$1001=3))&gt;0,"، "&amp;IFERROR(INDEX('تشخيص الحالات'!$D$2:$D$1001,SUMPRODUCT(('تشخيص الحالات'!$B$2:$B$1001=B891)*('تشخيص الحالات'!$G$2:$G$1001=3)*ROW('تشخيص الحالات'!$B$2:$B$1001))-1),""),"")&amp;IF(SUMPRODUCT(('تشخيص الحالات'!$B$2:$B$1001=B891)*('تشخيص الحالات'!$G$2:$G$1001=4))&gt;0,"، "&amp;IFERROR(INDEX('تشخيص الحالات'!$D$2:$D$1001,SUMPRODUCT(('تشخيص الحالات'!$B$2:$B$1001=B891)*('تشخيص الحالات'!$G$2:$G$1001=4)*ROW('تشخيص الحالات'!$B$2:$B$1001))-1),""),"")&amp;IF(SUMPRODUCT(('تشخيص الحالات'!$B$2:$B$1001=B891)*('تشخيص الحالات'!$G$2:$G$1001=5))&gt;0,"، "&amp;IFERROR(INDEX('تشخيص الحالات'!$D$2:$D$1001,SUMPRODUCT(('تشخيص الحالات'!$B$2:$B$1001=B891)*('تشخيص الحالات'!$G$2:$G$1001=5)*ROW('تشخيص الحالات'!$B$2:$B$1001))-1),""),"")&amp;IF(SUMPRODUCT(('تشخيص الحالات'!$B$2:$B$1001=B891)*('تشخيص الحالات'!$G$2:$G$1001=6))&gt;0,"، "&amp;IFERROR(INDEX('تشخيص الحالات'!$D$2:$D$1001,SUMPRODUCT(('تشخيص الحالات'!$B$2:$B$1001=B891)*('تشخيص الحالات'!$G$2:$G$1001=6)*ROW('تشخيص الحالات'!$B$2:$B$1001))-1),""),"")&amp;IF(SUMPRODUCT(('تشخيص الحالات'!$B$2:$B$1001=B891)*('تشخيص الحالات'!$G$2:$G$1001=7))&gt;0,"، "&amp;IFERROR(INDEX('تشخيص الحالات'!$D$2:$D$1001,SUMPRODUCT(('تشخيص الحالات'!$B$2:$B$1001=B891)*('تشخيص الحالات'!$G$2:$G$1001=7)*ROW('تشخيص الحالات'!$B$2:$B$1001))-1),""),"")&amp;IF(SUMPRODUCT(('تشخيص الحالات'!$B$2:$B$1001=B891)*('تشخيص الحالات'!$G$2:$G$1001=8))&gt;0,"، "&amp;IFERROR(INDEX('تشخيص الحالات'!$D$2:$D$1001,SUMPRODUCT(('تشخيص الحالات'!$B$2:$B$1001=B891)*('تشخيص الحالات'!$G$2:$G$1001=8)*ROW('تشخيص الحالات'!$B$2:$B$1001))-1),""),"")</f>
        <v/>
      </c>
      <c r="J891" s="1"/>
      <c r="K891" s="1"/>
      <c r="L891" s="1"/>
      <c r="M891" s="1"/>
    </row>
    <row r="892" spans="1:13" x14ac:dyDescent="0.2">
      <c r="A892" s="1"/>
      <c r="B892" s="1"/>
      <c r="C892" s="1"/>
      <c r="D892" s="1"/>
      <c r="E892" s="1"/>
      <c r="F892" s="1"/>
      <c r="G892" s="1"/>
      <c r="H892" s="1"/>
      <c r="I892" t="str">
        <f>IFERROR(INDEX('تشخيص الحالات'!$D$2:$D$1001,SUMPRODUCT(('تشخيص الحالات'!$B$2:$B$1001=B892)*('تشخيص الحالات'!$G$2:$G$1001=1)*ROW('تشخيص الحالات'!$B$2:$B$1001))-1),"")&amp;IF(SUMPRODUCT(('تشخيص الحالات'!$B$2:$B$1001=B892)*('تشخيص الحالات'!$G$2:$G$1001=2))&gt;0,"، "&amp;IFERROR(INDEX('تشخيص الحالات'!$D$2:$D$1001,SUMPRODUCT(('تشخيص الحالات'!$B$2:$B$1001=B892)*('تشخيص الحالات'!$G$2:$G$1001=2)*ROW('تشخيص الحالات'!$B$2:$B$1001))-1),""),"")&amp;IF(SUMPRODUCT(('تشخيص الحالات'!$B$2:$B$1001=B892)*('تشخيص الحالات'!$G$2:$G$1001=3))&gt;0,"، "&amp;IFERROR(INDEX('تشخيص الحالات'!$D$2:$D$1001,SUMPRODUCT(('تشخيص الحالات'!$B$2:$B$1001=B892)*('تشخيص الحالات'!$G$2:$G$1001=3)*ROW('تشخيص الحالات'!$B$2:$B$1001))-1),""),"")&amp;IF(SUMPRODUCT(('تشخيص الحالات'!$B$2:$B$1001=B892)*('تشخيص الحالات'!$G$2:$G$1001=4))&gt;0,"، "&amp;IFERROR(INDEX('تشخيص الحالات'!$D$2:$D$1001,SUMPRODUCT(('تشخيص الحالات'!$B$2:$B$1001=B892)*('تشخيص الحالات'!$G$2:$G$1001=4)*ROW('تشخيص الحالات'!$B$2:$B$1001))-1),""),"")&amp;IF(SUMPRODUCT(('تشخيص الحالات'!$B$2:$B$1001=B892)*('تشخيص الحالات'!$G$2:$G$1001=5))&gt;0,"، "&amp;IFERROR(INDEX('تشخيص الحالات'!$D$2:$D$1001,SUMPRODUCT(('تشخيص الحالات'!$B$2:$B$1001=B892)*('تشخيص الحالات'!$G$2:$G$1001=5)*ROW('تشخيص الحالات'!$B$2:$B$1001))-1),""),"")&amp;IF(SUMPRODUCT(('تشخيص الحالات'!$B$2:$B$1001=B892)*('تشخيص الحالات'!$G$2:$G$1001=6))&gt;0,"، "&amp;IFERROR(INDEX('تشخيص الحالات'!$D$2:$D$1001,SUMPRODUCT(('تشخيص الحالات'!$B$2:$B$1001=B892)*('تشخيص الحالات'!$G$2:$G$1001=6)*ROW('تشخيص الحالات'!$B$2:$B$1001))-1),""),"")&amp;IF(SUMPRODUCT(('تشخيص الحالات'!$B$2:$B$1001=B892)*('تشخيص الحالات'!$G$2:$G$1001=7))&gt;0,"، "&amp;IFERROR(INDEX('تشخيص الحالات'!$D$2:$D$1001,SUMPRODUCT(('تشخيص الحالات'!$B$2:$B$1001=B892)*('تشخيص الحالات'!$G$2:$G$1001=7)*ROW('تشخيص الحالات'!$B$2:$B$1001))-1),""),"")&amp;IF(SUMPRODUCT(('تشخيص الحالات'!$B$2:$B$1001=B892)*('تشخيص الحالات'!$G$2:$G$1001=8))&gt;0,"، "&amp;IFERROR(INDEX('تشخيص الحالات'!$D$2:$D$1001,SUMPRODUCT(('تشخيص الحالات'!$B$2:$B$1001=B892)*('تشخيص الحالات'!$G$2:$G$1001=8)*ROW('تشخيص الحالات'!$B$2:$B$1001))-1),""),"")</f>
        <v/>
      </c>
      <c r="J892" s="1"/>
      <c r="K892" s="1"/>
      <c r="L892" s="1"/>
      <c r="M892" s="1"/>
    </row>
    <row r="893" spans="1:13" x14ac:dyDescent="0.2">
      <c r="A893" s="1"/>
      <c r="B893" s="1"/>
      <c r="C893" s="1"/>
      <c r="D893" s="1"/>
      <c r="E893" s="1"/>
      <c r="F893" s="1"/>
      <c r="G893" s="1"/>
      <c r="H893" s="1"/>
      <c r="I893" t="str">
        <f>IFERROR(INDEX('تشخيص الحالات'!$D$2:$D$1001,SUMPRODUCT(('تشخيص الحالات'!$B$2:$B$1001=B893)*('تشخيص الحالات'!$G$2:$G$1001=1)*ROW('تشخيص الحالات'!$B$2:$B$1001))-1),"")&amp;IF(SUMPRODUCT(('تشخيص الحالات'!$B$2:$B$1001=B893)*('تشخيص الحالات'!$G$2:$G$1001=2))&gt;0,"، "&amp;IFERROR(INDEX('تشخيص الحالات'!$D$2:$D$1001,SUMPRODUCT(('تشخيص الحالات'!$B$2:$B$1001=B893)*('تشخيص الحالات'!$G$2:$G$1001=2)*ROW('تشخيص الحالات'!$B$2:$B$1001))-1),""),"")&amp;IF(SUMPRODUCT(('تشخيص الحالات'!$B$2:$B$1001=B893)*('تشخيص الحالات'!$G$2:$G$1001=3))&gt;0,"، "&amp;IFERROR(INDEX('تشخيص الحالات'!$D$2:$D$1001,SUMPRODUCT(('تشخيص الحالات'!$B$2:$B$1001=B893)*('تشخيص الحالات'!$G$2:$G$1001=3)*ROW('تشخيص الحالات'!$B$2:$B$1001))-1),""),"")&amp;IF(SUMPRODUCT(('تشخيص الحالات'!$B$2:$B$1001=B893)*('تشخيص الحالات'!$G$2:$G$1001=4))&gt;0,"، "&amp;IFERROR(INDEX('تشخيص الحالات'!$D$2:$D$1001,SUMPRODUCT(('تشخيص الحالات'!$B$2:$B$1001=B893)*('تشخيص الحالات'!$G$2:$G$1001=4)*ROW('تشخيص الحالات'!$B$2:$B$1001))-1),""),"")&amp;IF(SUMPRODUCT(('تشخيص الحالات'!$B$2:$B$1001=B893)*('تشخيص الحالات'!$G$2:$G$1001=5))&gt;0,"، "&amp;IFERROR(INDEX('تشخيص الحالات'!$D$2:$D$1001,SUMPRODUCT(('تشخيص الحالات'!$B$2:$B$1001=B893)*('تشخيص الحالات'!$G$2:$G$1001=5)*ROW('تشخيص الحالات'!$B$2:$B$1001))-1),""),"")&amp;IF(SUMPRODUCT(('تشخيص الحالات'!$B$2:$B$1001=B893)*('تشخيص الحالات'!$G$2:$G$1001=6))&gt;0,"، "&amp;IFERROR(INDEX('تشخيص الحالات'!$D$2:$D$1001,SUMPRODUCT(('تشخيص الحالات'!$B$2:$B$1001=B893)*('تشخيص الحالات'!$G$2:$G$1001=6)*ROW('تشخيص الحالات'!$B$2:$B$1001))-1),""),"")&amp;IF(SUMPRODUCT(('تشخيص الحالات'!$B$2:$B$1001=B893)*('تشخيص الحالات'!$G$2:$G$1001=7))&gt;0,"، "&amp;IFERROR(INDEX('تشخيص الحالات'!$D$2:$D$1001,SUMPRODUCT(('تشخيص الحالات'!$B$2:$B$1001=B893)*('تشخيص الحالات'!$G$2:$G$1001=7)*ROW('تشخيص الحالات'!$B$2:$B$1001))-1),""),"")&amp;IF(SUMPRODUCT(('تشخيص الحالات'!$B$2:$B$1001=B893)*('تشخيص الحالات'!$G$2:$G$1001=8))&gt;0,"، "&amp;IFERROR(INDEX('تشخيص الحالات'!$D$2:$D$1001,SUMPRODUCT(('تشخيص الحالات'!$B$2:$B$1001=B893)*('تشخيص الحالات'!$G$2:$G$1001=8)*ROW('تشخيص الحالات'!$B$2:$B$1001))-1),""),"")</f>
        <v/>
      </c>
      <c r="J893" s="1"/>
      <c r="K893" s="1"/>
      <c r="L893" s="1"/>
      <c r="M893" s="1"/>
    </row>
    <row r="894" spans="1:13" x14ac:dyDescent="0.2">
      <c r="A894" s="1"/>
      <c r="B894" s="1"/>
      <c r="C894" s="1"/>
      <c r="D894" s="1"/>
      <c r="E894" s="1"/>
      <c r="F894" s="1"/>
      <c r="G894" s="1"/>
      <c r="H894" s="1"/>
      <c r="I894" t="str">
        <f>IFERROR(INDEX('تشخيص الحالات'!$D$2:$D$1001,SUMPRODUCT(('تشخيص الحالات'!$B$2:$B$1001=B894)*('تشخيص الحالات'!$G$2:$G$1001=1)*ROW('تشخيص الحالات'!$B$2:$B$1001))-1),"")&amp;IF(SUMPRODUCT(('تشخيص الحالات'!$B$2:$B$1001=B894)*('تشخيص الحالات'!$G$2:$G$1001=2))&gt;0,"، "&amp;IFERROR(INDEX('تشخيص الحالات'!$D$2:$D$1001,SUMPRODUCT(('تشخيص الحالات'!$B$2:$B$1001=B894)*('تشخيص الحالات'!$G$2:$G$1001=2)*ROW('تشخيص الحالات'!$B$2:$B$1001))-1),""),"")&amp;IF(SUMPRODUCT(('تشخيص الحالات'!$B$2:$B$1001=B894)*('تشخيص الحالات'!$G$2:$G$1001=3))&gt;0,"، "&amp;IFERROR(INDEX('تشخيص الحالات'!$D$2:$D$1001,SUMPRODUCT(('تشخيص الحالات'!$B$2:$B$1001=B894)*('تشخيص الحالات'!$G$2:$G$1001=3)*ROW('تشخيص الحالات'!$B$2:$B$1001))-1),""),"")&amp;IF(SUMPRODUCT(('تشخيص الحالات'!$B$2:$B$1001=B894)*('تشخيص الحالات'!$G$2:$G$1001=4))&gt;0,"، "&amp;IFERROR(INDEX('تشخيص الحالات'!$D$2:$D$1001,SUMPRODUCT(('تشخيص الحالات'!$B$2:$B$1001=B894)*('تشخيص الحالات'!$G$2:$G$1001=4)*ROW('تشخيص الحالات'!$B$2:$B$1001))-1),""),"")&amp;IF(SUMPRODUCT(('تشخيص الحالات'!$B$2:$B$1001=B894)*('تشخيص الحالات'!$G$2:$G$1001=5))&gt;0,"، "&amp;IFERROR(INDEX('تشخيص الحالات'!$D$2:$D$1001,SUMPRODUCT(('تشخيص الحالات'!$B$2:$B$1001=B894)*('تشخيص الحالات'!$G$2:$G$1001=5)*ROW('تشخيص الحالات'!$B$2:$B$1001))-1),""),"")&amp;IF(SUMPRODUCT(('تشخيص الحالات'!$B$2:$B$1001=B894)*('تشخيص الحالات'!$G$2:$G$1001=6))&gt;0,"، "&amp;IFERROR(INDEX('تشخيص الحالات'!$D$2:$D$1001,SUMPRODUCT(('تشخيص الحالات'!$B$2:$B$1001=B894)*('تشخيص الحالات'!$G$2:$G$1001=6)*ROW('تشخيص الحالات'!$B$2:$B$1001))-1),""),"")&amp;IF(SUMPRODUCT(('تشخيص الحالات'!$B$2:$B$1001=B894)*('تشخيص الحالات'!$G$2:$G$1001=7))&gt;0,"، "&amp;IFERROR(INDEX('تشخيص الحالات'!$D$2:$D$1001,SUMPRODUCT(('تشخيص الحالات'!$B$2:$B$1001=B894)*('تشخيص الحالات'!$G$2:$G$1001=7)*ROW('تشخيص الحالات'!$B$2:$B$1001))-1),""),"")&amp;IF(SUMPRODUCT(('تشخيص الحالات'!$B$2:$B$1001=B894)*('تشخيص الحالات'!$G$2:$G$1001=8))&gt;0,"، "&amp;IFERROR(INDEX('تشخيص الحالات'!$D$2:$D$1001,SUMPRODUCT(('تشخيص الحالات'!$B$2:$B$1001=B894)*('تشخيص الحالات'!$G$2:$G$1001=8)*ROW('تشخيص الحالات'!$B$2:$B$1001))-1),""),"")</f>
        <v/>
      </c>
      <c r="J894" s="1"/>
      <c r="K894" s="1"/>
      <c r="L894" s="1"/>
      <c r="M894" s="1"/>
    </row>
    <row r="895" spans="1:13" x14ac:dyDescent="0.2">
      <c r="A895" s="1"/>
      <c r="B895" s="1"/>
      <c r="C895" s="1"/>
      <c r="D895" s="1"/>
      <c r="E895" s="1"/>
      <c r="F895" s="1"/>
      <c r="G895" s="1"/>
      <c r="H895" s="1"/>
      <c r="I895" t="str">
        <f>IFERROR(INDEX('تشخيص الحالات'!$D$2:$D$1001,SUMPRODUCT(('تشخيص الحالات'!$B$2:$B$1001=B895)*('تشخيص الحالات'!$G$2:$G$1001=1)*ROW('تشخيص الحالات'!$B$2:$B$1001))-1),"")&amp;IF(SUMPRODUCT(('تشخيص الحالات'!$B$2:$B$1001=B895)*('تشخيص الحالات'!$G$2:$G$1001=2))&gt;0,"، "&amp;IFERROR(INDEX('تشخيص الحالات'!$D$2:$D$1001,SUMPRODUCT(('تشخيص الحالات'!$B$2:$B$1001=B895)*('تشخيص الحالات'!$G$2:$G$1001=2)*ROW('تشخيص الحالات'!$B$2:$B$1001))-1),""),"")&amp;IF(SUMPRODUCT(('تشخيص الحالات'!$B$2:$B$1001=B895)*('تشخيص الحالات'!$G$2:$G$1001=3))&gt;0,"، "&amp;IFERROR(INDEX('تشخيص الحالات'!$D$2:$D$1001,SUMPRODUCT(('تشخيص الحالات'!$B$2:$B$1001=B895)*('تشخيص الحالات'!$G$2:$G$1001=3)*ROW('تشخيص الحالات'!$B$2:$B$1001))-1),""),"")&amp;IF(SUMPRODUCT(('تشخيص الحالات'!$B$2:$B$1001=B895)*('تشخيص الحالات'!$G$2:$G$1001=4))&gt;0,"، "&amp;IFERROR(INDEX('تشخيص الحالات'!$D$2:$D$1001,SUMPRODUCT(('تشخيص الحالات'!$B$2:$B$1001=B895)*('تشخيص الحالات'!$G$2:$G$1001=4)*ROW('تشخيص الحالات'!$B$2:$B$1001))-1),""),"")&amp;IF(SUMPRODUCT(('تشخيص الحالات'!$B$2:$B$1001=B895)*('تشخيص الحالات'!$G$2:$G$1001=5))&gt;0,"، "&amp;IFERROR(INDEX('تشخيص الحالات'!$D$2:$D$1001,SUMPRODUCT(('تشخيص الحالات'!$B$2:$B$1001=B895)*('تشخيص الحالات'!$G$2:$G$1001=5)*ROW('تشخيص الحالات'!$B$2:$B$1001))-1),""),"")&amp;IF(SUMPRODUCT(('تشخيص الحالات'!$B$2:$B$1001=B895)*('تشخيص الحالات'!$G$2:$G$1001=6))&gt;0,"، "&amp;IFERROR(INDEX('تشخيص الحالات'!$D$2:$D$1001,SUMPRODUCT(('تشخيص الحالات'!$B$2:$B$1001=B895)*('تشخيص الحالات'!$G$2:$G$1001=6)*ROW('تشخيص الحالات'!$B$2:$B$1001))-1),""),"")&amp;IF(SUMPRODUCT(('تشخيص الحالات'!$B$2:$B$1001=B895)*('تشخيص الحالات'!$G$2:$G$1001=7))&gt;0,"، "&amp;IFERROR(INDEX('تشخيص الحالات'!$D$2:$D$1001,SUMPRODUCT(('تشخيص الحالات'!$B$2:$B$1001=B895)*('تشخيص الحالات'!$G$2:$G$1001=7)*ROW('تشخيص الحالات'!$B$2:$B$1001))-1),""),"")&amp;IF(SUMPRODUCT(('تشخيص الحالات'!$B$2:$B$1001=B895)*('تشخيص الحالات'!$G$2:$G$1001=8))&gt;0,"، "&amp;IFERROR(INDEX('تشخيص الحالات'!$D$2:$D$1001,SUMPRODUCT(('تشخيص الحالات'!$B$2:$B$1001=B895)*('تشخيص الحالات'!$G$2:$G$1001=8)*ROW('تشخيص الحالات'!$B$2:$B$1001))-1),""),"")</f>
        <v/>
      </c>
      <c r="J895" s="1"/>
      <c r="K895" s="1"/>
      <c r="L895" s="1"/>
      <c r="M895" s="1"/>
    </row>
    <row r="896" spans="1:13" x14ac:dyDescent="0.2">
      <c r="A896" s="1"/>
      <c r="B896" s="1"/>
      <c r="C896" s="1"/>
      <c r="D896" s="1"/>
      <c r="E896" s="1"/>
      <c r="F896" s="1"/>
      <c r="G896" s="1"/>
      <c r="H896" s="1"/>
      <c r="I896" t="str">
        <f>IFERROR(INDEX('تشخيص الحالات'!$D$2:$D$1001,SUMPRODUCT(('تشخيص الحالات'!$B$2:$B$1001=B896)*('تشخيص الحالات'!$G$2:$G$1001=1)*ROW('تشخيص الحالات'!$B$2:$B$1001))-1),"")&amp;IF(SUMPRODUCT(('تشخيص الحالات'!$B$2:$B$1001=B896)*('تشخيص الحالات'!$G$2:$G$1001=2))&gt;0,"، "&amp;IFERROR(INDEX('تشخيص الحالات'!$D$2:$D$1001,SUMPRODUCT(('تشخيص الحالات'!$B$2:$B$1001=B896)*('تشخيص الحالات'!$G$2:$G$1001=2)*ROW('تشخيص الحالات'!$B$2:$B$1001))-1),""),"")&amp;IF(SUMPRODUCT(('تشخيص الحالات'!$B$2:$B$1001=B896)*('تشخيص الحالات'!$G$2:$G$1001=3))&gt;0,"، "&amp;IFERROR(INDEX('تشخيص الحالات'!$D$2:$D$1001,SUMPRODUCT(('تشخيص الحالات'!$B$2:$B$1001=B896)*('تشخيص الحالات'!$G$2:$G$1001=3)*ROW('تشخيص الحالات'!$B$2:$B$1001))-1),""),"")&amp;IF(SUMPRODUCT(('تشخيص الحالات'!$B$2:$B$1001=B896)*('تشخيص الحالات'!$G$2:$G$1001=4))&gt;0,"، "&amp;IFERROR(INDEX('تشخيص الحالات'!$D$2:$D$1001,SUMPRODUCT(('تشخيص الحالات'!$B$2:$B$1001=B896)*('تشخيص الحالات'!$G$2:$G$1001=4)*ROW('تشخيص الحالات'!$B$2:$B$1001))-1),""),"")&amp;IF(SUMPRODUCT(('تشخيص الحالات'!$B$2:$B$1001=B896)*('تشخيص الحالات'!$G$2:$G$1001=5))&gt;0,"، "&amp;IFERROR(INDEX('تشخيص الحالات'!$D$2:$D$1001,SUMPRODUCT(('تشخيص الحالات'!$B$2:$B$1001=B896)*('تشخيص الحالات'!$G$2:$G$1001=5)*ROW('تشخيص الحالات'!$B$2:$B$1001))-1),""),"")&amp;IF(SUMPRODUCT(('تشخيص الحالات'!$B$2:$B$1001=B896)*('تشخيص الحالات'!$G$2:$G$1001=6))&gt;0,"، "&amp;IFERROR(INDEX('تشخيص الحالات'!$D$2:$D$1001,SUMPRODUCT(('تشخيص الحالات'!$B$2:$B$1001=B896)*('تشخيص الحالات'!$G$2:$G$1001=6)*ROW('تشخيص الحالات'!$B$2:$B$1001))-1),""),"")&amp;IF(SUMPRODUCT(('تشخيص الحالات'!$B$2:$B$1001=B896)*('تشخيص الحالات'!$G$2:$G$1001=7))&gt;0,"، "&amp;IFERROR(INDEX('تشخيص الحالات'!$D$2:$D$1001,SUMPRODUCT(('تشخيص الحالات'!$B$2:$B$1001=B896)*('تشخيص الحالات'!$G$2:$G$1001=7)*ROW('تشخيص الحالات'!$B$2:$B$1001))-1),""),"")&amp;IF(SUMPRODUCT(('تشخيص الحالات'!$B$2:$B$1001=B896)*('تشخيص الحالات'!$G$2:$G$1001=8))&gt;0,"، "&amp;IFERROR(INDEX('تشخيص الحالات'!$D$2:$D$1001,SUMPRODUCT(('تشخيص الحالات'!$B$2:$B$1001=B896)*('تشخيص الحالات'!$G$2:$G$1001=8)*ROW('تشخيص الحالات'!$B$2:$B$1001))-1),""),"")</f>
        <v/>
      </c>
      <c r="J896" s="1"/>
      <c r="K896" s="1"/>
      <c r="L896" s="1"/>
      <c r="M896" s="1"/>
    </row>
    <row r="897" spans="1:13" x14ac:dyDescent="0.2">
      <c r="A897" s="1"/>
      <c r="B897" s="1"/>
      <c r="C897" s="1"/>
      <c r="D897" s="1"/>
      <c r="E897" s="1"/>
      <c r="F897" s="1"/>
      <c r="G897" s="1"/>
      <c r="H897" s="1"/>
      <c r="I897" t="str">
        <f>IFERROR(INDEX('تشخيص الحالات'!$D$2:$D$1001,SUMPRODUCT(('تشخيص الحالات'!$B$2:$B$1001=B897)*('تشخيص الحالات'!$G$2:$G$1001=1)*ROW('تشخيص الحالات'!$B$2:$B$1001))-1),"")&amp;IF(SUMPRODUCT(('تشخيص الحالات'!$B$2:$B$1001=B897)*('تشخيص الحالات'!$G$2:$G$1001=2))&gt;0,"، "&amp;IFERROR(INDEX('تشخيص الحالات'!$D$2:$D$1001,SUMPRODUCT(('تشخيص الحالات'!$B$2:$B$1001=B897)*('تشخيص الحالات'!$G$2:$G$1001=2)*ROW('تشخيص الحالات'!$B$2:$B$1001))-1),""),"")&amp;IF(SUMPRODUCT(('تشخيص الحالات'!$B$2:$B$1001=B897)*('تشخيص الحالات'!$G$2:$G$1001=3))&gt;0,"، "&amp;IFERROR(INDEX('تشخيص الحالات'!$D$2:$D$1001,SUMPRODUCT(('تشخيص الحالات'!$B$2:$B$1001=B897)*('تشخيص الحالات'!$G$2:$G$1001=3)*ROW('تشخيص الحالات'!$B$2:$B$1001))-1),""),"")&amp;IF(SUMPRODUCT(('تشخيص الحالات'!$B$2:$B$1001=B897)*('تشخيص الحالات'!$G$2:$G$1001=4))&gt;0,"، "&amp;IFERROR(INDEX('تشخيص الحالات'!$D$2:$D$1001,SUMPRODUCT(('تشخيص الحالات'!$B$2:$B$1001=B897)*('تشخيص الحالات'!$G$2:$G$1001=4)*ROW('تشخيص الحالات'!$B$2:$B$1001))-1),""),"")&amp;IF(SUMPRODUCT(('تشخيص الحالات'!$B$2:$B$1001=B897)*('تشخيص الحالات'!$G$2:$G$1001=5))&gt;0,"، "&amp;IFERROR(INDEX('تشخيص الحالات'!$D$2:$D$1001,SUMPRODUCT(('تشخيص الحالات'!$B$2:$B$1001=B897)*('تشخيص الحالات'!$G$2:$G$1001=5)*ROW('تشخيص الحالات'!$B$2:$B$1001))-1),""),"")&amp;IF(SUMPRODUCT(('تشخيص الحالات'!$B$2:$B$1001=B897)*('تشخيص الحالات'!$G$2:$G$1001=6))&gt;0,"، "&amp;IFERROR(INDEX('تشخيص الحالات'!$D$2:$D$1001,SUMPRODUCT(('تشخيص الحالات'!$B$2:$B$1001=B897)*('تشخيص الحالات'!$G$2:$G$1001=6)*ROW('تشخيص الحالات'!$B$2:$B$1001))-1),""),"")&amp;IF(SUMPRODUCT(('تشخيص الحالات'!$B$2:$B$1001=B897)*('تشخيص الحالات'!$G$2:$G$1001=7))&gt;0,"، "&amp;IFERROR(INDEX('تشخيص الحالات'!$D$2:$D$1001,SUMPRODUCT(('تشخيص الحالات'!$B$2:$B$1001=B897)*('تشخيص الحالات'!$G$2:$G$1001=7)*ROW('تشخيص الحالات'!$B$2:$B$1001))-1),""),"")&amp;IF(SUMPRODUCT(('تشخيص الحالات'!$B$2:$B$1001=B897)*('تشخيص الحالات'!$G$2:$G$1001=8))&gt;0,"، "&amp;IFERROR(INDEX('تشخيص الحالات'!$D$2:$D$1001,SUMPRODUCT(('تشخيص الحالات'!$B$2:$B$1001=B897)*('تشخيص الحالات'!$G$2:$G$1001=8)*ROW('تشخيص الحالات'!$B$2:$B$1001))-1),""),"")</f>
        <v/>
      </c>
      <c r="J897" s="1"/>
      <c r="K897" s="1"/>
      <c r="L897" s="1"/>
      <c r="M897" s="1"/>
    </row>
    <row r="898" spans="1:13" x14ac:dyDescent="0.2">
      <c r="A898" s="1"/>
      <c r="B898" s="1"/>
      <c r="C898" s="1"/>
      <c r="D898" s="1"/>
      <c r="E898" s="1"/>
      <c r="F898" s="1"/>
      <c r="G898" s="1"/>
      <c r="H898" s="1"/>
      <c r="I898" t="str">
        <f>IFERROR(INDEX('تشخيص الحالات'!$D$2:$D$1001,SUMPRODUCT(('تشخيص الحالات'!$B$2:$B$1001=B898)*('تشخيص الحالات'!$G$2:$G$1001=1)*ROW('تشخيص الحالات'!$B$2:$B$1001))-1),"")&amp;IF(SUMPRODUCT(('تشخيص الحالات'!$B$2:$B$1001=B898)*('تشخيص الحالات'!$G$2:$G$1001=2))&gt;0,"، "&amp;IFERROR(INDEX('تشخيص الحالات'!$D$2:$D$1001,SUMPRODUCT(('تشخيص الحالات'!$B$2:$B$1001=B898)*('تشخيص الحالات'!$G$2:$G$1001=2)*ROW('تشخيص الحالات'!$B$2:$B$1001))-1),""),"")&amp;IF(SUMPRODUCT(('تشخيص الحالات'!$B$2:$B$1001=B898)*('تشخيص الحالات'!$G$2:$G$1001=3))&gt;0,"، "&amp;IFERROR(INDEX('تشخيص الحالات'!$D$2:$D$1001,SUMPRODUCT(('تشخيص الحالات'!$B$2:$B$1001=B898)*('تشخيص الحالات'!$G$2:$G$1001=3)*ROW('تشخيص الحالات'!$B$2:$B$1001))-1),""),"")&amp;IF(SUMPRODUCT(('تشخيص الحالات'!$B$2:$B$1001=B898)*('تشخيص الحالات'!$G$2:$G$1001=4))&gt;0,"، "&amp;IFERROR(INDEX('تشخيص الحالات'!$D$2:$D$1001,SUMPRODUCT(('تشخيص الحالات'!$B$2:$B$1001=B898)*('تشخيص الحالات'!$G$2:$G$1001=4)*ROW('تشخيص الحالات'!$B$2:$B$1001))-1),""),"")&amp;IF(SUMPRODUCT(('تشخيص الحالات'!$B$2:$B$1001=B898)*('تشخيص الحالات'!$G$2:$G$1001=5))&gt;0,"، "&amp;IFERROR(INDEX('تشخيص الحالات'!$D$2:$D$1001,SUMPRODUCT(('تشخيص الحالات'!$B$2:$B$1001=B898)*('تشخيص الحالات'!$G$2:$G$1001=5)*ROW('تشخيص الحالات'!$B$2:$B$1001))-1),""),"")&amp;IF(SUMPRODUCT(('تشخيص الحالات'!$B$2:$B$1001=B898)*('تشخيص الحالات'!$G$2:$G$1001=6))&gt;0,"، "&amp;IFERROR(INDEX('تشخيص الحالات'!$D$2:$D$1001,SUMPRODUCT(('تشخيص الحالات'!$B$2:$B$1001=B898)*('تشخيص الحالات'!$G$2:$G$1001=6)*ROW('تشخيص الحالات'!$B$2:$B$1001))-1),""),"")&amp;IF(SUMPRODUCT(('تشخيص الحالات'!$B$2:$B$1001=B898)*('تشخيص الحالات'!$G$2:$G$1001=7))&gt;0,"، "&amp;IFERROR(INDEX('تشخيص الحالات'!$D$2:$D$1001,SUMPRODUCT(('تشخيص الحالات'!$B$2:$B$1001=B898)*('تشخيص الحالات'!$G$2:$G$1001=7)*ROW('تشخيص الحالات'!$B$2:$B$1001))-1),""),"")&amp;IF(SUMPRODUCT(('تشخيص الحالات'!$B$2:$B$1001=B898)*('تشخيص الحالات'!$G$2:$G$1001=8))&gt;0,"، "&amp;IFERROR(INDEX('تشخيص الحالات'!$D$2:$D$1001,SUMPRODUCT(('تشخيص الحالات'!$B$2:$B$1001=B898)*('تشخيص الحالات'!$G$2:$G$1001=8)*ROW('تشخيص الحالات'!$B$2:$B$1001))-1),""),"")</f>
        <v/>
      </c>
      <c r="J898" s="1"/>
      <c r="K898" s="1"/>
      <c r="L898" s="1"/>
      <c r="M898" s="1"/>
    </row>
    <row r="899" spans="1:13" x14ac:dyDescent="0.2">
      <c r="A899" s="1"/>
      <c r="B899" s="1"/>
      <c r="C899" s="1"/>
      <c r="D899" s="1"/>
      <c r="E899" s="1"/>
      <c r="F899" s="1"/>
      <c r="G899" s="1"/>
      <c r="H899" s="1"/>
      <c r="I899" t="str">
        <f>IFERROR(INDEX('تشخيص الحالات'!$D$2:$D$1001,SUMPRODUCT(('تشخيص الحالات'!$B$2:$B$1001=B899)*('تشخيص الحالات'!$G$2:$G$1001=1)*ROW('تشخيص الحالات'!$B$2:$B$1001))-1),"")&amp;IF(SUMPRODUCT(('تشخيص الحالات'!$B$2:$B$1001=B899)*('تشخيص الحالات'!$G$2:$G$1001=2))&gt;0,"، "&amp;IFERROR(INDEX('تشخيص الحالات'!$D$2:$D$1001,SUMPRODUCT(('تشخيص الحالات'!$B$2:$B$1001=B899)*('تشخيص الحالات'!$G$2:$G$1001=2)*ROW('تشخيص الحالات'!$B$2:$B$1001))-1),""),"")&amp;IF(SUMPRODUCT(('تشخيص الحالات'!$B$2:$B$1001=B899)*('تشخيص الحالات'!$G$2:$G$1001=3))&gt;0,"، "&amp;IFERROR(INDEX('تشخيص الحالات'!$D$2:$D$1001,SUMPRODUCT(('تشخيص الحالات'!$B$2:$B$1001=B899)*('تشخيص الحالات'!$G$2:$G$1001=3)*ROW('تشخيص الحالات'!$B$2:$B$1001))-1),""),"")&amp;IF(SUMPRODUCT(('تشخيص الحالات'!$B$2:$B$1001=B899)*('تشخيص الحالات'!$G$2:$G$1001=4))&gt;0,"، "&amp;IFERROR(INDEX('تشخيص الحالات'!$D$2:$D$1001,SUMPRODUCT(('تشخيص الحالات'!$B$2:$B$1001=B899)*('تشخيص الحالات'!$G$2:$G$1001=4)*ROW('تشخيص الحالات'!$B$2:$B$1001))-1),""),"")&amp;IF(SUMPRODUCT(('تشخيص الحالات'!$B$2:$B$1001=B899)*('تشخيص الحالات'!$G$2:$G$1001=5))&gt;0,"، "&amp;IFERROR(INDEX('تشخيص الحالات'!$D$2:$D$1001,SUMPRODUCT(('تشخيص الحالات'!$B$2:$B$1001=B899)*('تشخيص الحالات'!$G$2:$G$1001=5)*ROW('تشخيص الحالات'!$B$2:$B$1001))-1),""),"")&amp;IF(SUMPRODUCT(('تشخيص الحالات'!$B$2:$B$1001=B899)*('تشخيص الحالات'!$G$2:$G$1001=6))&gt;0,"، "&amp;IFERROR(INDEX('تشخيص الحالات'!$D$2:$D$1001,SUMPRODUCT(('تشخيص الحالات'!$B$2:$B$1001=B899)*('تشخيص الحالات'!$G$2:$G$1001=6)*ROW('تشخيص الحالات'!$B$2:$B$1001))-1),""),"")&amp;IF(SUMPRODUCT(('تشخيص الحالات'!$B$2:$B$1001=B899)*('تشخيص الحالات'!$G$2:$G$1001=7))&gt;0,"، "&amp;IFERROR(INDEX('تشخيص الحالات'!$D$2:$D$1001,SUMPRODUCT(('تشخيص الحالات'!$B$2:$B$1001=B899)*('تشخيص الحالات'!$G$2:$G$1001=7)*ROW('تشخيص الحالات'!$B$2:$B$1001))-1),""),"")&amp;IF(SUMPRODUCT(('تشخيص الحالات'!$B$2:$B$1001=B899)*('تشخيص الحالات'!$G$2:$G$1001=8))&gt;0,"، "&amp;IFERROR(INDEX('تشخيص الحالات'!$D$2:$D$1001,SUMPRODUCT(('تشخيص الحالات'!$B$2:$B$1001=B899)*('تشخيص الحالات'!$G$2:$G$1001=8)*ROW('تشخيص الحالات'!$B$2:$B$1001))-1),""),"")</f>
        <v/>
      </c>
      <c r="J899" s="1"/>
      <c r="K899" s="1"/>
      <c r="L899" s="1"/>
      <c r="M899" s="1"/>
    </row>
    <row r="900" spans="1:13" x14ac:dyDescent="0.2">
      <c r="A900" s="1"/>
      <c r="B900" s="1"/>
      <c r="C900" s="1"/>
      <c r="D900" s="1"/>
      <c r="E900" s="1"/>
      <c r="F900" s="1"/>
      <c r="G900" s="1"/>
      <c r="H900" s="1"/>
      <c r="I900" t="str">
        <f>IFERROR(INDEX('تشخيص الحالات'!$D$2:$D$1001,SUMPRODUCT(('تشخيص الحالات'!$B$2:$B$1001=B900)*('تشخيص الحالات'!$G$2:$G$1001=1)*ROW('تشخيص الحالات'!$B$2:$B$1001))-1),"")&amp;IF(SUMPRODUCT(('تشخيص الحالات'!$B$2:$B$1001=B900)*('تشخيص الحالات'!$G$2:$G$1001=2))&gt;0,"، "&amp;IFERROR(INDEX('تشخيص الحالات'!$D$2:$D$1001,SUMPRODUCT(('تشخيص الحالات'!$B$2:$B$1001=B900)*('تشخيص الحالات'!$G$2:$G$1001=2)*ROW('تشخيص الحالات'!$B$2:$B$1001))-1),""),"")&amp;IF(SUMPRODUCT(('تشخيص الحالات'!$B$2:$B$1001=B900)*('تشخيص الحالات'!$G$2:$G$1001=3))&gt;0,"، "&amp;IFERROR(INDEX('تشخيص الحالات'!$D$2:$D$1001,SUMPRODUCT(('تشخيص الحالات'!$B$2:$B$1001=B900)*('تشخيص الحالات'!$G$2:$G$1001=3)*ROW('تشخيص الحالات'!$B$2:$B$1001))-1),""),"")&amp;IF(SUMPRODUCT(('تشخيص الحالات'!$B$2:$B$1001=B900)*('تشخيص الحالات'!$G$2:$G$1001=4))&gt;0,"، "&amp;IFERROR(INDEX('تشخيص الحالات'!$D$2:$D$1001,SUMPRODUCT(('تشخيص الحالات'!$B$2:$B$1001=B900)*('تشخيص الحالات'!$G$2:$G$1001=4)*ROW('تشخيص الحالات'!$B$2:$B$1001))-1),""),"")&amp;IF(SUMPRODUCT(('تشخيص الحالات'!$B$2:$B$1001=B900)*('تشخيص الحالات'!$G$2:$G$1001=5))&gt;0,"، "&amp;IFERROR(INDEX('تشخيص الحالات'!$D$2:$D$1001,SUMPRODUCT(('تشخيص الحالات'!$B$2:$B$1001=B900)*('تشخيص الحالات'!$G$2:$G$1001=5)*ROW('تشخيص الحالات'!$B$2:$B$1001))-1),""),"")&amp;IF(SUMPRODUCT(('تشخيص الحالات'!$B$2:$B$1001=B900)*('تشخيص الحالات'!$G$2:$G$1001=6))&gt;0,"، "&amp;IFERROR(INDEX('تشخيص الحالات'!$D$2:$D$1001,SUMPRODUCT(('تشخيص الحالات'!$B$2:$B$1001=B900)*('تشخيص الحالات'!$G$2:$G$1001=6)*ROW('تشخيص الحالات'!$B$2:$B$1001))-1),""),"")&amp;IF(SUMPRODUCT(('تشخيص الحالات'!$B$2:$B$1001=B900)*('تشخيص الحالات'!$G$2:$G$1001=7))&gt;0,"، "&amp;IFERROR(INDEX('تشخيص الحالات'!$D$2:$D$1001,SUMPRODUCT(('تشخيص الحالات'!$B$2:$B$1001=B900)*('تشخيص الحالات'!$G$2:$G$1001=7)*ROW('تشخيص الحالات'!$B$2:$B$1001))-1),""),"")&amp;IF(SUMPRODUCT(('تشخيص الحالات'!$B$2:$B$1001=B900)*('تشخيص الحالات'!$G$2:$G$1001=8))&gt;0,"، "&amp;IFERROR(INDEX('تشخيص الحالات'!$D$2:$D$1001,SUMPRODUCT(('تشخيص الحالات'!$B$2:$B$1001=B900)*('تشخيص الحالات'!$G$2:$G$1001=8)*ROW('تشخيص الحالات'!$B$2:$B$1001))-1),""),"")</f>
        <v/>
      </c>
      <c r="J900" s="1"/>
      <c r="K900" s="1"/>
      <c r="L900" s="1"/>
      <c r="M900" s="1"/>
    </row>
    <row r="901" spans="1:13" x14ac:dyDescent="0.2">
      <c r="A901" s="1"/>
      <c r="B901" s="1"/>
      <c r="C901" s="1"/>
      <c r="D901" s="1"/>
      <c r="E901" s="1"/>
      <c r="F901" s="1"/>
      <c r="G901" s="1"/>
      <c r="H901" s="1"/>
      <c r="I901" t="str">
        <f>IFERROR(INDEX('تشخيص الحالات'!$D$2:$D$1001,SUMPRODUCT(('تشخيص الحالات'!$B$2:$B$1001=B901)*('تشخيص الحالات'!$G$2:$G$1001=1)*ROW('تشخيص الحالات'!$B$2:$B$1001))-1),"")&amp;IF(SUMPRODUCT(('تشخيص الحالات'!$B$2:$B$1001=B901)*('تشخيص الحالات'!$G$2:$G$1001=2))&gt;0,"، "&amp;IFERROR(INDEX('تشخيص الحالات'!$D$2:$D$1001,SUMPRODUCT(('تشخيص الحالات'!$B$2:$B$1001=B901)*('تشخيص الحالات'!$G$2:$G$1001=2)*ROW('تشخيص الحالات'!$B$2:$B$1001))-1),""),"")&amp;IF(SUMPRODUCT(('تشخيص الحالات'!$B$2:$B$1001=B901)*('تشخيص الحالات'!$G$2:$G$1001=3))&gt;0,"، "&amp;IFERROR(INDEX('تشخيص الحالات'!$D$2:$D$1001,SUMPRODUCT(('تشخيص الحالات'!$B$2:$B$1001=B901)*('تشخيص الحالات'!$G$2:$G$1001=3)*ROW('تشخيص الحالات'!$B$2:$B$1001))-1),""),"")&amp;IF(SUMPRODUCT(('تشخيص الحالات'!$B$2:$B$1001=B901)*('تشخيص الحالات'!$G$2:$G$1001=4))&gt;0,"، "&amp;IFERROR(INDEX('تشخيص الحالات'!$D$2:$D$1001,SUMPRODUCT(('تشخيص الحالات'!$B$2:$B$1001=B901)*('تشخيص الحالات'!$G$2:$G$1001=4)*ROW('تشخيص الحالات'!$B$2:$B$1001))-1),""),"")&amp;IF(SUMPRODUCT(('تشخيص الحالات'!$B$2:$B$1001=B901)*('تشخيص الحالات'!$G$2:$G$1001=5))&gt;0,"، "&amp;IFERROR(INDEX('تشخيص الحالات'!$D$2:$D$1001,SUMPRODUCT(('تشخيص الحالات'!$B$2:$B$1001=B901)*('تشخيص الحالات'!$G$2:$G$1001=5)*ROW('تشخيص الحالات'!$B$2:$B$1001))-1),""),"")&amp;IF(SUMPRODUCT(('تشخيص الحالات'!$B$2:$B$1001=B901)*('تشخيص الحالات'!$G$2:$G$1001=6))&gt;0,"، "&amp;IFERROR(INDEX('تشخيص الحالات'!$D$2:$D$1001,SUMPRODUCT(('تشخيص الحالات'!$B$2:$B$1001=B901)*('تشخيص الحالات'!$G$2:$G$1001=6)*ROW('تشخيص الحالات'!$B$2:$B$1001))-1),""),"")&amp;IF(SUMPRODUCT(('تشخيص الحالات'!$B$2:$B$1001=B901)*('تشخيص الحالات'!$G$2:$G$1001=7))&gt;0,"، "&amp;IFERROR(INDEX('تشخيص الحالات'!$D$2:$D$1001,SUMPRODUCT(('تشخيص الحالات'!$B$2:$B$1001=B901)*('تشخيص الحالات'!$G$2:$G$1001=7)*ROW('تشخيص الحالات'!$B$2:$B$1001))-1),""),"")&amp;IF(SUMPRODUCT(('تشخيص الحالات'!$B$2:$B$1001=B901)*('تشخيص الحالات'!$G$2:$G$1001=8))&gt;0,"، "&amp;IFERROR(INDEX('تشخيص الحالات'!$D$2:$D$1001,SUMPRODUCT(('تشخيص الحالات'!$B$2:$B$1001=B901)*('تشخيص الحالات'!$G$2:$G$1001=8)*ROW('تشخيص الحالات'!$B$2:$B$1001))-1),""),"")</f>
        <v/>
      </c>
      <c r="J901" s="1"/>
      <c r="K901" s="1"/>
      <c r="L901" s="1"/>
      <c r="M901" s="1"/>
    </row>
    <row r="902" spans="1:13" x14ac:dyDescent="0.2">
      <c r="A902" s="1"/>
      <c r="B902" s="1"/>
      <c r="C902" s="1"/>
      <c r="D902" s="1"/>
      <c r="E902" s="1"/>
      <c r="F902" s="1"/>
      <c r="G902" s="1"/>
      <c r="H902" s="1"/>
      <c r="I902" t="str">
        <f>IFERROR(INDEX('تشخيص الحالات'!$D$2:$D$1001,SUMPRODUCT(('تشخيص الحالات'!$B$2:$B$1001=B902)*('تشخيص الحالات'!$G$2:$G$1001=1)*ROW('تشخيص الحالات'!$B$2:$B$1001))-1),"")&amp;IF(SUMPRODUCT(('تشخيص الحالات'!$B$2:$B$1001=B902)*('تشخيص الحالات'!$G$2:$G$1001=2))&gt;0,"، "&amp;IFERROR(INDEX('تشخيص الحالات'!$D$2:$D$1001,SUMPRODUCT(('تشخيص الحالات'!$B$2:$B$1001=B902)*('تشخيص الحالات'!$G$2:$G$1001=2)*ROW('تشخيص الحالات'!$B$2:$B$1001))-1),""),"")&amp;IF(SUMPRODUCT(('تشخيص الحالات'!$B$2:$B$1001=B902)*('تشخيص الحالات'!$G$2:$G$1001=3))&gt;0,"، "&amp;IFERROR(INDEX('تشخيص الحالات'!$D$2:$D$1001,SUMPRODUCT(('تشخيص الحالات'!$B$2:$B$1001=B902)*('تشخيص الحالات'!$G$2:$G$1001=3)*ROW('تشخيص الحالات'!$B$2:$B$1001))-1),""),"")&amp;IF(SUMPRODUCT(('تشخيص الحالات'!$B$2:$B$1001=B902)*('تشخيص الحالات'!$G$2:$G$1001=4))&gt;0,"، "&amp;IFERROR(INDEX('تشخيص الحالات'!$D$2:$D$1001,SUMPRODUCT(('تشخيص الحالات'!$B$2:$B$1001=B902)*('تشخيص الحالات'!$G$2:$G$1001=4)*ROW('تشخيص الحالات'!$B$2:$B$1001))-1),""),"")&amp;IF(SUMPRODUCT(('تشخيص الحالات'!$B$2:$B$1001=B902)*('تشخيص الحالات'!$G$2:$G$1001=5))&gt;0,"، "&amp;IFERROR(INDEX('تشخيص الحالات'!$D$2:$D$1001,SUMPRODUCT(('تشخيص الحالات'!$B$2:$B$1001=B902)*('تشخيص الحالات'!$G$2:$G$1001=5)*ROW('تشخيص الحالات'!$B$2:$B$1001))-1),""),"")&amp;IF(SUMPRODUCT(('تشخيص الحالات'!$B$2:$B$1001=B902)*('تشخيص الحالات'!$G$2:$G$1001=6))&gt;0,"، "&amp;IFERROR(INDEX('تشخيص الحالات'!$D$2:$D$1001,SUMPRODUCT(('تشخيص الحالات'!$B$2:$B$1001=B902)*('تشخيص الحالات'!$G$2:$G$1001=6)*ROW('تشخيص الحالات'!$B$2:$B$1001))-1),""),"")&amp;IF(SUMPRODUCT(('تشخيص الحالات'!$B$2:$B$1001=B902)*('تشخيص الحالات'!$G$2:$G$1001=7))&gt;0,"، "&amp;IFERROR(INDEX('تشخيص الحالات'!$D$2:$D$1001,SUMPRODUCT(('تشخيص الحالات'!$B$2:$B$1001=B902)*('تشخيص الحالات'!$G$2:$G$1001=7)*ROW('تشخيص الحالات'!$B$2:$B$1001))-1),""),"")&amp;IF(SUMPRODUCT(('تشخيص الحالات'!$B$2:$B$1001=B902)*('تشخيص الحالات'!$G$2:$G$1001=8))&gt;0,"، "&amp;IFERROR(INDEX('تشخيص الحالات'!$D$2:$D$1001,SUMPRODUCT(('تشخيص الحالات'!$B$2:$B$1001=B902)*('تشخيص الحالات'!$G$2:$G$1001=8)*ROW('تشخيص الحالات'!$B$2:$B$1001))-1),""),"")</f>
        <v/>
      </c>
      <c r="J902" s="1"/>
      <c r="K902" s="1"/>
      <c r="L902" s="1"/>
      <c r="M902" s="1"/>
    </row>
    <row r="903" spans="1:13" x14ac:dyDescent="0.2">
      <c r="A903" s="1"/>
      <c r="B903" s="1"/>
      <c r="C903" s="1"/>
      <c r="D903" s="1"/>
      <c r="E903" s="1"/>
      <c r="F903" s="1"/>
      <c r="G903" s="1"/>
      <c r="H903" s="1"/>
      <c r="I903" t="str">
        <f>IFERROR(INDEX('تشخيص الحالات'!$D$2:$D$1001,SUMPRODUCT(('تشخيص الحالات'!$B$2:$B$1001=B903)*('تشخيص الحالات'!$G$2:$G$1001=1)*ROW('تشخيص الحالات'!$B$2:$B$1001))-1),"")&amp;IF(SUMPRODUCT(('تشخيص الحالات'!$B$2:$B$1001=B903)*('تشخيص الحالات'!$G$2:$G$1001=2))&gt;0,"، "&amp;IFERROR(INDEX('تشخيص الحالات'!$D$2:$D$1001,SUMPRODUCT(('تشخيص الحالات'!$B$2:$B$1001=B903)*('تشخيص الحالات'!$G$2:$G$1001=2)*ROW('تشخيص الحالات'!$B$2:$B$1001))-1),""),"")&amp;IF(SUMPRODUCT(('تشخيص الحالات'!$B$2:$B$1001=B903)*('تشخيص الحالات'!$G$2:$G$1001=3))&gt;0,"، "&amp;IFERROR(INDEX('تشخيص الحالات'!$D$2:$D$1001,SUMPRODUCT(('تشخيص الحالات'!$B$2:$B$1001=B903)*('تشخيص الحالات'!$G$2:$G$1001=3)*ROW('تشخيص الحالات'!$B$2:$B$1001))-1),""),"")&amp;IF(SUMPRODUCT(('تشخيص الحالات'!$B$2:$B$1001=B903)*('تشخيص الحالات'!$G$2:$G$1001=4))&gt;0,"، "&amp;IFERROR(INDEX('تشخيص الحالات'!$D$2:$D$1001,SUMPRODUCT(('تشخيص الحالات'!$B$2:$B$1001=B903)*('تشخيص الحالات'!$G$2:$G$1001=4)*ROW('تشخيص الحالات'!$B$2:$B$1001))-1),""),"")&amp;IF(SUMPRODUCT(('تشخيص الحالات'!$B$2:$B$1001=B903)*('تشخيص الحالات'!$G$2:$G$1001=5))&gt;0,"، "&amp;IFERROR(INDEX('تشخيص الحالات'!$D$2:$D$1001,SUMPRODUCT(('تشخيص الحالات'!$B$2:$B$1001=B903)*('تشخيص الحالات'!$G$2:$G$1001=5)*ROW('تشخيص الحالات'!$B$2:$B$1001))-1),""),"")&amp;IF(SUMPRODUCT(('تشخيص الحالات'!$B$2:$B$1001=B903)*('تشخيص الحالات'!$G$2:$G$1001=6))&gt;0,"، "&amp;IFERROR(INDEX('تشخيص الحالات'!$D$2:$D$1001,SUMPRODUCT(('تشخيص الحالات'!$B$2:$B$1001=B903)*('تشخيص الحالات'!$G$2:$G$1001=6)*ROW('تشخيص الحالات'!$B$2:$B$1001))-1),""),"")&amp;IF(SUMPRODUCT(('تشخيص الحالات'!$B$2:$B$1001=B903)*('تشخيص الحالات'!$G$2:$G$1001=7))&gt;0,"، "&amp;IFERROR(INDEX('تشخيص الحالات'!$D$2:$D$1001,SUMPRODUCT(('تشخيص الحالات'!$B$2:$B$1001=B903)*('تشخيص الحالات'!$G$2:$G$1001=7)*ROW('تشخيص الحالات'!$B$2:$B$1001))-1),""),"")&amp;IF(SUMPRODUCT(('تشخيص الحالات'!$B$2:$B$1001=B903)*('تشخيص الحالات'!$G$2:$G$1001=8))&gt;0,"، "&amp;IFERROR(INDEX('تشخيص الحالات'!$D$2:$D$1001,SUMPRODUCT(('تشخيص الحالات'!$B$2:$B$1001=B903)*('تشخيص الحالات'!$G$2:$G$1001=8)*ROW('تشخيص الحالات'!$B$2:$B$1001))-1),""),"")</f>
        <v/>
      </c>
      <c r="J903" s="1"/>
      <c r="K903" s="1"/>
      <c r="L903" s="1"/>
      <c r="M903" s="1"/>
    </row>
    <row r="904" spans="1:13" x14ac:dyDescent="0.2">
      <c r="A904" s="1"/>
      <c r="B904" s="1"/>
      <c r="C904" s="1"/>
      <c r="D904" s="1"/>
      <c r="E904" s="1"/>
      <c r="F904" s="1"/>
      <c r="G904" s="1"/>
      <c r="H904" s="1"/>
      <c r="I904" t="str">
        <f>IFERROR(INDEX('تشخيص الحالات'!$D$2:$D$1001,SUMPRODUCT(('تشخيص الحالات'!$B$2:$B$1001=B904)*('تشخيص الحالات'!$G$2:$G$1001=1)*ROW('تشخيص الحالات'!$B$2:$B$1001))-1),"")&amp;IF(SUMPRODUCT(('تشخيص الحالات'!$B$2:$B$1001=B904)*('تشخيص الحالات'!$G$2:$G$1001=2))&gt;0,"، "&amp;IFERROR(INDEX('تشخيص الحالات'!$D$2:$D$1001,SUMPRODUCT(('تشخيص الحالات'!$B$2:$B$1001=B904)*('تشخيص الحالات'!$G$2:$G$1001=2)*ROW('تشخيص الحالات'!$B$2:$B$1001))-1),""),"")&amp;IF(SUMPRODUCT(('تشخيص الحالات'!$B$2:$B$1001=B904)*('تشخيص الحالات'!$G$2:$G$1001=3))&gt;0,"، "&amp;IFERROR(INDEX('تشخيص الحالات'!$D$2:$D$1001,SUMPRODUCT(('تشخيص الحالات'!$B$2:$B$1001=B904)*('تشخيص الحالات'!$G$2:$G$1001=3)*ROW('تشخيص الحالات'!$B$2:$B$1001))-1),""),"")&amp;IF(SUMPRODUCT(('تشخيص الحالات'!$B$2:$B$1001=B904)*('تشخيص الحالات'!$G$2:$G$1001=4))&gt;0,"، "&amp;IFERROR(INDEX('تشخيص الحالات'!$D$2:$D$1001,SUMPRODUCT(('تشخيص الحالات'!$B$2:$B$1001=B904)*('تشخيص الحالات'!$G$2:$G$1001=4)*ROW('تشخيص الحالات'!$B$2:$B$1001))-1),""),"")&amp;IF(SUMPRODUCT(('تشخيص الحالات'!$B$2:$B$1001=B904)*('تشخيص الحالات'!$G$2:$G$1001=5))&gt;0,"، "&amp;IFERROR(INDEX('تشخيص الحالات'!$D$2:$D$1001,SUMPRODUCT(('تشخيص الحالات'!$B$2:$B$1001=B904)*('تشخيص الحالات'!$G$2:$G$1001=5)*ROW('تشخيص الحالات'!$B$2:$B$1001))-1),""),"")&amp;IF(SUMPRODUCT(('تشخيص الحالات'!$B$2:$B$1001=B904)*('تشخيص الحالات'!$G$2:$G$1001=6))&gt;0,"، "&amp;IFERROR(INDEX('تشخيص الحالات'!$D$2:$D$1001,SUMPRODUCT(('تشخيص الحالات'!$B$2:$B$1001=B904)*('تشخيص الحالات'!$G$2:$G$1001=6)*ROW('تشخيص الحالات'!$B$2:$B$1001))-1),""),"")&amp;IF(SUMPRODUCT(('تشخيص الحالات'!$B$2:$B$1001=B904)*('تشخيص الحالات'!$G$2:$G$1001=7))&gt;0,"، "&amp;IFERROR(INDEX('تشخيص الحالات'!$D$2:$D$1001,SUMPRODUCT(('تشخيص الحالات'!$B$2:$B$1001=B904)*('تشخيص الحالات'!$G$2:$G$1001=7)*ROW('تشخيص الحالات'!$B$2:$B$1001))-1),""),"")&amp;IF(SUMPRODUCT(('تشخيص الحالات'!$B$2:$B$1001=B904)*('تشخيص الحالات'!$G$2:$G$1001=8))&gt;0,"، "&amp;IFERROR(INDEX('تشخيص الحالات'!$D$2:$D$1001,SUMPRODUCT(('تشخيص الحالات'!$B$2:$B$1001=B904)*('تشخيص الحالات'!$G$2:$G$1001=8)*ROW('تشخيص الحالات'!$B$2:$B$1001))-1),""),"")</f>
        <v/>
      </c>
      <c r="J904" s="1"/>
      <c r="K904" s="1"/>
      <c r="L904" s="1"/>
      <c r="M904" s="1"/>
    </row>
    <row r="905" spans="1:13" x14ac:dyDescent="0.2">
      <c r="A905" s="1"/>
      <c r="B905" s="1"/>
      <c r="C905" s="1"/>
      <c r="D905" s="1"/>
      <c r="E905" s="1"/>
      <c r="F905" s="1"/>
      <c r="G905" s="1"/>
      <c r="H905" s="1"/>
      <c r="I905" t="str">
        <f>IFERROR(INDEX('تشخيص الحالات'!$D$2:$D$1001,SUMPRODUCT(('تشخيص الحالات'!$B$2:$B$1001=B905)*('تشخيص الحالات'!$G$2:$G$1001=1)*ROW('تشخيص الحالات'!$B$2:$B$1001))-1),"")&amp;IF(SUMPRODUCT(('تشخيص الحالات'!$B$2:$B$1001=B905)*('تشخيص الحالات'!$G$2:$G$1001=2))&gt;0,"، "&amp;IFERROR(INDEX('تشخيص الحالات'!$D$2:$D$1001,SUMPRODUCT(('تشخيص الحالات'!$B$2:$B$1001=B905)*('تشخيص الحالات'!$G$2:$G$1001=2)*ROW('تشخيص الحالات'!$B$2:$B$1001))-1),""),"")&amp;IF(SUMPRODUCT(('تشخيص الحالات'!$B$2:$B$1001=B905)*('تشخيص الحالات'!$G$2:$G$1001=3))&gt;0,"، "&amp;IFERROR(INDEX('تشخيص الحالات'!$D$2:$D$1001,SUMPRODUCT(('تشخيص الحالات'!$B$2:$B$1001=B905)*('تشخيص الحالات'!$G$2:$G$1001=3)*ROW('تشخيص الحالات'!$B$2:$B$1001))-1),""),"")&amp;IF(SUMPRODUCT(('تشخيص الحالات'!$B$2:$B$1001=B905)*('تشخيص الحالات'!$G$2:$G$1001=4))&gt;0,"، "&amp;IFERROR(INDEX('تشخيص الحالات'!$D$2:$D$1001,SUMPRODUCT(('تشخيص الحالات'!$B$2:$B$1001=B905)*('تشخيص الحالات'!$G$2:$G$1001=4)*ROW('تشخيص الحالات'!$B$2:$B$1001))-1),""),"")&amp;IF(SUMPRODUCT(('تشخيص الحالات'!$B$2:$B$1001=B905)*('تشخيص الحالات'!$G$2:$G$1001=5))&gt;0,"، "&amp;IFERROR(INDEX('تشخيص الحالات'!$D$2:$D$1001,SUMPRODUCT(('تشخيص الحالات'!$B$2:$B$1001=B905)*('تشخيص الحالات'!$G$2:$G$1001=5)*ROW('تشخيص الحالات'!$B$2:$B$1001))-1),""),"")&amp;IF(SUMPRODUCT(('تشخيص الحالات'!$B$2:$B$1001=B905)*('تشخيص الحالات'!$G$2:$G$1001=6))&gt;0,"، "&amp;IFERROR(INDEX('تشخيص الحالات'!$D$2:$D$1001,SUMPRODUCT(('تشخيص الحالات'!$B$2:$B$1001=B905)*('تشخيص الحالات'!$G$2:$G$1001=6)*ROW('تشخيص الحالات'!$B$2:$B$1001))-1),""),"")&amp;IF(SUMPRODUCT(('تشخيص الحالات'!$B$2:$B$1001=B905)*('تشخيص الحالات'!$G$2:$G$1001=7))&gt;0,"، "&amp;IFERROR(INDEX('تشخيص الحالات'!$D$2:$D$1001,SUMPRODUCT(('تشخيص الحالات'!$B$2:$B$1001=B905)*('تشخيص الحالات'!$G$2:$G$1001=7)*ROW('تشخيص الحالات'!$B$2:$B$1001))-1),""),"")&amp;IF(SUMPRODUCT(('تشخيص الحالات'!$B$2:$B$1001=B905)*('تشخيص الحالات'!$G$2:$G$1001=8))&gt;0,"، "&amp;IFERROR(INDEX('تشخيص الحالات'!$D$2:$D$1001,SUMPRODUCT(('تشخيص الحالات'!$B$2:$B$1001=B905)*('تشخيص الحالات'!$G$2:$G$1001=8)*ROW('تشخيص الحالات'!$B$2:$B$1001))-1),""),"")</f>
        <v/>
      </c>
      <c r="J905" s="1"/>
      <c r="K905" s="1"/>
      <c r="L905" s="1"/>
      <c r="M905" s="1"/>
    </row>
    <row r="906" spans="1:13" x14ac:dyDescent="0.2">
      <c r="A906" s="1"/>
      <c r="B906" s="1"/>
      <c r="C906" s="1"/>
      <c r="D906" s="1"/>
      <c r="E906" s="1"/>
      <c r="F906" s="1"/>
      <c r="G906" s="1"/>
      <c r="H906" s="1"/>
      <c r="I906" t="str">
        <f>IFERROR(INDEX('تشخيص الحالات'!$D$2:$D$1001,SUMPRODUCT(('تشخيص الحالات'!$B$2:$B$1001=B906)*('تشخيص الحالات'!$G$2:$G$1001=1)*ROW('تشخيص الحالات'!$B$2:$B$1001))-1),"")&amp;IF(SUMPRODUCT(('تشخيص الحالات'!$B$2:$B$1001=B906)*('تشخيص الحالات'!$G$2:$G$1001=2))&gt;0,"، "&amp;IFERROR(INDEX('تشخيص الحالات'!$D$2:$D$1001,SUMPRODUCT(('تشخيص الحالات'!$B$2:$B$1001=B906)*('تشخيص الحالات'!$G$2:$G$1001=2)*ROW('تشخيص الحالات'!$B$2:$B$1001))-1),""),"")&amp;IF(SUMPRODUCT(('تشخيص الحالات'!$B$2:$B$1001=B906)*('تشخيص الحالات'!$G$2:$G$1001=3))&gt;0,"، "&amp;IFERROR(INDEX('تشخيص الحالات'!$D$2:$D$1001,SUMPRODUCT(('تشخيص الحالات'!$B$2:$B$1001=B906)*('تشخيص الحالات'!$G$2:$G$1001=3)*ROW('تشخيص الحالات'!$B$2:$B$1001))-1),""),"")&amp;IF(SUMPRODUCT(('تشخيص الحالات'!$B$2:$B$1001=B906)*('تشخيص الحالات'!$G$2:$G$1001=4))&gt;0,"، "&amp;IFERROR(INDEX('تشخيص الحالات'!$D$2:$D$1001,SUMPRODUCT(('تشخيص الحالات'!$B$2:$B$1001=B906)*('تشخيص الحالات'!$G$2:$G$1001=4)*ROW('تشخيص الحالات'!$B$2:$B$1001))-1),""),"")&amp;IF(SUMPRODUCT(('تشخيص الحالات'!$B$2:$B$1001=B906)*('تشخيص الحالات'!$G$2:$G$1001=5))&gt;0,"، "&amp;IFERROR(INDEX('تشخيص الحالات'!$D$2:$D$1001,SUMPRODUCT(('تشخيص الحالات'!$B$2:$B$1001=B906)*('تشخيص الحالات'!$G$2:$G$1001=5)*ROW('تشخيص الحالات'!$B$2:$B$1001))-1),""),"")&amp;IF(SUMPRODUCT(('تشخيص الحالات'!$B$2:$B$1001=B906)*('تشخيص الحالات'!$G$2:$G$1001=6))&gt;0,"، "&amp;IFERROR(INDEX('تشخيص الحالات'!$D$2:$D$1001,SUMPRODUCT(('تشخيص الحالات'!$B$2:$B$1001=B906)*('تشخيص الحالات'!$G$2:$G$1001=6)*ROW('تشخيص الحالات'!$B$2:$B$1001))-1),""),"")&amp;IF(SUMPRODUCT(('تشخيص الحالات'!$B$2:$B$1001=B906)*('تشخيص الحالات'!$G$2:$G$1001=7))&gt;0,"، "&amp;IFERROR(INDEX('تشخيص الحالات'!$D$2:$D$1001,SUMPRODUCT(('تشخيص الحالات'!$B$2:$B$1001=B906)*('تشخيص الحالات'!$G$2:$G$1001=7)*ROW('تشخيص الحالات'!$B$2:$B$1001))-1),""),"")&amp;IF(SUMPRODUCT(('تشخيص الحالات'!$B$2:$B$1001=B906)*('تشخيص الحالات'!$G$2:$G$1001=8))&gt;0,"، "&amp;IFERROR(INDEX('تشخيص الحالات'!$D$2:$D$1001,SUMPRODUCT(('تشخيص الحالات'!$B$2:$B$1001=B906)*('تشخيص الحالات'!$G$2:$G$1001=8)*ROW('تشخيص الحالات'!$B$2:$B$1001))-1),""),"")</f>
        <v/>
      </c>
      <c r="J906" s="1"/>
      <c r="K906" s="1"/>
      <c r="L906" s="1"/>
      <c r="M906" s="1"/>
    </row>
    <row r="907" spans="1:13" x14ac:dyDescent="0.2">
      <c r="A907" s="1"/>
      <c r="B907" s="1"/>
      <c r="C907" s="1"/>
      <c r="D907" s="1"/>
      <c r="E907" s="1"/>
      <c r="F907" s="1"/>
      <c r="G907" s="1"/>
      <c r="H907" s="1"/>
      <c r="I907" t="str">
        <f>IFERROR(INDEX('تشخيص الحالات'!$D$2:$D$1001,SUMPRODUCT(('تشخيص الحالات'!$B$2:$B$1001=B907)*('تشخيص الحالات'!$G$2:$G$1001=1)*ROW('تشخيص الحالات'!$B$2:$B$1001))-1),"")&amp;IF(SUMPRODUCT(('تشخيص الحالات'!$B$2:$B$1001=B907)*('تشخيص الحالات'!$G$2:$G$1001=2))&gt;0,"، "&amp;IFERROR(INDEX('تشخيص الحالات'!$D$2:$D$1001,SUMPRODUCT(('تشخيص الحالات'!$B$2:$B$1001=B907)*('تشخيص الحالات'!$G$2:$G$1001=2)*ROW('تشخيص الحالات'!$B$2:$B$1001))-1),""),"")&amp;IF(SUMPRODUCT(('تشخيص الحالات'!$B$2:$B$1001=B907)*('تشخيص الحالات'!$G$2:$G$1001=3))&gt;0,"، "&amp;IFERROR(INDEX('تشخيص الحالات'!$D$2:$D$1001,SUMPRODUCT(('تشخيص الحالات'!$B$2:$B$1001=B907)*('تشخيص الحالات'!$G$2:$G$1001=3)*ROW('تشخيص الحالات'!$B$2:$B$1001))-1),""),"")&amp;IF(SUMPRODUCT(('تشخيص الحالات'!$B$2:$B$1001=B907)*('تشخيص الحالات'!$G$2:$G$1001=4))&gt;0,"، "&amp;IFERROR(INDEX('تشخيص الحالات'!$D$2:$D$1001,SUMPRODUCT(('تشخيص الحالات'!$B$2:$B$1001=B907)*('تشخيص الحالات'!$G$2:$G$1001=4)*ROW('تشخيص الحالات'!$B$2:$B$1001))-1),""),"")&amp;IF(SUMPRODUCT(('تشخيص الحالات'!$B$2:$B$1001=B907)*('تشخيص الحالات'!$G$2:$G$1001=5))&gt;0,"، "&amp;IFERROR(INDEX('تشخيص الحالات'!$D$2:$D$1001,SUMPRODUCT(('تشخيص الحالات'!$B$2:$B$1001=B907)*('تشخيص الحالات'!$G$2:$G$1001=5)*ROW('تشخيص الحالات'!$B$2:$B$1001))-1),""),"")&amp;IF(SUMPRODUCT(('تشخيص الحالات'!$B$2:$B$1001=B907)*('تشخيص الحالات'!$G$2:$G$1001=6))&gt;0,"، "&amp;IFERROR(INDEX('تشخيص الحالات'!$D$2:$D$1001,SUMPRODUCT(('تشخيص الحالات'!$B$2:$B$1001=B907)*('تشخيص الحالات'!$G$2:$G$1001=6)*ROW('تشخيص الحالات'!$B$2:$B$1001))-1),""),"")&amp;IF(SUMPRODUCT(('تشخيص الحالات'!$B$2:$B$1001=B907)*('تشخيص الحالات'!$G$2:$G$1001=7))&gt;0,"، "&amp;IFERROR(INDEX('تشخيص الحالات'!$D$2:$D$1001,SUMPRODUCT(('تشخيص الحالات'!$B$2:$B$1001=B907)*('تشخيص الحالات'!$G$2:$G$1001=7)*ROW('تشخيص الحالات'!$B$2:$B$1001))-1),""),"")&amp;IF(SUMPRODUCT(('تشخيص الحالات'!$B$2:$B$1001=B907)*('تشخيص الحالات'!$G$2:$G$1001=8))&gt;0,"، "&amp;IFERROR(INDEX('تشخيص الحالات'!$D$2:$D$1001,SUMPRODUCT(('تشخيص الحالات'!$B$2:$B$1001=B907)*('تشخيص الحالات'!$G$2:$G$1001=8)*ROW('تشخيص الحالات'!$B$2:$B$1001))-1),""),"")</f>
        <v/>
      </c>
      <c r="J907" s="1"/>
      <c r="K907" s="1"/>
      <c r="L907" s="1"/>
      <c r="M907" s="1"/>
    </row>
    <row r="908" spans="1:13" x14ac:dyDescent="0.2">
      <c r="A908" s="1"/>
      <c r="B908" s="1"/>
      <c r="C908" s="1"/>
      <c r="D908" s="1"/>
      <c r="E908" s="1"/>
      <c r="F908" s="1"/>
      <c r="G908" s="1"/>
      <c r="H908" s="1"/>
      <c r="I908" t="str">
        <f>IFERROR(INDEX('تشخيص الحالات'!$D$2:$D$1001,SUMPRODUCT(('تشخيص الحالات'!$B$2:$B$1001=B908)*('تشخيص الحالات'!$G$2:$G$1001=1)*ROW('تشخيص الحالات'!$B$2:$B$1001))-1),"")&amp;IF(SUMPRODUCT(('تشخيص الحالات'!$B$2:$B$1001=B908)*('تشخيص الحالات'!$G$2:$G$1001=2))&gt;0,"، "&amp;IFERROR(INDEX('تشخيص الحالات'!$D$2:$D$1001,SUMPRODUCT(('تشخيص الحالات'!$B$2:$B$1001=B908)*('تشخيص الحالات'!$G$2:$G$1001=2)*ROW('تشخيص الحالات'!$B$2:$B$1001))-1),""),"")&amp;IF(SUMPRODUCT(('تشخيص الحالات'!$B$2:$B$1001=B908)*('تشخيص الحالات'!$G$2:$G$1001=3))&gt;0,"، "&amp;IFERROR(INDEX('تشخيص الحالات'!$D$2:$D$1001,SUMPRODUCT(('تشخيص الحالات'!$B$2:$B$1001=B908)*('تشخيص الحالات'!$G$2:$G$1001=3)*ROW('تشخيص الحالات'!$B$2:$B$1001))-1),""),"")&amp;IF(SUMPRODUCT(('تشخيص الحالات'!$B$2:$B$1001=B908)*('تشخيص الحالات'!$G$2:$G$1001=4))&gt;0,"، "&amp;IFERROR(INDEX('تشخيص الحالات'!$D$2:$D$1001,SUMPRODUCT(('تشخيص الحالات'!$B$2:$B$1001=B908)*('تشخيص الحالات'!$G$2:$G$1001=4)*ROW('تشخيص الحالات'!$B$2:$B$1001))-1),""),"")&amp;IF(SUMPRODUCT(('تشخيص الحالات'!$B$2:$B$1001=B908)*('تشخيص الحالات'!$G$2:$G$1001=5))&gt;0,"، "&amp;IFERROR(INDEX('تشخيص الحالات'!$D$2:$D$1001,SUMPRODUCT(('تشخيص الحالات'!$B$2:$B$1001=B908)*('تشخيص الحالات'!$G$2:$G$1001=5)*ROW('تشخيص الحالات'!$B$2:$B$1001))-1),""),"")&amp;IF(SUMPRODUCT(('تشخيص الحالات'!$B$2:$B$1001=B908)*('تشخيص الحالات'!$G$2:$G$1001=6))&gt;0,"، "&amp;IFERROR(INDEX('تشخيص الحالات'!$D$2:$D$1001,SUMPRODUCT(('تشخيص الحالات'!$B$2:$B$1001=B908)*('تشخيص الحالات'!$G$2:$G$1001=6)*ROW('تشخيص الحالات'!$B$2:$B$1001))-1),""),"")&amp;IF(SUMPRODUCT(('تشخيص الحالات'!$B$2:$B$1001=B908)*('تشخيص الحالات'!$G$2:$G$1001=7))&gt;0,"، "&amp;IFERROR(INDEX('تشخيص الحالات'!$D$2:$D$1001,SUMPRODUCT(('تشخيص الحالات'!$B$2:$B$1001=B908)*('تشخيص الحالات'!$G$2:$G$1001=7)*ROW('تشخيص الحالات'!$B$2:$B$1001))-1),""),"")&amp;IF(SUMPRODUCT(('تشخيص الحالات'!$B$2:$B$1001=B908)*('تشخيص الحالات'!$G$2:$G$1001=8))&gt;0,"، "&amp;IFERROR(INDEX('تشخيص الحالات'!$D$2:$D$1001,SUMPRODUCT(('تشخيص الحالات'!$B$2:$B$1001=B908)*('تشخيص الحالات'!$G$2:$G$1001=8)*ROW('تشخيص الحالات'!$B$2:$B$1001))-1),""),"")</f>
        <v/>
      </c>
      <c r="J908" s="1"/>
      <c r="K908" s="1"/>
      <c r="L908" s="1"/>
      <c r="M908" s="1"/>
    </row>
    <row r="909" spans="1:13" x14ac:dyDescent="0.2">
      <c r="A909" s="1"/>
      <c r="B909" s="1"/>
      <c r="C909" s="1"/>
      <c r="D909" s="1"/>
      <c r="E909" s="1"/>
      <c r="F909" s="1"/>
      <c r="G909" s="1"/>
      <c r="H909" s="1"/>
      <c r="I909" t="str">
        <f>IFERROR(INDEX('تشخيص الحالات'!$D$2:$D$1001,SUMPRODUCT(('تشخيص الحالات'!$B$2:$B$1001=B909)*('تشخيص الحالات'!$G$2:$G$1001=1)*ROW('تشخيص الحالات'!$B$2:$B$1001))-1),"")&amp;IF(SUMPRODUCT(('تشخيص الحالات'!$B$2:$B$1001=B909)*('تشخيص الحالات'!$G$2:$G$1001=2))&gt;0,"، "&amp;IFERROR(INDEX('تشخيص الحالات'!$D$2:$D$1001,SUMPRODUCT(('تشخيص الحالات'!$B$2:$B$1001=B909)*('تشخيص الحالات'!$G$2:$G$1001=2)*ROW('تشخيص الحالات'!$B$2:$B$1001))-1),""),"")&amp;IF(SUMPRODUCT(('تشخيص الحالات'!$B$2:$B$1001=B909)*('تشخيص الحالات'!$G$2:$G$1001=3))&gt;0,"، "&amp;IFERROR(INDEX('تشخيص الحالات'!$D$2:$D$1001,SUMPRODUCT(('تشخيص الحالات'!$B$2:$B$1001=B909)*('تشخيص الحالات'!$G$2:$G$1001=3)*ROW('تشخيص الحالات'!$B$2:$B$1001))-1),""),"")&amp;IF(SUMPRODUCT(('تشخيص الحالات'!$B$2:$B$1001=B909)*('تشخيص الحالات'!$G$2:$G$1001=4))&gt;0,"، "&amp;IFERROR(INDEX('تشخيص الحالات'!$D$2:$D$1001,SUMPRODUCT(('تشخيص الحالات'!$B$2:$B$1001=B909)*('تشخيص الحالات'!$G$2:$G$1001=4)*ROW('تشخيص الحالات'!$B$2:$B$1001))-1),""),"")&amp;IF(SUMPRODUCT(('تشخيص الحالات'!$B$2:$B$1001=B909)*('تشخيص الحالات'!$G$2:$G$1001=5))&gt;0,"، "&amp;IFERROR(INDEX('تشخيص الحالات'!$D$2:$D$1001,SUMPRODUCT(('تشخيص الحالات'!$B$2:$B$1001=B909)*('تشخيص الحالات'!$G$2:$G$1001=5)*ROW('تشخيص الحالات'!$B$2:$B$1001))-1),""),"")&amp;IF(SUMPRODUCT(('تشخيص الحالات'!$B$2:$B$1001=B909)*('تشخيص الحالات'!$G$2:$G$1001=6))&gt;0,"، "&amp;IFERROR(INDEX('تشخيص الحالات'!$D$2:$D$1001,SUMPRODUCT(('تشخيص الحالات'!$B$2:$B$1001=B909)*('تشخيص الحالات'!$G$2:$G$1001=6)*ROW('تشخيص الحالات'!$B$2:$B$1001))-1),""),"")&amp;IF(SUMPRODUCT(('تشخيص الحالات'!$B$2:$B$1001=B909)*('تشخيص الحالات'!$G$2:$G$1001=7))&gt;0,"، "&amp;IFERROR(INDEX('تشخيص الحالات'!$D$2:$D$1001,SUMPRODUCT(('تشخيص الحالات'!$B$2:$B$1001=B909)*('تشخيص الحالات'!$G$2:$G$1001=7)*ROW('تشخيص الحالات'!$B$2:$B$1001))-1),""),"")&amp;IF(SUMPRODUCT(('تشخيص الحالات'!$B$2:$B$1001=B909)*('تشخيص الحالات'!$G$2:$G$1001=8))&gt;0,"، "&amp;IFERROR(INDEX('تشخيص الحالات'!$D$2:$D$1001,SUMPRODUCT(('تشخيص الحالات'!$B$2:$B$1001=B909)*('تشخيص الحالات'!$G$2:$G$1001=8)*ROW('تشخيص الحالات'!$B$2:$B$1001))-1),""),"")</f>
        <v/>
      </c>
      <c r="J909" s="1"/>
      <c r="K909" s="1"/>
      <c r="L909" s="1"/>
      <c r="M909" s="1"/>
    </row>
    <row r="910" spans="1:13" x14ac:dyDescent="0.2">
      <c r="A910" s="1"/>
      <c r="B910" s="1"/>
      <c r="C910" s="1"/>
      <c r="D910" s="1"/>
      <c r="E910" s="1"/>
      <c r="F910" s="1"/>
      <c r="G910" s="1"/>
      <c r="H910" s="1"/>
      <c r="I910" t="str">
        <f>IFERROR(INDEX('تشخيص الحالات'!$D$2:$D$1001,SUMPRODUCT(('تشخيص الحالات'!$B$2:$B$1001=B910)*('تشخيص الحالات'!$G$2:$G$1001=1)*ROW('تشخيص الحالات'!$B$2:$B$1001))-1),"")&amp;IF(SUMPRODUCT(('تشخيص الحالات'!$B$2:$B$1001=B910)*('تشخيص الحالات'!$G$2:$G$1001=2))&gt;0,"، "&amp;IFERROR(INDEX('تشخيص الحالات'!$D$2:$D$1001,SUMPRODUCT(('تشخيص الحالات'!$B$2:$B$1001=B910)*('تشخيص الحالات'!$G$2:$G$1001=2)*ROW('تشخيص الحالات'!$B$2:$B$1001))-1),""),"")&amp;IF(SUMPRODUCT(('تشخيص الحالات'!$B$2:$B$1001=B910)*('تشخيص الحالات'!$G$2:$G$1001=3))&gt;0,"، "&amp;IFERROR(INDEX('تشخيص الحالات'!$D$2:$D$1001,SUMPRODUCT(('تشخيص الحالات'!$B$2:$B$1001=B910)*('تشخيص الحالات'!$G$2:$G$1001=3)*ROW('تشخيص الحالات'!$B$2:$B$1001))-1),""),"")&amp;IF(SUMPRODUCT(('تشخيص الحالات'!$B$2:$B$1001=B910)*('تشخيص الحالات'!$G$2:$G$1001=4))&gt;0,"، "&amp;IFERROR(INDEX('تشخيص الحالات'!$D$2:$D$1001,SUMPRODUCT(('تشخيص الحالات'!$B$2:$B$1001=B910)*('تشخيص الحالات'!$G$2:$G$1001=4)*ROW('تشخيص الحالات'!$B$2:$B$1001))-1),""),"")&amp;IF(SUMPRODUCT(('تشخيص الحالات'!$B$2:$B$1001=B910)*('تشخيص الحالات'!$G$2:$G$1001=5))&gt;0,"، "&amp;IFERROR(INDEX('تشخيص الحالات'!$D$2:$D$1001,SUMPRODUCT(('تشخيص الحالات'!$B$2:$B$1001=B910)*('تشخيص الحالات'!$G$2:$G$1001=5)*ROW('تشخيص الحالات'!$B$2:$B$1001))-1),""),"")&amp;IF(SUMPRODUCT(('تشخيص الحالات'!$B$2:$B$1001=B910)*('تشخيص الحالات'!$G$2:$G$1001=6))&gt;0,"، "&amp;IFERROR(INDEX('تشخيص الحالات'!$D$2:$D$1001,SUMPRODUCT(('تشخيص الحالات'!$B$2:$B$1001=B910)*('تشخيص الحالات'!$G$2:$G$1001=6)*ROW('تشخيص الحالات'!$B$2:$B$1001))-1),""),"")&amp;IF(SUMPRODUCT(('تشخيص الحالات'!$B$2:$B$1001=B910)*('تشخيص الحالات'!$G$2:$G$1001=7))&gt;0,"، "&amp;IFERROR(INDEX('تشخيص الحالات'!$D$2:$D$1001,SUMPRODUCT(('تشخيص الحالات'!$B$2:$B$1001=B910)*('تشخيص الحالات'!$G$2:$G$1001=7)*ROW('تشخيص الحالات'!$B$2:$B$1001))-1),""),"")&amp;IF(SUMPRODUCT(('تشخيص الحالات'!$B$2:$B$1001=B910)*('تشخيص الحالات'!$G$2:$G$1001=8))&gt;0,"، "&amp;IFERROR(INDEX('تشخيص الحالات'!$D$2:$D$1001,SUMPRODUCT(('تشخيص الحالات'!$B$2:$B$1001=B910)*('تشخيص الحالات'!$G$2:$G$1001=8)*ROW('تشخيص الحالات'!$B$2:$B$1001))-1),""),"")</f>
        <v/>
      </c>
      <c r="J910" s="1"/>
      <c r="K910" s="1"/>
      <c r="L910" s="1"/>
      <c r="M910" s="1"/>
    </row>
    <row r="911" spans="1:13" x14ac:dyDescent="0.2">
      <c r="A911" s="1"/>
      <c r="B911" s="1"/>
      <c r="C911" s="1"/>
      <c r="D911" s="1"/>
      <c r="E911" s="1"/>
      <c r="F911" s="1"/>
      <c r="G911" s="1"/>
      <c r="H911" s="1"/>
      <c r="I911" t="str">
        <f>IFERROR(INDEX('تشخيص الحالات'!$D$2:$D$1001,SUMPRODUCT(('تشخيص الحالات'!$B$2:$B$1001=B911)*('تشخيص الحالات'!$G$2:$G$1001=1)*ROW('تشخيص الحالات'!$B$2:$B$1001))-1),"")&amp;IF(SUMPRODUCT(('تشخيص الحالات'!$B$2:$B$1001=B911)*('تشخيص الحالات'!$G$2:$G$1001=2))&gt;0,"، "&amp;IFERROR(INDEX('تشخيص الحالات'!$D$2:$D$1001,SUMPRODUCT(('تشخيص الحالات'!$B$2:$B$1001=B911)*('تشخيص الحالات'!$G$2:$G$1001=2)*ROW('تشخيص الحالات'!$B$2:$B$1001))-1),""),"")&amp;IF(SUMPRODUCT(('تشخيص الحالات'!$B$2:$B$1001=B911)*('تشخيص الحالات'!$G$2:$G$1001=3))&gt;0,"، "&amp;IFERROR(INDEX('تشخيص الحالات'!$D$2:$D$1001,SUMPRODUCT(('تشخيص الحالات'!$B$2:$B$1001=B911)*('تشخيص الحالات'!$G$2:$G$1001=3)*ROW('تشخيص الحالات'!$B$2:$B$1001))-1),""),"")&amp;IF(SUMPRODUCT(('تشخيص الحالات'!$B$2:$B$1001=B911)*('تشخيص الحالات'!$G$2:$G$1001=4))&gt;0,"، "&amp;IFERROR(INDEX('تشخيص الحالات'!$D$2:$D$1001,SUMPRODUCT(('تشخيص الحالات'!$B$2:$B$1001=B911)*('تشخيص الحالات'!$G$2:$G$1001=4)*ROW('تشخيص الحالات'!$B$2:$B$1001))-1),""),"")&amp;IF(SUMPRODUCT(('تشخيص الحالات'!$B$2:$B$1001=B911)*('تشخيص الحالات'!$G$2:$G$1001=5))&gt;0,"، "&amp;IFERROR(INDEX('تشخيص الحالات'!$D$2:$D$1001,SUMPRODUCT(('تشخيص الحالات'!$B$2:$B$1001=B911)*('تشخيص الحالات'!$G$2:$G$1001=5)*ROW('تشخيص الحالات'!$B$2:$B$1001))-1),""),"")&amp;IF(SUMPRODUCT(('تشخيص الحالات'!$B$2:$B$1001=B911)*('تشخيص الحالات'!$G$2:$G$1001=6))&gt;0,"، "&amp;IFERROR(INDEX('تشخيص الحالات'!$D$2:$D$1001,SUMPRODUCT(('تشخيص الحالات'!$B$2:$B$1001=B911)*('تشخيص الحالات'!$G$2:$G$1001=6)*ROW('تشخيص الحالات'!$B$2:$B$1001))-1),""),"")&amp;IF(SUMPRODUCT(('تشخيص الحالات'!$B$2:$B$1001=B911)*('تشخيص الحالات'!$G$2:$G$1001=7))&gt;0,"، "&amp;IFERROR(INDEX('تشخيص الحالات'!$D$2:$D$1001,SUMPRODUCT(('تشخيص الحالات'!$B$2:$B$1001=B911)*('تشخيص الحالات'!$G$2:$G$1001=7)*ROW('تشخيص الحالات'!$B$2:$B$1001))-1),""),"")&amp;IF(SUMPRODUCT(('تشخيص الحالات'!$B$2:$B$1001=B911)*('تشخيص الحالات'!$G$2:$G$1001=8))&gt;0,"، "&amp;IFERROR(INDEX('تشخيص الحالات'!$D$2:$D$1001,SUMPRODUCT(('تشخيص الحالات'!$B$2:$B$1001=B911)*('تشخيص الحالات'!$G$2:$G$1001=8)*ROW('تشخيص الحالات'!$B$2:$B$1001))-1),""),"")</f>
        <v/>
      </c>
      <c r="J911" s="1"/>
      <c r="K911" s="1"/>
      <c r="L911" s="1"/>
      <c r="M911" s="1"/>
    </row>
    <row r="912" spans="1:13" x14ac:dyDescent="0.2">
      <c r="A912" s="1"/>
      <c r="B912" s="1"/>
      <c r="C912" s="1"/>
      <c r="D912" s="1"/>
      <c r="E912" s="1"/>
      <c r="F912" s="1"/>
      <c r="G912" s="1"/>
      <c r="H912" s="1"/>
      <c r="I912" t="str">
        <f>IFERROR(INDEX('تشخيص الحالات'!$D$2:$D$1001,SUMPRODUCT(('تشخيص الحالات'!$B$2:$B$1001=B912)*('تشخيص الحالات'!$G$2:$G$1001=1)*ROW('تشخيص الحالات'!$B$2:$B$1001))-1),"")&amp;IF(SUMPRODUCT(('تشخيص الحالات'!$B$2:$B$1001=B912)*('تشخيص الحالات'!$G$2:$G$1001=2))&gt;0,"، "&amp;IFERROR(INDEX('تشخيص الحالات'!$D$2:$D$1001,SUMPRODUCT(('تشخيص الحالات'!$B$2:$B$1001=B912)*('تشخيص الحالات'!$G$2:$G$1001=2)*ROW('تشخيص الحالات'!$B$2:$B$1001))-1),""),"")&amp;IF(SUMPRODUCT(('تشخيص الحالات'!$B$2:$B$1001=B912)*('تشخيص الحالات'!$G$2:$G$1001=3))&gt;0,"، "&amp;IFERROR(INDEX('تشخيص الحالات'!$D$2:$D$1001,SUMPRODUCT(('تشخيص الحالات'!$B$2:$B$1001=B912)*('تشخيص الحالات'!$G$2:$G$1001=3)*ROW('تشخيص الحالات'!$B$2:$B$1001))-1),""),"")&amp;IF(SUMPRODUCT(('تشخيص الحالات'!$B$2:$B$1001=B912)*('تشخيص الحالات'!$G$2:$G$1001=4))&gt;0,"، "&amp;IFERROR(INDEX('تشخيص الحالات'!$D$2:$D$1001,SUMPRODUCT(('تشخيص الحالات'!$B$2:$B$1001=B912)*('تشخيص الحالات'!$G$2:$G$1001=4)*ROW('تشخيص الحالات'!$B$2:$B$1001))-1),""),"")&amp;IF(SUMPRODUCT(('تشخيص الحالات'!$B$2:$B$1001=B912)*('تشخيص الحالات'!$G$2:$G$1001=5))&gt;0,"، "&amp;IFERROR(INDEX('تشخيص الحالات'!$D$2:$D$1001,SUMPRODUCT(('تشخيص الحالات'!$B$2:$B$1001=B912)*('تشخيص الحالات'!$G$2:$G$1001=5)*ROW('تشخيص الحالات'!$B$2:$B$1001))-1),""),"")&amp;IF(SUMPRODUCT(('تشخيص الحالات'!$B$2:$B$1001=B912)*('تشخيص الحالات'!$G$2:$G$1001=6))&gt;0,"، "&amp;IFERROR(INDEX('تشخيص الحالات'!$D$2:$D$1001,SUMPRODUCT(('تشخيص الحالات'!$B$2:$B$1001=B912)*('تشخيص الحالات'!$G$2:$G$1001=6)*ROW('تشخيص الحالات'!$B$2:$B$1001))-1),""),"")&amp;IF(SUMPRODUCT(('تشخيص الحالات'!$B$2:$B$1001=B912)*('تشخيص الحالات'!$G$2:$G$1001=7))&gt;0,"، "&amp;IFERROR(INDEX('تشخيص الحالات'!$D$2:$D$1001,SUMPRODUCT(('تشخيص الحالات'!$B$2:$B$1001=B912)*('تشخيص الحالات'!$G$2:$G$1001=7)*ROW('تشخيص الحالات'!$B$2:$B$1001))-1),""),"")&amp;IF(SUMPRODUCT(('تشخيص الحالات'!$B$2:$B$1001=B912)*('تشخيص الحالات'!$G$2:$G$1001=8))&gt;0,"، "&amp;IFERROR(INDEX('تشخيص الحالات'!$D$2:$D$1001,SUMPRODUCT(('تشخيص الحالات'!$B$2:$B$1001=B912)*('تشخيص الحالات'!$G$2:$G$1001=8)*ROW('تشخيص الحالات'!$B$2:$B$1001))-1),""),"")</f>
        <v/>
      </c>
      <c r="J912" s="1"/>
      <c r="K912" s="1"/>
      <c r="L912" s="1"/>
      <c r="M912" s="1"/>
    </row>
    <row r="913" spans="1:13" x14ac:dyDescent="0.2">
      <c r="A913" s="1"/>
      <c r="B913" s="1"/>
      <c r="C913" s="1"/>
      <c r="D913" s="1"/>
      <c r="E913" s="1"/>
      <c r="F913" s="1"/>
      <c r="G913" s="1"/>
      <c r="H913" s="1"/>
      <c r="I913" t="str">
        <f>IFERROR(INDEX('تشخيص الحالات'!$D$2:$D$1001,SUMPRODUCT(('تشخيص الحالات'!$B$2:$B$1001=B913)*('تشخيص الحالات'!$G$2:$G$1001=1)*ROW('تشخيص الحالات'!$B$2:$B$1001))-1),"")&amp;IF(SUMPRODUCT(('تشخيص الحالات'!$B$2:$B$1001=B913)*('تشخيص الحالات'!$G$2:$G$1001=2))&gt;0,"، "&amp;IFERROR(INDEX('تشخيص الحالات'!$D$2:$D$1001,SUMPRODUCT(('تشخيص الحالات'!$B$2:$B$1001=B913)*('تشخيص الحالات'!$G$2:$G$1001=2)*ROW('تشخيص الحالات'!$B$2:$B$1001))-1),""),"")&amp;IF(SUMPRODUCT(('تشخيص الحالات'!$B$2:$B$1001=B913)*('تشخيص الحالات'!$G$2:$G$1001=3))&gt;0,"، "&amp;IFERROR(INDEX('تشخيص الحالات'!$D$2:$D$1001,SUMPRODUCT(('تشخيص الحالات'!$B$2:$B$1001=B913)*('تشخيص الحالات'!$G$2:$G$1001=3)*ROW('تشخيص الحالات'!$B$2:$B$1001))-1),""),"")&amp;IF(SUMPRODUCT(('تشخيص الحالات'!$B$2:$B$1001=B913)*('تشخيص الحالات'!$G$2:$G$1001=4))&gt;0,"، "&amp;IFERROR(INDEX('تشخيص الحالات'!$D$2:$D$1001,SUMPRODUCT(('تشخيص الحالات'!$B$2:$B$1001=B913)*('تشخيص الحالات'!$G$2:$G$1001=4)*ROW('تشخيص الحالات'!$B$2:$B$1001))-1),""),"")&amp;IF(SUMPRODUCT(('تشخيص الحالات'!$B$2:$B$1001=B913)*('تشخيص الحالات'!$G$2:$G$1001=5))&gt;0,"، "&amp;IFERROR(INDEX('تشخيص الحالات'!$D$2:$D$1001,SUMPRODUCT(('تشخيص الحالات'!$B$2:$B$1001=B913)*('تشخيص الحالات'!$G$2:$G$1001=5)*ROW('تشخيص الحالات'!$B$2:$B$1001))-1),""),"")&amp;IF(SUMPRODUCT(('تشخيص الحالات'!$B$2:$B$1001=B913)*('تشخيص الحالات'!$G$2:$G$1001=6))&gt;0,"، "&amp;IFERROR(INDEX('تشخيص الحالات'!$D$2:$D$1001,SUMPRODUCT(('تشخيص الحالات'!$B$2:$B$1001=B913)*('تشخيص الحالات'!$G$2:$G$1001=6)*ROW('تشخيص الحالات'!$B$2:$B$1001))-1),""),"")&amp;IF(SUMPRODUCT(('تشخيص الحالات'!$B$2:$B$1001=B913)*('تشخيص الحالات'!$G$2:$G$1001=7))&gt;0,"، "&amp;IFERROR(INDEX('تشخيص الحالات'!$D$2:$D$1001,SUMPRODUCT(('تشخيص الحالات'!$B$2:$B$1001=B913)*('تشخيص الحالات'!$G$2:$G$1001=7)*ROW('تشخيص الحالات'!$B$2:$B$1001))-1),""),"")&amp;IF(SUMPRODUCT(('تشخيص الحالات'!$B$2:$B$1001=B913)*('تشخيص الحالات'!$G$2:$G$1001=8))&gt;0,"، "&amp;IFERROR(INDEX('تشخيص الحالات'!$D$2:$D$1001,SUMPRODUCT(('تشخيص الحالات'!$B$2:$B$1001=B913)*('تشخيص الحالات'!$G$2:$G$1001=8)*ROW('تشخيص الحالات'!$B$2:$B$1001))-1),""),"")</f>
        <v/>
      </c>
      <c r="J913" s="1"/>
      <c r="K913" s="1"/>
      <c r="L913" s="1"/>
      <c r="M913" s="1"/>
    </row>
    <row r="914" spans="1:13" x14ac:dyDescent="0.2">
      <c r="A914" s="1"/>
      <c r="B914" s="1"/>
      <c r="C914" s="1"/>
      <c r="D914" s="1"/>
      <c r="E914" s="1"/>
      <c r="F914" s="1"/>
      <c r="G914" s="1"/>
      <c r="H914" s="1"/>
      <c r="I914" t="str">
        <f>IFERROR(INDEX('تشخيص الحالات'!$D$2:$D$1001,SUMPRODUCT(('تشخيص الحالات'!$B$2:$B$1001=B914)*('تشخيص الحالات'!$G$2:$G$1001=1)*ROW('تشخيص الحالات'!$B$2:$B$1001))-1),"")&amp;IF(SUMPRODUCT(('تشخيص الحالات'!$B$2:$B$1001=B914)*('تشخيص الحالات'!$G$2:$G$1001=2))&gt;0,"، "&amp;IFERROR(INDEX('تشخيص الحالات'!$D$2:$D$1001,SUMPRODUCT(('تشخيص الحالات'!$B$2:$B$1001=B914)*('تشخيص الحالات'!$G$2:$G$1001=2)*ROW('تشخيص الحالات'!$B$2:$B$1001))-1),""),"")&amp;IF(SUMPRODUCT(('تشخيص الحالات'!$B$2:$B$1001=B914)*('تشخيص الحالات'!$G$2:$G$1001=3))&gt;0,"، "&amp;IFERROR(INDEX('تشخيص الحالات'!$D$2:$D$1001,SUMPRODUCT(('تشخيص الحالات'!$B$2:$B$1001=B914)*('تشخيص الحالات'!$G$2:$G$1001=3)*ROW('تشخيص الحالات'!$B$2:$B$1001))-1),""),"")&amp;IF(SUMPRODUCT(('تشخيص الحالات'!$B$2:$B$1001=B914)*('تشخيص الحالات'!$G$2:$G$1001=4))&gt;0,"، "&amp;IFERROR(INDEX('تشخيص الحالات'!$D$2:$D$1001,SUMPRODUCT(('تشخيص الحالات'!$B$2:$B$1001=B914)*('تشخيص الحالات'!$G$2:$G$1001=4)*ROW('تشخيص الحالات'!$B$2:$B$1001))-1),""),"")&amp;IF(SUMPRODUCT(('تشخيص الحالات'!$B$2:$B$1001=B914)*('تشخيص الحالات'!$G$2:$G$1001=5))&gt;0,"، "&amp;IFERROR(INDEX('تشخيص الحالات'!$D$2:$D$1001,SUMPRODUCT(('تشخيص الحالات'!$B$2:$B$1001=B914)*('تشخيص الحالات'!$G$2:$G$1001=5)*ROW('تشخيص الحالات'!$B$2:$B$1001))-1),""),"")&amp;IF(SUMPRODUCT(('تشخيص الحالات'!$B$2:$B$1001=B914)*('تشخيص الحالات'!$G$2:$G$1001=6))&gt;0,"، "&amp;IFERROR(INDEX('تشخيص الحالات'!$D$2:$D$1001,SUMPRODUCT(('تشخيص الحالات'!$B$2:$B$1001=B914)*('تشخيص الحالات'!$G$2:$G$1001=6)*ROW('تشخيص الحالات'!$B$2:$B$1001))-1),""),"")&amp;IF(SUMPRODUCT(('تشخيص الحالات'!$B$2:$B$1001=B914)*('تشخيص الحالات'!$G$2:$G$1001=7))&gt;0,"، "&amp;IFERROR(INDEX('تشخيص الحالات'!$D$2:$D$1001,SUMPRODUCT(('تشخيص الحالات'!$B$2:$B$1001=B914)*('تشخيص الحالات'!$G$2:$G$1001=7)*ROW('تشخيص الحالات'!$B$2:$B$1001))-1),""),"")&amp;IF(SUMPRODUCT(('تشخيص الحالات'!$B$2:$B$1001=B914)*('تشخيص الحالات'!$G$2:$G$1001=8))&gt;0,"، "&amp;IFERROR(INDEX('تشخيص الحالات'!$D$2:$D$1001,SUMPRODUCT(('تشخيص الحالات'!$B$2:$B$1001=B914)*('تشخيص الحالات'!$G$2:$G$1001=8)*ROW('تشخيص الحالات'!$B$2:$B$1001))-1),""),"")</f>
        <v/>
      </c>
      <c r="J914" s="1"/>
      <c r="K914" s="1"/>
      <c r="L914" s="1"/>
      <c r="M914" s="1"/>
    </row>
    <row r="915" spans="1:13" x14ac:dyDescent="0.2">
      <c r="A915" s="1"/>
      <c r="B915" s="1"/>
      <c r="C915" s="1"/>
      <c r="D915" s="1"/>
      <c r="E915" s="1"/>
      <c r="F915" s="1"/>
      <c r="G915" s="1"/>
      <c r="H915" s="1"/>
      <c r="I915" t="str">
        <f>IFERROR(INDEX('تشخيص الحالات'!$D$2:$D$1001,SUMPRODUCT(('تشخيص الحالات'!$B$2:$B$1001=B915)*('تشخيص الحالات'!$G$2:$G$1001=1)*ROW('تشخيص الحالات'!$B$2:$B$1001))-1),"")&amp;IF(SUMPRODUCT(('تشخيص الحالات'!$B$2:$B$1001=B915)*('تشخيص الحالات'!$G$2:$G$1001=2))&gt;0,"، "&amp;IFERROR(INDEX('تشخيص الحالات'!$D$2:$D$1001,SUMPRODUCT(('تشخيص الحالات'!$B$2:$B$1001=B915)*('تشخيص الحالات'!$G$2:$G$1001=2)*ROW('تشخيص الحالات'!$B$2:$B$1001))-1),""),"")&amp;IF(SUMPRODUCT(('تشخيص الحالات'!$B$2:$B$1001=B915)*('تشخيص الحالات'!$G$2:$G$1001=3))&gt;0,"، "&amp;IFERROR(INDEX('تشخيص الحالات'!$D$2:$D$1001,SUMPRODUCT(('تشخيص الحالات'!$B$2:$B$1001=B915)*('تشخيص الحالات'!$G$2:$G$1001=3)*ROW('تشخيص الحالات'!$B$2:$B$1001))-1),""),"")&amp;IF(SUMPRODUCT(('تشخيص الحالات'!$B$2:$B$1001=B915)*('تشخيص الحالات'!$G$2:$G$1001=4))&gt;0,"، "&amp;IFERROR(INDEX('تشخيص الحالات'!$D$2:$D$1001,SUMPRODUCT(('تشخيص الحالات'!$B$2:$B$1001=B915)*('تشخيص الحالات'!$G$2:$G$1001=4)*ROW('تشخيص الحالات'!$B$2:$B$1001))-1),""),"")&amp;IF(SUMPRODUCT(('تشخيص الحالات'!$B$2:$B$1001=B915)*('تشخيص الحالات'!$G$2:$G$1001=5))&gt;0,"، "&amp;IFERROR(INDEX('تشخيص الحالات'!$D$2:$D$1001,SUMPRODUCT(('تشخيص الحالات'!$B$2:$B$1001=B915)*('تشخيص الحالات'!$G$2:$G$1001=5)*ROW('تشخيص الحالات'!$B$2:$B$1001))-1),""),"")&amp;IF(SUMPRODUCT(('تشخيص الحالات'!$B$2:$B$1001=B915)*('تشخيص الحالات'!$G$2:$G$1001=6))&gt;0,"، "&amp;IFERROR(INDEX('تشخيص الحالات'!$D$2:$D$1001,SUMPRODUCT(('تشخيص الحالات'!$B$2:$B$1001=B915)*('تشخيص الحالات'!$G$2:$G$1001=6)*ROW('تشخيص الحالات'!$B$2:$B$1001))-1),""),"")&amp;IF(SUMPRODUCT(('تشخيص الحالات'!$B$2:$B$1001=B915)*('تشخيص الحالات'!$G$2:$G$1001=7))&gt;0,"، "&amp;IFERROR(INDEX('تشخيص الحالات'!$D$2:$D$1001,SUMPRODUCT(('تشخيص الحالات'!$B$2:$B$1001=B915)*('تشخيص الحالات'!$G$2:$G$1001=7)*ROW('تشخيص الحالات'!$B$2:$B$1001))-1),""),"")&amp;IF(SUMPRODUCT(('تشخيص الحالات'!$B$2:$B$1001=B915)*('تشخيص الحالات'!$G$2:$G$1001=8))&gt;0,"، "&amp;IFERROR(INDEX('تشخيص الحالات'!$D$2:$D$1001,SUMPRODUCT(('تشخيص الحالات'!$B$2:$B$1001=B915)*('تشخيص الحالات'!$G$2:$G$1001=8)*ROW('تشخيص الحالات'!$B$2:$B$1001))-1),""),"")</f>
        <v/>
      </c>
      <c r="J915" s="1"/>
      <c r="K915" s="1"/>
      <c r="L915" s="1"/>
      <c r="M915" s="1"/>
    </row>
    <row r="916" spans="1:13" x14ac:dyDescent="0.2">
      <c r="A916" s="1"/>
      <c r="B916" s="1"/>
      <c r="C916" s="1"/>
      <c r="D916" s="1"/>
      <c r="E916" s="1"/>
      <c r="F916" s="1"/>
      <c r="G916" s="1"/>
      <c r="H916" s="1"/>
      <c r="I916" t="str">
        <f>IFERROR(INDEX('تشخيص الحالات'!$D$2:$D$1001,SUMPRODUCT(('تشخيص الحالات'!$B$2:$B$1001=B916)*('تشخيص الحالات'!$G$2:$G$1001=1)*ROW('تشخيص الحالات'!$B$2:$B$1001))-1),"")&amp;IF(SUMPRODUCT(('تشخيص الحالات'!$B$2:$B$1001=B916)*('تشخيص الحالات'!$G$2:$G$1001=2))&gt;0,"، "&amp;IFERROR(INDEX('تشخيص الحالات'!$D$2:$D$1001,SUMPRODUCT(('تشخيص الحالات'!$B$2:$B$1001=B916)*('تشخيص الحالات'!$G$2:$G$1001=2)*ROW('تشخيص الحالات'!$B$2:$B$1001))-1),""),"")&amp;IF(SUMPRODUCT(('تشخيص الحالات'!$B$2:$B$1001=B916)*('تشخيص الحالات'!$G$2:$G$1001=3))&gt;0,"، "&amp;IFERROR(INDEX('تشخيص الحالات'!$D$2:$D$1001,SUMPRODUCT(('تشخيص الحالات'!$B$2:$B$1001=B916)*('تشخيص الحالات'!$G$2:$G$1001=3)*ROW('تشخيص الحالات'!$B$2:$B$1001))-1),""),"")&amp;IF(SUMPRODUCT(('تشخيص الحالات'!$B$2:$B$1001=B916)*('تشخيص الحالات'!$G$2:$G$1001=4))&gt;0,"، "&amp;IFERROR(INDEX('تشخيص الحالات'!$D$2:$D$1001,SUMPRODUCT(('تشخيص الحالات'!$B$2:$B$1001=B916)*('تشخيص الحالات'!$G$2:$G$1001=4)*ROW('تشخيص الحالات'!$B$2:$B$1001))-1),""),"")&amp;IF(SUMPRODUCT(('تشخيص الحالات'!$B$2:$B$1001=B916)*('تشخيص الحالات'!$G$2:$G$1001=5))&gt;0,"، "&amp;IFERROR(INDEX('تشخيص الحالات'!$D$2:$D$1001,SUMPRODUCT(('تشخيص الحالات'!$B$2:$B$1001=B916)*('تشخيص الحالات'!$G$2:$G$1001=5)*ROW('تشخيص الحالات'!$B$2:$B$1001))-1),""),"")&amp;IF(SUMPRODUCT(('تشخيص الحالات'!$B$2:$B$1001=B916)*('تشخيص الحالات'!$G$2:$G$1001=6))&gt;0,"، "&amp;IFERROR(INDEX('تشخيص الحالات'!$D$2:$D$1001,SUMPRODUCT(('تشخيص الحالات'!$B$2:$B$1001=B916)*('تشخيص الحالات'!$G$2:$G$1001=6)*ROW('تشخيص الحالات'!$B$2:$B$1001))-1),""),"")&amp;IF(SUMPRODUCT(('تشخيص الحالات'!$B$2:$B$1001=B916)*('تشخيص الحالات'!$G$2:$G$1001=7))&gt;0,"، "&amp;IFERROR(INDEX('تشخيص الحالات'!$D$2:$D$1001,SUMPRODUCT(('تشخيص الحالات'!$B$2:$B$1001=B916)*('تشخيص الحالات'!$G$2:$G$1001=7)*ROW('تشخيص الحالات'!$B$2:$B$1001))-1),""),"")&amp;IF(SUMPRODUCT(('تشخيص الحالات'!$B$2:$B$1001=B916)*('تشخيص الحالات'!$G$2:$G$1001=8))&gt;0,"، "&amp;IFERROR(INDEX('تشخيص الحالات'!$D$2:$D$1001,SUMPRODUCT(('تشخيص الحالات'!$B$2:$B$1001=B916)*('تشخيص الحالات'!$G$2:$G$1001=8)*ROW('تشخيص الحالات'!$B$2:$B$1001))-1),""),"")</f>
        <v/>
      </c>
      <c r="J916" s="1"/>
      <c r="K916" s="1"/>
      <c r="L916" s="1"/>
      <c r="M916" s="1"/>
    </row>
    <row r="917" spans="1:13" x14ac:dyDescent="0.2">
      <c r="A917" s="1"/>
      <c r="B917" s="1"/>
      <c r="C917" s="1"/>
      <c r="D917" s="1"/>
      <c r="E917" s="1"/>
      <c r="F917" s="1"/>
      <c r="G917" s="1"/>
      <c r="H917" s="1"/>
      <c r="I917" t="str">
        <f>IFERROR(INDEX('تشخيص الحالات'!$D$2:$D$1001,SUMPRODUCT(('تشخيص الحالات'!$B$2:$B$1001=B917)*('تشخيص الحالات'!$G$2:$G$1001=1)*ROW('تشخيص الحالات'!$B$2:$B$1001))-1),"")&amp;IF(SUMPRODUCT(('تشخيص الحالات'!$B$2:$B$1001=B917)*('تشخيص الحالات'!$G$2:$G$1001=2))&gt;0,"، "&amp;IFERROR(INDEX('تشخيص الحالات'!$D$2:$D$1001,SUMPRODUCT(('تشخيص الحالات'!$B$2:$B$1001=B917)*('تشخيص الحالات'!$G$2:$G$1001=2)*ROW('تشخيص الحالات'!$B$2:$B$1001))-1),""),"")&amp;IF(SUMPRODUCT(('تشخيص الحالات'!$B$2:$B$1001=B917)*('تشخيص الحالات'!$G$2:$G$1001=3))&gt;0,"، "&amp;IFERROR(INDEX('تشخيص الحالات'!$D$2:$D$1001,SUMPRODUCT(('تشخيص الحالات'!$B$2:$B$1001=B917)*('تشخيص الحالات'!$G$2:$G$1001=3)*ROW('تشخيص الحالات'!$B$2:$B$1001))-1),""),"")&amp;IF(SUMPRODUCT(('تشخيص الحالات'!$B$2:$B$1001=B917)*('تشخيص الحالات'!$G$2:$G$1001=4))&gt;0,"، "&amp;IFERROR(INDEX('تشخيص الحالات'!$D$2:$D$1001,SUMPRODUCT(('تشخيص الحالات'!$B$2:$B$1001=B917)*('تشخيص الحالات'!$G$2:$G$1001=4)*ROW('تشخيص الحالات'!$B$2:$B$1001))-1),""),"")&amp;IF(SUMPRODUCT(('تشخيص الحالات'!$B$2:$B$1001=B917)*('تشخيص الحالات'!$G$2:$G$1001=5))&gt;0,"، "&amp;IFERROR(INDEX('تشخيص الحالات'!$D$2:$D$1001,SUMPRODUCT(('تشخيص الحالات'!$B$2:$B$1001=B917)*('تشخيص الحالات'!$G$2:$G$1001=5)*ROW('تشخيص الحالات'!$B$2:$B$1001))-1),""),"")&amp;IF(SUMPRODUCT(('تشخيص الحالات'!$B$2:$B$1001=B917)*('تشخيص الحالات'!$G$2:$G$1001=6))&gt;0,"، "&amp;IFERROR(INDEX('تشخيص الحالات'!$D$2:$D$1001,SUMPRODUCT(('تشخيص الحالات'!$B$2:$B$1001=B917)*('تشخيص الحالات'!$G$2:$G$1001=6)*ROW('تشخيص الحالات'!$B$2:$B$1001))-1),""),"")&amp;IF(SUMPRODUCT(('تشخيص الحالات'!$B$2:$B$1001=B917)*('تشخيص الحالات'!$G$2:$G$1001=7))&gt;0,"، "&amp;IFERROR(INDEX('تشخيص الحالات'!$D$2:$D$1001,SUMPRODUCT(('تشخيص الحالات'!$B$2:$B$1001=B917)*('تشخيص الحالات'!$G$2:$G$1001=7)*ROW('تشخيص الحالات'!$B$2:$B$1001))-1),""),"")&amp;IF(SUMPRODUCT(('تشخيص الحالات'!$B$2:$B$1001=B917)*('تشخيص الحالات'!$G$2:$G$1001=8))&gt;0,"، "&amp;IFERROR(INDEX('تشخيص الحالات'!$D$2:$D$1001,SUMPRODUCT(('تشخيص الحالات'!$B$2:$B$1001=B917)*('تشخيص الحالات'!$G$2:$G$1001=8)*ROW('تشخيص الحالات'!$B$2:$B$1001))-1),""),"")</f>
        <v/>
      </c>
      <c r="J917" s="1"/>
      <c r="K917" s="1"/>
      <c r="L917" s="1"/>
      <c r="M917" s="1"/>
    </row>
    <row r="918" spans="1:13" x14ac:dyDescent="0.2">
      <c r="A918" s="1"/>
      <c r="B918" s="1"/>
      <c r="C918" s="1"/>
      <c r="D918" s="1"/>
      <c r="E918" s="1"/>
      <c r="F918" s="1"/>
      <c r="G918" s="1"/>
      <c r="H918" s="1"/>
      <c r="I918" t="str">
        <f>IFERROR(INDEX('تشخيص الحالات'!$D$2:$D$1001,SUMPRODUCT(('تشخيص الحالات'!$B$2:$B$1001=B918)*('تشخيص الحالات'!$G$2:$G$1001=1)*ROW('تشخيص الحالات'!$B$2:$B$1001))-1),"")&amp;IF(SUMPRODUCT(('تشخيص الحالات'!$B$2:$B$1001=B918)*('تشخيص الحالات'!$G$2:$G$1001=2))&gt;0,"، "&amp;IFERROR(INDEX('تشخيص الحالات'!$D$2:$D$1001,SUMPRODUCT(('تشخيص الحالات'!$B$2:$B$1001=B918)*('تشخيص الحالات'!$G$2:$G$1001=2)*ROW('تشخيص الحالات'!$B$2:$B$1001))-1),""),"")&amp;IF(SUMPRODUCT(('تشخيص الحالات'!$B$2:$B$1001=B918)*('تشخيص الحالات'!$G$2:$G$1001=3))&gt;0,"، "&amp;IFERROR(INDEX('تشخيص الحالات'!$D$2:$D$1001,SUMPRODUCT(('تشخيص الحالات'!$B$2:$B$1001=B918)*('تشخيص الحالات'!$G$2:$G$1001=3)*ROW('تشخيص الحالات'!$B$2:$B$1001))-1),""),"")&amp;IF(SUMPRODUCT(('تشخيص الحالات'!$B$2:$B$1001=B918)*('تشخيص الحالات'!$G$2:$G$1001=4))&gt;0,"، "&amp;IFERROR(INDEX('تشخيص الحالات'!$D$2:$D$1001,SUMPRODUCT(('تشخيص الحالات'!$B$2:$B$1001=B918)*('تشخيص الحالات'!$G$2:$G$1001=4)*ROW('تشخيص الحالات'!$B$2:$B$1001))-1),""),"")&amp;IF(SUMPRODUCT(('تشخيص الحالات'!$B$2:$B$1001=B918)*('تشخيص الحالات'!$G$2:$G$1001=5))&gt;0,"، "&amp;IFERROR(INDEX('تشخيص الحالات'!$D$2:$D$1001,SUMPRODUCT(('تشخيص الحالات'!$B$2:$B$1001=B918)*('تشخيص الحالات'!$G$2:$G$1001=5)*ROW('تشخيص الحالات'!$B$2:$B$1001))-1),""),"")&amp;IF(SUMPRODUCT(('تشخيص الحالات'!$B$2:$B$1001=B918)*('تشخيص الحالات'!$G$2:$G$1001=6))&gt;0,"، "&amp;IFERROR(INDEX('تشخيص الحالات'!$D$2:$D$1001,SUMPRODUCT(('تشخيص الحالات'!$B$2:$B$1001=B918)*('تشخيص الحالات'!$G$2:$G$1001=6)*ROW('تشخيص الحالات'!$B$2:$B$1001))-1),""),"")&amp;IF(SUMPRODUCT(('تشخيص الحالات'!$B$2:$B$1001=B918)*('تشخيص الحالات'!$G$2:$G$1001=7))&gt;0,"، "&amp;IFERROR(INDEX('تشخيص الحالات'!$D$2:$D$1001,SUMPRODUCT(('تشخيص الحالات'!$B$2:$B$1001=B918)*('تشخيص الحالات'!$G$2:$G$1001=7)*ROW('تشخيص الحالات'!$B$2:$B$1001))-1),""),"")&amp;IF(SUMPRODUCT(('تشخيص الحالات'!$B$2:$B$1001=B918)*('تشخيص الحالات'!$G$2:$G$1001=8))&gt;0,"، "&amp;IFERROR(INDEX('تشخيص الحالات'!$D$2:$D$1001,SUMPRODUCT(('تشخيص الحالات'!$B$2:$B$1001=B918)*('تشخيص الحالات'!$G$2:$G$1001=8)*ROW('تشخيص الحالات'!$B$2:$B$1001))-1),""),"")</f>
        <v/>
      </c>
      <c r="J918" s="1"/>
      <c r="K918" s="1"/>
      <c r="L918" s="1"/>
      <c r="M918" s="1"/>
    </row>
    <row r="919" spans="1:13" x14ac:dyDescent="0.2">
      <c r="A919" s="1"/>
      <c r="B919" s="1"/>
      <c r="C919" s="1"/>
      <c r="D919" s="1"/>
      <c r="E919" s="1"/>
      <c r="F919" s="1"/>
      <c r="G919" s="1"/>
      <c r="H919" s="1"/>
      <c r="I919" t="str">
        <f>IFERROR(INDEX('تشخيص الحالات'!$D$2:$D$1001,SUMPRODUCT(('تشخيص الحالات'!$B$2:$B$1001=B919)*('تشخيص الحالات'!$G$2:$G$1001=1)*ROW('تشخيص الحالات'!$B$2:$B$1001))-1),"")&amp;IF(SUMPRODUCT(('تشخيص الحالات'!$B$2:$B$1001=B919)*('تشخيص الحالات'!$G$2:$G$1001=2))&gt;0,"، "&amp;IFERROR(INDEX('تشخيص الحالات'!$D$2:$D$1001,SUMPRODUCT(('تشخيص الحالات'!$B$2:$B$1001=B919)*('تشخيص الحالات'!$G$2:$G$1001=2)*ROW('تشخيص الحالات'!$B$2:$B$1001))-1),""),"")&amp;IF(SUMPRODUCT(('تشخيص الحالات'!$B$2:$B$1001=B919)*('تشخيص الحالات'!$G$2:$G$1001=3))&gt;0,"، "&amp;IFERROR(INDEX('تشخيص الحالات'!$D$2:$D$1001,SUMPRODUCT(('تشخيص الحالات'!$B$2:$B$1001=B919)*('تشخيص الحالات'!$G$2:$G$1001=3)*ROW('تشخيص الحالات'!$B$2:$B$1001))-1),""),"")&amp;IF(SUMPRODUCT(('تشخيص الحالات'!$B$2:$B$1001=B919)*('تشخيص الحالات'!$G$2:$G$1001=4))&gt;0,"، "&amp;IFERROR(INDEX('تشخيص الحالات'!$D$2:$D$1001,SUMPRODUCT(('تشخيص الحالات'!$B$2:$B$1001=B919)*('تشخيص الحالات'!$G$2:$G$1001=4)*ROW('تشخيص الحالات'!$B$2:$B$1001))-1),""),"")&amp;IF(SUMPRODUCT(('تشخيص الحالات'!$B$2:$B$1001=B919)*('تشخيص الحالات'!$G$2:$G$1001=5))&gt;0,"، "&amp;IFERROR(INDEX('تشخيص الحالات'!$D$2:$D$1001,SUMPRODUCT(('تشخيص الحالات'!$B$2:$B$1001=B919)*('تشخيص الحالات'!$G$2:$G$1001=5)*ROW('تشخيص الحالات'!$B$2:$B$1001))-1),""),"")&amp;IF(SUMPRODUCT(('تشخيص الحالات'!$B$2:$B$1001=B919)*('تشخيص الحالات'!$G$2:$G$1001=6))&gt;0,"، "&amp;IFERROR(INDEX('تشخيص الحالات'!$D$2:$D$1001,SUMPRODUCT(('تشخيص الحالات'!$B$2:$B$1001=B919)*('تشخيص الحالات'!$G$2:$G$1001=6)*ROW('تشخيص الحالات'!$B$2:$B$1001))-1),""),"")&amp;IF(SUMPRODUCT(('تشخيص الحالات'!$B$2:$B$1001=B919)*('تشخيص الحالات'!$G$2:$G$1001=7))&gt;0,"، "&amp;IFERROR(INDEX('تشخيص الحالات'!$D$2:$D$1001,SUMPRODUCT(('تشخيص الحالات'!$B$2:$B$1001=B919)*('تشخيص الحالات'!$G$2:$G$1001=7)*ROW('تشخيص الحالات'!$B$2:$B$1001))-1),""),"")&amp;IF(SUMPRODUCT(('تشخيص الحالات'!$B$2:$B$1001=B919)*('تشخيص الحالات'!$G$2:$G$1001=8))&gt;0,"، "&amp;IFERROR(INDEX('تشخيص الحالات'!$D$2:$D$1001,SUMPRODUCT(('تشخيص الحالات'!$B$2:$B$1001=B919)*('تشخيص الحالات'!$G$2:$G$1001=8)*ROW('تشخيص الحالات'!$B$2:$B$1001))-1),""),"")</f>
        <v/>
      </c>
      <c r="J919" s="1"/>
      <c r="K919" s="1"/>
      <c r="L919" s="1"/>
      <c r="M919" s="1"/>
    </row>
    <row r="920" spans="1:13" x14ac:dyDescent="0.2">
      <c r="A920" s="1"/>
      <c r="B920" s="1"/>
      <c r="C920" s="1"/>
      <c r="D920" s="1"/>
      <c r="E920" s="1"/>
      <c r="F920" s="1"/>
      <c r="G920" s="1"/>
      <c r="H920" s="1"/>
      <c r="I920" t="str">
        <f>IFERROR(INDEX('تشخيص الحالات'!$D$2:$D$1001,SUMPRODUCT(('تشخيص الحالات'!$B$2:$B$1001=B920)*('تشخيص الحالات'!$G$2:$G$1001=1)*ROW('تشخيص الحالات'!$B$2:$B$1001))-1),"")&amp;IF(SUMPRODUCT(('تشخيص الحالات'!$B$2:$B$1001=B920)*('تشخيص الحالات'!$G$2:$G$1001=2))&gt;0,"، "&amp;IFERROR(INDEX('تشخيص الحالات'!$D$2:$D$1001,SUMPRODUCT(('تشخيص الحالات'!$B$2:$B$1001=B920)*('تشخيص الحالات'!$G$2:$G$1001=2)*ROW('تشخيص الحالات'!$B$2:$B$1001))-1),""),"")&amp;IF(SUMPRODUCT(('تشخيص الحالات'!$B$2:$B$1001=B920)*('تشخيص الحالات'!$G$2:$G$1001=3))&gt;0,"، "&amp;IFERROR(INDEX('تشخيص الحالات'!$D$2:$D$1001,SUMPRODUCT(('تشخيص الحالات'!$B$2:$B$1001=B920)*('تشخيص الحالات'!$G$2:$G$1001=3)*ROW('تشخيص الحالات'!$B$2:$B$1001))-1),""),"")&amp;IF(SUMPRODUCT(('تشخيص الحالات'!$B$2:$B$1001=B920)*('تشخيص الحالات'!$G$2:$G$1001=4))&gt;0,"، "&amp;IFERROR(INDEX('تشخيص الحالات'!$D$2:$D$1001,SUMPRODUCT(('تشخيص الحالات'!$B$2:$B$1001=B920)*('تشخيص الحالات'!$G$2:$G$1001=4)*ROW('تشخيص الحالات'!$B$2:$B$1001))-1),""),"")&amp;IF(SUMPRODUCT(('تشخيص الحالات'!$B$2:$B$1001=B920)*('تشخيص الحالات'!$G$2:$G$1001=5))&gt;0,"، "&amp;IFERROR(INDEX('تشخيص الحالات'!$D$2:$D$1001,SUMPRODUCT(('تشخيص الحالات'!$B$2:$B$1001=B920)*('تشخيص الحالات'!$G$2:$G$1001=5)*ROW('تشخيص الحالات'!$B$2:$B$1001))-1),""),"")&amp;IF(SUMPRODUCT(('تشخيص الحالات'!$B$2:$B$1001=B920)*('تشخيص الحالات'!$G$2:$G$1001=6))&gt;0,"، "&amp;IFERROR(INDEX('تشخيص الحالات'!$D$2:$D$1001,SUMPRODUCT(('تشخيص الحالات'!$B$2:$B$1001=B920)*('تشخيص الحالات'!$G$2:$G$1001=6)*ROW('تشخيص الحالات'!$B$2:$B$1001))-1),""),"")&amp;IF(SUMPRODUCT(('تشخيص الحالات'!$B$2:$B$1001=B920)*('تشخيص الحالات'!$G$2:$G$1001=7))&gt;0,"، "&amp;IFERROR(INDEX('تشخيص الحالات'!$D$2:$D$1001,SUMPRODUCT(('تشخيص الحالات'!$B$2:$B$1001=B920)*('تشخيص الحالات'!$G$2:$G$1001=7)*ROW('تشخيص الحالات'!$B$2:$B$1001))-1),""),"")&amp;IF(SUMPRODUCT(('تشخيص الحالات'!$B$2:$B$1001=B920)*('تشخيص الحالات'!$G$2:$G$1001=8))&gt;0,"، "&amp;IFERROR(INDEX('تشخيص الحالات'!$D$2:$D$1001,SUMPRODUCT(('تشخيص الحالات'!$B$2:$B$1001=B920)*('تشخيص الحالات'!$G$2:$G$1001=8)*ROW('تشخيص الحالات'!$B$2:$B$1001))-1),""),"")</f>
        <v/>
      </c>
      <c r="J920" s="1"/>
      <c r="K920" s="1"/>
      <c r="L920" s="1"/>
      <c r="M920" s="1"/>
    </row>
    <row r="921" spans="1:13" x14ac:dyDescent="0.2">
      <c r="A921" s="1"/>
      <c r="B921" s="1"/>
      <c r="C921" s="1"/>
      <c r="D921" s="1"/>
      <c r="E921" s="1"/>
      <c r="F921" s="1"/>
      <c r="G921" s="1"/>
      <c r="H921" s="1"/>
      <c r="I921" t="str">
        <f>IFERROR(INDEX('تشخيص الحالات'!$D$2:$D$1001,SUMPRODUCT(('تشخيص الحالات'!$B$2:$B$1001=B921)*('تشخيص الحالات'!$G$2:$G$1001=1)*ROW('تشخيص الحالات'!$B$2:$B$1001))-1),"")&amp;IF(SUMPRODUCT(('تشخيص الحالات'!$B$2:$B$1001=B921)*('تشخيص الحالات'!$G$2:$G$1001=2))&gt;0,"، "&amp;IFERROR(INDEX('تشخيص الحالات'!$D$2:$D$1001,SUMPRODUCT(('تشخيص الحالات'!$B$2:$B$1001=B921)*('تشخيص الحالات'!$G$2:$G$1001=2)*ROW('تشخيص الحالات'!$B$2:$B$1001))-1),""),"")&amp;IF(SUMPRODUCT(('تشخيص الحالات'!$B$2:$B$1001=B921)*('تشخيص الحالات'!$G$2:$G$1001=3))&gt;0,"، "&amp;IFERROR(INDEX('تشخيص الحالات'!$D$2:$D$1001,SUMPRODUCT(('تشخيص الحالات'!$B$2:$B$1001=B921)*('تشخيص الحالات'!$G$2:$G$1001=3)*ROW('تشخيص الحالات'!$B$2:$B$1001))-1),""),"")&amp;IF(SUMPRODUCT(('تشخيص الحالات'!$B$2:$B$1001=B921)*('تشخيص الحالات'!$G$2:$G$1001=4))&gt;0,"، "&amp;IFERROR(INDEX('تشخيص الحالات'!$D$2:$D$1001,SUMPRODUCT(('تشخيص الحالات'!$B$2:$B$1001=B921)*('تشخيص الحالات'!$G$2:$G$1001=4)*ROW('تشخيص الحالات'!$B$2:$B$1001))-1),""),"")&amp;IF(SUMPRODUCT(('تشخيص الحالات'!$B$2:$B$1001=B921)*('تشخيص الحالات'!$G$2:$G$1001=5))&gt;0,"، "&amp;IFERROR(INDEX('تشخيص الحالات'!$D$2:$D$1001,SUMPRODUCT(('تشخيص الحالات'!$B$2:$B$1001=B921)*('تشخيص الحالات'!$G$2:$G$1001=5)*ROW('تشخيص الحالات'!$B$2:$B$1001))-1),""),"")&amp;IF(SUMPRODUCT(('تشخيص الحالات'!$B$2:$B$1001=B921)*('تشخيص الحالات'!$G$2:$G$1001=6))&gt;0,"، "&amp;IFERROR(INDEX('تشخيص الحالات'!$D$2:$D$1001,SUMPRODUCT(('تشخيص الحالات'!$B$2:$B$1001=B921)*('تشخيص الحالات'!$G$2:$G$1001=6)*ROW('تشخيص الحالات'!$B$2:$B$1001))-1),""),"")&amp;IF(SUMPRODUCT(('تشخيص الحالات'!$B$2:$B$1001=B921)*('تشخيص الحالات'!$G$2:$G$1001=7))&gt;0,"، "&amp;IFERROR(INDEX('تشخيص الحالات'!$D$2:$D$1001,SUMPRODUCT(('تشخيص الحالات'!$B$2:$B$1001=B921)*('تشخيص الحالات'!$G$2:$G$1001=7)*ROW('تشخيص الحالات'!$B$2:$B$1001))-1),""),"")&amp;IF(SUMPRODUCT(('تشخيص الحالات'!$B$2:$B$1001=B921)*('تشخيص الحالات'!$G$2:$G$1001=8))&gt;0,"، "&amp;IFERROR(INDEX('تشخيص الحالات'!$D$2:$D$1001,SUMPRODUCT(('تشخيص الحالات'!$B$2:$B$1001=B921)*('تشخيص الحالات'!$G$2:$G$1001=8)*ROW('تشخيص الحالات'!$B$2:$B$1001))-1),""),"")</f>
        <v/>
      </c>
      <c r="J921" s="1"/>
      <c r="K921" s="1"/>
      <c r="L921" s="1"/>
      <c r="M921" s="1"/>
    </row>
    <row r="922" spans="1:13" x14ac:dyDescent="0.2">
      <c r="A922" s="1"/>
      <c r="B922" s="1"/>
      <c r="C922" s="1"/>
      <c r="D922" s="1"/>
      <c r="E922" s="1"/>
      <c r="F922" s="1"/>
      <c r="G922" s="1"/>
      <c r="H922" s="1"/>
      <c r="I922" t="str">
        <f>IFERROR(INDEX('تشخيص الحالات'!$D$2:$D$1001,SUMPRODUCT(('تشخيص الحالات'!$B$2:$B$1001=B922)*('تشخيص الحالات'!$G$2:$G$1001=1)*ROW('تشخيص الحالات'!$B$2:$B$1001))-1),"")&amp;IF(SUMPRODUCT(('تشخيص الحالات'!$B$2:$B$1001=B922)*('تشخيص الحالات'!$G$2:$G$1001=2))&gt;0,"، "&amp;IFERROR(INDEX('تشخيص الحالات'!$D$2:$D$1001,SUMPRODUCT(('تشخيص الحالات'!$B$2:$B$1001=B922)*('تشخيص الحالات'!$G$2:$G$1001=2)*ROW('تشخيص الحالات'!$B$2:$B$1001))-1),""),"")&amp;IF(SUMPRODUCT(('تشخيص الحالات'!$B$2:$B$1001=B922)*('تشخيص الحالات'!$G$2:$G$1001=3))&gt;0,"، "&amp;IFERROR(INDEX('تشخيص الحالات'!$D$2:$D$1001,SUMPRODUCT(('تشخيص الحالات'!$B$2:$B$1001=B922)*('تشخيص الحالات'!$G$2:$G$1001=3)*ROW('تشخيص الحالات'!$B$2:$B$1001))-1),""),"")&amp;IF(SUMPRODUCT(('تشخيص الحالات'!$B$2:$B$1001=B922)*('تشخيص الحالات'!$G$2:$G$1001=4))&gt;0,"، "&amp;IFERROR(INDEX('تشخيص الحالات'!$D$2:$D$1001,SUMPRODUCT(('تشخيص الحالات'!$B$2:$B$1001=B922)*('تشخيص الحالات'!$G$2:$G$1001=4)*ROW('تشخيص الحالات'!$B$2:$B$1001))-1),""),"")&amp;IF(SUMPRODUCT(('تشخيص الحالات'!$B$2:$B$1001=B922)*('تشخيص الحالات'!$G$2:$G$1001=5))&gt;0,"، "&amp;IFERROR(INDEX('تشخيص الحالات'!$D$2:$D$1001,SUMPRODUCT(('تشخيص الحالات'!$B$2:$B$1001=B922)*('تشخيص الحالات'!$G$2:$G$1001=5)*ROW('تشخيص الحالات'!$B$2:$B$1001))-1),""),"")&amp;IF(SUMPRODUCT(('تشخيص الحالات'!$B$2:$B$1001=B922)*('تشخيص الحالات'!$G$2:$G$1001=6))&gt;0,"، "&amp;IFERROR(INDEX('تشخيص الحالات'!$D$2:$D$1001,SUMPRODUCT(('تشخيص الحالات'!$B$2:$B$1001=B922)*('تشخيص الحالات'!$G$2:$G$1001=6)*ROW('تشخيص الحالات'!$B$2:$B$1001))-1),""),"")&amp;IF(SUMPRODUCT(('تشخيص الحالات'!$B$2:$B$1001=B922)*('تشخيص الحالات'!$G$2:$G$1001=7))&gt;0,"، "&amp;IFERROR(INDEX('تشخيص الحالات'!$D$2:$D$1001,SUMPRODUCT(('تشخيص الحالات'!$B$2:$B$1001=B922)*('تشخيص الحالات'!$G$2:$G$1001=7)*ROW('تشخيص الحالات'!$B$2:$B$1001))-1),""),"")&amp;IF(SUMPRODUCT(('تشخيص الحالات'!$B$2:$B$1001=B922)*('تشخيص الحالات'!$G$2:$G$1001=8))&gt;0,"، "&amp;IFERROR(INDEX('تشخيص الحالات'!$D$2:$D$1001,SUMPRODUCT(('تشخيص الحالات'!$B$2:$B$1001=B922)*('تشخيص الحالات'!$G$2:$G$1001=8)*ROW('تشخيص الحالات'!$B$2:$B$1001))-1),""),"")</f>
        <v/>
      </c>
      <c r="J922" s="1"/>
      <c r="K922" s="1"/>
      <c r="L922" s="1"/>
      <c r="M922" s="1"/>
    </row>
    <row r="923" spans="1:13" x14ac:dyDescent="0.2">
      <c r="A923" s="1"/>
      <c r="B923" s="1"/>
      <c r="C923" s="1"/>
      <c r="D923" s="1"/>
      <c r="E923" s="1"/>
      <c r="F923" s="1"/>
      <c r="G923" s="1"/>
      <c r="H923" s="1"/>
      <c r="I923" t="str">
        <f>IFERROR(INDEX('تشخيص الحالات'!$D$2:$D$1001,SUMPRODUCT(('تشخيص الحالات'!$B$2:$B$1001=B923)*('تشخيص الحالات'!$G$2:$G$1001=1)*ROW('تشخيص الحالات'!$B$2:$B$1001))-1),"")&amp;IF(SUMPRODUCT(('تشخيص الحالات'!$B$2:$B$1001=B923)*('تشخيص الحالات'!$G$2:$G$1001=2))&gt;0,"، "&amp;IFERROR(INDEX('تشخيص الحالات'!$D$2:$D$1001,SUMPRODUCT(('تشخيص الحالات'!$B$2:$B$1001=B923)*('تشخيص الحالات'!$G$2:$G$1001=2)*ROW('تشخيص الحالات'!$B$2:$B$1001))-1),""),"")&amp;IF(SUMPRODUCT(('تشخيص الحالات'!$B$2:$B$1001=B923)*('تشخيص الحالات'!$G$2:$G$1001=3))&gt;0,"، "&amp;IFERROR(INDEX('تشخيص الحالات'!$D$2:$D$1001,SUMPRODUCT(('تشخيص الحالات'!$B$2:$B$1001=B923)*('تشخيص الحالات'!$G$2:$G$1001=3)*ROW('تشخيص الحالات'!$B$2:$B$1001))-1),""),"")&amp;IF(SUMPRODUCT(('تشخيص الحالات'!$B$2:$B$1001=B923)*('تشخيص الحالات'!$G$2:$G$1001=4))&gt;0,"، "&amp;IFERROR(INDEX('تشخيص الحالات'!$D$2:$D$1001,SUMPRODUCT(('تشخيص الحالات'!$B$2:$B$1001=B923)*('تشخيص الحالات'!$G$2:$G$1001=4)*ROW('تشخيص الحالات'!$B$2:$B$1001))-1),""),"")&amp;IF(SUMPRODUCT(('تشخيص الحالات'!$B$2:$B$1001=B923)*('تشخيص الحالات'!$G$2:$G$1001=5))&gt;0,"، "&amp;IFERROR(INDEX('تشخيص الحالات'!$D$2:$D$1001,SUMPRODUCT(('تشخيص الحالات'!$B$2:$B$1001=B923)*('تشخيص الحالات'!$G$2:$G$1001=5)*ROW('تشخيص الحالات'!$B$2:$B$1001))-1),""),"")&amp;IF(SUMPRODUCT(('تشخيص الحالات'!$B$2:$B$1001=B923)*('تشخيص الحالات'!$G$2:$G$1001=6))&gt;0,"، "&amp;IFERROR(INDEX('تشخيص الحالات'!$D$2:$D$1001,SUMPRODUCT(('تشخيص الحالات'!$B$2:$B$1001=B923)*('تشخيص الحالات'!$G$2:$G$1001=6)*ROW('تشخيص الحالات'!$B$2:$B$1001))-1),""),"")&amp;IF(SUMPRODUCT(('تشخيص الحالات'!$B$2:$B$1001=B923)*('تشخيص الحالات'!$G$2:$G$1001=7))&gt;0,"، "&amp;IFERROR(INDEX('تشخيص الحالات'!$D$2:$D$1001,SUMPRODUCT(('تشخيص الحالات'!$B$2:$B$1001=B923)*('تشخيص الحالات'!$G$2:$G$1001=7)*ROW('تشخيص الحالات'!$B$2:$B$1001))-1),""),"")&amp;IF(SUMPRODUCT(('تشخيص الحالات'!$B$2:$B$1001=B923)*('تشخيص الحالات'!$G$2:$G$1001=8))&gt;0,"، "&amp;IFERROR(INDEX('تشخيص الحالات'!$D$2:$D$1001,SUMPRODUCT(('تشخيص الحالات'!$B$2:$B$1001=B923)*('تشخيص الحالات'!$G$2:$G$1001=8)*ROW('تشخيص الحالات'!$B$2:$B$1001))-1),""),"")</f>
        <v/>
      </c>
      <c r="J923" s="1"/>
      <c r="K923" s="1"/>
      <c r="L923" s="1"/>
      <c r="M923" s="1"/>
    </row>
    <row r="924" spans="1:13" x14ac:dyDescent="0.2">
      <c r="A924" s="1"/>
      <c r="B924" s="1"/>
      <c r="C924" s="1"/>
      <c r="D924" s="1"/>
      <c r="E924" s="1"/>
      <c r="F924" s="1"/>
      <c r="G924" s="1"/>
      <c r="H924" s="1"/>
      <c r="I924" t="str">
        <f>IFERROR(INDEX('تشخيص الحالات'!$D$2:$D$1001,SUMPRODUCT(('تشخيص الحالات'!$B$2:$B$1001=B924)*('تشخيص الحالات'!$G$2:$G$1001=1)*ROW('تشخيص الحالات'!$B$2:$B$1001))-1),"")&amp;IF(SUMPRODUCT(('تشخيص الحالات'!$B$2:$B$1001=B924)*('تشخيص الحالات'!$G$2:$G$1001=2))&gt;0,"، "&amp;IFERROR(INDEX('تشخيص الحالات'!$D$2:$D$1001,SUMPRODUCT(('تشخيص الحالات'!$B$2:$B$1001=B924)*('تشخيص الحالات'!$G$2:$G$1001=2)*ROW('تشخيص الحالات'!$B$2:$B$1001))-1),""),"")&amp;IF(SUMPRODUCT(('تشخيص الحالات'!$B$2:$B$1001=B924)*('تشخيص الحالات'!$G$2:$G$1001=3))&gt;0,"، "&amp;IFERROR(INDEX('تشخيص الحالات'!$D$2:$D$1001,SUMPRODUCT(('تشخيص الحالات'!$B$2:$B$1001=B924)*('تشخيص الحالات'!$G$2:$G$1001=3)*ROW('تشخيص الحالات'!$B$2:$B$1001))-1),""),"")&amp;IF(SUMPRODUCT(('تشخيص الحالات'!$B$2:$B$1001=B924)*('تشخيص الحالات'!$G$2:$G$1001=4))&gt;0,"، "&amp;IFERROR(INDEX('تشخيص الحالات'!$D$2:$D$1001,SUMPRODUCT(('تشخيص الحالات'!$B$2:$B$1001=B924)*('تشخيص الحالات'!$G$2:$G$1001=4)*ROW('تشخيص الحالات'!$B$2:$B$1001))-1),""),"")&amp;IF(SUMPRODUCT(('تشخيص الحالات'!$B$2:$B$1001=B924)*('تشخيص الحالات'!$G$2:$G$1001=5))&gt;0,"، "&amp;IFERROR(INDEX('تشخيص الحالات'!$D$2:$D$1001,SUMPRODUCT(('تشخيص الحالات'!$B$2:$B$1001=B924)*('تشخيص الحالات'!$G$2:$G$1001=5)*ROW('تشخيص الحالات'!$B$2:$B$1001))-1),""),"")&amp;IF(SUMPRODUCT(('تشخيص الحالات'!$B$2:$B$1001=B924)*('تشخيص الحالات'!$G$2:$G$1001=6))&gt;0,"، "&amp;IFERROR(INDEX('تشخيص الحالات'!$D$2:$D$1001,SUMPRODUCT(('تشخيص الحالات'!$B$2:$B$1001=B924)*('تشخيص الحالات'!$G$2:$G$1001=6)*ROW('تشخيص الحالات'!$B$2:$B$1001))-1),""),"")&amp;IF(SUMPRODUCT(('تشخيص الحالات'!$B$2:$B$1001=B924)*('تشخيص الحالات'!$G$2:$G$1001=7))&gt;0,"، "&amp;IFERROR(INDEX('تشخيص الحالات'!$D$2:$D$1001,SUMPRODUCT(('تشخيص الحالات'!$B$2:$B$1001=B924)*('تشخيص الحالات'!$G$2:$G$1001=7)*ROW('تشخيص الحالات'!$B$2:$B$1001))-1),""),"")&amp;IF(SUMPRODUCT(('تشخيص الحالات'!$B$2:$B$1001=B924)*('تشخيص الحالات'!$G$2:$G$1001=8))&gt;0,"، "&amp;IFERROR(INDEX('تشخيص الحالات'!$D$2:$D$1001,SUMPRODUCT(('تشخيص الحالات'!$B$2:$B$1001=B924)*('تشخيص الحالات'!$G$2:$G$1001=8)*ROW('تشخيص الحالات'!$B$2:$B$1001))-1),""),"")</f>
        <v/>
      </c>
      <c r="J924" s="1"/>
      <c r="K924" s="1"/>
      <c r="L924" s="1"/>
      <c r="M924" s="1"/>
    </row>
    <row r="925" spans="1:13" x14ac:dyDescent="0.2">
      <c r="A925" s="1"/>
      <c r="B925" s="1"/>
      <c r="C925" s="1"/>
      <c r="D925" s="1"/>
      <c r="E925" s="1"/>
      <c r="F925" s="1"/>
      <c r="G925" s="1"/>
      <c r="H925" s="1"/>
      <c r="I925" t="str">
        <f>IFERROR(INDEX('تشخيص الحالات'!$D$2:$D$1001,SUMPRODUCT(('تشخيص الحالات'!$B$2:$B$1001=B925)*('تشخيص الحالات'!$G$2:$G$1001=1)*ROW('تشخيص الحالات'!$B$2:$B$1001))-1),"")&amp;IF(SUMPRODUCT(('تشخيص الحالات'!$B$2:$B$1001=B925)*('تشخيص الحالات'!$G$2:$G$1001=2))&gt;0,"، "&amp;IFERROR(INDEX('تشخيص الحالات'!$D$2:$D$1001,SUMPRODUCT(('تشخيص الحالات'!$B$2:$B$1001=B925)*('تشخيص الحالات'!$G$2:$G$1001=2)*ROW('تشخيص الحالات'!$B$2:$B$1001))-1),""),"")&amp;IF(SUMPRODUCT(('تشخيص الحالات'!$B$2:$B$1001=B925)*('تشخيص الحالات'!$G$2:$G$1001=3))&gt;0,"، "&amp;IFERROR(INDEX('تشخيص الحالات'!$D$2:$D$1001,SUMPRODUCT(('تشخيص الحالات'!$B$2:$B$1001=B925)*('تشخيص الحالات'!$G$2:$G$1001=3)*ROW('تشخيص الحالات'!$B$2:$B$1001))-1),""),"")&amp;IF(SUMPRODUCT(('تشخيص الحالات'!$B$2:$B$1001=B925)*('تشخيص الحالات'!$G$2:$G$1001=4))&gt;0,"، "&amp;IFERROR(INDEX('تشخيص الحالات'!$D$2:$D$1001,SUMPRODUCT(('تشخيص الحالات'!$B$2:$B$1001=B925)*('تشخيص الحالات'!$G$2:$G$1001=4)*ROW('تشخيص الحالات'!$B$2:$B$1001))-1),""),"")&amp;IF(SUMPRODUCT(('تشخيص الحالات'!$B$2:$B$1001=B925)*('تشخيص الحالات'!$G$2:$G$1001=5))&gt;0,"، "&amp;IFERROR(INDEX('تشخيص الحالات'!$D$2:$D$1001,SUMPRODUCT(('تشخيص الحالات'!$B$2:$B$1001=B925)*('تشخيص الحالات'!$G$2:$G$1001=5)*ROW('تشخيص الحالات'!$B$2:$B$1001))-1),""),"")&amp;IF(SUMPRODUCT(('تشخيص الحالات'!$B$2:$B$1001=B925)*('تشخيص الحالات'!$G$2:$G$1001=6))&gt;0,"، "&amp;IFERROR(INDEX('تشخيص الحالات'!$D$2:$D$1001,SUMPRODUCT(('تشخيص الحالات'!$B$2:$B$1001=B925)*('تشخيص الحالات'!$G$2:$G$1001=6)*ROW('تشخيص الحالات'!$B$2:$B$1001))-1),""),"")&amp;IF(SUMPRODUCT(('تشخيص الحالات'!$B$2:$B$1001=B925)*('تشخيص الحالات'!$G$2:$G$1001=7))&gt;0,"، "&amp;IFERROR(INDEX('تشخيص الحالات'!$D$2:$D$1001,SUMPRODUCT(('تشخيص الحالات'!$B$2:$B$1001=B925)*('تشخيص الحالات'!$G$2:$G$1001=7)*ROW('تشخيص الحالات'!$B$2:$B$1001))-1),""),"")&amp;IF(SUMPRODUCT(('تشخيص الحالات'!$B$2:$B$1001=B925)*('تشخيص الحالات'!$G$2:$G$1001=8))&gt;0,"، "&amp;IFERROR(INDEX('تشخيص الحالات'!$D$2:$D$1001,SUMPRODUCT(('تشخيص الحالات'!$B$2:$B$1001=B925)*('تشخيص الحالات'!$G$2:$G$1001=8)*ROW('تشخيص الحالات'!$B$2:$B$1001))-1),""),"")</f>
        <v/>
      </c>
      <c r="J925" s="1"/>
      <c r="K925" s="1"/>
      <c r="L925" s="1"/>
      <c r="M925" s="1"/>
    </row>
    <row r="926" spans="1:13" x14ac:dyDescent="0.2">
      <c r="A926" s="1"/>
      <c r="B926" s="1"/>
      <c r="C926" s="1"/>
      <c r="D926" s="1"/>
      <c r="E926" s="1"/>
      <c r="F926" s="1"/>
      <c r="G926" s="1"/>
      <c r="H926" s="1"/>
      <c r="I926" t="str">
        <f>IFERROR(INDEX('تشخيص الحالات'!$D$2:$D$1001,SUMPRODUCT(('تشخيص الحالات'!$B$2:$B$1001=B926)*('تشخيص الحالات'!$G$2:$G$1001=1)*ROW('تشخيص الحالات'!$B$2:$B$1001))-1),"")&amp;IF(SUMPRODUCT(('تشخيص الحالات'!$B$2:$B$1001=B926)*('تشخيص الحالات'!$G$2:$G$1001=2))&gt;0,"، "&amp;IFERROR(INDEX('تشخيص الحالات'!$D$2:$D$1001,SUMPRODUCT(('تشخيص الحالات'!$B$2:$B$1001=B926)*('تشخيص الحالات'!$G$2:$G$1001=2)*ROW('تشخيص الحالات'!$B$2:$B$1001))-1),""),"")&amp;IF(SUMPRODUCT(('تشخيص الحالات'!$B$2:$B$1001=B926)*('تشخيص الحالات'!$G$2:$G$1001=3))&gt;0,"، "&amp;IFERROR(INDEX('تشخيص الحالات'!$D$2:$D$1001,SUMPRODUCT(('تشخيص الحالات'!$B$2:$B$1001=B926)*('تشخيص الحالات'!$G$2:$G$1001=3)*ROW('تشخيص الحالات'!$B$2:$B$1001))-1),""),"")&amp;IF(SUMPRODUCT(('تشخيص الحالات'!$B$2:$B$1001=B926)*('تشخيص الحالات'!$G$2:$G$1001=4))&gt;0,"، "&amp;IFERROR(INDEX('تشخيص الحالات'!$D$2:$D$1001,SUMPRODUCT(('تشخيص الحالات'!$B$2:$B$1001=B926)*('تشخيص الحالات'!$G$2:$G$1001=4)*ROW('تشخيص الحالات'!$B$2:$B$1001))-1),""),"")&amp;IF(SUMPRODUCT(('تشخيص الحالات'!$B$2:$B$1001=B926)*('تشخيص الحالات'!$G$2:$G$1001=5))&gt;0,"، "&amp;IFERROR(INDEX('تشخيص الحالات'!$D$2:$D$1001,SUMPRODUCT(('تشخيص الحالات'!$B$2:$B$1001=B926)*('تشخيص الحالات'!$G$2:$G$1001=5)*ROW('تشخيص الحالات'!$B$2:$B$1001))-1),""),"")&amp;IF(SUMPRODUCT(('تشخيص الحالات'!$B$2:$B$1001=B926)*('تشخيص الحالات'!$G$2:$G$1001=6))&gt;0,"، "&amp;IFERROR(INDEX('تشخيص الحالات'!$D$2:$D$1001,SUMPRODUCT(('تشخيص الحالات'!$B$2:$B$1001=B926)*('تشخيص الحالات'!$G$2:$G$1001=6)*ROW('تشخيص الحالات'!$B$2:$B$1001))-1),""),"")&amp;IF(SUMPRODUCT(('تشخيص الحالات'!$B$2:$B$1001=B926)*('تشخيص الحالات'!$G$2:$G$1001=7))&gt;0,"، "&amp;IFERROR(INDEX('تشخيص الحالات'!$D$2:$D$1001,SUMPRODUCT(('تشخيص الحالات'!$B$2:$B$1001=B926)*('تشخيص الحالات'!$G$2:$G$1001=7)*ROW('تشخيص الحالات'!$B$2:$B$1001))-1),""),"")&amp;IF(SUMPRODUCT(('تشخيص الحالات'!$B$2:$B$1001=B926)*('تشخيص الحالات'!$G$2:$G$1001=8))&gt;0,"، "&amp;IFERROR(INDEX('تشخيص الحالات'!$D$2:$D$1001,SUMPRODUCT(('تشخيص الحالات'!$B$2:$B$1001=B926)*('تشخيص الحالات'!$G$2:$G$1001=8)*ROW('تشخيص الحالات'!$B$2:$B$1001))-1),""),"")</f>
        <v/>
      </c>
      <c r="J926" s="1"/>
      <c r="K926" s="1"/>
      <c r="L926" s="1"/>
      <c r="M926" s="1"/>
    </row>
    <row r="927" spans="1:13" x14ac:dyDescent="0.2">
      <c r="A927" s="1"/>
      <c r="B927" s="1"/>
      <c r="C927" s="1"/>
      <c r="D927" s="1"/>
      <c r="E927" s="1"/>
      <c r="F927" s="1"/>
      <c r="G927" s="1"/>
      <c r="H927" s="1"/>
      <c r="I927" t="str">
        <f>IFERROR(INDEX('تشخيص الحالات'!$D$2:$D$1001,SUMPRODUCT(('تشخيص الحالات'!$B$2:$B$1001=B927)*('تشخيص الحالات'!$G$2:$G$1001=1)*ROW('تشخيص الحالات'!$B$2:$B$1001))-1),"")&amp;IF(SUMPRODUCT(('تشخيص الحالات'!$B$2:$B$1001=B927)*('تشخيص الحالات'!$G$2:$G$1001=2))&gt;0,"، "&amp;IFERROR(INDEX('تشخيص الحالات'!$D$2:$D$1001,SUMPRODUCT(('تشخيص الحالات'!$B$2:$B$1001=B927)*('تشخيص الحالات'!$G$2:$G$1001=2)*ROW('تشخيص الحالات'!$B$2:$B$1001))-1),""),"")&amp;IF(SUMPRODUCT(('تشخيص الحالات'!$B$2:$B$1001=B927)*('تشخيص الحالات'!$G$2:$G$1001=3))&gt;0,"، "&amp;IFERROR(INDEX('تشخيص الحالات'!$D$2:$D$1001,SUMPRODUCT(('تشخيص الحالات'!$B$2:$B$1001=B927)*('تشخيص الحالات'!$G$2:$G$1001=3)*ROW('تشخيص الحالات'!$B$2:$B$1001))-1),""),"")&amp;IF(SUMPRODUCT(('تشخيص الحالات'!$B$2:$B$1001=B927)*('تشخيص الحالات'!$G$2:$G$1001=4))&gt;0,"، "&amp;IFERROR(INDEX('تشخيص الحالات'!$D$2:$D$1001,SUMPRODUCT(('تشخيص الحالات'!$B$2:$B$1001=B927)*('تشخيص الحالات'!$G$2:$G$1001=4)*ROW('تشخيص الحالات'!$B$2:$B$1001))-1),""),"")&amp;IF(SUMPRODUCT(('تشخيص الحالات'!$B$2:$B$1001=B927)*('تشخيص الحالات'!$G$2:$G$1001=5))&gt;0,"، "&amp;IFERROR(INDEX('تشخيص الحالات'!$D$2:$D$1001,SUMPRODUCT(('تشخيص الحالات'!$B$2:$B$1001=B927)*('تشخيص الحالات'!$G$2:$G$1001=5)*ROW('تشخيص الحالات'!$B$2:$B$1001))-1),""),"")&amp;IF(SUMPRODUCT(('تشخيص الحالات'!$B$2:$B$1001=B927)*('تشخيص الحالات'!$G$2:$G$1001=6))&gt;0,"، "&amp;IFERROR(INDEX('تشخيص الحالات'!$D$2:$D$1001,SUMPRODUCT(('تشخيص الحالات'!$B$2:$B$1001=B927)*('تشخيص الحالات'!$G$2:$G$1001=6)*ROW('تشخيص الحالات'!$B$2:$B$1001))-1),""),"")&amp;IF(SUMPRODUCT(('تشخيص الحالات'!$B$2:$B$1001=B927)*('تشخيص الحالات'!$G$2:$G$1001=7))&gt;0,"، "&amp;IFERROR(INDEX('تشخيص الحالات'!$D$2:$D$1001,SUMPRODUCT(('تشخيص الحالات'!$B$2:$B$1001=B927)*('تشخيص الحالات'!$G$2:$G$1001=7)*ROW('تشخيص الحالات'!$B$2:$B$1001))-1),""),"")&amp;IF(SUMPRODUCT(('تشخيص الحالات'!$B$2:$B$1001=B927)*('تشخيص الحالات'!$G$2:$G$1001=8))&gt;0,"، "&amp;IFERROR(INDEX('تشخيص الحالات'!$D$2:$D$1001,SUMPRODUCT(('تشخيص الحالات'!$B$2:$B$1001=B927)*('تشخيص الحالات'!$G$2:$G$1001=8)*ROW('تشخيص الحالات'!$B$2:$B$1001))-1),""),"")</f>
        <v/>
      </c>
      <c r="J927" s="1"/>
      <c r="K927" s="1"/>
      <c r="L927" s="1"/>
      <c r="M927" s="1"/>
    </row>
    <row r="928" spans="1:13" x14ac:dyDescent="0.2">
      <c r="A928" s="1"/>
      <c r="B928" s="1"/>
      <c r="C928" s="1"/>
      <c r="D928" s="1"/>
      <c r="E928" s="1"/>
      <c r="F928" s="1"/>
      <c r="G928" s="1"/>
      <c r="H928" s="1"/>
      <c r="I928" t="str">
        <f>IFERROR(INDEX('تشخيص الحالات'!$D$2:$D$1001,SUMPRODUCT(('تشخيص الحالات'!$B$2:$B$1001=B928)*('تشخيص الحالات'!$G$2:$G$1001=1)*ROW('تشخيص الحالات'!$B$2:$B$1001))-1),"")&amp;IF(SUMPRODUCT(('تشخيص الحالات'!$B$2:$B$1001=B928)*('تشخيص الحالات'!$G$2:$G$1001=2))&gt;0,"، "&amp;IFERROR(INDEX('تشخيص الحالات'!$D$2:$D$1001,SUMPRODUCT(('تشخيص الحالات'!$B$2:$B$1001=B928)*('تشخيص الحالات'!$G$2:$G$1001=2)*ROW('تشخيص الحالات'!$B$2:$B$1001))-1),""),"")&amp;IF(SUMPRODUCT(('تشخيص الحالات'!$B$2:$B$1001=B928)*('تشخيص الحالات'!$G$2:$G$1001=3))&gt;0,"، "&amp;IFERROR(INDEX('تشخيص الحالات'!$D$2:$D$1001,SUMPRODUCT(('تشخيص الحالات'!$B$2:$B$1001=B928)*('تشخيص الحالات'!$G$2:$G$1001=3)*ROW('تشخيص الحالات'!$B$2:$B$1001))-1),""),"")&amp;IF(SUMPRODUCT(('تشخيص الحالات'!$B$2:$B$1001=B928)*('تشخيص الحالات'!$G$2:$G$1001=4))&gt;0,"، "&amp;IFERROR(INDEX('تشخيص الحالات'!$D$2:$D$1001,SUMPRODUCT(('تشخيص الحالات'!$B$2:$B$1001=B928)*('تشخيص الحالات'!$G$2:$G$1001=4)*ROW('تشخيص الحالات'!$B$2:$B$1001))-1),""),"")&amp;IF(SUMPRODUCT(('تشخيص الحالات'!$B$2:$B$1001=B928)*('تشخيص الحالات'!$G$2:$G$1001=5))&gt;0,"، "&amp;IFERROR(INDEX('تشخيص الحالات'!$D$2:$D$1001,SUMPRODUCT(('تشخيص الحالات'!$B$2:$B$1001=B928)*('تشخيص الحالات'!$G$2:$G$1001=5)*ROW('تشخيص الحالات'!$B$2:$B$1001))-1),""),"")&amp;IF(SUMPRODUCT(('تشخيص الحالات'!$B$2:$B$1001=B928)*('تشخيص الحالات'!$G$2:$G$1001=6))&gt;0,"، "&amp;IFERROR(INDEX('تشخيص الحالات'!$D$2:$D$1001,SUMPRODUCT(('تشخيص الحالات'!$B$2:$B$1001=B928)*('تشخيص الحالات'!$G$2:$G$1001=6)*ROW('تشخيص الحالات'!$B$2:$B$1001))-1),""),"")&amp;IF(SUMPRODUCT(('تشخيص الحالات'!$B$2:$B$1001=B928)*('تشخيص الحالات'!$G$2:$G$1001=7))&gt;0,"، "&amp;IFERROR(INDEX('تشخيص الحالات'!$D$2:$D$1001,SUMPRODUCT(('تشخيص الحالات'!$B$2:$B$1001=B928)*('تشخيص الحالات'!$G$2:$G$1001=7)*ROW('تشخيص الحالات'!$B$2:$B$1001))-1),""),"")&amp;IF(SUMPRODUCT(('تشخيص الحالات'!$B$2:$B$1001=B928)*('تشخيص الحالات'!$G$2:$G$1001=8))&gt;0,"، "&amp;IFERROR(INDEX('تشخيص الحالات'!$D$2:$D$1001,SUMPRODUCT(('تشخيص الحالات'!$B$2:$B$1001=B928)*('تشخيص الحالات'!$G$2:$G$1001=8)*ROW('تشخيص الحالات'!$B$2:$B$1001))-1),""),"")</f>
        <v/>
      </c>
      <c r="J928" s="1"/>
      <c r="K928" s="1"/>
      <c r="L928" s="1"/>
      <c r="M928" s="1"/>
    </row>
    <row r="929" spans="1:13" x14ac:dyDescent="0.2">
      <c r="A929" s="1"/>
      <c r="B929" s="1"/>
      <c r="C929" s="1"/>
      <c r="D929" s="1"/>
      <c r="E929" s="1"/>
      <c r="F929" s="1"/>
      <c r="G929" s="1"/>
      <c r="H929" s="1"/>
      <c r="I929" t="str">
        <f>IFERROR(INDEX('تشخيص الحالات'!$D$2:$D$1001,SUMPRODUCT(('تشخيص الحالات'!$B$2:$B$1001=B929)*('تشخيص الحالات'!$G$2:$G$1001=1)*ROW('تشخيص الحالات'!$B$2:$B$1001))-1),"")&amp;IF(SUMPRODUCT(('تشخيص الحالات'!$B$2:$B$1001=B929)*('تشخيص الحالات'!$G$2:$G$1001=2))&gt;0,"، "&amp;IFERROR(INDEX('تشخيص الحالات'!$D$2:$D$1001,SUMPRODUCT(('تشخيص الحالات'!$B$2:$B$1001=B929)*('تشخيص الحالات'!$G$2:$G$1001=2)*ROW('تشخيص الحالات'!$B$2:$B$1001))-1),""),"")&amp;IF(SUMPRODUCT(('تشخيص الحالات'!$B$2:$B$1001=B929)*('تشخيص الحالات'!$G$2:$G$1001=3))&gt;0,"، "&amp;IFERROR(INDEX('تشخيص الحالات'!$D$2:$D$1001,SUMPRODUCT(('تشخيص الحالات'!$B$2:$B$1001=B929)*('تشخيص الحالات'!$G$2:$G$1001=3)*ROW('تشخيص الحالات'!$B$2:$B$1001))-1),""),"")&amp;IF(SUMPRODUCT(('تشخيص الحالات'!$B$2:$B$1001=B929)*('تشخيص الحالات'!$G$2:$G$1001=4))&gt;0,"، "&amp;IFERROR(INDEX('تشخيص الحالات'!$D$2:$D$1001,SUMPRODUCT(('تشخيص الحالات'!$B$2:$B$1001=B929)*('تشخيص الحالات'!$G$2:$G$1001=4)*ROW('تشخيص الحالات'!$B$2:$B$1001))-1),""),"")&amp;IF(SUMPRODUCT(('تشخيص الحالات'!$B$2:$B$1001=B929)*('تشخيص الحالات'!$G$2:$G$1001=5))&gt;0,"، "&amp;IFERROR(INDEX('تشخيص الحالات'!$D$2:$D$1001,SUMPRODUCT(('تشخيص الحالات'!$B$2:$B$1001=B929)*('تشخيص الحالات'!$G$2:$G$1001=5)*ROW('تشخيص الحالات'!$B$2:$B$1001))-1),""),"")&amp;IF(SUMPRODUCT(('تشخيص الحالات'!$B$2:$B$1001=B929)*('تشخيص الحالات'!$G$2:$G$1001=6))&gt;0,"، "&amp;IFERROR(INDEX('تشخيص الحالات'!$D$2:$D$1001,SUMPRODUCT(('تشخيص الحالات'!$B$2:$B$1001=B929)*('تشخيص الحالات'!$G$2:$G$1001=6)*ROW('تشخيص الحالات'!$B$2:$B$1001))-1),""),"")&amp;IF(SUMPRODUCT(('تشخيص الحالات'!$B$2:$B$1001=B929)*('تشخيص الحالات'!$G$2:$G$1001=7))&gt;0,"، "&amp;IFERROR(INDEX('تشخيص الحالات'!$D$2:$D$1001,SUMPRODUCT(('تشخيص الحالات'!$B$2:$B$1001=B929)*('تشخيص الحالات'!$G$2:$G$1001=7)*ROW('تشخيص الحالات'!$B$2:$B$1001))-1),""),"")&amp;IF(SUMPRODUCT(('تشخيص الحالات'!$B$2:$B$1001=B929)*('تشخيص الحالات'!$G$2:$G$1001=8))&gt;0,"، "&amp;IFERROR(INDEX('تشخيص الحالات'!$D$2:$D$1001,SUMPRODUCT(('تشخيص الحالات'!$B$2:$B$1001=B929)*('تشخيص الحالات'!$G$2:$G$1001=8)*ROW('تشخيص الحالات'!$B$2:$B$1001))-1),""),"")</f>
        <v/>
      </c>
      <c r="J929" s="1"/>
      <c r="K929" s="1"/>
      <c r="L929" s="1"/>
      <c r="M929" s="1"/>
    </row>
    <row r="930" spans="1:13" x14ac:dyDescent="0.2">
      <c r="A930" s="1"/>
      <c r="B930" s="1"/>
      <c r="C930" s="1"/>
      <c r="D930" s="1"/>
      <c r="E930" s="1"/>
      <c r="F930" s="1"/>
      <c r="G930" s="1"/>
      <c r="H930" s="1"/>
      <c r="I930" t="str">
        <f>IFERROR(INDEX('تشخيص الحالات'!$D$2:$D$1001,SUMPRODUCT(('تشخيص الحالات'!$B$2:$B$1001=B930)*('تشخيص الحالات'!$G$2:$G$1001=1)*ROW('تشخيص الحالات'!$B$2:$B$1001))-1),"")&amp;IF(SUMPRODUCT(('تشخيص الحالات'!$B$2:$B$1001=B930)*('تشخيص الحالات'!$G$2:$G$1001=2))&gt;0,"، "&amp;IFERROR(INDEX('تشخيص الحالات'!$D$2:$D$1001,SUMPRODUCT(('تشخيص الحالات'!$B$2:$B$1001=B930)*('تشخيص الحالات'!$G$2:$G$1001=2)*ROW('تشخيص الحالات'!$B$2:$B$1001))-1),""),"")&amp;IF(SUMPRODUCT(('تشخيص الحالات'!$B$2:$B$1001=B930)*('تشخيص الحالات'!$G$2:$G$1001=3))&gt;0,"، "&amp;IFERROR(INDEX('تشخيص الحالات'!$D$2:$D$1001,SUMPRODUCT(('تشخيص الحالات'!$B$2:$B$1001=B930)*('تشخيص الحالات'!$G$2:$G$1001=3)*ROW('تشخيص الحالات'!$B$2:$B$1001))-1),""),"")&amp;IF(SUMPRODUCT(('تشخيص الحالات'!$B$2:$B$1001=B930)*('تشخيص الحالات'!$G$2:$G$1001=4))&gt;0,"، "&amp;IFERROR(INDEX('تشخيص الحالات'!$D$2:$D$1001,SUMPRODUCT(('تشخيص الحالات'!$B$2:$B$1001=B930)*('تشخيص الحالات'!$G$2:$G$1001=4)*ROW('تشخيص الحالات'!$B$2:$B$1001))-1),""),"")&amp;IF(SUMPRODUCT(('تشخيص الحالات'!$B$2:$B$1001=B930)*('تشخيص الحالات'!$G$2:$G$1001=5))&gt;0,"، "&amp;IFERROR(INDEX('تشخيص الحالات'!$D$2:$D$1001,SUMPRODUCT(('تشخيص الحالات'!$B$2:$B$1001=B930)*('تشخيص الحالات'!$G$2:$G$1001=5)*ROW('تشخيص الحالات'!$B$2:$B$1001))-1),""),"")&amp;IF(SUMPRODUCT(('تشخيص الحالات'!$B$2:$B$1001=B930)*('تشخيص الحالات'!$G$2:$G$1001=6))&gt;0,"، "&amp;IFERROR(INDEX('تشخيص الحالات'!$D$2:$D$1001,SUMPRODUCT(('تشخيص الحالات'!$B$2:$B$1001=B930)*('تشخيص الحالات'!$G$2:$G$1001=6)*ROW('تشخيص الحالات'!$B$2:$B$1001))-1),""),"")&amp;IF(SUMPRODUCT(('تشخيص الحالات'!$B$2:$B$1001=B930)*('تشخيص الحالات'!$G$2:$G$1001=7))&gt;0,"، "&amp;IFERROR(INDEX('تشخيص الحالات'!$D$2:$D$1001,SUMPRODUCT(('تشخيص الحالات'!$B$2:$B$1001=B930)*('تشخيص الحالات'!$G$2:$G$1001=7)*ROW('تشخيص الحالات'!$B$2:$B$1001))-1),""),"")&amp;IF(SUMPRODUCT(('تشخيص الحالات'!$B$2:$B$1001=B930)*('تشخيص الحالات'!$G$2:$G$1001=8))&gt;0,"، "&amp;IFERROR(INDEX('تشخيص الحالات'!$D$2:$D$1001,SUMPRODUCT(('تشخيص الحالات'!$B$2:$B$1001=B930)*('تشخيص الحالات'!$G$2:$G$1001=8)*ROW('تشخيص الحالات'!$B$2:$B$1001))-1),""),"")</f>
        <v/>
      </c>
      <c r="J930" s="1"/>
      <c r="K930" s="1"/>
      <c r="L930" s="1"/>
      <c r="M930" s="1"/>
    </row>
    <row r="931" spans="1:13" x14ac:dyDescent="0.2">
      <c r="A931" s="1"/>
      <c r="B931" s="1"/>
      <c r="C931" s="1"/>
      <c r="D931" s="1"/>
      <c r="E931" s="1"/>
      <c r="F931" s="1"/>
      <c r="G931" s="1"/>
      <c r="H931" s="1"/>
      <c r="I931" t="str">
        <f>IFERROR(INDEX('تشخيص الحالات'!$D$2:$D$1001,SUMPRODUCT(('تشخيص الحالات'!$B$2:$B$1001=B931)*('تشخيص الحالات'!$G$2:$G$1001=1)*ROW('تشخيص الحالات'!$B$2:$B$1001))-1),"")&amp;IF(SUMPRODUCT(('تشخيص الحالات'!$B$2:$B$1001=B931)*('تشخيص الحالات'!$G$2:$G$1001=2))&gt;0,"، "&amp;IFERROR(INDEX('تشخيص الحالات'!$D$2:$D$1001,SUMPRODUCT(('تشخيص الحالات'!$B$2:$B$1001=B931)*('تشخيص الحالات'!$G$2:$G$1001=2)*ROW('تشخيص الحالات'!$B$2:$B$1001))-1),""),"")&amp;IF(SUMPRODUCT(('تشخيص الحالات'!$B$2:$B$1001=B931)*('تشخيص الحالات'!$G$2:$G$1001=3))&gt;0,"، "&amp;IFERROR(INDEX('تشخيص الحالات'!$D$2:$D$1001,SUMPRODUCT(('تشخيص الحالات'!$B$2:$B$1001=B931)*('تشخيص الحالات'!$G$2:$G$1001=3)*ROW('تشخيص الحالات'!$B$2:$B$1001))-1),""),"")&amp;IF(SUMPRODUCT(('تشخيص الحالات'!$B$2:$B$1001=B931)*('تشخيص الحالات'!$G$2:$G$1001=4))&gt;0,"، "&amp;IFERROR(INDEX('تشخيص الحالات'!$D$2:$D$1001,SUMPRODUCT(('تشخيص الحالات'!$B$2:$B$1001=B931)*('تشخيص الحالات'!$G$2:$G$1001=4)*ROW('تشخيص الحالات'!$B$2:$B$1001))-1),""),"")&amp;IF(SUMPRODUCT(('تشخيص الحالات'!$B$2:$B$1001=B931)*('تشخيص الحالات'!$G$2:$G$1001=5))&gt;0,"، "&amp;IFERROR(INDEX('تشخيص الحالات'!$D$2:$D$1001,SUMPRODUCT(('تشخيص الحالات'!$B$2:$B$1001=B931)*('تشخيص الحالات'!$G$2:$G$1001=5)*ROW('تشخيص الحالات'!$B$2:$B$1001))-1),""),"")&amp;IF(SUMPRODUCT(('تشخيص الحالات'!$B$2:$B$1001=B931)*('تشخيص الحالات'!$G$2:$G$1001=6))&gt;0,"، "&amp;IFERROR(INDEX('تشخيص الحالات'!$D$2:$D$1001,SUMPRODUCT(('تشخيص الحالات'!$B$2:$B$1001=B931)*('تشخيص الحالات'!$G$2:$G$1001=6)*ROW('تشخيص الحالات'!$B$2:$B$1001))-1),""),"")&amp;IF(SUMPRODUCT(('تشخيص الحالات'!$B$2:$B$1001=B931)*('تشخيص الحالات'!$G$2:$G$1001=7))&gt;0,"، "&amp;IFERROR(INDEX('تشخيص الحالات'!$D$2:$D$1001,SUMPRODUCT(('تشخيص الحالات'!$B$2:$B$1001=B931)*('تشخيص الحالات'!$G$2:$G$1001=7)*ROW('تشخيص الحالات'!$B$2:$B$1001))-1),""),"")&amp;IF(SUMPRODUCT(('تشخيص الحالات'!$B$2:$B$1001=B931)*('تشخيص الحالات'!$G$2:$G$1001=8))&gt;0,"، "&amp;IFERROR(INDEX('تشخيص الحالات'!$D$2:$D$1001,SUMPRODUCT(('تشخيص الحالات'!$B$2:$B$1001=B931)*('تشخيص الحالات'!$G$2:$G$1001=8)*ROW('تشخيص الحالات'!$B$2:$B$1001))-1),""),"")</f>
        <v/>
      </c>
      <c r="J931" s="1"/>
      <c r="K931" s="1"/>
      <c r="L931" s="1"/>
      <c r="M931" s="1"/>
    </row>
    <row r="932" spans="1:13" x14ac:dyDescent="0.2">
      <c r="A932" s="1"/>
      <c r="B932" s="1"/>
      <c r="C932" s="1"/>
      <c r="D932" s="1"/>
      <c r="E932" s="1"/>
      <c r="F932" s="1"/>
      <c r="G932" s="1"/>
      <c r="H932" s="1"/>
      <c r="I932" t="str">
        <f>IFERROR(INDEX('تشخيص الحالات'!$D$2:$D$1001,SUMPRODUCT(('تشخيص الحالات'!$B$2:$B$1001=B932)*('تشخيص الحالات'!$G$2:$G$1001=1)*ROW('تشخيص الحالات'!$B$2:$B$1001))-1),"")&amp;IF(SUMPRODUCT(('تشخيص الحالات'!$B$2:$B$1001=B932)*('تشخيص الحالات'!$G$2:$G$1001=2))&gt;0,"، "&amp;IFERROR(INDEX('تشخيص الحالات'!$D$2:$D$1001,SUMPRODUCT(('تشخيص الحالات'!$B$2:$B$1001=B932)*('تشخيص الحالات'!$G$2:$G$1001=2)*ROW('تشخيص الحالات'!$B$2:$B$1001))-1),""),"")&amp;IF(SUMPRODUCT(('تشخيص الحالات'!$B$2:$B$1001=B932)*('تشخيص الحالات'!$G$2:$G$1001=3))&gt;0,"، "&amp;IFERROR(INDEX('تشخيص الحالات'!$D$2:$D$1001,SUMPRODUCT(('تشخيص الحالات'!$B$2:$B$1001=B932)*('تشخيص الحالات'!$G$2:$G$1001=3)*ROW('تشخيص الحالات'!$B$2:$B$1001))-1),""),"")&amp;IF(SUMPRODUCT(('تشخيص الحالات'!$B$2:$B$1001=B932)*('تشخيص الحالات'!$G$2:$G$1001=4))&gt;0,"، "&amp;IFERROR(INDEX('تشخيص الحالات'!$D$2:$D$1001,SUMPRODUCT(('تشخيص الحالات'!$B$2:$B$1001=B932)*('تشخيص الحالات'!$G$2:$G$1001=4)*ROW('تشخيص الحالات'!$B$2:$B$1001))-1),""),"")&amp;IF(SUMPRODUCT(('تشخيص الحالات'!$B$2:$B$1001=B932)*('تشخيص الحالات'!$G$2:$G$1001=5))&gt;0,"، "&amp;IFERROR(INDEX('تشخيص الحالات'!$D$2:$D$1001,SUMPRODUCT(('تشخيص الحالات'!$B$2:$B$1001=B932)*('تشخيص الحالات'!$G$2:$G$1001=5)*ROW('تشخيص الحالات'!$B$2:$B$1001))-1),""),"")&amp;IF(SUMPRODUCT(('تشخيص الحالات'!$B$2:$B$1001=B932)*('تشخيص الحالات'!$G$2:$G$1001=6))&gt;0,"، "&amp;IFERROR(INDEX('تشخيص الحالات'!$D$2:$D$1001,SUMPRODUCT(('تشخيص الحالات'!$B$2:$B$1001=B932)*('تشخيص الحالات'!$G$2:$G$1001=6)*ROW('تشخيص الحالات'!$B$2:$B$1001))-1),""),"")&amp;IF(SUMPRODUCT(('تشخيص الحالات'!$B$2:$B$1001=B932)*('تشخيص الحالات'!$G$2:$G$1001=7))&gt;0,"، "&amp;IFERROR(INDEX('تشخيص الحالات'!$D$2:$D$1001,SUMPRODUCT(('تشخيص الحالات'!$B$2:$B$1001=B932)*('تشخيص الحالات'!$G$2:$G$1001=7)*ROW('تشخيص الحالات'!$B$2:$B$1001))-1),""),"")&amp;IF(SUMPRODUCT(('تشخيص الحالات'!$B$2:$B$1001=B932)*('تشخيص الحالات'!$G$2:$G$1001=8))&gt;0,"، "&amp;IFERROR(INDEX('تشخيص الحالات'!$D$2:$D$1001,SUMPRODUCT(('تشخيص الحالات'!$B$2:$B$1001=B932)*('تشخيص الحالات'!$G$2:$G$1001=8)*ROW('تشخيص الحالات'!$B$2:$B$1001))-1),""),"")</f>
        <v/>
      </c>
      <c r="J932" s="1"/>
      <c r="K932" s="1"/>
      <c r="L932" s="1"/>
      <c r="M932" s="1"/>
    </row>
    <row r="933" spans="1:13" x14ac:dyDescent="0.2">
      <c r="A933" s="1"/>
      <c r="B933" s="1"/>
      <c r="C933" s="1"/>
      <c r="D933" s="1"/>
      <c r="E933" s="1"/>
      <c r="F933" s="1"/>
      <c r="G933" s="1"/>
      <c r="H933" s="1"/>
      <c r="I933" t="str">
        <f>IFERROR(INDEX('تشخيص الحالات'!$D$2:$D$1001,SUMPRODUCT(('تشخيص الحالات'!$B$2:$B$1001=B933)*('تشخيص الحالات'!$G$2:$G$1001=1)*ROW('تشخيص الحالات'!$B$2:$B$1001))-1),"")&amp;IF(SUMPRODUCT(('تشخيص الحالات'!$B$2:$B$1001=B933)*('تشخيص الحالات'!$G$2:$G$1001=2))&gt;0,"، "&amp;IFERROR(INDEX('تشخيص الحالات'!$D$2:$D$1001,SUMPRODUCT(('تشخيص الحالات'!$B$2:$B$1001=B933)*('تشخيص الحالات'!$G$2:$G$1001=2)*ROW('تشخيص الحالات'!$B$2:$B$1001))-1),""),"")&amp;IF(SUMPRODUCT(('تشخيص الحالات'!$B$2:$B$1001=B933)*('تشخيص الحالات'!$G$2:$G$1001=3))&gt;0,"، "&amp;IFERROR(INDEX('تشخيص الحالات'!$D$2:$D$1001,SUMPRODUCT(('تشخيص الحالات'!$B$2:$B$1001=B933)*('تشخيص الحالات'!$G$2:$G$1001=3)*ROW('تشخيص الحالات'!$B$2:$B$1001))-1),""),"")&amp;IF(SUMPRODUCT(('تشخيص الحالات'!$B$2:$B$1001=B933)*('تشخيص الحالات'!$G$2:$G$1001=4))&gt;0,"، "&amp;IFERROR(INDEX('تشخيص الحالات'!$D$2:$D$1001,SUMPRODUCT(('تشخيص الحالات'!$B$2:$B$1001=B933)*('تشخيص الحالات'!$G$2:$G$1001=4)*ROW('تشخيص الحالات'!$B$2:$B$1001))-1),""),"")&amp;IF(SUMPRODUCT(('تشخيص الحالات'!$B$2:$B$1001=B933)*('تشخيص الحالات'!$G$2:$G$1001=5))&gt;0,"، "&amp;IFERROR(INDEX('تشخيص الحالات'!$D$2:$D$1001,SUMPRODUCT(('تشخيص الحالات'!$B$2:$B$1001=B933)*('تشخيص الحالات'!$G$2:$G$1001=5)*ROW('تشخيص الحالات'!$B$2:$B$1001))-1),""),"")&amp;IF(SUMPRODUCT(('تشخيص الحالات'!$B$2:$B$1001=B933)*('تشخيص الحالات'!$G$2:$G$1001=6))&gt;0,"، "&amp;IFERROR(INDEX('تشخيص الحالات'!$D$2:$D$1001,SUMPRODUCT(('تشخيص الحالات'!$B$2:$B$1001=B933)*('تشخيص الحالات'!$G$2:$G$1001=6)*ROW('تشخيص الحالات'!$B$2:$B$1001))-1),""),"")&amp;IF(SUMPRODUCT(('تشخيص الحالات'!$B$2:$B$1001=B933)*('تشخيص الحالات'!$G$2:$G$1001=7))&gt;0,"، "&amp;IFERROR(INDEX('تشخيص الحالات'!$D$2:$D$1001,SUMPRODUCT(('تشخيص الحالات'!$B$2:$B$1001=B933)*('تشخيص الحالات'!$G$2:$G$1001=7)*ROW('تشخيص الحالات'!$B$2:$B$1001))-1),""),"")&amp;IF(SUMPRODUCT(('تشخيص الحالات'!$B$2:$B$1001=B933)*('تشخيص الحالات'!$G$2:$G$1001=8))&gt;0,"، "&amp;IFERROR(INDEX('تشخيص الحالات'!$D$2:$D$1001,SUMPRODUCT(('تشخيص الحالات'!$B$2:$B$1001=B933)*('تشخيص الحالات'!$G$2:$G$1001=8)*ROW('تشخيص الحالات'!$B$2:$B$1001))-1),""),"")</f>
        <v/>
      </c>
      <c r="J933" s="1"/>
      <c r="K933" s="1"/>
      <c r="L933" s="1"/>
      <c r="M933" s="1"/>
    </row>
    <row r="934" spans="1:13" x14ac:dyDescent="0.2">
      <c r="A934" s="1"/>
      <c r="B934" s="1"/>
      <c r="C934" s="1"/>
      <c r="D934" s="1"/>
      <c r="E934" s="1"/>
      <c r="F934" s="1"/>
      <c r="G934" s="1"/>
      <c r="H934" s="1"/>
      <c r="I934" t="str">
        <f>IFERROR(INDEX('تشخيص الحالات'!$D$2:$D$1001,SUMPRODUCT(('تشخيص الحالات'!$B$2:$B$1001=B934)*('تشخيص الحالات'!$G$2:$G$1001=1)*ROW('تشخيص الحالات'!$B$2:$B$1001))-1),"")&amp;IF(SUMPRODUCT(('تشخيص الحالات'!$B$2:$B$1001=B934)*('تشخيص الحالات'!$G$2:$G$1001=2))&gt;0,"، "&amp;IFERROR(INDEX('تشخيص الحالات'!$D$2:$D$1001,SUMPRODUCT(('تشخيص الحالات'!$B$2:$B$1001=B934)*('تشخيص الحالات'!$G$2:$G$1001=2)*ROW('تشخيص الحالات'!$B$2:$B$1001))-1),""),"")&amp;IF(SUMPRODUCT(('تشخيص الحالات'!$B$2:$B$1001=B934)*('تشخيص الحالات'!$G$2:$G$1001=3))&gt;0,"، "&amp;IFERROR(INDEX('تشخيص الحالات'!$D$2:$D$1001,SUMPRODUCT(('تشخيص الحالات'!$B$2:$B$1001=B934)*('تشخيص الحالات'!$G$2:$G$1001=3)*ROW('تشخيص الحالات'!$B$2:$B$1001))-1),""),"")&amp;IF(SUMPRODUCT(('تشخيص الحالات'!$B$2:$B$1001=B934)*('تشخيص الحالات'!$G$2:$G$1001=4))&gt;0,"، "&amp;IFERROR(INDEX('تشخيص الحالات'!$D$2:$D$1001,SUMPRODUCT(('تشخيص الحالات'!$B$2:$B$1001=B934)*('تشخيص الحالات'!$G$2:$G$1001=4)*ROW('تشخيص الحالات'!$B$2:$B$1001))-1),""),"")&amp;IF(SUMPRODUCT(('تشخيص الحالات'!$B$2:$B$1001=B934)*('تشخيص الحالات'!$G$2:$G$1001=5))&gt;0,"، "&amp;IFERROR(INDEX('تشخيص الحالات'!$D$2:$D$1001,SUMPRODUCT(('تشخيص الحالات'!$B$2:$B$1001=B934)*('تشخيص الحالات'!$G$2:$G$1001=5)*ROW('تشخيص الحالات'!$B$2:$B$1001))-1),""),"")&amp;IF(SUMPRODUCT(('تشخيص الحالات'!$B$2:$B$1001=B934)*('تشخيص الحالات'!$G$2:$G$1001=6))&gt;0,"، "&amp;IFERROR(INDEX('تشخيص الحالات'!$D$2:$D$1001,SUMPRODUCT(('تشخيص الحالات'!$B$2:$B$1001=B934)*('تشخيص الحالات'!$G$2:$G$1001=6)*ROW('تشخيص الحالات'!$B$2:$B$1001))-1),""),"")&amp;IF(SUMPRODUCT(('تشخيص الحالات'!$B$2:$B$1001=B934)*('تشخيص الحالات'!$G$2:$G$1001=7))&gt;0,"، "&amp;IFERROR(INDEX('تشخيص الحالات'!$D$2:$D$1001,SUMPRODUCT(('تشخيص الحالات'!$B$2:$B$1001=B934)*('تشخيص الحالات'!$G$2:$G$1001=7)*ROW('تشخيص الحالات'!$B$2:$B$1001))-1),""),"")&amp;IF(SUMPRODUCT(('تشخيص الحالات'!$B$2:$B$1001=B934)*('تشخيص الحالات'!$G$2:$G$1001=8))&gt;0,"، "&amp;IFERROR(INDEX('تشخيص الحالات'!$D$2:$D$1001,SUMPRODUCT(('تشخيص الحالات'!$B$2:$B$1001=B934)*('تشخيص الحالات'!$G$2:$G$1001=8)*ROW('تشخيص الحالات'!$B$2:$B$1001))-1),""),"")</f>
        <v/>
      </c>
      <c r="J934" s="1"/>
      <c r="K934" s="1"/>
      <c r="L934" s="1"/>
      <c r="M934" s="1"/>
    </row>
    <row r="935" spans="1:13" x14ac:dyDescent="0.2">
      <c r="A935" s="1"/>
      <c r="B935" s="1"/>
      <c r="C935" s="1"/>
      <c r="D935" s="1"/>
      <c r="E935" s="1"/>
      <c r="F935" s="1"/>
      <c r="G935" s="1"/>
      <c r="H935" s="1"/>
      <c r="I935" t="str">
        <f>IFERROR(INDEX('تشخيص الحالات'!$D$2:$D$1001,SUMPRODUCT(('تشخيص الحالات'!$B$2:$B$1001=B935)*('تشخيص الحالات'!$G$2:$G$1001=1)*ROW('تشخيص الحالات'!$B$2:$B$1001))-1),"")&amp;IF(SUMPRODUCT(('تشخيص الحالات'!$B$2:$B$1001=B935)*('تشخيص الحالات'!$G$2:$G$1001=2))&gt;0,"، "&amp;IFERROR(INDEX('تشخيص الحالات'!$D$2:$D$1001,SUMPRODUCT(('تشخيص الحالات'!$B$2:$B$1001=B935)*('تشخيص الحالات'!$G$2:$G$1001=2)*ROW('تشخيص الحالات'!$B$2:$B$1001))-1),""),"")&amp;IF(SUMPRODUCT(('تشخيص الحالات'!$B$2:$B$1001=B935)*('تشخيص الحالات'!$G$2:$G$1001=3))&gt;0,"، "&amp;IFERROR(INDEX('تشخيص الحالات'!$D$2:$D$1001,SUMPRODUCT(('تشخيص الحالات'!$B$2:$B$1001=B935)*('تشخيص الحالات'!$G$2:$G$1001=3)*ROW('تشخيص الحالات'!$B$2:$B$1001))-1),""),"")&amp;IF(SUMPRODUCT(('تشخيص الحالات'!$B$2:$B$1001=B935)*('تشخيص الحالات'!$G$2:$G$1001=4))&gt;0,"، "&amp;IFERROR(INDEX('تشخيص الحالات'!$D$2:$D$1001,SUMPRODUCT(('تشخيص الحالات'!$B$2:$B$1001=B935)*('تشخيص الحالات'!$G$2:$G$1001=4)*ROW('تشخيص الحالات'!$B$2:$B$1001))-1),""),"")&amp;IF(SUMPRODUCT(('تشخيص الحالات'!$B$2:$B$1001=B935)*('تشخيص الحالات'!$G$2:$G$1001=5))&gt;0,"، "&amp;IFERROR(INDEX('تشخيص الحالات'!$D$2:$D$1001,SUMPRODUCT(('تشخيص الحالات'!$B$2:$B$1001=B935)*('تشخيص الحالات'!$G$2:$G$1001=5)*ROW('تشخيص الحالات'!$B$2:$B$1001))-1),""),"")&amp;IF(SUMPRODUCT(('تشخيص الحالات'!$B$2:$B$1001=B935)*('تشخيص الحالات'!$G$2:$G$1001=6))&gt;0,"، "&amp;IFERROR(INDEX('تشخيص الحالات'!$D$2:$D$1001,SUMPRODUCT(('تشخيص الحالات'!$B$2:$B$1001=B935)*('تشخيص الحالات'!$G$2:$G$1001=6)*ROW('تشخيص الحالات'!$B$2:$B$1001))-1),""),"")&amp;IF(SUMPRODUCT(('تشخيص الحالات'!$B$2:$B$1001=B935)*('تشخيص الحالات'!$G$2:$G$1001=7))&gt;0,"، "&amp;IFERROR(INDEX('تشخيص الحالات'!$D$2:$D$1001,SUMPRODUCT(('تشخيص الحالات'!$B$2:$B$1001=B935)*('تشخيص الحالات'!$G$2:$G$1001=7)*ROW('تشخيص الحالات'!$B$2:$B$1001))-1),""),"")&amp;IF(SUMPRODUCT(('تشخيص الحالات'!$B$2:$B$1001=B935)*('تشخيص الحالات'!$G$2:$G$1001=8))&gt;0,"، "&amp;IFERROR(INDEX('تشخيص الحالات'!$D$2:$D$1001,SUMPRODUCT(('تشخيص الحالات'!$B$2:$B$1001=B935)*('تشخيص الحالات'!$G$2:$G$1001=8)*ROW('تشخيص الحالات'!$B$2:$B$1001))-1),""),"")</f>
        <v/>
      </c>
      <c r="J935" s="1"/>
      <c r="K935" s="1"/>
      <c r="L935" s="1"/>
      <c r="M935" s="1"/>
    </row>
    <row r="936" spans="1:13" x14ac:dyDescent="0.2">
      <c r="A936" s="1"/>
      <c r="B936" s="1"/>
      <c r="C936" s="1"/>
      <c r="D936" s="1"/>
      <c r="E936" s="1"/>
      <c r="F936" s="1"/>
      <c r="G936" s="1"/>
      <c r="H936" s="1"/>
      <c r="I936" t="str">
        <f>IFERROR(INDEX('تشخيص الحالات'!$D$2:$D$1001,SUMPRODUCT(('تشخيص الحالات'!$B$2:$B$1001=B936)*('تشخيص الحالات'!$G$2:$G$1001=1)*ROW('تشخيص الحالات'!$B$2:$B$1001))-1),"")&amp;IF(SUMPRODUCT(('تشخيص الحالات'!$B$2:$B$1001=B936)*('تشخيص الحالات'!$G$2:$G$1001=2))&gt;0,"، "&amp;IFERROR(INDEX('تشخيص الحالات'!$D$2:$D$1001,SUMPRODUCT(('تشخيص الحالات'!$B$2:$B$1001=B936)*('تشخيص الحالات'!$G$2:$G$1001=2)*ROW('تشخيص الحالات'!$B$2:$B$1001))-1),""),"")&amp;IF(SUMPRODUCT(('تشخيص الحالات'!$B$2:$B$1001=B936)*('تشخيص الحالات'!$G$2:$G$1001=3))&gt;0,"، "&amp;IFERROR(INDEX('تشخيص الحالات'!$D$2:$D$1001,SUMPRODUCT(('تشخيص الحالات'!$B$2:$B$1001=B936)*('تشخيص الحالات'!$G$2:$G$1001=3)*ROW('تشخيص الحالات'!$B$2:$B$1001))-1),""),"")&amp;IF(SUMPRODUCT(('تشخيص الحالات'!$B$2:$B$1001=B936)*('تشخيص الحالات'!$G$2:$G$1001=4))&gt;0,"، "&amp;IFERROR(INDEX('تشخيص الحالات'!$D$2:$D$1001,SUMPRODUCT(('تشخيص الحالات'!$B$2:$B$1001=B936)*('تشخيص الحالات'!$G$2:$G$1001=4)*ROW('تشخيص الحالات'!$B$2:$B$1001))-1),""),"")&amp;IF(SUMPRODUCT(('تشخيص الحالات'!$B$2:$B$1001=B936)*('تشخيص الحالات'!$G$2:$G$1001=5))&gt;0,"، "&amp;IFERROR(INDEX('تشخيص الحالات'!$D$2:$D$1001,SUMPRODUCT(('تشخيص الحالات'!$B$2:$B$1001=B936)*('تشخيص الحالات'!$G$2:$G$1001=5)*ROW('تشخيص الحالات'!$B$2:$B$1001))-1),""),"")&amp;IF(SUMPRODUCT(('تشخيص الحالات'!$B$2:$B$1001=B936)*('تشخيص الحالات'!$G$2:$G$1001=6))&gt;0,"، "&amp;IFERROR(INDEX('تشخيص الحالات'!$D$2:$D$1001,SUMPRODUCT(('تشخيص الحالات'!$B$2:$B$1001=B936)*('تشخيص الحالات'!$G$2:$G$1001=6)*ROW('تشخيص الحالات'!$B$2:$B$1001))-1),""),"")&amp;IF(SUMPRODUCT(('تشخيص الحالات'!$B$2:$B$1001=B936)*('تشخيص الحالات'!$G$2:$G$1001=7))&gt;0,"، "&amp;IFERROR(INDEX('تشخيص الحالات'!$D$2:$D$1001,SUMPRODUCT(('تشخيص الحالات'!$B$2:$B$1001=B936)*('تشخيص الحالات'!$G$2:$G$1001=7)*ROW('تشخيص الحالات'!$B$2:$B$1001))-1),""),"")&amp;IF(SUMPRODUCT(('تشخيص الحالات'!$B$2:$B$1001=B936)*('تشخيص الحالات'!$G$2:$G$1001=8))&gt;0,"، "&amp;IFERROR(INDEX('تشخيص الحالات'!$D$2:$D$1001,SUMPRODUCT(('تشخيص الحالات'!$B$2:$B$1001=B936)*('تشخيص الحالات'!$G$2:$G$1001=8)*ROW('تشخيص الحالات'!$B$2:$B$1001))-1),""),"")</f>
        <v/>
      </c>
      <c r="J936" s="1"/>
      <c r="K936" s="1"/>
      <c r="L936" s="1"/>
      <c r="M936" s="1"/>
    </row>
    <row r="937" spans="1:13" x14ac:dyDescent="0.2">
      <c r="A937" s="1"/>
      <c r="B937" s="1"/>
      <c r="C937" s="1"/>
      <c r="D937" s="1"/>
      <c r="E937" s="1"/>
      <c r="F937" s="1"/>
      <c r="G937" s="1"/>
      <c r="H937" s="1"/>
      <c r="I937" t="str">
        <f>IFERROR(INDEX('تشخيص الحالات'!$D$2:$D$1001,SUMPRODUCT(('تشخيص الحالات'!$B$2:$B$1001=B937)*('تشخيص الحالات'!$G$2:$G$1001=1)*ROW('تشخيص الحالات'!$B$2:$B$1001))-1),"")&amp;IF(SUMPRODUCT(('تشخيص الحالات'!$B$2:$B$1001=B937)*('تشخيص الحالات'!$G$2:$G$1001=2))&gt;0,"، "&amp;IFERROR(INDEX('تشخيص الحالات'!$D$2:$D$1001,SUMPRODUCT(('تشخيص الحالات'!$B$2:$B$1001=B937)*('تشخيص الحالات'!$G$2:$G$1001=2)*ROW('تشخيص الحالات'!$B$2:$B$1001))-1),""),"")&amp;IF(SUMPRODUCT(('تشخيص الحالات'!$B$2:$B$1001=B937)*('تشخيص الحالات'!$G$2:$G$1001=3))&gt;0,"، "&amp;IFERROR(INDEX('تشخيص الحالات'!$D$2:$D$1001,SUMPRODUCT(('تشخيص الحالات'!$B$2:$B$1001=B937)*('تشخيص الحالات'!$G$2:$G$1001=3)*ROW('تشخيص الحالات'!$B$2:$B$1001))-1),""),"")&amp;IF(SUMPRODUCT(('تشخيص الحالات'!$B$2:$B$1001=B937)*('تشخيص الحالات'!$G$2:$G$1001=4))&gt;0,"، "&amp;IFERROR(INDEX('تشخيص الحالات'!$D$2:$D$1001,SUMPRODUCT(('تشخيص الحالات'!$B$2:$B$1001=B937)*('تشخيص الحالات'!$G$2:$G$1001=4)*ROW('تشخيص الحالات'!$B$2:$B$1001))-1),""),"")&amp;IF(SUMPRODUCT(('تشخيص الحالات'!$B$2:$B$1001=B937)*('تشخيص الحالات'!$G$2:$G$1001=5))&gt;0,"، "&amp;IFERROR(INDEX('تشخيص الحالات'!$D$2:$D$1001,SUMPRODUCT(('تشخيص الحالات'!$B$2:$B$1001=B937)*('تشخيص الحالات'!$G$2:$G$1001=5)*ROW('تشخيص الحالات'!$B$2:$B$1001))-1),""),"")&amp;IF(SUMPRODUCT(('تشخيص الحالات'!$B$2:$B$1001=B937)*('تشخيص الحالات'!$G$2:$G$1001=6))&gt;0,"، "&amp;IFERROR(INDEX('تشخيص الحالات'!$D$2:$D$1001,SUMPRODUCT(('تشخيص الحالات'!$B$2:$B$1001=B937)*('تشخيص الحالات'!$G$2:$G$1001=6)*ROW('تشخيص الحالات'!$B$2:$B$1001))-1),""),"")&amp;IF(SUMPRODUCT(('تشخيص الحالات'!$B$2:$B$1001=B937)*('تشخيص الحالات'!$G$2:$G$1001=7))&gt;0,"، "&amp;IFERROR(INDEX('تشخيص الحالات'!$D$2:$D$1001,SUMPRODUCT(('تشخيص الحالات'!$B$2:$B$1001=B937)*('تشخيص الحالات'!$G$2:$G$1001=7)*ROW('تشخيص الحالات'!$B$2:$B$1001))-1),""),"")&amp;IF(SUMPRODUCT(('تشخيص الحالات'!$B$2:$B$1001=B937)*('تشخيص الحالات'!$G$2:$G$1001=8))&gt;0,"، "&amp;IFERROR(INDEX('تشخيص الحالات'!$D$2:$D$1001,SUMPRODUCT(('تشخيص الحالات'!$B$2:$B$1001=B937)*('تشخيص الحالات'!$G$2:$G$1001=8)*ROW('تشخيص الحالات'!$B$2:$B$1001))-1),""),"")</f>
        <v/>
      </c>
      <c r="J937" s="1"/>
      <c r="K937" s="1"/>
      <c r="L937" s="1"/>
      <c r="M937" s="1"/>
    </row>
    <row r="938" spans="1:13" x14ac:dyDescent="0.2">
      <c r="A938" s="1"/>
      <c r="B938" s="1"/>
      <c r="C938" s="1"/>
      <c r="D938" s="1"/>
      <c r="E938" s="1"/>
      <c r="F938" s="1"/>
      <c r="G938" s="1"/>
      <c r="H938" s="1"/>
      <c r="I938" t="str">
        <f>IFERROR(INDEX('تشخيص الحالات'!$D$2:$D$1001,SUMPRODUCT(('تشخيص الحالات'!$B$2:$B$1001=B938)*('تشخيص الحالات'!$G$2:$G$1001=1)*ROW('تشخيص الحالات'!$B$2:$B$1001))-1),"")&amp;IF(SUMPRODUCT(('تشخيص الحالات'!$B$2:$B$1001=B938)*('تشخيص الحالات'!$G$2:$G$1001=2))&gt;0,"، "&amp;IFERROR(INDEX('تشخيص الحالات'!$D$2:$D$1001,SUMPRODUCT(('تشخيص الحالات'!$B$2:$B$1001=B938)*('تشخيص الحالات'!$G$2:$G$1001=2)*ROW('تشخيص الحالات'!$B$2:$B$1001))-1),""),"")&amp;IF(SUMPRODUCT(('تشخيص الحالات'!$B$2:$B$1001=B938)*('تشخيص الحالات'!$G$2:$G$1001=3))&gt;0,"، "&amp;IFERROR(INDEX('تشخيص الحالات'!$D$2:$D$1001,SUMPRODUCT(('تشخيص الحالات'!$B$2:$B$1001=B938)*('تشخيص الحالات'!$G$2:$G$1001=3)*ROW('تشخيص الحالات'!$B$2:$B$1001))-1),""),"")&amp;IF(SUMPRODUCT(('تشخيص الحالات'!$B$2:$B$1001=B938)*('تشخيص الحالات'!$G$2:$G$1001=4))&gt;0,"، "&amp;IFERROR(INDEX('تشخيص الحالات'!$D$2:$D$1001,SUMPRODUCT(('تشخيص الحالات'!$B$2:$B$1001=B938)*('تشخيص الحالات'!$G$2:$G$1001=4)*ROW('تشخيص الحالات'!$B$2:$B$1001))-1),""),"")&amp;IF(SUMPRODUCT(('تشخيص الحالات'!$B$2:$B$1001=B938)*('تشخيص الحالات'!$G$2:$G$1001=5))&gt;0,"، "&amp;IFERROR(INDEX('تشخيص الحالات'!$D$2:$D$1001,SUMPRODUCT(('تشخيص الحالات'!$B$2:$B$1001=B938)*('تشخيص الحالات'!$G$2:$G$1001=5)*ROW('تشخيص الحالات'!$B$2:$B$1001))-1),""),"")&amp;IF(SUMPRODUCT(('تشخيص الحالات'!$B$2:$B$1001=B938)*('تشخيص الحالات'!$G$2:$G$1001=6))&gt;0,"، "&amp;IFERROR(INDEX('تشخيص الحالات'!$D$2:$D$1001,SUMPRODUCT(('تشخيص الحالات'!$B$2:$B$1001=B938)*('تشخيص الحالات'!$G$2:$G$1001=6)*ROW('تشخيص الحالات'!$B$2:$B$1001))-1),""),"")&amp;IF(SUMPRODUCT(('تشخيص الحالات'!$B$2:$B$1001=B938)*('تشخيص الحالات'!$G$2:$G$1001=7))&gt;0,"، "&amp;IFERROR(INDEX('تشخيص الحالات'!$D$2:$D$1001,SUMPRODUCT(('تشخيص الحالات'!$B$2:$B$1001=B938)*('تشخيص الحالات'!$G$2:$G$1001=7)*ROW('تشخيص الحالات'!$B$2:$B$1001))-1),""),"")&amp;IF(SUMPRODUCT(('تشخيص الحالات'!$B$2:$B$1001=B938)*('تشخيص الحالات'!$G$2:$G$1001=8))&gt;0,"، "&amp;IFERROR(INDEX('تشخيص الحالات'!$D$2:$D$1001,SUMPRODUCT(('تشخيص الحالات'!$B$2:$B$1001=B938)*('تشخيص الحالات'!$G$2:$G$1001=8)*ROW('تشخيص الحالات'!$B$2:$B$1001))-1),""),"")</f>
        <v/>
      </c>
      <c r="J938" s="1"/>
      <c r="K938" s="1"/>
      <c r="L938" s="1"/>
      <c r="M938" s="1"/>
    </row>
    <row r="939" spans="1:13" x14ac:dyDescent="0.2">
      <c r="A939" s="1"/>
      <c r="B939" s="1"/>
      <c r="C939" s="1"/>
      <c r="D939" s="1"/>
      <c r="E939" s="1"/>
      <c r="F939" s="1"/>
      <c r="G939" s="1"/>
      <c r="H939" s="1"/>
      <c r="I939" t="str">
        <f>IFERROR(INDEX('تشخيص الحالات'!$D$2:$D$1001,SUMPRODUCT(('تشخيص الحالات'!$B$2:$B$1001=B939)*('تشخيص الحالات'!$G$2:$G$1001=1)*ROW('تشخيص الحالات'!$B$2:$B$1001))-1),"")&amp;IF(SUMPRODUCT(('تشخيص الحالات'!$B$2:$B$1001=B939)*('تشخيص الحالات'!$G$2:$G$1001=2))&gt;0,"، "&amp;IFERROR(INDEX('تشخيص الحالات'!$D$2:$D$1001,SUMPRODUCT(('تشخيص الحالات'!$B$2:$B$1001=B939)*('تشخيص الحالات'!$G$2:$G$1001=2)*ROW('تشخيص الحالات'!$B$2:$B$1001))-1),""),"")&amp;IF(SUMPRODUCT(('تشخيص الحالات'!$B$2:$B$1001=B939)*('تشخيص الحالات'!$G$2:$G$1001=3))&gt;0,"، "&amp;IFERROR(INDEX('تشخيص الحالات'!$D$2:$D$1001,SUMPRODUCT(('تشخيص الحالات'!$B$2:$B$1001=B939)*('تشخيص الحالات'!$G$2:$G$1001=3)*ROW('تشخيص الحالات'!$B$2:$B$1001))-1),""),"")&amp;IF(SUMPRODUCT(('تشخيص الحالات'!$B$2:$B$1001=B939)*('تشخيص الحالات'!$G$2:$G$1001=4))&gt;0,"، "&amp;IFERROR(INDEX('تشخيص الحالات'!$D$2:$D$1001,SUMPRODUCT(('تشخيص الحالات'!$B$2:$B$1001=B939)*('تشخيص الحالات'!$G$2:$G$1001=4)*ROW('تشخيص الحالات'!$B$2:$B$1001))-1),""),"")&amp;IF(SUMPRODUCT(('تشخيص الحالات'!$B$2:$B$1001=B939)*('تشخيص الحالات'!$G$2:$G$1001=5))&gt;0,"، "&amp;IFERROR(INDEX('تشخيص الحالات'!$D$2:$D$1001,SUMPRODUCT(('تشخيص الحالات'!$B$2:$B$1001=B939)*('تشخيص الحالات'!$G$2:$G$1001=5)*ROW('تشخيص الحالات'!$B$2:$B$1001))-1),""),"")&amp;IF(SUMPRODUCT(('تشخيص الحالات'!$B$2:$B$1001=B939)*('تشخيص الحالات'!$G$2:$G$1001=6))&gt;0,"، "&amp;IFERROR(INDEX('تشخيص الحالات'!$D$2:$D$1001,SUMPRODUCT(('تشخيص الحالات'!$B$2:$B$1001=B939)*('تشخيص الحالات'!$G$2:$G$1001=6)*ROW('تشخيص الحالات'!$B$2:$B$1001))-1),""),"")&amp;IF(SUMPRODUCT(('تشخيص الحالات'!$B$2:$B$1001=B939)*('تشخيص الحالات'!$G$2:$G$1001=7))&gt;0,"، "&amp;IFERROR(INDEX('تشخيص الحالات'!$D$2:$D$1001,SUMPRODUCT(('تشخيص الحالات'!$B$2:$B$1001=B939)*('تشخيص الحالات'!$G$2:$G$1001=7)*ROW('تشخيص الحالات'!$B$2:$B$1001))-1),""),"")&amp;IF(SUMPRODUCT(('تشخيص الحالات'!$B$2:$B$1001=B939)*('تشخيص الحالات'!$G$2:$G$1001=8))&gt;0,"، "&amp;IFERROR(INDEX('تشخيص الحالات'!$D$2:$D$1001,SUMPRODUCT(('تشخيص الحالات'!$B$2:$B$1001=B939)*('تشخيص الحالات'!$G$2:$G$1001=8)*ROW('تشخيص الحالات'!$B$2:$B$1001))-1),""),"")</f>
        <v/>
      </c>
      <c r="J939" s="1"/>
      <c r="K939" s="1"/>
      <c r="L939" s="1"/>
      <c r="M939" s="1"/>
    </row>
    <row r="940" spans="1:13" x14ac:dyDescent="0.2">
      <c r="A940" s="1"/>
      <c r="B940" s="1"/>
      <c r="C940" s="1"/>
      <c r="D940" s="1"/>
      <c r="E940" s="1"/>
      <c r="F940" s="1"/>
      <c r="G940" s="1"/>
      <c r="H940" s="1"/>
      <c r="I940" t="str">
        <f>IFERROR(INDEX('تشخيص الحالات'!$D$2:$D$1001,SUMPRODUCT(('تشخيص الحالات'!$B$2:$B$1001=B940)*('تشخيص الحالات'!$G$2:$G$1001=1)*ROW('تشخيص الحالات'!$B$2:$B$1001))-1),"")&amp;IF(SUMPRODUCT(('تشخيص الحالات'!$B$2:$B$1001=B940)*('تشخيص الحالات'!$G$2:$G$1001=2))&gt;0,"، "&amp;IFERROR(INDEX('تشخيص الحالات'!$D$2:$D$1001,SUMPRODUCT(('تشخيص الحالات'!$B$2:$B$1001=B940)*('تشخيص الحالات'!$G$2:$G$1001=2)*ROW('تشخيص الحالات'!$B$2:$B$1001))-1),""),"")&amp;IF(SUMPRODUCT(('تشخيص الحالات'!$B$2:$B$1001=B940)*('تشخيص الحالات'!$G$2:$G$1001=3))&gt;0,"، "&amp;IFERROR(INDEX('تشخيص الحالات'!$D$2:$D$1001,SUMPRODUCT(('تشخيص الحالات'!$B$2:$B$1001=B940)*('تشخيص الحالات'!$G$2:$G$1001=3)*ROW('تشخيص الحالات'!$B$2:$B$1001))-1),""),"")&amp;IF(SUMPRODUCT(('تشخيص الحالات'!$B$2:$B$1001=B940)*('تشخيص الحالات'!$G$2:$G$1001=4))&gt;0,"، "&amp;IFERROR(INDEX('تشخيص الحالات'!$D$2:$D$1001,SUMPRODUCT(('تشخيص الحالات'!$B$2:$B$1001=B940)*('تشخيص الحالات'!$G$2:$G$1001=4)*ROW('تشخيص الحالات'!$B$2:$B$1001))-1),""),"")&amp;IF(SUMPRODUCT(('تشخيص الحالات'!$B$2:$B$1001=B940)*('تشخيص الحالات'!$G$2:$G$1001=5))&gt;0,"، "&amp;IFERROR(INDEX('تشخيص الحالات'!$D$2:$D$1001,SUMPRODUCT(('تشخيص الحالات'!$B$2:$B$1001=B940)*('تشخيص الحالات'!$G$2:$G$1001=5)*ROW('تشخيص الحالات'!$B$2:$B$1001))-1),""),"")&amp;IF(SUMPRODUCT(('تشخيص الحالات'!$B$2:$B$1001=B940)*('تشخيص الحالات'!$G$2:$G$1001=6))&gt;0,"، "&amp;IFERROR(INDEX('تشخيص الحالات'!$D$2:$D$1001,SUMPRODUCT(('تشخيص الحالات'!$B$2:$B$1001=B940)*('تشخيص الحالات'!$G$2:$G$1001=6)*ROW('تشخيص الحالات'!$B$2:$B$1001))-1),""),"")&amp;IF(SUMPRODUCT(('تشخيص الحالات'!$B$2:$B$1001=B940)*('تشخيص الحالات'!$G$2:$G$1001=7))&gt;0,"، "&amp;IFERROR(INDEX('تشخيص الحالات'!$D$2:$D$1001,SUMPRODUCT(('تشخيص الحالات'!$B$2:$B$1001=B940)*('تشخيص الحالات'!$G$2:$G$1001=7)*ROW('تشخيص الحالات'!$B$2:$B$1001))-1),""),"")&amp;IF(SUMPRODUCT(('تشخيص الحالات'!$B$2:$B$1001=B940)*('تشخيص الحالات'!$G$2:$G$1001=8))&gt;0,"، "&amp;IFERROR(INDEX('تشخيص الحالات'!$D$2:$D$1001,SUMPRODUCT(('تشخيص الحالات'!$B$2:$B$1001=B940)*('تشخيص الحالات'!$G$2:$G$1001=8)*ROW('تشخيص الحالات'!$B$2:$B$1001))-1),""),"")</f>
        <v/>
      </c>
      <c r="J940" s="1"/>
      <c r="K940" s="1"/>
      <c r="L940" s="1"/>
      <c r="M940" s="1"/>
    </row>
    <row r="941" spans="1:13" x14ac:dyDescent="0.2">
      <c r="A941" s="1"/>
      <c r="B941" s="1"/>
      <c r="C941" s="1"/>
      <c r="D941" s="1"/>
      <c r="E941" s="1"/>
      <c r="F941" s="1"/>
      <c r="G941" s="1"/>
      <c r="H941" s="1"/>
      <c r="I941" t="str">
        <f>IFERROR(INDEX('تشخيص الحالات'!$D$2:$D$1001,SUMPRODUCT(('تشخيص الحالات'!$B$2:$B$1001=B941)*('تشخيص الحالات'!$G$2:$G$1001=1)*ROW('تشخيص الحالات'!$B$2:$B$1001))-1),"")&amp;IF(SUMPRODUCT(('تشخيص الحالات'!$B$2:$B$1001=B941)*('تشخيص الحالات'!$G$2:$G$1001=2))&gt;0,"، "&amp;IFERROR(INDEX('تشخيص الحالات'!$D$2:$D$1001,SUMPRODUCT(('تشخيص الحالات'!$B$2:$B$1001=B941)*('تشخيص الحالات'!$G$2:$G$1001=2)*ROW('تشخيص الحالات'!$B$2:$B$1001))-1),""),"")&amp;IF(SUMPRODUCT(('تشخيص الحالات'!$B$2:$B$1001=B941)*('تشخيص الحالات'!$G$2:$G$1001=3))&gt;0,"، "&amp;IFERROR(INDEX('تشخيص الحالات'!$D$2:$D$1001,SUMPRODUCT(('تشخيص الحالات'!$B$2:$B$1001=B941)*('تشخيص الحالات'!$G$2:$G$1001=3)*ROW('تشخيص الحالات'!$B$2:$B$1001))-1),""),"")&amp;IF(SUMPRODUCT(('تشخيص الحالات'!$B$2:$B$1001=B941)*('تشخيص الحالات'!$G$2:$G$1001=4))&gt;0,"، "&amp;IFERROR(INDEX('تشخيص الحالات'!$D$2:$D$1001,SUMPRODUCT(('تشخيص الحالات'!$B$2:$B$1001=B941)*('تشخيص الحالات'!$G$2:$G$1001=4)*ROW('تشخيص الحالات'!$B$2:$B$1001))-1),""),"")&amp;IF(SUMPRODUCT(('تشخيص الحالات'!$B$2:$B$1001=B941)*('تشخيص الحالات'!$G$2:$G$1001=5))&gt;0,"، "&amp;IFERROR(INDEX('تشخيص الحالات'!$D$2:$D$1001,SUMPRODUCT(('تشخيص الحالات'!$B$2:$B$1001=B941)*('تشخيص الحالات'!$G$2:$G$1001=5)*ROW('تشخيص الحالات'!$B$2:$B$1001))-1),""),"")&amp;IF(SUMPRODUCT(('تشخيص الحالات'!$B$2:$B$1001=B941)*('تشخيص الحالات'!$G$2:$G$1001=6))&gt;0,"، "&amp;IFERROR(INDEX('تشخيص الحالات'!$D$2:$D$1001,SUMPRODUCT(('تشخيص الحالات'!$B$2:$B$1001=B941)*('تشخيص الحالات'!$G$2:$G$1001=6)*ROW('تشخيص الحالات'!$B$2:$B$1001))-1),""),"")&amp;IF(SUMPRODUCT(('تشخيص الحالات'!$B$2:$B$1001=B941)*('تشخيص الحالات'!$G$2:$G$1001=7))&gt;0,"، "&amp;IFERROR(INDEX('تشخيص الحالات'!$D$2:$D$1001,SUMPRODUCT(('تشخيص الحالات'!$B$2:$B$1001=B941)*('تشخيص الحالات'!$G$2:$G$1001=7)*ROW('تشخيص الحالات'!$B$2:$B$1001))-1),""),"")&amp;IF(SUMPRODUCT(('تشخيص الحالات'!$B$2:$B$1001=B941)*('تشخيص الحالات'!$G$2:$G$1001=8))&gt;0,"، "&amp;IFERROR(INDEX('تشخيص الحالات'!$D$2:$D$1001,SUMPRODUCT(('تشخيص الحالات'!$B$2:$B$1001=B941)*('تشخيص الحالات'!$G$2:$G$1001=8)*ROW('تشخيص الحالات'!$B$2:$B$1001))-1),""),"")</f>
        <v/>
      </c>
      <c r="J941" s="1"/>
      <c r="K941" s="1"/>
      <c r="L941" s="1"/>
      <c r="M941" s="1"/>
    </row>
    <row r="942" spans="1:13" x14ac:dyDescent="0.2">
      <c r="A942" s="1"/>
      <c r="B942" s="1"/>
      <c r="C942" s="1"/>
      <c r="D942" s="1"/>
      <c r="E942" s="1"/>
      <c r="F942" s="1"/>
      <c r="G942" s="1"/>
      <c r="H942" s="1"/>
      <c r="I942" t="str">
        <f>IFERROR(INDEX('تشخيص الحالات'!$D$2:$D$1001,SUMPRODUCT(('تشخيص الحالات'!$B$2:$B$1001=B942)*('تشخيص الحالات'!$G$2:$G$1001=1)*ROW('تشخيص الحالات'!$B$2:$B$1001))-1),"")&amp;IF(SUMPRODUCT(('تشخيص الحالات'!$B$2:$B$1001=B942)*('تشخيص الحالات'!$G$2:$G$1001=2))&gt;0,"، "&amp;IFERROR(INDEX('تشخيص الحالات'!$D$2:$D$1001,SUMPRODUCT(('تشخيص الحالات'!$B$2:$B$1001=B942)*('تشخيص الحالات'!$G$2:$G$1001=2)*ROW('تشخيص الحالات'!$B$2:$B$1001))-1),""),"")&amp;IF(SUMPRODUCT(('تشخيص الحالات'!$B$2:$B$1001=B942)*('تشخيص الحالات'!$G$2:$G$1001=3))&gt;0,"، "&amp;IFERROR(INDEX('تشخيص الحالات'!$D$2:$D$1001,SUMPRODUCT(('تشخيص الحالات'!$B$2:$B$1001=B942)*('تشخيص الحالات'!$G$2:$G$1001=3)*ROW('تشخيص الحالات'!$B$2:$B$1001))-1),""),"")&amp;IF(SUMPRODUCT(('تشخيص الحالات'!$B$2:$B$1001=B942)*('تشخيص الحالات'!$G$2:$G$1001=4))&gt;0,"، "&amp;IFERROR(INDEX('تشخيص الحالات'!$D$2:$D$1001,SUMPRODUCT(('تشخيص الحالات'!$B$2:$B$1001=B942)*('تشخيص الحالات'!$G$2:$G$1001=4)*ROW('تشخيص الحالات'!$B$2:$B$1001))-1),""),"")&amp;IF(SUMPRODUCT(('تشخيص الحالات'!$B$2:$B$1001=B942)*('تشخيص الحالات'!$G$2:$G$1001=5))&gt;0,"، "&amp;IFERROR(INDEX('تشخيص الحالات'!$D$2:$D$1001,SUMPRODUCT(('تشخيص الحالات'!$B$2:$B$1001=B942)*('تشخيص الحالات'!$G$2:$G$1001=5)*ROW('تشخيص الحالات'!$B$2:$B$1001))-1),""),"")&amp;IF(SUMPRODUCT(('تشخيص الحالات'!$B$2:$B$1001=B942)*('تشخيص الحالات'!$G$2:$G$1001=6))&gt;0,"، "&amp;IFERROR(INDEX('تشخيص الحالات'!$D$2:$D$1001,SUMPRODUCT(('تشخيص الحالات'!$B$2:$B$1001=B942)*('تشخيص الحالات'!$G$2:$G$1001=6)*ROW('تشخيص الحالات'!$B$2:$B$1001))-1),""),"")&amp;IF(SUMPRODUCT(('تشخيص الحالات'!$B$2:$B$1001=B942)*('تشخيص الحالات'!$G$2:$G$1001=7))&gt;0,"، "&amp;IFERROR(INDEX('تشخيص الحالات'!$D$2:$D$1001,SUMPRODUCT(('تشخيص الحالات'!$B$2:$B$1001=B942)*('تشخيص الحالات'!$G$2:$G$1001=7)*ROW('تشخيص الحالات'!$B$2:$B$1001))-1),""),"")&amp;IF(SUMPRODUCT(('تشخيص الحالات'!$B$2:$B$1001=B942)*('تشخيص الحالات'!$G$2:$G$1001=8))&gt;0,"، "&amp;IFERROR(INDEX('تشخيص الحالات'!$D$2:$D$1001,SUMPRODUCT(('تشخيص الحالات'!$B$2:$B$1001=B942)*('تشخيص الحالات'!$G$2:$G$1001=8)*ROW('تشخيص الحالات'!$B$2:$B$1001))-1),""),"")</f>
        <v/>
      </c>
      <c r="J942" s="1"/>
      <c r="K942" s="1"/>
      <c r="L942" s="1"/>
      <c r="M942" s="1"/>
    </row>
    <row r="943" spans="1:13" x14ac:dyDescent="0.2">
      <c r="A943" s="1"/>
      <c r="B943" s="1"/>
      <c r="C943" s="1"/>
      <c r="D943" s="1"/>
      <c r="E943" s="1"/>
      <c r="F943" s="1"/>
      <c r="G943" s="1"/>
      <c r="H943" s="1"/>
      <c r="I943" t="str">
        <f>IFERROR(INDEX('تشخيص الحالات'!$D$2:$D$1001,SUMPRODUCT(('تشخيص الحالات'!$B$2:$B$1001=B943)*('تشخيص الحالات'!$G$2:$G$1001=1)*ROW('تشخيص الحالات'!$B$2:$B$1001))-1),"")&amp;IF(SUMPRODUCT(('تشخيص الحالات'!$B$2:$B$1001=B943)*('تشخيص الحالات'!$G$2:$G$1001=2))&gt;0,"، "&amp;IFERROR(INDEX('تشخيص الحالات'!$D$2:$D$1001,SUMPRODUCT(('تشخيص الحالات'!$B$2:$B$1001=B943)*('تشخيص الحالات'!$G$2:$G$1001=2)*ROW('تشخيص الحالات'!$B$2:$B$1001))-1),""),"")&amp;IF(SUMPRODUCT(('تشخيص الحالات'!$B$2:$B$1001=B943)*('تشخيص الحالات'!$G$2:$G$1001=3))&gt;0,"، "&amp;IFERROR(INDEX('تشخيص الحالات'!$D$2:$D$1001,SUMPRODUCT(('تشخيص الحالات'!$B$2:$B$1001=B943)*('تشخيص الحالات'!$G$2:$G$1001=3)*ROW('تشخيص الحالات'!$B$2:$B$1001))-1),""),"")&amp;IF(SUMPRODUCT(('تشخيص الحالات'!$B$2:$B$1001=B943)*('تشخيص الحالات'!$G$2:$G$1001=4))&gt;0,"، "&amp;IFERROR(INDEX('تشخيص الحالات'!$D$2:$D$1001,SUMPRODUCT(('تشخيص الحالات'!$B$2:$B$1001=B943)*('تشخيص الحالات'!$G$2:$G$1001=4)*ROW('تشخيص الحالات'!$B$2:$B$1001))-1),""),"")&amp;IF(SUMPRODUCT(('تشخيص الحالات'!$B$2:$B$1001=B943)*('تشخيص الحالات'!$G$2:$G$1001=5))&gt;0,"، "&amp;IFERROR(INDEX('تشخيص الحالات'!$D$2:$D$1001,SUMPRODUCT(('تشخيص الحالات'!$B$2:$B$1001=B943)*('تشخيص الحالات'!$G$2:$G$1001=5)*ROW('تشخيص الحالات'!$B$2:$B$1001))-1),""),"")&amp;IF(SUMPRODUCT(('تشخيص الحالات'!$B$2:$B$1001=B943)*('تشخيص الحالات'!$G$2:$G$1001=6))&gt;0,"، "&amp;IFERROR(INDEX('تشخيص الحالات'!$D$2:$D$1001,SUMPRODUCT(('تشخيص الحالات'!$B$2:$B$1001=B943)*('تشخيص الحالات'!$G$2:$G$1001=6)*ROW('تشخيص الحالات'!$B$2:$B$1001))-1),""),"")&amp;IF(SUMPRODUCT(('تشخيص الحالات'!$B$2:$B$1001=B943)*('تشخيص الحالات'!$G$2:$G$1001=7))&gt;0,"، "&amp;IFERROR(INDEX('تشخيص الحالات'!$D$2:$D$1001,SUMPRODUCT(('تشخيص الحالات'!$B$2:$B$1001=B943)*('تشخيص الحالات'!$G$2:$G$1001=7)*ROW('تشخيص الحالات'!$B$2:$B$1001))-1),""),"")&amp;IF(SUMPRODUCT(('تشخيص الحالات'!$B$2:$B$1001=B943)*('تشخيص الحالات'!$G$2:$G$1001=8))&gt;0,"، "&amp;IFERROR(INDEX('تشخيص الحالات'!$D$2:$D$1001,SUMPRODUCT(('تشخيص الحالات'!$B$2:$B$1001=B943)*('تشخيص الحالات'!$G$2:$G$1001=8)*ROW('تشخيص الحالات'!$B$2:$B$1001))-1),""),"")</f>
        <v/>
      </c>
      <c r="J943" s="1"/>
      <c r="K943" s="1"/>
      <c r="L943" s="1"/>
      <c r="M943" s="1"/>
    </row>
    <row r="944" spans="1:13" x14ac:dyDescent="0.2">
      <c r="A944" s="1"/>
      <c r="B944" s="1"/>
      <c r="C944" s="1"/>
      <c r="D944" s="1"/>
      <c r="E944" s="1"/>
      <c r="F944" s="1"/>
      <c r="G944" s="1"/>
      <c r="H944" s="1"/>
      <c r="I944" t="str">
        <f>IFERROR(INDEX('تشخيص الحالات'!$D$2:$D$1001,SUMPRODUCT(('تشخيص الحالات'!$B$2:$B$1001=B944)*('تشخيص الحالات'!$G$2:$G$1001=1)*ROW('تشخيص الحالات'!$B$2:$B$1001))-1),"")&amp;IF(SUMPRODUCT(('تشخيص الحالات'!$B$2:$B$1001=B944)*('تشخيص الحالات'!$G$2:$G$1001=2))&gt;0,"، "&amp;IFERROR(INDEX('تشخيص الحالات'!$D$2:$D$1001,SUMPRODUCT(('تشخيص الحالات'!$B$2:$B$1001=B944)*('تشخيص الحالات'!$G$2:$G$1001=2)*ROW('تشخيص الحالات'!$B$2:$B$1001))-1),""),"")&amp;IF(SUMPRODUCT(('تشخيص الحالات'!$B$2:$B$1001=B944)*('تشخيص الحالات'!$G$2:$G$1001=3))&gt;0,"، "&amp;IFERROR(INDEX('تشخيص الحالات'!$D$2:$D$1001,SUMPRODUCT(('تشخيص الحالات'!$B$2:$B$1001=B944)*('تشخيص الحالات'!$G$2:$G$1001=3)*ROW('تشخيص الحالات'!$B$2:$B$1001))-1),""),"")&amp;IF(SUMPRODUCT(('تشخيص الحالات'!$B$2:$B$1001=B944)*('تشخيص الحالات'!$G$2:$G$1001=4))&gt;0,"، "&amp;IFERROR(INDEX('تشخيص الحالات'!$D$2:$D$1001,SUMPRODUCT(('تشخيص الحالات'!$B$2:$B$1001=B944)*('تشخيص الحالات'!$G$2:$G$1001=4)*ROW('تشخيص الحالات'!$B$2:$B$1001))-1),""),"")&amp;IF(SUMPRODUCT(('تشخيص الحالات'!$B$2:$B$1001=B944)*('تشخيص الحالات'!$G$2:$G$1001=5))&gt;0,"، "&amp;IFERROR(INDEX('تشخيص الحالات'!$D$2:$D$1001,SUMPRODUCT(('تشخيص الحالات'!$B$2:$B$1001=B944)*('تشخيص الحالات'!$G$2:$G$1001=5)*ROW('تشخيص الحالات'!$B$2:$B$1001))-1),""),"")&amp;IF(SUMPRODUCT(('تشخيص الحالات'!$B$2:$B$1001=B944)*('تشخيص الحالات'!$G$2:$G$1001=6))&gt;0,"، "&amp;IFERROR(INDEX('تشخيص الحالات'!$D$2:$D$1001,SUMPRODUCT(('تشخيص الحالات'!$B$2:$B$1001=B944)*('تشخيص الحالات'!$G$2:$G$1001=6)*ROW('تشخيص الحالات'!$B$2:$B$1001))-1),""),"")&amp;IF(SUMPRODUCT(('تشخيص الحالات'!$B$2:$B$1001=B944)*('تشخيص الحالات'!$G$2:$G$1001=7))&gt;0,"، "&amp;IFERROR(INDEX('تشخيص الحالات'!$D$2:$D$1001,SUMPRODUCT(('تشخيص الحالات'!$B$2:$B$1001=B944)*('تشخيص الحالات'!$G$2:$G$1001=7)*ROW('تشخيص الحالات'!$B$2:$B$1001))-1),""),"")&amp;IF(SUMPRODUCT(('تشخيص الحالات'!$B$2:$B$1001=B944)*('تشخيص الحالات'!$G$2:$G$1001=8))&gt;0,"، "&amp;IFERROR(INDEX('تشخيص الحالات'!$D$2:$D$1001,SUMPRODUCT(('تشخيص الحالات'!$B$2:$B$1001=B944)*('تشخيص الحالات'!$G$2:$G$1001=8)*ROW('تشخيص الحالات'!$B$2:$B$1001))-1),""),"")</f>
        <v/>
      </c>
      <c r="J944" s="1"/>
      <c r="K944" s="1"/>
      <c r="L944" s="1"/>
      <c r="M944" s="1"/>
    </row>
    <row r="945" spans="1:13" x14ac:dyDescent="0.2">
      <c r="A945" s="1"/>
      <c r="B945" s="1"/>
      <c r="C945" s="1"/>
      <c r="D945" s="1"/>
      <c r="E945" s="1"/>
      <c r="F945" s="1"/>
      <c r="G945" s="1"/>
      <c r="H945" s="1"/>
      <c r="I945" t="str">
        <f>IFERROR(INDEX('تشخيص الحالات'!$D$2:$D$1001,SUMPRODUCT(('تشخيص الحالات'!$B$2:$B$1001=B945)*('تشخيص الحالات'!$G$2:$G$1001=1)*ROW('تشخيص الحالات'!$B$2:$B$1001))-1),"")&amp;IF(SUMPRODUCT(('تشخيص الحالات'!$B$2:$B$1001=B945)*('تشخيص الحالات'!$G$2:$G$1001=2))&gt;0,"، "&amp;IFERROR(INDEX('تشخيص الحالات'!$D$2:$D$1001,SUMPRODUCT(('تشخيص الحالات'!$B$2:$B$1001=B945)*('تشخيص الحالات'!$G$2:$G$1001=2)*ROW('تشخيص الحالات'!$B$2:$B$1001))-1),""),"")&amp;IF(SUMPRODUCT(('تشخيص الحالات'!$B$2:$B$1001=B945)*('تشخيص الحالات'!$G$2:$G$1001=3))&gt;0,"، "&amp;IFERROR(INDEX('تشخيص الحالات'!$D$2:$D$1001,SUMPRODUCT(('تشخيص الحالات'!$B$2:$B$1001=B945)*('تشخيص الحالات'!$G$2:$G$1001=3)*ROW('تشخيص الحالات'!$B$2:$B$1001))-1),""),"")&amp;IF(SUMPRODUCT(('تشخيص الحالات'!$B$2:$B$1001=B945)*('تشخيص الحالات'!$G$2:$G$1001=4))&gt;0,"، "&amp;IFERROR(INDEX('تشخيص الحالات'!$D$2:$D$1001,SUMPRODUCT(('تشخيص الحالات'!$B$2:$B$1001=B945)*('تشخيص الحالات'!$G$2:$G$1001=4)*ROW('تشخيص الحالات'!$B$2:$B$1001))-1),""),"")&amp;IF(SUMPRODUCT(('تشخيص الحالات'!$B$2:$B$1001=B945)*('تشخيص الحالات'!$G$2:$G$1001=5))&gt;0,"، "&amp;IFERROR(INDEX('تشخيص الحالات'!$D$2:$D$1001,SUMPRODUCT(('تشخيص الحالات'!$B$2:$B$1001=B945)*('تشخيص الحالات'!$G$2:$G$1001=5)*ROW('تشخيص الحالات'!$B$2:$B$1001))-1),""),"")&amp;IF(SUMPRODUCT(('تشخيص الحالات'!$B$2:$B$1001=B945)*('تشخيص الحالات'!$G$2:$G$1001=6))&gt;0,"، "&amp;IFERROR(INDEX('تشخيص الحالات'!$D$2:$D$1001,SUMPRODUCT(('تشخيص الحالات'!$B$2:$B$1001=B945)*('تشخيص الحالات'!$G$2:$G$1001=6)*ROW('تشخيص الحالات'!$B$2:$B$1001))-1),""),"")&amp;IF(SUMPRODUCT(('تشخيص الحالات'!$B$2:$B$1001=B945)*('تشخيص الحالات'!$G$2:$G$1001=7))&gt;0,"، "&amp;IFERROR(INDEX('تشخيص الحالات'!$D$2:$D$1001,SUMPRODUCT(('تشخيص الحالات'!$B$2:$B$1001=B945)*('تشخيص الحالات'!$G$2:$G$1001=7)*ROW('تشخيص الحالات'!$B$2:$B$1001))-1),""),"")&amp;IF(SUMPRODUCT(('تشخيص الحالات'!$B$2:$B$1001=B945)*('تشخيص الحالات'!$G$2:$G$1001=8))&gt;0,"، "&amp;IFERROR(INDEX('تشخيص الحالات'!$D$2:$D$1001,SUMPRODUCT(('تشخيص الحالات'!$B$2:$B$1001=B945)*('تشخيص الحالات'!$G$2:$G$1001=8)*ROW('تشخيص الحالات'!$B$2:$B$1001))-1),""),"")</f>
        <v/>
      </c>
      <c r="J945" s="1"/>
      <c r="K945" s="1"/>
      <c r="L945" s="1"/>
      <c r="M945" s="1"/>
    </row>
    <row r="946" spans="1:13" x14ac:dyDescent="0.2">
      <c r="A946" s="1"/>
      <c r="B946" s="1"/>
      <c r="C946" s="1"/>
      <c r="D946" s="1"/>
      <c r="E946" s="1"/>
      <c r="F946" s="1"/>
      <c r="G946" s="1"/>
      <c r="H946" s="1"/>
      <c r="I946" t="str">
        <f>IFERROR(INDEX('تشخيص الحالات'!$D$2:$D$1001,SUMPRODUCT(('تشخيص الحالات'!$B$2:$B$1001=B946)*('تشخيص الحالات'!$G$2:$G$1001=1)*ROW('تشخيص الحالات'!$B$2:$B$1001))-1),"")&amp;IF(SUMPRODUCT(('تشخيص الحالات'!$B$2:$B$1001=B946)*('تشخيص الحالات'!$G$2:$G$1001=2))&gt;0,"، "&amp;IFERROR(INDEX('تشخيص الحالات'!$D$2:$D$1001,SUMPRODUCT(('تشخيص الحالات'!$B$2:$B$1001=B946)*('تشخيص الحالات'!$G$2:$G$1001=2)*ROW('تشخيص الحالات'!$B$2:$B$1001))-1),""),"")&amp;IF(SUMPRODUCT(('تشخيص الحالات'!$B$2:$B$1001=B946)*('تشخيص الحالات'!$G$2:$G$1001=3))&gt;0,"، "&amp;IFERROR(INDEX('تشخيص الحالات'!$D$2:$D$1001,SUMPRODUCT(('تشخيص الحالات'!$B$2:$B$1001=B946)*('تشخيص الحالات'!$G$2:$G$1001=3)*ROW('تشخيص الحالات'!$B$2:$B$1001))-1),""),"")&amp;IF(SUMPRODUCT(('تشخيص الحالات'!$B$2:$B$1001=B946)*('تشخيص الحالات'!$G$2:$G$1001=4))&gt;0,"، "&amp;IFERROR(INDEX('تشخيص الحالات'!$D$2:$D$1001,SUMPRODUCT(('تشخيص الحالات'!$B$2:$B$1001=B946)*('تشخيص الحالات'!$G$2:$G$1001=4)*ROW('تشخيص الحالات'!$B$2:$B$1001))-1),""),"")&amp;IF(SUMPRODUCT(('تشخيص الحالات'!$B$2:$B$1001=B946)*('تشخيص الحالات'!$G$2:$G$1001=5))&gt;0,"، "&amp;IFERROR(INDEX('تشخيص الحالات'!$D$2:$D$1001,SUMPRODUCT(('تشخيص الحالات'!$B$2:$B$1001=B946)*('تشخيص الحالات'!$G$2:$G$1001=5)*ROW('تشخيص الحالات'!$B$2:$B$1001))-1),""),"")&amp;IF(SUMPRODUCT(('تشخيص الحالات'!$B$2:$B$1001=B946)*('تشخيص الحالات'!$G$2:$G$1001=6))&gt;0,"، "&amp;IFERROR(INDEX('تشخيص الحالات'!$D$2:$D$1001,SUMPRODUCT(('تشخيص الحالات'!$B$2:$B$1001=B946)*('تشخيص الحالات'!$G$2:$G$1001=6)*ROW('تشخيص الحالات'!$B$2:$B$1001))-1),""),"")&amp;IF(SUMPRODUCT(('تشخيص الحالات'!$B$2:$B$1001=B946)*('تشخيص الحالات'!$G$2:$G$1001=7))&gt;0,"، "&amp;IFERROR(INDEX('تشخيص الحالات'!$D$2:$D$1001,SUMPRODUCT(('تشخيص الحالات'!$B$2:$B$1001=B946)*('تشخيص الحالات'!$G$2:$G$1001=7)*ROW('تشخيص الحالات'!$B$2:$B$1001))-1),""),"")&amp;IF(SUMPRODUCT(('تشخيص الحالات'!$B$2:$B$1001=B946)*('تشخيص الحالات'!$G$2:$G$1001=8))&gt;0,"، "&amp;IFERROR(INDEX('تشخيص الحالات'!$D$2:$D$1001,SUMPRODUCT(('تشخيص الحالات'!$B$2:$B$1001=B946)*('تشخيص الحالات'!$G$2:$G$1001=8)*ROW('تشخيص الحالات'!$B$2:$B$1001))-1),""),"")</f>
        <v/>
      </c>
      <c r="J946" s="1"/>
      <c r="K946" s="1"/>
      <c r="L946" s="1"/>
      <c r="M946" s="1"/>
    </row>
    <row r="947" spans="1:13" x14ac:dyDescent="0.2">
      <c r="A947" s="1"/>
      <c r="B947" s="1"/>
      <c r="C947" s="1"/>
      <c r="D947" s="1"/>
      <c r="E947" s="1"/>
      <c r="F947" s="1"/>
      <c r="G947" s="1"/>
      <c r="H947" s="1"/>
      <c r="I947" t="str">
        <f>IFERROR(INDEX('تشخيص الحالات'!$D$2:$D$1001,SUMPRODUCT(('تشخيص الحالات'!$B$2:$B$1001=B947)*('تشخيص الحالات'!$G$2:$G$1001=1)*ROW('تشخيص الحالات'!$B$2:$B$1001))-1),"")&amp;IF(SUMPRODUCT(('تشخيص الحالات'!$B$2:$B$1001=B947)*('تشخيص الحالات'!$G$2:$G$1001=2))&gt;0,"، "&amp;IFERROR(INDEX('تشخيص الحالات'!$D$2:$D$1001,SUMPRODUCT(('تشخيص الحالات'!$B$2:$B$1001=B947)*('تشخيص الحالات'!$G$2:$G$1001=2)*ROW('تشخيص الحالات'!$B$2:$B$1001))-1),""),"")&amp;IF(SUMPRODUCT(('تشخيص الحالات'!$B$2:$B$1001=B947)*('تشخيص الحالات'!$G$2:$G$1001=3))&gt;0,"، "&amp;IFERROR(INDEX('تشخيص الحالات'!$D$2:$D$1001,SUMPRODUCT(('تشخيص الحالات'!$B$2:$B$1001=B947)*('تشخيص الحالات'!$G$2:$G$1001=3)*ROW('تشخيص الحالات'!$B$2:$B$1001))-1),""),"")&amp;IF(SUMPRODUCT(('تشخيص الحالات'!$B$2:$B$1001=B947)*('تشخيص الحالات'!$G$2:$G$1001=4))&gt;0,"، "&amp;IFERROR(INDEX('تشخيص الحالات'!$D$2:$D$1001,SUMPRODUCT(('تشخيص الحالات'!$B$2:$B$1001=B947)*('تشخيص الحالات'!$G$2:$G$1001=4)*ROW('تشخيص الحالات'!$B$2:$B$1001))-1),""),"")&amp;IF(SUMPRODUCT(('تشخيص الحالات'!$B$2:$B$1001=B947)*('تشخيص الحالات'!$G$2:$G$1001=5))&gt;0,"، "&amp;IFERROR(INDEX('تشخيص الحالات'!$D$2:$D$1001,SUMPRODUCT(('تشخيص الحالات'!$B$2:$B$1001=B947)*('تشخيص الحالات'!$G$2:$G$1001=5)*ROW('تشخيص الحالات'!$B$2:$B$1001))-1),""),"")&amp;IF(SUMPRODUCT(('تشخيص الحالات'!$B$2:$B$1001=B947)*('تشخيص الحالات'!$G$2:$G$1001=6))&gt;0,"، "&amp;IFERROR(INDEX('تشخيص الحالات'!$D$2:$D$1001,SUMPRODUCT(('تشخيص الحالات'!$B$2:$B$1001=B947)*('تشخيص الحالات'!$G$2:$G$1001=6)*ROW('تشخيص الحالات'!$B$2:$B$1001))-1),""),"")&amp;IF(SUMPRODUCT(('تشخيص الحالات'!$B$2:$B$1001=B947)*('تشخيص الحالات'!$G$2:$G$1001=7))&gt;0,"، "&amp;IFERROR(INDEX('تشخيص الحالات'!$D$2:$D$1001,SUMPRODUCT(('تشخيص الحالات'!$B$2:$B$1001=B947)*('تشخيص الحالات'!$G$2:$G$1001=7)*ROW('تشخيص الحالات'!$B$2:$B$1001))-1),""),"")&amp;IF(SUMPRODUCT(('تشخيص الحالات'!$B$2:$B$1001=B947)*('تشخيص الحالات'!$G$2:$G$1001=8))&gt;0,"، "&amp;IFERROR(INDEX('تشخيص الحالات'!$D$2:$D$1001,SUMPRODUCT(('تشخيص الحالات'!$B$2:$B$1001=B947)*('تشخيص الحالات'!$G$2:$G$1001=8)*ROW('تشخيص الحالات'!$B$2:$B$1001))-1),""),"")</f>
        <v/>
      </c>
      <c r="J947" s="1"/>
      <c r="K947" s="1"/>
      <c r="L947" s="1"/>
      <c r="M947" s="1"/>
    </row>
    <row r="948" spans="1:13" x14ac:dyDescent="0.2">
      <c r="A948" s="1"/>
      <c r="B948" s="1"/>
      <c r="C948" s="1"/>
      <c r="D948" s="1"/>
      <c r="E948" s="1"/>
      <c r="F948" s="1"/>
      <c r="G948" s="1"/>
      <c r="H948" s="1"/>
      <c r="I948" t="str">
        <f>IFERROR(INDEX('تشخيص الحالات'!$D$2:$D$1001,SUMPRODUCT(('تشخيص الحالات'!$B$2:$B$1001=B948)*('تشخيص الحالات'!$G$2:$G$1001=1)*ROW('تشخيص الحالات'!$B$2:$B$1001))-1),"")&amp;IF(SUMPRODUCT(('تشخيص الحالات'!$B$2:$B$1001=B948)*('تشخيص الحالات'!$G$2:$G$1001=2))&gt;0,"، "&amp;IFERROR(INDEX('تشخيص الحالات'!$D$2:$D$1001,SUMPRODUCT(('تشخيص الحالات'!$B$2:$B$1001=B948)*('تشخيص الحالات'!$G$2:$G$1001=2)*ROW('تشخيص الحالات'!$B$2:$B$1001))-1),""),"")&amp;IF(SUMPRODUCT(('تشخيص الحالات'!$B$2:$B$1001=B948)*('تشخيص الحالات'!$G$2:$G$1001=3))&gt;0,"، "&amp;IFERROR(INDEX('تشخيص الحالات'!$D$2:$D$1001,SUMPRODUCT(('تشخيص الحالات'!$B$2:$B$1001=B948)*('تشخيص الحالات'!$G$2:$G$1001=3)*ROW('تشخيص الحالات'!$B$2:$B$1001))-1),""),"")&amp;IF(SUMPRODUCT(('تشخيص الحالات'!$B$2:$B$1001=B948)*('تشخيص الحالات'!$G$2:$G$1001=4))&gt;0,"، "&amp;IFERROR(INDEX('تشخيص الحالات'!$D$2:$D$1001,SUMPRODUCT(('تشخيص الحالات'!$B$2:$B$1001=B948)*('تشخيص الحالات'!$G$2:$G$1001=4)*ROW('تشخيص الحالات'!$B$2:$B$1001))-1),""),"")&amp;IF(SUMPRODUCT(('تشخيص الحالات'!$B$2:$B$1001=B948)*('تشخيص الحالات'!$G$2:$G$1001=5))&gt;0,"، "&amp;IFERROR(INDEX('تشخيص الحالات'!$D$2:$D$1001,SUMPRODUCT(('تشخيص الحالات'!$B$2:$B$1001=B948)*('تشخيص الحالات'!$G$2:$G$1001=5)*ROW('تشخيص الحالات'!$B$2:$B$1001))-1),""),"")&amp;IF(SUMPRODUCT(('تشخيص الحالات'!$B$2:$B$1001=B948)*('تشخيص الحالات'!$G$2:$G$1001=6))&gt;0,"، "&amp;IFERROR(INDEX('تشخيص الحالات'!$D$2:$D$1001,SUMPRODUCT(('تشخيص الحالات'!$B$2:$B$1001=B948)*('تشخيص الحالات'!$G$2:$G$1001=6)*ROW('تشخيص الحالات'!$B$2:$B$1001))-1),""),"")&amp;IF(SUMPRODUCT(('تشخيص الحالات'!$B$2:$B$1001=B948)*('تشخيص الحالات'!$G$2:$G$1001=7))&gt;0,"، "&amp;IFERROR(INDEX('تشخيص الحالات'!$D$2:$D$1001,SUMPRODUCT(('تشخيص الحالات'!$B$2:$B$1001=B948)*('تشخيص الحالات'!$G$2:$G$1001=7)*ROW('تشخيص الحالات'!$B$2:$B$1001))-1),""),"")&amp;IF(SUMPRODUCT(('تشخيص الحالات'!$B$2:$B$1001=B948)*('تشخيص الحالات'!$G$2:$G$1001=8))&gt;0,"، "&amp;IFERROR(INDEX('تشخيص الحالات'!$D$2:$D$1001,SUMPRODUCT(('تشخيص الحالات'!$B$2:$B$1001=B948)*('تشخيص الحالات'!$G$2:$G$1001=8)*ROW('تشخيص الحالات'!$B$2:$B$1001))-1),""),"")</f>
        <v/>
      </c>
      <c r="J948" s="1"/>
      <c r="K948" s="1"/>
      <c r="L948" s="1"/>
      <c r="M948" s="1"/>
    </row>
    <row r="949" spans="1:13" x14ac:dyDescent="0.2">
      <c r="A949" s="1"/>
      <c r="B949" s="1"/>
      <c r="C949" s="1"/>
      <c r="D949" s="1"/>
      <c r="E949" s="1"/>
      <c r="F949" s="1"/>
      <c r="G949" s="1"/>
      <c r="H949" s="1"/>
      <c r="I949" t="str">
        <f>IFERROR(INDEX('تشخيص الحالات'!$D$2:$D$1001,SUMPRODUCT(('تشخيص الحالات'!$B$2:$B$1001=B949)*('تشخيص الحالات'!$G$2:$G$1001=1)*ROW('تشخيص الحالات'!$B$2:$B$1001))-1),"")&amp;IF(SUMPRODUCT(('تشخيص الحالات'!$B$2:$B$1001=B949)*('تشخيص الحالات'!$G$2:$G$1001=2))&gt;0,"، "&amp;IFERROR(INDEX('تشخيص الحالات'!$D$2:$D$1001,SUMPRODUCT(('تشخيص الحالات'!$B$2:$B$1001=B949)*('تشخيص الحالات'!$G$2:$G$1001=2)*ROW('تشخيص الحالات'!$B$2:$B$1001))-1),""),"")&amp;IF(SUMPRODUCT(('تشخيص الحالات'!$B$2:$B$1001=B949)*('تشخيص الحالات'!$G$2:$G$1001=3))&gt;0,"، "&amp;IFERROR(INDEX('تشخيص الحالات'!$D$2:$D$1001,SUMPRODUCT(('تشخيص الحالات'!$B$2:$B$1001=B949)*('تشخيص الحالات'!$G$2:$G$1001=3)*ROW('تشخيص الحالات'!$B$2:$B$1001))-1),""),"")&amp;IF(SUMPRODUCT(('تشخيص الحالات'!$B$2:$B$1001=B949)*('تشخيص الحالات'!$G$2:$G$1001=4))&gt;0,"، "&amp;IFERROR(INDEX('تشخيص الحالات'!$D$2:$D$1001,SUMPRODUCT(('تشخيص الحالات'!$B$2:$B$1001=B949)*('تشخيص الحالات'!$G$2:$G$1001=4)*ROW('تشخيص الحالات'!$B$2:$B$1001))-1),""),"")&amp;IF(SUMPRODUCT(('تشخيص الحالات'!$B$2:$B$1001=B949)*('تشخيص الحالات'!$G$2:$G$1001=5))&gt;0,"، "&amp;IFERROR(INDEX('تشخيص الحالات'!$D$2:$D$1001,SUMPRODUCT(('تشخيص الحالات'!$B$2:$B$1001=B949)*('تشخيص الحالات'!$G$2:$G$1001=5)*ROW('تشخيص الحالات'!$B$2:$B$1001))-1),""),"")&amp;IF(SUMPRODUCT(('تشخيص الحالات'!$B$2:$B$1001=B949)*('تشخيص الحالات'!$G$2:$G$1001=6))&gt;0,"، "&amp;IFERROR(INDEX('تشخيص الحالات'!$D$2:$D$1001,SUMPRODUCT(('تشخيص الحالات'!$B$2:$B$1001=B949)*('تشخيص الحالات'!$G$2:$G$1001=6)*ROW('تشخيص الحالات'!$B$2:$B$1001))-1),""),"")&amp;IF(SUMPRODUCT(('تشخيص الحالات'!$B$2:$B$1001=B949)*('تشخيص الحالات'!$G$2:$G$1001=7))&gt;0,"، "&amp;IFERROR(INDEX('تشخيص الحالات'!$D$2:$D$1001,SUMPRODUCT(('تشخيص الحالات'!$B$2:$B$1001=B949)*('تشخيص الحالات'!$G$2:$G$1001=7)*ROW('تشخيص الحالات'!$B$2:$B$1001))-1),""),"")&amp;IF(SUMPRODUCT(('تشخيص الحالات'!$B$2:$B$1001=B949)*('تشخيص الحالات'!$G$2:$G$1001=8))&gt;0,"، "&amp;IFERROR(INDEX('تشخيص الحالات'!$D$2:$D$1001,SUMPRODUCT(('تشخيص الحالات'!$B$2:$B$1001=B949)*('تشخيص الحالات'!$G$2:$G$1001=8)*ROW('تشخيص الحالات'!$B$2:$B$1001))-1),""),"")</f>
        <v/>
      </c>
      <c r="J949" s="1"/>
      <c r="K949" s="1"/>
      <c r="L949" s="1"/>
      <c r="M949" s="1"/>
    </row>
    <row r="950" spans="1:13" x14ac:dyDescent="0.2">
      <c r="A950" s="1"/>
      <c r="B950" s="1"/>
      <c r="C950" s="1"/>
      <c r="D950" s="1"/>
      <c r="E950" s="1"/>
      <c r="F950" s="1"/>
      <c r="G950" s="1"/>
      <c r="H950" s="1"/>
      <c r="I950" t="str">
        <f>IFERROR(INDEX('تشخيص الحالات'!$D$2:$D$1001,SUMPRODUCT(('تشخيص الحالات'!$B$2:$B$1001=B950)*('تشخيص الحالات'!$G$2:$G$1001=1)*ROW('تشخيص الحالات'!$B$2:$B$1001))-1),"")&amp;IF(SUMPRODUCT(('تشخيص الحالات'!$B$2:$B$1001=B950)*('تشخيص الحالات'!$G$2:$G$1001=2))&gt;0,"، "&amp;IFERROR(INDEX('تشخيص الحالات'!$D$2:$D$1001,SUMPRODUCT(('تشخيص الحالات'!$B$2:$B$1001=B950)*('تشخيص الحالات'!$G$2:$G$1001=2)*ROW('تشخيص الحالات'!$B$2:$B$1001))-1),""),"")&amp;IF(SUMPRODUCT(('تشخيص الحالات'!$B$2:$B$1001=B950)*('تشخيص الحالات'!$G$2:$G$1001=3))&gt;0,"، "&amp;IFERROR(INDEX('تشخيص الحالات'!$D$2:$D$1001,SUMPRODUCT(('تشخيص الحالات'!$B$2:$B$1001=B950)*('تشخيص الحالات'!$G$2:$G$1001=3)*ROW('تشخيص الحالات'!$B$2:$B$1001))-1),""),"")&amp;IF(SUMPRODUCT(('تشخيص الحالات'!$B$2:$B$1001=B950)*('تشخيص الحالات'!$G$2:$G$1001=4))&gt;0,"، "&amp;IFERROR(INDEX('تشخيص الحالات'!$D$2:$D$1001,SUMPRODUCT(('تشخيص الحالات'!$B$2:$B$1001=B950)*('تشخيص الحالات'!$G$2:$G$1001=4)*ROW('تشخيص الحالات'!$B$2:$B$1001))-1),""),"")&amp;IF(SUMPRODUCT(('تشخيص الحالات'!$B$2:$B$1001=B950)*('تشخيص الحالات'!$G$2:$G$1001=5))&gt;0,"، "&amp;IFERROR(INDEX('تشخيص الحالات'!$D$2:$D$1001,SUMPRODUCT(('تشخيص الحالات'!$B$2:$B$1001=B950)*('تشخيص الحالات'!$G$2:$G$1001=5)*ROW('تشخيص الحالات'!$B$2:$B$1001))-1),""),"")&amp;IF(SUMPRODUCT(('تشخيص الحالات'!$B$2:$B$1001=B950)*('تشخيص الحالات'!$G$2:$G$1001=6))&gt;0,"، "&amp;IFERROR(INDEX('تشخيص الحالات'!$D$2:$D$1001,SUMPRODUCT(('تشخيص الحالات'!$B$2:$B$1001=B950)*('تشخيص الحالات'!$G$2:$G$1001=6)*ROW('تشخيص الحالات'!$B$2:$B$1001))-1),""),"")&amp;IF(SUMPRODUCT(('تشخيص الحالات'!$B$2:$B$1001=B950)*('تشخيص الحالات'!$G$2:$G$1001=7))&gt;0,"، "&amp;IFERROR(INDEX('تشخيص الحالات'!$D$2:$D$1001,SUMPRODUCT(('تشخيص الحالات'!$B$2:$B$1001=B950)*('تشخيص الحالات'!$G$2:$G$1001=7)*ROW('تشخيص الحالات'!$B$2:$B$1001))-1),""),"")&amp;IF(SUMPRODUCT(('تشخيص الحالات'!$B$2:$B$1001=B950)*('تشخيص الحالات'!$G$2:$G$1001=8))&gt;0,"، "&amp;IFERROR(INDEX('تشخيص الحالات'!$D$2:$D$1001,SUMPRODUCT(('تشخيص الحالات'!$B$2:$B$1001=B950)*('تشخيص الحالات'!$G$2:$G$1001=8)*ROW('تشخيص الحالات'!$B$2:$B$1001))-1),""),"")</f>
        <v/>
      </c>
      <c r="J950" s="1"/>
      <c r="K950" s="1"/>
      <c r="L950" s="1"/>
      <c r="M950" s="1"/>
    </row>
    <row r="951" spans="1:13" x14ac:dyDescent="0.2">
      <c r="A951" s="1"/>
      <c r="B951" s="1"/>
      <c r="C951" s="1"/>
      <c r="D951" s="1"/>
      <c r="E951" s="1"/>
      <c r="F951" s="1"/>
      <c r="G951" s="1"/>
      <c r="H951" s="1"/>
      <c r="I951" t="str">
        <f>IFERROR(INDEX('تشخيص الحالات'!$D$2:$D$1001,SUMPRODUCT(('تشخيص الحالات'!$B$2:$B$1001=B951)*('تشخيص الحالات'!$G$2:$G$1001=1)*ROW('تشخيص الحالات'!$B$2:$B$1001))-1),"")&amp;IF(SUMPRODUCT(('تشخيص الحالات'!$B$2:$B$1001=B951)*('تشخيص الحالات'!$G$2:$G$1001=2))&gt;0,"، "&amp;IFERROR(INDEX('تشخيص الحالات'!$D$2:$D$1001,SUMPRODUCT(('تشخيص الحالات'!$B$2:$B$1001=B951)*('تشخيص الحالات'!$G$2:$G$1001=2)*ROW('تشخيص الحالات'!$B$2:$B$1001))-1),""),"")&amp;IF(SUMPRODUCT(('تشخيص الحالات'!$B$2:$B$1001=B951)*('تشخيص الحالات'!$G$2:$G$1001=3))&gt;0,"، "&amp;IFERROR(INDEX('تشخيص الحالات'!$D$2:$D$1001,SUMPRODUCT(('تشخيص الحالات'!$B$2:$B$1001=B951)*('تشخيص الحالات'!$G$2:$G$1001=3)*ROW('تشخيص الحالات'!$B$2:$B$1001))-1),""),"")&amp;IF(SUMPRODUCT(('تشخيص الحالات'!$B$2:$B$1001=B951)*('تشخيص الحالات'!$G$2:$G$1001=4))&gt;0,"، "&amp;IFERROR(INDEX('تشخيص الحالات'!$D$2:$D$1001,SUMPRODUCT(('تشخيص الحالات'!$B$2:$B$1001=B951)*('تشخيص الحالات'!$G$2:$G$1001=4)*ROW('تشخيص الحالات'!$B$2:$B$1001))-1),""),"")&amp;IF(SUMPRODUCT(('تشخيص الحالات'!$B$2:$B$1001=B951)*('تشخيص الحالات'!$G$2:$G$1001=5))&gt;0,"، "&amp;IFERROR(INDEX('تشخيص الحالات'!$D$2:$D$1001,SUMPRODUCT(('تشخيص الحالات'!$B$2:$B$1001=B951)*('تشخيص الحالات'!$G$2:$G$1001=5)*ROW('تشخيص الحالات'!$B$2:$B$1001))-1),""),"")&amp;IF(SUMPRODUCT(('تشخيص الحالات'!$B$2:$B$1001=B951)*('تشخيص الحالات'!$G$2:$G$1001=6))&gt;0,"، "&amp;IFERROR(INDEX('تشخيص الحالات'!$D$2:$D$1001,SUMPRODUCT(('تشخيص الحالات'!$B$2:$B$1001=B951)*('تشخيص الحالات'!$G$2:$G$1001=6)*ROW('تشخيص الحالات'!$B$2:$B$1001))-1),""),"")&amp;IF(SUMPRODUCT(('تشخيص الحالات'!$B$2:$B$1001=B951)*('تشخيص الحالات'!$G$2:$G$1001=7))&gt;0,"، "&amp;IFERROR(INDEX('تشخيص الحالات'!$D$2:$D$1001,SUMPRODUCT(('تشخيص الحالات'!$B$2:$B$1001=B951)*('تشخيص الحالات'!$G$2:$G$1001=7)*ROW('تشخيص الحالات'!$B$2:$B$1001))-1),""),"")&amp;IF(SUMPRODUCT(('تشخيص الحالات'!$B$2:$B$1001=B951)*('تشخيص الحالات'!$G$2:$G$1001=8))&gt;0,"، "&amp;IFERROR(INDEX('تشخيص الحالات'!$D$2:$D$1001,SUMPRODUCT(('تشخيص الحالات'!$B$2:$B$1001=B951)*('تشخيص الحالات'!$G$2:$G$1001=8)*ROW('تشخيص الحالات'!$B$2:$B$1001))-1),""),"")</f>
        <v/>
      </c>
      <c r="J951" s="1"/>
      <c r="K951" s="1"/>
      <c r="L951" s="1"/>
      <c r="M951" s="1"/>
    </row>
    <row r="952" spans="1:13" x14ac:dyDescent="0.2">
      <c r="A952" s="1"/>
      <c r="B952" s="1"/>
      <c r="C952" s="1"/>
      <c r="D952" s="1"/>
      <c r="E952" s="1"/>
      <c r="F952" s="1"/>
      <c r="G952" s="1"/>
      <c r="H952" s="1"/>
      <c r="I952" t="str">
        <f>IFERROR(INDEX('تشخيص الحالات'!$D$2:$D$1001,SUMPRODUCT(('تشخيص الحالات'!$B$2:$B$1001=B952)*('تشخيص الحالات'!$G$2:$G$1001=1)*ROW('تشخيص الحالات'!$B$2:$B$1001))-1),"")&amp;IF(SUMPRODUCT(('تشخيص الحالات'!$B$2:$B$1001=B952)*('تشخيص الحالات'!$G$2:$G$1001=2))&gt;0,"، "&amp;IFERROR(INDEX('تشخيص الحالات'!$D$2:$D$1001,SUMPRODUCT(('تشخيص الحالات'!$B$2:$B$1001=B952)*('تشخيص الحالات'!$G$2:$G$1001=2)*ROW('تشخيص الحالات'!$B$2:$B$1001))-1),""),"")&amp;IF(SUMPRODUCT(('تشخيص الحالات'!$B$2:$B$1001=B952)*('تشخيص الحالات'!$G$2:$G$1001=3))&gt;0,"، "&amp;IFERROR(INDEX('تشخيص الحالات'!$D$2:$D$1001,SUMPRODUCT(('تشخيص الحالات'!$B$2:$B$1001=B952)*('تشخيص الحالات'!$G$2:$G$1001=3)*ROW('تشخيص الحالات'!$B$2:$B$1001))-1),""),"")&amp;IF(SUMPRODUCT(('تشخيص الحالات'!$B$2:$B$1001=B952)*('تشخيص الحالات'!$G$2:$G$1001=4))&gt;0,"، "&amp;IFERROR(INDEX('تشخيص الحالات'!$D$2:$D$1001,SUMPRODUCT(('تشخيص الحالات'!$B$2:$B$1001=B952)*('تشخيص الحالات'!$G$2:$G$1001=4)*ROW('تشخيص الحالات'!$B$2:$B$1001))-1),""),"")&amp;IF(SUMPRODUCT(('تشخيص الحالات'!$B$2:$B$1001=B952)*('تشخيص الحالات'!$G$2:$G$1001=5))&gt;0,"، "&amp;IFERROR(INDEX('تشخيص الحالات'!$D$2:$D$1001,SUMPRODUCT(('تشخيص الحالات'!$B$2:$B$1001=B952)*('تشخيص الحالات'!$G$2:$G$1001=5)*ROW('تشخيص الحالات'!$B$2:$B$1001))-1),""),"")&amp;IF(SUMPRODUCT(('تشخيص الحالات'!$B$2:$B$1001=B952)*('تشخيص الحالات'!$G$2:$G$1001=6))&gt;0,"، "&amp;IFERROR(INDEX('تشخيص الحالات'!$D$2:$D$1001,SUMPRODUCT(('تشخيص الحالات'!$B$2:$B$1001=B952)*('تشخيص الحالات'!$G$2:$G$1001=6)*ROW('تشخيص الحالات'!$B$2:$B$1001))-1),""),"")&amp;IF(SUMPRODUCT(('تشخيص الحالات'!$B$2:$B$1001=B952)*('تشخيص الحالات'!$G$2:$G$1001=7))&gt;0,"، "&amp;IFERROR(INDEX('تشخيص الحالات'!$D$2:$D$1001,SUMPRODUCT(('تشخيص الحالات'!$B$2:$B$1001=B952)*('تشخيص الحالات'!$G$2:$G$1001=7)*ROW('تشخيص الحالات'!$B$2:$B$1001))-1),""),"")&amp;IF(SUMPRODUCT(('تشخيص الحالات'!$B$2:$B$1001=B952)*('تشخيص الحالات'!$G$2:$G$1001=8))&gt;0,"، "&amp;IFERROR(INDEX('تشخيص الحالات'!$D$2:$D$1001,SUMPRODUCT(('تشخيص الحالات'!$B$2:$B$1001=B952)*('تشخيص الحالات'!$G$2:$G$1001=8)*ROW('تشخيص الحالات'!$B$2:$B$1001))-1),""),"")</f>
        <v/>
      </c>
      <c r="J952" s="1"/>
      <c r="K952" s="1"/>
      <c r="L952" s="1"/>
      <c r="M952" s="1"/>
    </row>
    <row r="953" spans="1:13" x14ac:dyDescent="0.2">
      <c r="A953" s="1"/>
      <c r="B953" s="1"/>
      <c r="C953" s="1"/>
      <c r="D953" s="1"/>
      <c r="E953" s="1"/>
      <c r="F953" s="1"/>
      <c r="G953" s="1"/>
      <c r="H953" s="1"/>
      <c r="I953" t="str">
        <f>IFERROR(INDEX('تشخيص الحالات'!$D$2:$D$1001,SUMPRODUCT(('تشخيص الحالات'!$B$2:$B$1001=B953)*('تشخيص الحالات'!$G$2:$G$1001=1)*ROW('تشخيص الحالات'!$B$2:$B$1001))-1),"")&amp;IF(SUMPRODUCT(('تشخيص الحالات'!$B$2:$B$1001=B953)*('تشخيص الحالات'!$G$2:$G$1001=2))&gt;0,"، "&amp;IFERROR(INDEX('تشخيص الحالات'!$D$2:$D$1001,SUMPRODUCT(('تشخيص الحالات'!$B$2:$B$1001=B953)*('تشخيص الحالات'!$G$2:$G$1001=2)*ROW('تشخيص الحالات'!$B$2:$B$1001))-1),""),"")&amp;IF(SUMPRODUCT(('تشخيص الحالات'!$B$2:$B$1001=B953)*('تشخيص الحالات'!$G$2:$G$1001=3))&gt;0,"، "&amp;IFERROR(INDEX('تشخيص الحالات'!$D$2:$D$1001,SUMPRODUCT(('تشخيص الحالات'!$B$2:$B$1001=B953)*('تشخيص الحالات'!$G$2:$G$1001=3)*ROW('تشخيص الحالات'!$B$2:$B$1001))-1),""),"")&amp;IF(SUMPRODUCT(('تشخيص الحالات'!$B$2:$B$1001=B953)*('تشخيص الحالات'!$G$2:$G$1001=4))&gt;0,"، "&amp;IFERROR(INDEX('تشخيص الحالات'!$D$2:$D$1001,SUMPRODUCT(('تشخيص الحالات'!$B$2:$B$1001=B953)*('تشخيص الحالات'!$G$2:$G$1001=4)*ROW('تشخيص الحالات'!$B$2:$B$1001))-1),""),"")&amp;IF(SUMPRODUCT(('تشخيص الحالات'!$B$2:$B$1001=B953)*('تشخيص الحالات'!$G$2:$G$1001=5))&gt;0,"، "&amp;IFERROR(INDEX('تشخيص الحالات'!$D$2:$D$1001,SUMPRODUCT(('تشخيص الحالات'!$B$2:$B$1001=B953)*('تشخيص الحالات'!$G$2:$G$1001=5)*ROW('تشخيص الحالات'!$B$2:$B$1001))-1),""),"")&amp;IF(SUMPRODUCT(('تشخيص الحالات'!$B$2:$B$1001=B953)*('تشخيص الحالات'!$G$2:$G$1001=6))&gt;0,"، "&amp;IFERROR(INDEX('تشخيص الحالات'!$D$2:$D$1001,SUMPRODUCT(('تشخيص الحالات'!$B$2:$B$1001=B953)*('تشخيص الحالات'!$G$2:$G$1001=6)*ROW('تشخيص الحالات'!$B$2:$B$1001))-1),""),"")&amp;IF(SUMPRODUCT(('تشخيص الحالات'!$B$2:$B$1001=B953)*('تشخيص الحالات'!$G$2:$G$1001=7))&gt;0,"، "&amp;IFERROR(INDEX('تشخيص الحالات'!$D$2:$D$1001,SUMPRODUCT(('تشخيص الحالات'!$B$2:$B$1001=B953)*('تشخيص الحالات'!$G$2:$G$1001=7)*ROW('تشخيص الحالات'!$B$2:$B$1001))-1),""),"")&amp;IF(SUMPRODUCT(('تشخيص الحالات'!$B$2:$B$1001=B953)*('تشخيص الحالات'!$G$2:$G$1001=8))&gt;0,"، "&amp;IFERROR(INDEX('تشخيص الحالات'!$D$2:$D$1001,SUMPRODUCT(('تشخيص الحالات'!$B$2:$B$1001=B953)*('تشخيص الحالات'!$G$2:$G$1001=8)*ROW('تشخيص الحالات'!$B$2:$B$1001))-1),""),"")</f>
        <v/>
      </c>
      <c r="J953" s="1"/>
      <c r="K953" s="1"/>
      <c r="L953" s="1"/>
      <c r="M953" s="1"/>
    </row>
    <row r="954" spans="1:13" x14ac:dyDescent="0.2">
      <c r="A954" s="1"/>
      <c r="B954" s="1"/>
      <c r="C954" s="1"/>
      <c r="D954" s="1"/>
      <c r="E954" s="1"/>
      <c r="F954" s="1"/>
      <c r="G954" s="1"/>
      <c r="H954" s="1"/>
      <c r="I954" t="str">
        <f>IFERROR(INDEX('تشخيص الحالات'!$D$2:$D$1001,SUMPRODUCT(('تشخيص الحالات'!$B$2:$B$1001=B954)*('تشخيص الحالات'!$G$2:$G$1001=1)*ROW('تشخيص الحالات'!$B$2:$B$1001))-1),"")&amp;IF(SUMPRODUCT(('تشخيص الحالات'!$B$2:$B$1001=B954)*('تشخيص الحالات'!$G$2:$G$1001=2))&gt;0,"، "&amp;IFERROR(INDEX('تشخيص الحالات'!$D$2:$D$1001,SUMPRODUCT(('تشخيص الحالات'!$B$2:$B$1001=B954)*('تشخيص الحالات'!$G$2:$G$1001=2)*ROW('تشخيص الحالات'!$B$2:$B$1001))-1),""),"")&amp;IF(SUMPRODUCT(('تشخيص الحالات'!$B$2:$B$1001=B954)*('تشخيص الحالات'!$G$2:$G$1001=3))&gt;0,"، "&amp;IFERROR(INDEX('تشخيص الحالات'!$D$2:$D$1001,SUMPRODUCT(('تشخيص الحالات'!$B$2:$B$1001=B954)*('تشخيص الحالات'!$G$2:$G$1001=3)*ROW('تشخيص الحالات'!$B$2:$B$1001))-1),""),"")&amp;IF(SUMPRODUCT(('تشخيص الحالات'!$B$2:$B$1001=B954)*('تشخيص الحالات'!$G$2:$G$1001=4))&gt;0,"، "&amp;IFERROR(INDEX('تشخيص الحالات'!$D$2:$D$1001,SUMPRODUCT(('تشخيص الحالات'!$B$2:$B$1001=B954)*('تشخيص الحالات'!$G$2:$G$1001=4)*ROW('تشخيص الحالات'!$B$2:$B$1001))-1),""),"")&amp;IF(SUMPRODUCT(('تشخيص الحالات'!$B$2:$B$1001=B954)*('تشخيص الحالات'!$G$2:$G$1001=5))&gt;0,"، "&amp;IFERROR(INDEX('تشخيص الحالات'!$D$2:$D$1001,SUMPRODUCT(('تشخيص الحالات'!$B$2:$B$1001=B954)*('تشخيص الحالات'!$G$2:$G$1001=5)*ROW('تشخيص الحالات'!$B$2:$B$1001))-1),""),"")&amp;IF(SUMPRODUCT(('تشخيص الحالات'!$B$2:$B$1001=B954)*('تشخيص الحالات'!$G$2:$G$1001=6))&gt;0,"، "&amp;IFERROR(INDEX('تشخيص الحالات'!$D$2:$D$1001,SUMPRODUCT(('تشخيص الحالات'!$B$2:$B$1001=B954)*('تشخيص الحالات'!$G$2:$G$1001=6)*ROW('تشخيص الحالات'!$B$2:$B$1001))-1),""),"")&amp;IF(SUMPRODUCT(('تشخيص الحالات'!$B$2:$B$1001=B954)*('تشخيص الحالات'!$G$2:$G$1001=7))&gt;0,"، "&amp;IFERROR(INDEX('تشخيص الحالات'!$D$2:$D$1001,SUMPRODUCT(('تشخيص الحالات'!$B$2:$B$1001=B954)*('تشخيص الحالات'!$G$2:$G$1001=7)*ROW('تشخيص الحالات'!$B$2:$B$1001))-1),""),"")&amp;IF(SUMPRODUCT(('تشخيص الحالات'!$B$2:$B$1001=B954)*('تشخيص الحالات'!$G$2:$G$1001=8))&gt;0,"، "&amp;IFERROR(INDEX('تشخيص الحالات'!$D$2:$D$1001,SUMPRODUCT(('تشخيص الحالات'!$B$2:$B$1001=B954)*('تشخيص الحالات'!$G$2:$G$1001=8)*ROW('تشخيص الحالات'!$B$2:$B$1001))-1),""),"")</f>
        <v/>
      </c>
      <c r="J954" s="1"/>
      <c r="K954" s="1"/>
      <c r="L954" s="1"/>
      <c r="M954" s="1"/>
    </row>
    <row r="955" spans="1:13" x14ac:dyDescent="0.2">
      <c r="A955" s="1"/>
      <c r="B955" s="1"/>
      <c r="C955" s="1"/>
      <c r="D955" s="1"/>
      <c r="E955" s="1"/>
      <c r="F955" s="1"/>
      <c r="G955" s="1"/>
      <c r="H955" s="1"/>
      <c r="I955" t="str">
        <f>IFERROR(INDEX('تشخيص الحالات'!$D$2:$D$1001,SUMPRODUCT(('تشخيص الحالات'!$B$2:$B$1001=B955)*('تشخيص الحالات'!$G$2:$G$1001=1)*ROW('تشخيص الحالات'!$B$2:$B$1001))-1),"")&amp;IF(SUMPRODUCT(('تشخيص الحالات'!$B$2:$B$1001=B955)*('تشخيص الحالات'!$G$2:$G$1001=2))&gt;0,"، "&amp;IFERROR(INDEX('تشخيص الحالات'!$D$2:$D$1001,SUMPRODUCT(('تشخيص الحالات'!$B$2:$B$1001=B955)*('تشخيص الحالات'!$G$2:$G$1001=2)*ROW('تشخيص الحالات'!$B$2:$B$1001))-1),""),"")&amp;IF(SUMPRODUCT(('تشخيص الحالات'!$B$2:$B$1001=B955)*('تشخيص الحالات'!$G$2:$G$1001=3))&gt;0,"، "&amp;IFERROR(INDEX('تشخيص الحالات'!$D$2:$D$1001,SUMPRODUCT(('تشخيص الحالات'!$B$2:$B$1001=B955)*('تشخيص الحالات'!$G$2:$G$1001=3)*ROW('تشخيص الحالات'!$B$2:$B$1001))-1),""),"")&amp;IF(SUMPRODUCT(('تشخيص الحالات'!$B$2:$B$1001=B955)*('تشخيص الحالات'!$G$2:$G$1001=4))&gt;0,"، "&amp;IFERROR(INDEX('تشخيص الحالات'!$D$2:$D$1001,SUMPRODUCT(('تشخيص الحالات'!$B$2:$B$1001=B955)*('تشخيص الحالات'!$G$2:$G$1001=4)*ROW('تشخيص الحالات'!$B$2:$B$1001))-1),""),"")&amp;IF(SUMPRODUCT(('تشخيص الحالات'!$B$2:$B$1001=B955)*('تشخيص الحالات'!$G$2:$G$1001=5))&gt;0,"، "&amp;IFERROR(INDEX('تشخيص الحالات'!$D$2:$D$1001,SUMPRODUCT(('تشخيص الحالات'!$B$2:$B$1001=B955)*('تشخيص الحالات'!$G$2:$G$1001=5)*ROW('تشخيص الحالات'!$B$2:$B$1001))-1),""),"")&amp;IF(SUMPRODUCT(('تشخيص الحالات'!$B$2:$B$1001=B955)*('تشخيص الحالات'!$G$2:$G$1001=6))&gt;0,"، "&amp;IFERROR(INDEX('تشخيص الحالات'!$D$2:$D$1001,SUMPRODUCT(('تشخيص الحالات'!$B$2:$B$1001=B955)*('تشخيص الحالات'!$G$2:$G$1001=6)*ROW('تشخيص الحالات'!$B$2:$B$1001))-1),""),"")&amp;IF(SUMPRODUCT(('تشخيص الحالات'!$B$2:$B$1001=B955)*('تشخيص الحالات'!$G$2:$G$1001=7))&gt;0,"، "&amp;IFERROR(INDEX('تشخيص الحالات'!$D$2:$D$1001,SUMPRODUCT(('تشخيص الحالات'!$B$2:$B$1001=B955)*('تشخيص الحالات'!$G$2:$G$1001=7)*ROW('تشخيص الحالات'!$B$2:$B$1001))-1),""),"")&amp;IF(SUMPRODUCT(('تشخيص الحالات'!$B$2:$B$1001=B955)*('تشخيص الحالات'!$G$2:$G$1001=8))&gt;0,"، "&amp;IFERROR(INDEX('تشخيص الحالات'!$D$2:$D$1001,SUMPRODUCT(('تشخيص الحالات'!$B$2:$B$1001=B955)*('تشخيص الحالات'!$G$2:$G$1001=8)*ROW('تشخيص الحالات'!$B$2:$B$1001))-1),""),"")</f>
        <v/>
      </c>
      <c r="J955" s="1"/>
      <c r="K955" s="1"/>
      <c r="L955" s="1"/>
      <c r="M955" s="1"/>
    </row>
    <row r="956" spans="1:13" x14ac:dyDescent="0.2">
      <c r="A956" s="1"/>
      <c r="B956" s="1"/>
      <c r="C956" s="1"/>
      <c r="D956" s="1"/>
      <c r="E956" s="1"/>
      <c r="F956" s="1"/>
      <c r="G956" s="1"/>
      <c r="H956" s="1"/>
      <c r="I956" t="str">
        <f>IFERROR(INDEX('تشخيص الحالات'!$D$2:$D$1001,SUMPRODUCT(('تشخيص الحالات'!$B$2:$B$1001=B956)*('تشخيص الحالات'!$G$2:$G$1001=1)*ROW('تشخيص الحالات'!$B$2:$B$1001))-1),"")&amp;IF(SUMPRODUCT(('تشخيص الحالات'!$B$2:$B$1001=B956)*('تشخيص الحالات'!$G$2:$G$1001=2))&gt;0,"، "&amp;IFERROR(INDEX('تشخيص الحالات'!$D$2:$D$1001,SUMPRODUCT(('تشخيص الحالات'!$B$2:$B$1001=B956)*('تشخيص الحالات'!$G$2:$G$1001=2)*ROW('تشخيص الحالات'!$B$2:$B$1001))-1),""),"")&amp;IF(SUMPRODUCT(('تشخيص الحالات'!$B$2:$B$1001=B956)*('تشخيص الحالات'!$G$2:$G$1001=3))&gt;0,"، "&amp;IFERROR(INDEX('تشخيص الحالات'!$D$2:$D$1001,SUMPRODUCT(('تشخيص الحالات'!$B$2:$B$1001=B956)*('تشخيص الحالات'!$G$2:$G$1001=3)*ROW('تشخيص الحالات'!$B$2:$B$1001))-1),""),"")&amp;IF(SUMPRODUCT(('تشخيص الحالات'!$B$2:$B$1001=B956)*('تشخيص الحالات'!$G$2:$G$1001=4))&gt;0,"، "&amp;IFERROR(INDEX('تشخيص الحالات'!$D$2:$D$1001,SUMPRODUCT(('تشخيص الحالات'!$B$2:$B$1001=B956)*('تشخيص الحالات'!$G$2:$G$1001=4)*ROW('تشخيص الحالات'!$B$2:$B$1001))-1),""),"")&amp;IF(SUMPRODUCT(('تشخيص الحالات'!$B$2:$B$1001=B956)*('تشخيص الحالات'!$G$2:$G$1001=5))&gt;0,"، "&amp;IFERROR(INDEX('تشخيص الحالات'!$D$2:$D$1001,SUMPRODUCT(('تشخيص الحالات'!$B$2:$B$1001=B956)*('تشخيص الحالات'!$G$2:$G$1001=5)*ROW('تشخيص الحالات'!$B$2:$B$1001))-1),""),"")&amp;IF(SUMPRODUCT(('تشخيص الحالات'!$B$2:$B$1001=B956)*('تشخيص الحالات'!$G$2:$G$1001=6))&gt;0,"، "&amp;IFERROR(INDEX('تشخيص الحالات'!$D$2:$D$1001,SUMPRODUCT(('تشخيص الحالات'!$B$2:$B$1001=B956)*('تشخيص الحالات'!$G$2:$G$1001=6)*ROW('تشخيص الحالات'!$B$2:$B$1001))-1),""),"")&amp;IF(SUMPRODUCT(('تشخيص الحالات'!$B$2:$B$1001=B956)*('تشخيص الحالات'!$G$2:$G$1001=7))&gt;0,"، "&amp;IFERROR(INDEX('تشخيص الحالات'!$D$2:$D$1001,SUMPRODUCT(('تشخيص الحالات'!$B$2:$B$1001=B956)*('تشخيص الحالات'!$G$2:$G$1001=7)*ROW('تشخيص الحالات'!$B$2:$B$1001))-1),""),"")&amp;IF(SUMPRODUCT(('تشخيص الحالات'!$B$2:$B$1001=B956)*('تشخيص الحالات'!$G$2:$G$1001=8))&gt;0,"، "&amp;IFERROR(INDEX('تشخيص الحالات'!$D$2:$D$1001,SUMPRODUCT(('تشخيص الحالات'!$B$2:$B$1001=B956)*('تشخيص الحالات'!$G$2:$G$1001=8)*ROW('تشخيص الحالات'!$B$2:$B$1001))-1),""),"")</f>
        <v/>
      </c>
      <c r="J956" s="1"/>
      <c r="K956" s="1"/>
      <c r="L956" s="1"/>
      <c r="M956" s="1"/>
    </row>
    <row r="957" spans="1:13" x14ac:dyDescent="0.2">
      <c r="A957" s="1"/>
      <c r="B957" s="1"/>
      <c r="C957" s="1"/>
      <c r="D957" s="1"/>
      <c r="E957" s="1"/>
      <c r="F957" s="1"/>
      <c r="G957" s="1"/>
      <c r="H957" s="1"/>
      <c r="I957" t="str">
        <f>IFERROR(INDEX('تشخيص الحالات'!$D$2:$D$1001,SUMPRODUCT(('تشخيص الحالات'!$B$2:$B$1001=B957)*('تشخيص الحالات'!$G$2:$G$1001=1)*ROW('تشخيص الحالات'!$B$2:$B$1001))-1),"")&amp;IF(SUMPRODUCT(('تشخيص الحالات'!$B$2:$B$1001=B957)*('تشخيص الحالات'!$G$2:$G$1001=2))&gt;0,"، "&amp;IFERROR(INDEX('تشخيص الحالات'!$D$2:$D$1001,SUMPRODUCT(('تشخيص الحالات'!$B$2:$B$1001=B957)*('تشخيص الحالات'!$G$2:$G$1001=2)*ROW('تشخيص الحالات'!$B$2:$B$1001))-1),""),"")&amp;IF(SUMPRODUCT(('تشخيص الحالات'!$B$2:$B$1001=B957)*('تشخيص الحالات'!$G$2:$G$1001=3))&gt;0,"، "&amp;IFERROR(INDEX('تشخيص الحالات'!$D$2:$D$1001,SUMPRODUCT(('تشخيص الحالات'!$B$2:$B$1001=B957)*('تشخيص الحالات'!$G$2:$G$1001=3)*ROW('تشخيص الحالات'!$B$2:$B$1001))-1),""),"")&amp;IF(SUMPRODUCT(('تشخيص الحالات'!$B$2:$B$1001=B957)*('تشخيص الحالات'!$G$2:$G$1001=4))&gt;0,"، "&amp;IFERROR(INDEX('تشخيص الحالات'!$D$2:$D$1001,SUMPRODUCT(('تشخيص الحالات'!$B$2:$B$1001=B957)*('تشخيص الحالات'!$G$2:$G$1001=4)*ROW('تشخيص الحالات'!$B$2:$B$1001))-1),""),"")&amp;IF(SUMPRODUCT(('تشخيص الحالات'!$B$2:$B$1001=B957)*('تشخيص الحالات'!$G$2:$G$1001=5))&gt;0,"، "&amp;IFERROR(INDEX('تشخيص الحالات'!$D$2:$D$1001,SUMPRODUCT(('تشخيص الحالات'!$B$2:$B$1001=B957)*('تشخيص الحالات'!$G$2:$G$1001=5)*ROW('تشخيص الحالات'!$B$2:$B$1001))-1),""),"")&amp;IF(SUMPRODUCT(('تشخيص الحالات'!$B$2:$B$1001=B957)*('تشخيص الحالات'!$G$2:$G$1001=6))&gt;0,"، "&amp;IFERROR(INDEX('تشخيص الحالات'!$D$2:$D$1001,SUMPRODUCT(('تشخيص الحالات'!$B$2:$B$1001=B957)*('تشخيص الحالات'!$G$2:$G$1001=6)*ROW('تشخيص الحالات'!$B$2:$B$1001))-1),""),"")&amp;IF(SUMPRODUCT(('تشخيص الحالات'!$B$2:$B$1001=B957)*('تشخيص الحالات'!$G$2:$G$1001=7))&gt;0,"، "&amp;IFERROR(INDEX('تشخيص الحالات'!$D$2:$D$1001,SUMPRODUCT(('تشخيص الحالات'!$B$2:$B$1001=B957)*('تشخيص الحالات'!$G$2:$G$1001=7)*ROW('تشخيص الحالات'!$B$2:$B$1001))-1),""),"")&amp;IF(SUMPRODUCT(('تشخيص الحالات'!$B$2:$B$1001=B957)*('تشخيص الحالات'!$G$2:$G$1001=8))&gt;0,"، "&amp;IFERROR(INDEX('تشخيص الحالات'!$D$2:$D$1001,SUMPRODUCT(('تشخيص الحالات'!$B$2:$B$1001=B957)*('تشخيص الحالات'!$G$2:$G$1001=8)*ROW('تشخيص الحالات'!$B$2:$B$1001))-1),""),"")</f>
        <v/>
      </c>
      <c r="J957" s="1"/>
      <c r="K957" s="1"/>
      <c r="L957" s="1"/>
      <c r="M957" s="1"/>
    </row>
    <row r="958" spans="1:13" x14ac:dyDescent="0.2">
      <c r="A958" s="1"/>
      <c r="B958" s="1"/>
      <c r="C958" s="1"/>
      <c r="D958" s="1"/>
      <c r="E958" s="1"/>
      <c r="F958" s="1"/>
      <c r="G958" s="1"/>
      <c r="H958" s="1"/>
      <c r="I958" t="str">
        <f>IFERROR(INDEX('تشخيص الحالات'!$D$2:$D$1001,SUMPRODUCT(('تشخيص الحالات'!$B$2:$B$1001=B958)*('تشخيص الحالات'!$G$2:$G$1001=1)*ROW('تشخيص الحالات'!$B$2:$B$1001))-1),"")&amp;IF(SUMPRODUCT(('تشخيص الحالات'!$B$2:$B$1001=B958)*('تشخيص الحالات'!$G$2:$G$1001=2))&gt;0,"، "&amp;IFERROR(INDEX('تشخيص الحالات'!$D$2:$D$1001,SUMPRODUCT(('تشخيص الحالات'!$B$2:$B$1001=B958)*('تشخيص الحالات'!$G$2:$G$1001=2)*ROW('تشخيص الحالات'!$B$2:$B$1001))-1),""),"")&amp;IF(SUMPRODUCT(('تشخيص الحالات'!$B$2:$B$1001=B958)*('تشخيص الحالات'!$G$2:$G$1001=3))&gt;0,"، "&amp;IFERROR(INDEX('تشخيص الحالات'!$D$2:$D$1001,SUMPRODUCT(('تشخيص الحالات'!$B$2:$B$1001=B958)*('تشخيص الحالات'!$G$2:$G$1001=3)*ROW('تشخيص الحالات'!$B$2:$B$1001))-1),""),"")&amp;IF(SUMPRODUCT(('تشخيص الحالات'!$B$2:$B$1001=B958)*('تشخيص الحالات'!$G$2:$G$1001=4))&gt;0,"، "&amp;IFERROR(INDEX('تشخيص الحالات'!$D$2:$D$1001,SUMPRODUCT(('تشخيص الحالات'!$B$2:$B$1001=B958)*('تشخيص الحالات'!$G$2:$G$1001=4)*ROW('تشخيص الحالات'!$B$2:$B$1001))-1),""),"")&amp;IF(SUMPRODUCT(('تشخيص الحالات'!$B$2:$B$1001=B958)*('تشخيص الحالات'!$G$2:$G$1001=5))&gt;0,"، "&amp;IFERROR(INDEX('تشخيص الحالات'!$D$2:$D$1001,SUMPRODUCT(('تشخيص الحالات'!$B$2:$B$1001=B958)*('تشخيص الحالات'!$G$2:$G$1001=5)*ROW('تشخيص الحالات'!$B$2:$B$1001))-1),""),"")&amp;IF(SUMPRODUCT(('تشخيص الحالات'!$B$2:$B$1001=B958)*('تشخيص الحالات'!$G$2:$G$1001=6))&gt;0,"، "&amp;IFERROR(INDEX('تشخيص الحالات'!$D$2:$D$1001,SUMPRODUCT(('تشخيص الحالات'!$B$2:$B$1001=B958)*('تشخيص الحالات'!$G$2:$G$1001=6)*ROW('تشخيص الحالات'!$B$2:$B$1001))-1),""),"")&amp;IF(SUMPRODUCT(('تشخيص الحالات'!$B$2:$B$1001=B958)*('تشخيص الحالات'!$G$2:$G$1001=7))&gt;0,"، "&amp;IFERROR(INDEX('تشخيص الحالات'!$D$2:$D$1001,SUMPRODUCT(('تشخيص الحالات'!$B$2:$B$1001=B958)*('تشخيص الحالات'!$G$2:$G$1001=7)*ROW('تشخيص الحالات'!$B$2:$B$1001))-1),""),"")&amp;IF(SUMPRODUCT(('تشخيص الحالات'!$B$2:$B$1001=B958)*('تشخيص الحالات'!$G$2:$G$1001=8))&gt;0,"، "&amp;IFERROR(INDEX('تشخيص الحالات'!$D$2:$D$1001,SUMPRODUCT(('تشخيص الحالات'!$B$2:$B$1001=B958)*('تشخيص الحالات'!$G$2:$G$1001=8)*ROW('تشخيص الحالات'!$B$2:$B$1001))-1),""),"")</f>
        <v/>
      </c>
      <c r="J958" s="1"/>
      <c r="K958" s="1"/>
      <c r="L958" s="1"/>
      <c r="M958" s="1"/>
    </row>
    <row r="959" spans="1:13" x14ac:dyDescent="0.2">
      <c r="A959" s="1"/>
      <c r="B959" s="1"/>
      <c r="C959" s="1"/>
      <c r="D959" s="1"/>
      <c r="E959" s="1"/>
      <c r="F959" s="1"/>
      <c r="G959" s="1"/>
      <c r="H959" s="1"/>
      <c r="I959" t="str">
        <f>IFERROR(INDEX('تشخيص الحالات'!$D$2:$D$1001,SUMPRODUCT(('تشخيص الحالات'!$B$2:$B$1001=B959)*('تشخيص الحالات'!$G$2:$G$1001=1)*ROW('تشخيص الحالات'!$B$2:$B$1001))-1),"")&amp;IF(SUMPRODUCT(('تشخيص الحالات'!$B$2:$B$1001=B959)*('تشخيص الحالات'!$G$2:$G$1001=2))&gt;0,"، "&amp;IFERROR(INDEX('تشخيص الحالات'!$D$2:$D$1001,SUMPRODUCT(('تشخيص الحالات'!$B$2:$B$1001=B959)*('تشخيص الحالات'!$G$2:$G$1001=2)*ROW('تشخيص الحالات'!$B$2:$B$1001))-1),""),"")&amp;IF(SUMPRODUCT(('تشخيص الحالات'!$B$2:$B$1001=B959)*('تشخيص الحالات'!$G$2:$G$1001=3))&gt;0,"، "&amp;IFERROR(INDEX('تشخيص الحالات'!$D$2:$D$1001,SUMPRODUCT(('تشخيص الحالات'!$B$2:$B$1001=B959)*('تشخيص الحالات'!$G$2:$G$1001=3)*ROW('تشخيص الحالات'!$B$2:$B$1001))-1),""),"")&amp;IF(SUMPRODUCT(('تشخيص الحالات'!$B$2:$B$1001=B959)*('تشخيص الحالات'!$G$2:$G$1001=4))&gt;0,"، "&amp;IFERROR(INDEX('تشخيص الحالات'!$D$2:$D$1001,SUMPRODUCT(('تشخيص الحالات'!$B$2:$B$1001=B959)*('تشخيص الحالات'!$G$2:$G$1001=4)*ROW('تشخيص الحالات'!$B$2:$B$1001))-1),""),"")&amp;IF(SUMPRODUCT(('تشخيص الحالات'!$B$2:$B$1001=B959)*('تشخيص الحالات'!$G$2:$G$1001=5))&gt;0,"، "&amp;IFERROR(INDEX('تشخيص الحالات'!$D$2:$D$1001,SUMPRODUCT(('تشخيص الحالات'!$B$2:$B$1001=B959)*('تشخيص الحالات'!$G$2:$G$1001=5)*ROW('تشخيص الحالات'!$B$2:$B$1001))-1),""),"")&amp;IF(SUMPRODUCT(('تشخيص الحالات'!$B$2:$B$1001=B959)*('تشخيص الحالات'!$G$2:$G$1001=6))&gt;0,"، "&amp;IFERROR(INDEX('تشخيص الحالات'!$D$2:$D$1001,SUMPRODUCT(('تشخيص الحالات'!$B$2:$B$1001=B959)*('تشخيص الحالات'!$G$2:$G$1001=6)*ROW('تشخيص الحالات'!$B$2:$B$1001))-1),""),"")&amp;IF(SUMPRODUCT(('تشخيص الحالات'!$B$2:$B$1001=B959)*('تشخيص الحالات'!$G$2:$G$1001=7))&gt;0,"، "&amp;IFERROR(INDEX('تشخيص الحالات'!$D$2:$D$1001,SUMPRODUCT(('تشخيص الحالات'!$B$2:$B$1001=B959)*('تشخيص الحالات'!$G$2:$G$1001=7)*ROW('تشخيص الحالات'!$B$2:$B$1001))-1),""),"")&amp;IF(SUMPRODUCT(('تشخيص الحالات'!$B$2:$B$1001=B959)*('تشخيص الحالات'!$G$2:$G$1001=8))&gt;0,"، "&amp;IFERROR(INDEX('تشخيص الحالات'!$D$2:$D$1001,SUMPRODUCT(('تشخيص الحالات'!$B$2:$B$1001=B959)*('تشخيص الحالات'!$G$2:$G$1001=8)*ROW('تشخيص الحالات'!$B$2:$B$1001))-1),""),"")</f>
        <v/>
      </c>
      <c r="J959" s="1"/>
      <c r="K959" s="1"/>
      <c r="L959" s="1"/>
      <c r="M959" s="1"/>
    </row>
    <row r="960" spans="1:13" x14ac:dyDescent="0.2">
      <c r="A960" s="1"/>
      <c r="B960" s="1"/>
      <c r="C960" s="1"/>
      <c r="D960" s="1"/>
      <c r="E960" s="1"/>
      <c r="F960" s="1"/>
      <c r="G960" s="1"/>
      <c r="H960" s="1"/>
      <c r="I960" t="str">
        <f>IFERROR(INDEX('تشخيص الحالات'!$D$2:$D$1001,SUMPRODUCT(('تشخيص الحالات'!$B$2:$B$1001=B960)*('تشخيص الحالات'!$G$2:$G$1001=1)*ROW('تشخيص الحالات'!$B$2:$B$1001))-1),"")&amp;IF(SUMPRODUCT(('تشخيص الحالات'!$B$2:$B$1001=B960)*('تشخيص الحالات'!$G$2:$G$1001=2))&gt;0,"، "&amp;IFERROR(INDEX('تشخيص الحالات'!$D$2:$D$1001,SUMPRODUCT(('تشخيص الحالات'!$B$2:$B$1001=B960)*('تشخيص الحالات'!$G$2:$G$1001=2)*ROW('تشخيص الحالات'!$B$2:$B$1001))-1),""),"")&amp;IF(SUMPRODUCT(('تشخيص الحالات'!$B$2:$B$1001=B960)*('تشخيص الحالات'!$G$2:$G$1001=3))&gt;0,"، "&amp;IFERROR(INDEX('تشخيص الحالات'!$D$2:$D$1001,SUMPRODUCT(('تشخيص الحالات'!$B$2:$B$1001=B960)*('تشخيص الحالات'!$G$2:$G$1001=3)*ROW('تشخيص الحالات'!$B$2:$B$1001))-1),""),"")&amp;IF(SUMPRODUCT(('تشخيص الحالات'!$B$2:$B$1001=B960)*('تشخيص الحالات'!$G$2:$G$1001=4))&gt;0,"، "&amp;IFERROR(INDEX('تشخيص الحالات'!$D$2:$D$1001,SUMPRODUCT(('تشخيص الحالات'!$B$2:$B$1001=B960)*('تشخيص الحالات'!$G$2:$G$1001=4)*ROW('تشخيص الحالات'!$B$2:$B$1001))-1),""),"")&amp;IF(SUMPRODUCT(('تشخيص الحالات'!$B$2:$B$1001=B960)*('تشخيص الحالات'!$G$2:$G$1001=5))&gt;0,"، "&amp;IFERROR(INDEX('تشخيص الحالات'!$D$2:$D$1001,SUMPRODUCT(('تشخيص الحالات'!$B$2:$B$1001=B960)*('تشخيص الحالات'!$G$2:$G$1001=5)*ROW('تشخيص الحالات'!$B$2:$B$1001))-1),""),"")&amp;IF(SUMPRODUCT(('تشخيص الحالات'!$B$2:$B$1001=B960)*('تشخيص الحالات'!$G$2:$G$1001=6))&gt;0,"، "&amp;IFERROR(INDEX('تشخيص الحالات'!$D$2:$D$1001,SUMPRODUCT(('تشخيص الحالات'!$B$2:$B$1001=B960)*('تشخيص الحالات'!$G$2:$G$1001=6)*ROW('تشخيص الحالات'!$B$2:$B$1001))-1),""),"")&amp;IF(SUMPRODUCT(('تشخيص الحالات'!$B$2:$B$1001=B960)*('تشخيص الحالات'!$G$2:$G$1001=7))&gt;0,"، "&amp;IFERROR(INDEX('تشخيص الحالات'!$D$2:$D$1001,SUMPRODUCT(('تشخيص الحالات'!$B$2:$B$1001=B960)*('تشخيص الحالات'!$G$2:$G$1001=7)*ROW('تشخيص الحالات'!$B$2:$B$1001))-1),""),"")&amp;IF(SUMPRODUCT(('تشخيص الحالات'!$B$2:$B$1001=B960)*('تشخيص الحالات'!$G$2:$G$1001=8))&gt;0,"، "&amp;IFERROR(INDEX('تشخيص الحالات'!$D$2:$D$1001,SUMPRODUCT(('تشخيص الحالات'!$B$2:$B$1001=B960)*('تشخيص الحالات'!$G$2:$G$1001=8)*ROW('تشخيص الحالات'!$B$2:$B$1001))-1),""),"")</f>
        <v/>
      </c>
      <c r="J960" s="1"/>
      <c r="K960" s="1"/>
      <c r="L960" s="1"/>
      <c r="M960" s="1"/>
    </row>
    <row r="961" spans="1:13" x14ac:dyDescent="0.2">
      <c r="A961" s="1"/>
      <c r="B961" s="1"/>
      <c r="C961" s="1"/>
      <c r="D961" s="1"/>
      <c r="E961" s="1"/>
      <c r="F961" s="1"/>
      <c r="G961" s="1"/>
      <c r="H961" s="1"/>
      <c r="I961" t="str">
        <f>IFERROR(INDEX('تشخيص الحالات'!$D$2:$D$1001,SUMPRODUCT(('تشخيص الحالات'!$B$2:$B$1001=B961)*('تشخيص الحالات'!$G$2:$G$1001=1)*ROW('تشخيص الحالات'!$B$2:$B$1001))-1),"")&amp;IF(SUMPRODUCT(('تشخيص الحالات'!$B$2:$B$1001=B961)*('تشخيص الحالات'!$G$2:$G$1001=2))&gt;0,"، "&amp;IFERROR(INDEX('تشخيص الحالات'!$D$2:$D$1001,SUMPRODUCT(('تشخيص الحالات'!$B$2:$B$1001=B961)*('تشخيص الحالات'!$G$2:$G$1001=2)*ROW('تشخيص الحالات'!$B$2:$B$1001))-1),""),"")&amp;IF(SUMPRODUCT(('تشخيص الحالات'!$B$2:$B$1001=B961)*('تشخيص الحالات'!$G$2:$G$1001=3))&gt;0,"، "&amp;IFERROR(INDEX('تشخيص الحالات'!$D$2:$D$1001,SUMPRODUCT(('تشخيص الحالات'!$B$2:$B$1001=B961)*('تشخيص الحالات'!$G$2:$G$1001=3)*ROW('تشخيص الحالات'!$B$2:$B$1001))-1),""),"")&amp;IF(SUMPRODUCT(('تشخيص الحالات'!$B$2:$B$1001=B961)*('تشخيص الحالات'!$G$2:$G$1001=4))&gt;0,"، "&amp;IFERROR(INDEX('تشخيص الحالات'!$D$2:$D$1001,SUMPRODUCT(('تشخيص الحالات'!$B$2:$B$1001=B961)*('تشخيص الحالات'!$G$2:$G$1001=4)*ROW('تشخيص الحالات'!$B$2:$B$1001))-1),""),"")&amp;IF(SUMPRODUCT(('تشخيص الحالات'!$B$2:$B$1001=B961)*('تشخيص الحالات'!$G$2:$G$1001=5))&gt;0,"، "&amp;IFERROR(INDEX('تشخيص الحالات'!$D$2:$D$1001,SUMPRODUCT(('تشخيص الحالات'!$B$2:$B$1001=B961)*('تشخيص الحالات'!$G$2:$G$1001=5)*ROW('تشخيص الحالات'!$B$2:$B$1001))-1),""),"")&amp;IF(SUMPRODUCT(('تشخيص الحالات'!$B$2:$B$1001=B961)*('تشخيص الحالات'!$G$2:$G$1001=6))&gt;0,"، "&amp;IFERROR(INDEX('تشخيص الحالات'!$D$2:$D$1001,SUMPRODUCT(('تشخيص الحالات'!$B$2:$B$1001=B961)*('تشخيص الحالات'!$G$2:$G$1001=6)*ROW('تشخيص الحالات'!$B$2:$B$1001))-1),""),"")&amp;IF(SUMPRODUCT(('تشخيص الحالات'!$B$2:$B$1001=B961)*('تشخيص الحالات'!$G$2:$G$1001=7))&gt;0,"، "&amp;IFERROR(INDEX('تشخيص الحالات'!$D$2:$D$1001,SUMPRODUCT(('تشخيص الحالات'!$B$2:$B$1001=B961)*('تشخيص الحالات'!$G$2:$G$1001=7)*ROW('تشخيص الحالات'!$B$2:$B$1001))-1),""),"")&amp;IF(SUMPRODUCT(('تشخيص الحالات'!$B$2:$B$1001=B961)*('تشخيص الحالات'!$G$2:$G$1001=8))&gt;0,"، "&amp;IFERROR(INDEX('تشخيص الحالات'!$D$2:$D$1001,SUMPRODUCT(('تشخيص الحالات'!$B$2:$B$1001=B961)*('تشخيص الحالات'!$G$2:$G$1001=8)*ROW('تشخيص الحالات'!$B$2:$B$1001))-1),""),"")</f>
        <v/>
      </c>
      <c r="J961" s="1"/>
      <c r="K961" s="1"/>
      <c r="L961" s="1"/>
      <c r="M961" s="1"/>
    </row>
    <row r="962" spans="1:13" x14ac:dyDescent="0.2">
      <c r="A962" s="1"/>
      <c r="B962" s="1"/>
      <c r="C962" s="1"/>
      <c r="D962" s="1"/>
      <c r="E962" s="1"/>
      <c r="F962" s="1"/>
      <c r="G962" s="1"/>
      <c r="H962" s="1"/>
      <c r="I962" t="str">
        <f>IFERROR(INDEX('تشخيص الحالات'!$D$2:$D$1001,SUMPRODUCT(('تشخيص الحالات'!$B$2:$B$1001=B962)*('تشخيص الحالات'!$G$2:$G$1001=1)*ROW('تشخيص الحالات'!$B$2:$B$1001))-1),"")&amp;IF(SUMPRODUCT(('تشخيص الحالات'!$B$2:$B$1001=B962)*('تشخيص الحالات'!$G$2:$G$1001=2))&gt;0,"، "&amp;IFERROR(INDEX('تشخيص الحالات'!$D$2:$D$1001,SUMPRODUCT(('تشخيص الحالات'!$B$2:$B$1001=B962)*('تشخيص الحالات'!$G$2:$G$1001=2)*ROW('تشخيص الحالات'!$B$2:$B$1001))-1),""),"")&amp;IF(SUMPRODUCT(('تشخيص الحالات'!$B$2:$B$1001=B962)*('تشخيص الحالات'!$G$2:$G$1001=3))&gt;0,"، "&amp;IFERROR(INDEX('تشخيص الحالات'!$D$2:$D$1001,SUMPRODUCT(('تشخيص الحالات'!$B$2:$B$1001=B962)*('تشخيص الحالات'!$G$2:$G$1001=3)*ROW('تشخيص الحالات'!$B$2:$B$1001))-1),""),"")&amp;IF(SUMPRODUCT(('تشخيص الحالات'!$B$2:$B$1001=B962)*('تشخيص الحالات'!$G$2:$G$1001=4))&gt;0,"، "&amp;IFERROR(INDEX('تشخيص الحالات'!$D$2:$D$1001,SUMPRODUCT(('تشخيص الحالات'!$B$2:$B$1001=B962)*('تشخيص الحالات'!$G$2:$G$1001=4)*ROW('تشخيص الحالات'!$B$2:$B$1001))-1),""),"")&amp;IF(SUMPRODUCT(('تشخيص الحالات'!$B$2:$B$1001=B962)*('تشخيص الحالات'!$G$2:$G$1001=5))&gt;0,"، "&amp;IFERROR(INDEX('تشخيص الحالات'!$D$2:$D$1001,SUMPRODUCT(('تشخيص الحالات'!$B$2:$B$1001=B962)*('تشخيص الحالات'!$G$2:$G$1001=5)*ROW('تشخيص الحالات'!$B$2:$B$1001))-1),""),"")&amp;IF(SUMPRODUCT(('تشخيص الحالات'!$B$2:$B$1001=B962)*('تشخيص الحالات'!$G$2:$G$1001=6))&gt;0,"، "&amp;IFERROR(INDEX('تشخيص الحالات'!$D$2:$D$1001,SUMPRODUCT(('تشخيص الحالات'!$B$2:$B$1001=B962)*('تشخيص الحالات'!$G$2:$G$1001=6)*ROW('تشخيص الحالات'!$B$2:$B$1001))-1),""),"")&amp;IF(SUMPRODUCT(('تشخيص الحالات'!$B$2:$B$1001=B962)*('تشخيص الحالات'!$G$2:$G$1001=7))&gt;0,"، "&amp;IFERROR(INDEX('تشخيص الحالات'!$D$2:$D$1001,SUMPRODUCT(('تشخيص الحالات'!$B$2:$B$1001=B962)*('تشخيص الحالات'!$G$2:$G$1001=7)*ROW('تشخيص الحالات'!$B$2:$B$1001))-1),""),"")&amp;IF(SUMPRODUCT(('تشخيص الحالات'!$B$2:$B$1001=B962)*('تشخيص الحالات'!$G$2:$G$1001=8))&gt;0,"، "&amp;IFERROR(INDEX('تشخيص الحالات'!$D$2:$D$1001,SUMPRODUCT(('تشخيص الحالات'!$B$2:$B$1001=B962)*('تشخيص الحالات'!$G$2:$G$1001=8)*ROW('تشخيص الحالات'!$B$2:$B$1001))-1),""),"")</f>
        <v/>
      </c>
      <c r="J962" s="1"/>
      <c r="K962" s="1"/>
      <c r="L962" s="1"/>
      <c r="M962" s="1"/>
    </row>
    <row r="963" spans="1:13" x14ac:dyDescent="0.2">
      <c r="A963" s="1"/>
      <c r="B963" s="1"/>
      <c r="C963" s="1"/>
      <c r="D963" s="1"/>
      <c r="E963" s="1"/>
      <c r="F963" s="1"/>
      <c r="G963" s="1"/>
      <c r="H963" s="1"/>
      <c r="I963" t="str">
        <f>IFERROR(INDEX('تشخيص الحالات'!$D$2:$D$1001,SUMPRODUCT(('تشخيص الحالات'!$B$2:$B$1001=B963)*('تشخيص الحالات'!$G$2:$G$1001=1)*ROW('تشخيص الحالات'!$B$2:$B$1001))-1),"")&amp;IF(SUMPRODUCT(('تشخيص الحالات'!$B$2:$B$1001=B963)*('تشخيص الحالات'!$G$2:$G$1001=2))&gt;0,"، "&amp;IFERROR(INDEX('تشخيص الحالات'!$D$2:$D$1001,SUMPRODUCT(('تشخيص الحالات'!$B$2:$B$1001=B963)*('تشخيص الحالات'!$G$2:$G$1001=2)*ROW('تشخيص الحالات'!$B$2:$B$1001))-1),""),"")&amp;IF(SUMPRODUCT(('تشخيص الحالات'!$B$2:$B$1001=B963)*('تشخيص الحالات'!$G$2:$G$1001=3))&gt;0,"، "&amp;IFERROR(INDEX('تشخيص الحالات'!$D$2:$D$1001,SUMPRODUCT(('تشخيص الحالات'!$B$2:$B$1001=B963)*('تشخيص الحالات'!$G$2:$G$1001=3)*ROW('تشخيص الحالات'!$B$2:$B$1001))-1),""),"")&amp;IF(SUMPRODUCT(('تشخيص الحالات'!$B$2:$B$1001=B963)*('تشخيص الحالات'!$G$2:$G$1001=4))&gt;0,"، "&amp;IFERROR(INDEX('تشخيص الحالات'!$D$2:$D$1001,SUMPRODUCT(('تشخيص الحالات'!$B$2:$B$1001=B963)*('تشخيص الحالات'!$G$2:$G$1001=4)*ROW('تشخيص الحالات'!$B$2:$B$1001))-1),""),"")&amp;IF(SUMPRODUCT(('تشخيص الحالات'!$B$2:$B$1001=B963)*('تشخيص الحالات'!$G$2:$G$1001=5))&gt;0,"، "&amp;IFERROR(INDEX('تشخيص الحالات'!$D$2:$D$1001,SUMPRODUCT(('تشخيص الحالات'!$B$2:$B$1001=B963)*('تشخيص الحالات'!$G$2:$G$1001=5)*ROW('تشخيص الحالات'!$B$2:$B$1001))-1),""),"")&amp;IF(SUMPRODUCT(('تشخيص الحالات'!$B$2:$B$1001=B963)*('تشخيص الحالات'!$G$2:$G$1001=6))&gt;0,"، "&amp;IFERROR(INDEX('تشخيص الحالات'!$D$2:$D$1001,SUMPRODUCT(('تشخيص الحالات'!$B$2:$B$1001=B963)*('تشخيص الحالات'!$G$2:$G$1001=6)*ROW('تشخيص الحالات'!$B$2:$B$1001))-1),""),"")&amp;IF(SUMPRODUCT(('تشخيص الحالات'!$B$2:$B$1001=B963)*('تشخيص الحالات'!$G$2:$G$1001=7))&gt;0,"، "&amp;IFERROR(INDEX('تشخيص الحالات'!$D$2:$D$1001,SUMPRODUCT(('تشخيص الحالات'!$B$2:$B$1001=B963)*('تشخيص الحالات'!$G$2:$G$1001=7)*ROW('تشخيص الحالات'!$B$2:$B$1001))-1),""),"")&amp;IF(SUMPRODUCT(('تشخيص الحالات'!$B$2:$B$1001=B963)*('تشخيص الحالات'!$G$2:$G$1001=8))&gt;0,"، "&amp;IFERROR(INDEX('تشخيص الحالات'!$D$2:$D$1001,SUMPRODUCT(('تشخيص الحالات'!$B$2:$B$1001=B963)*('تشخيص الحالات'!$G$2:$G$1001=8)*ROW('تشخيص الحالات'!$B$2:$B$1001))-1),""),"")</f>
        <v/>
      </c>
      <c r="J963" s="1"/>
      <c r="K963" s="1"/>
      <c r="L963" s="1"/>
      <c r="M963" s="1"/>
    </row>
    <row r="964" spans="1:13" x14ac:dyDescent="0.2">
      <c r="A964" s="1"/>
      <c r="B964" s="1"/>
      <c r="C964" s="1"/>
      <c r="D964" s="1"/>
      <c r="E964" s="1"/>
      <c r="F964" s="1"/>
      <c r="G964" s="1"/>
      <c r="H964" s="1"/>
      <c r="I964" t="str">
        <f>IFERROR(INDEX('تشخيص الحالات'!$D$2:$D$1001,SUMPRODUCT(('تشخيص الحالات'!$B$2:$B$1001=B964)*('تشخيص الحالات'!$G$2:$G$1001=1)*ROW('تشخيص الحالات'!$B$2:$B$1001))-1),"")&amp;IF(SUMPRODUCT(('تشخيص الحالات'!$B$2:$B$1001=B964)*('تشخيص الحالات'!$G$2:$G$1001=2))&gt;0,"، "&amp;IFERROR(INDEX('تشخيص الحالات'!$D$2:$D$1001,SUMPRODUCT(('تشخيص الحالات'!$B$2:$B$1001=B964)*('تشخيص الحالات'!$G$2:$G$1001=2)*ROW('تشخيص الحالات'!$B$2:$B$1001))-1),""),"")&amp;IF(SUMPRODUCT(('تشخيص الحالات'!$B$2:$B$1001=B964)*('تشخيص الحالات'!$G$2:$G$1001=3))&gt;0,"، "&amp;IFERROR(INDEX('تشخيص الحالات'!$D$2:$D$1001,SUMPRODUCT(('تشخيص الحالات'!$B$2:$B$1001=B964)*('تشخيص الحالات'!$G$2:$G$1001=3)*ROW('تشخيص الحالات'!$B$2:$B$1001))-1),""),"")&amp;IF(SUMPRODUCT(('تشخيص الحالات'!$B$2:$B$1001=B964)*('تشخيص الحالات'!$G$2:$G$1001=4))&gt;0,"، "&amp;IFERROR(INDEX('تشخيص الحالات'!$D$2:$D$1001,SUMPRODUCT(('تشخيص الحالات'!$B$2:$B$1001=B964)*('تشخيص الحالات'!$G$2:$G$1001=4)*ROW('تشخيص الحالات'!$B$2:$B$1001))-1),""),"")&amp;IF(SUMPRODUCT(('تشخيص الحالات'!$B$2:$B$1001=B964)*('تشخيص الحالات'!$G$2:$G$1001=5))&gt;0,"، "&amp;IFERROR(INDEX('تشخيص الحالات'!$D$2:$D$1001,SUMPRODUCT(('تشخيص الحالات'!$B$2:$B$1001=B964)*('تشخيص الحالات'!$G$2:$G$1001=5)*ROW('تشخيص الحالات'!$B$2:$B$1001))-1),""),"")&amp;IF(SUMPRODUCT(('تشخيص الحالات'!$B$2:$B$1001=B964)*('تشخيص الحالات'!$G$2:$G$1001=6))&gt;0,"، "&amp;IFERROR(INDEX('تشخيص الحالات'!$D$2:$D$1001,SUMPRODUCT(('تشخيص الحالات'!$B$2:$B$1001=B964)*('تشخيص الحالات'!$G$2:$G$1001=6)*ROW('تشخيص الحالات'!$B$2:$B$1001))-1),""),"")&amp;IF(SUMPRODUCT(('تشخيص الحالات'!$B$2:$B$1001=B964)*('تشخيص الحالات'!$G$2:$G$1001=7))&gt;0,"، "&amp;IFERROR(INDEX('تشخيص الحالات'!$D$2:$D$1001,SUMPRODUCT(('تشخيص الحالات'!$B$2:$B$1001=B964)*('تشخيص الحالات'!$G$2:$G$1001=7)*ROW('تشخيص الحالات'!$B$2:$B$1001))-1),""),"")&amp;IF(SUMPRODUCT(('تشخيص الحالات'!$B$2:$B$1001=B964)*('تشخيص الحالات'!$G$2:$G$1001=8))&gt;0,"، "&amp;IFERROR(INDEX('تشخيص الحالات'!$D$2:$D$1001,SUMPRODUCT(('تشخيص الحالات'!$B$2:$B$1001=B964)*('تشخيص الحالات'!$G$2:$G$1001=8)*ROW('تشخيص الحالات'!$B$2:$B$1001))-1),""),"")</f>
        <v/>
      </c>
      <c r="J964" s="1"/>
      <c r="K964" s="1"/>
      <c r="L964" s="1"/>
      <c r="M964" s="1"/>
    </row>
    <row r="965" spans="1:13" x14ac:dyDescent="0.2">
      <c r="A965" s="1"/>
      <c r="B965" s="1"/>
      <c r="C965" s="1"/>
      <c r="D965" s="1"/>
      <c r="E965" s="1"/>
      <c r="F965" s="1"/>
      <c r="G965" s="1"/>
      <c r="H965" s="1"/>
      <c r="I965" t="str">
        <f>IFERROR(INDEX('تشخيص الحالات'!$D$2:$D$1001,SUMPRODUCT(('تشخيص الحالات'!$B$2:$B$1001=B965)*('تشخيص الحالات'!$G$2:$G$1001=1)*ROW('تشخيص الحالات'!$B$2:$B$1001))-1),"")&amp;IF(SUMPRODUCT(('تشخيص الحالات'!$B$2:$B$1001=B965)*('تشخيص الحالات'!$G$2:$G$1001=2))&gt;0,"، "&amp;IFERROR(INDEX('تشخيص الحالات'!$D$2:$D$1001,SUMPRODUCT(('تشخيص الحالات'!$B$2:$B$1001=B965)*('تشخيص الحالات'!$G$2:$G$1001=2)*ROW('تشخيص الحالات'!$B$2:$B$1001))-1),""),"")&amp;IF(SUMPRODUCT(('تشخيص الحالات'!$B$2:$B$1001=B965)*('تشخيص الحالات'!$G$2:$G$1001=3))&gt;0,"، "&amp;IFERROR(INDEX('تشخيص الحالات'!$D$2:$D$1001,SUMPRODUCT(('تشخيص الحالات'!$B$2:$B$1001=B965)*('تشخيص الحالات'!$G$2:$G$1001=3)*ROW('تشخيص الحالات'!$B$2:$B$1001))-1),""),"")&amp;IF(SUMPRODUCT(('تشخيص الحالات'!$B$2:$B$1001=B965)*('تشخيص الحالات'!$G$2:$G$1001=4))&gt;0,"، "&amp;IFERROR(INDEX('تشخيص الحالات'!$D$2:$D$1001,SUMPRODUCT(('تشخيص الحالات'!$B$2:$B$1001=B965)*('تشخيص الحالات'!$G$2:$G$1001=4)*ROW('تشخيص الحالات'!$B$2:$B$1001))-1),""),"")&amp;IF(SUMPRODUCT(('تشخيص الحالات'!$B$2:$B$1001=B965)*('تشخيص الحالات'!$G$2:$G$1001=5))&gt;0,"، "&amp;IFERROR(INDEX('تشخيص الحالات'!$D$2:$D$1001,SUMPRODUCT(('تشخيص الحالات'!$B$2:$B$1001=B965)*('تشخيص الحالات'!$G$2:$G$1001=5)*ROW('تشخيص الحالات'!$B$2:$B$1001))-1),""),"")&amp;IF(SUMPRODUCT(('تشخيص الحالات'!$B$2:$B$1001=B965)*('تشخيص الحالات'!$G$2:$G$1001=6))&gt;0,"، "&amp;IFERROR(INDEX('تشخيص الحالات'!$D$2:$D$1001,SUMPRODUCT(('تشخيص الحالات'!$B$2:$B$1001=B965)*('تشخيص الحالات'!$G$2:$G$1001=6)*ROW('تشخيص الحالات'!$B$2:$B$1001))-1),""),"")&amp;IF(SUMPRODUCT(('تشخيص الحالات'!$B$2:$B$1001=B965)*('تشخيص الحالات'!$G$2:$G$1001=7))&gt;0,"، "&amp;IFERROR(INDEX('تشخيص الحالات'!$D$2:$D$1001,SUMPRODUCT(('تشخيص الحالات'!$B$2:$B$1001=B965)*('تشخيص الحالات'!$G$2:$G$1001=7)*ROW('تشخيص الحالات'!$B$2:$B$1001))-1),""),"")&amp;IF(SUMPRODUCT(('تشخيص الحالات'!$B$2:$B$1001=B965)*('تشخيص الحالات'!$G$2:$G$1001=8))&gt;0,"، "&amp;IFERROR(INDEX('تشخيص الحالات'!$D$2:$D$1001,SUMPRODUCT(('تشخيص الحالات'!$B$2:$B$1001=B965)*('تشخيص الحالات'!$G$2:$G$1001=8)*ROW('تشخيص الحالات'!$B$2:$B$1001))-1),""),"")</f>
        <v/>
      </c>
      <c r="J965" s="1"/>
      <c r="K965" s="1"/>
      <c r="L965" s="1"/>
      <c r="M965" s="1"/>
    </row>
    <row r="966" spans="1:13" x14ac:dyDescent="0.2">
      <c r="A966" s="1"/>
      <c r="B966" s="1"/>
      <c r="C966" s="1"/>
      <c r="D966" s="1"/>
      <c r="E966" s="1"/>
      <c r="F966" s="1"/>
      <c r="G966" s="1"/>
      <c r="H966" s="1"/>
      <c r="I966" t="str">
        <f>IFERROR(INDEX('تشخيص الحالات'!$D$2:$D$1001,SUMPRODUCT(('تشخيص الحالات'!$B$2:$B$1001=B966)*('تشخيص الحالات'!$G$2:$G$1001=1)*ROW('تشخيص الحالات'!$B$2:$B$1001))-1),"")&amp;IF(SUMPRODUCT(('تشخيص الحالات'!$B$2:$B$1001=B966)*('تشخيص الحالات'!$G$2:$G$1001=2))&gt;0,"، "&amp;IFERROR(INDEX('تشخيص الحالات'!$D$2:$D$1001,SUMPRODUCT(('تشخيص الحالات'!$B$2:$B$1001=B966)*('تشخيص الحالات'!$G$2:$G$1001=2)*ROW('تشخيص الحالات'!$B$2:$B$1001))-1),""),"")&amp;IF(SUMPRODUCT(('تشخيص الحالات'!$B$2:$B$1001=B966)*('تشخيص الحالات'!$G$2:$G$1001=3))&gt;0,"، "&amp;IFERROR(INDEX('تشخيص الحالات'!$D$2:$D$1001,SUMPRODUCT(('تشخيص الحالات'!$B$2:$B$1001=B966)*('تشخيص الحالات'!$G$2:$G$1001=3)*ROW('تشخيص الحالات'!$B$2:$B$1001))-1),""),"")&amp;IF(SUMPRODUCT(('تشخيص الحالات'!$B$2:$B$1001=B966)*('تشخيص الحالات'!$G$2:$G$1001=4))&gt;0,"، "&amp;IFERROR(INDEX('تشخيص الحالات'!$D$2:$D$1001,SUMPRODUCT(('تشخيص الحالات'!$B$2:$B$1001=B966)*('تشخيص الحالات'!$G$2:$G$1001=4)*ROW('تشخيص الحالات'!$B$2:$B$1001))-1),""),"")&amp;IF(SUMPRODUCT(('تشخيص الحالات'!$B$2:$B$1001=B966)*('تشخيص الحالات'!$G$2:$G$1001=5))&gt;0,"، "&amp;IFERROR(INDEX('تشخيص الحالات'!$D$2:$D$1001,SUMPRODUCT(('تشخيص الحالات'!$B$2:$B$1001=B966)*('تشخيص الحالات'!$G$2:$G$1001=5)*ROW('تشخيص الحالات'!$B$2:$B$1001))-1),""),"")&amp;IF(SUMPRODUCT(('تشخيص الحالات'!$B$2:$B$1001=B966)*('تشخيص الحالات'!$G$2:$G$1001=6))&gt;0,"، "&amp;IFERROR(INDEX('تشخيص الحالات'!$D$2:$D$1001,SUMPRODUCT(('تشخيص الحالات'!$B$2:$B$1001=B966)*('تشخيص الحالات'!$G$2:$G$1001=6)*ROW('تشخيص الحالات'!$B$2:$B$1001))-1),""),"")&amp;IF(SUMPRODUCT(('تشخيص الحالات'!$B$2:$B$1001=B966)*('تشخيص الحالات'!$G$2:$G$1001=7))&gt;0,"، "&amp;IFERROR(INDEX('تشخيص الحالات'!$D$2:$D$1001,SUMPRODUCT(('تشخيص الحالات'!$B$2:$B$1001=B966)*('تشخيص الحالات'!$G$2:$G$1001=7)*ROW('تشخيص الحالات'!$B$2:$B$1001))-1),""),"")&amp;IF(SUMPRODUCT(('تشخيص الحالات'!$B$2:$B$1001=B966)*('تشخيص الحالات'!$G$2:$G$1001=8))&gt;0,"، "&amp;IFERROR(INDEX('تشخيص الحالات'!$D$2:$D$1001,SUMPRODUCT(('تشخيص الحالات'!$B$2:$B$1001=B966)*('تشخيص الحالات'!$G$2:$G$1001=8)*ROW('تشخيص الحالات'!$B$2:$B$1001))-1),""),"")</f>
        <v/>
      </c>
      <c r="J966" s="1"/>
      <c r="K966" s="1"/>
      <c r="L966" s="1"/>
      <c r="M966" s="1"/>
    </row>
    <row r="967" spans="1:13" x14ac:dyDescent="0.2">
      <c r="A967" s="1"/>
      <c r="B967" s="1"/>
      <c r="C967" s="1"/>
      <c r="D967" s="1"/>
      <c r="E967" s="1"/>
      <c r="F967" s="1"/>
      <c r="G967" s="1"/>
      <c r="H967" s="1"/>
      <c r="I967" t="str">
        <f>IFERROR(INDEX('تشخيص الحالات'!$D$2:$D$1001,SUMPRODUCT(('تشخيص الحالات'!$B$2:$B$1001=B967)*('تشخيص الحالات'!$G$2:$G$1001=1)*ROW('تشخيص الحالات'!$B$2:$B$1001))-1),"")&amp;IF(SUMPRODUCT(('تشخيص الحالات'!$B$2:$B$1001=B967)*('تشخيص الحالات'!$G$2:$G$1001=2))&gt;0,"، "&amp;IFERROR(INDEX('تشخيص الحالات'!$D$2:$D$1001,SUMPRODUCT(('تشخيص الحالات'!$B$2:$B$1001=B967)*('تشخيص الحالات'!$G$2:$G$1001=2)*ROW('تشخيص الحالات'!$B$2:$B$1001))-1),""),"")&amp;IF(SUMPRODUCT(('تشخيص الحالات'!$B$2:$B$1001=B967)*('تشخيص الحالات'!$G$2:$G$1001=3))&gt;0,"، "&amp;IFERROR(INDEX('تشخيص الحالات'!$D$2:$D$1001,SUMPRODUCT(('تشخيص الحالات'!$B$2:$B$1001=B967)*('تشخيص الحالات'!$G$2:$G$1001=3)*ROW('تشخيص الحالات'!$B$2:$B$1001))-1),""),"")&amp;IF(SUMPRODUCT(('تشخيص الحالات'!$B$2:$B$1001=B967)*('تشخيص الحالات'!$G$2:$G$1001=4))&gt;0,"، "&amp;IFERROR(INDEX('تشخيص الحالات'!$D$2:$D$1001,SUMPRODUCT(('تشخيص الحالات'!$B$2:$B$1001=B967)*('تشخيص الحالات'!$G$2:$G$1001=4)*ROW('تشخيص الحالات'!$B$2:$B$1001))-1),""),"")&amp;IF(SUMPRODUCT(('تشخيص الحالات'!$B$2:$B$1001=B967)*('تشخيص الحالات'!$G$2:$G$1001=5))&gt;0,"، "&amp;IFERROR(INDEX('تشخيص الحالات'!$D$2:$D$1001,SUMPRODUCT(('تشخيص الحالات'!$B$2:$B$1001=B967)*('تشخيص الحالات'!$G$2:$G$1001=5)*ROW('تشخيص الحالات'!$B$2:$B$1001))-1),""),"")&amp;IF(SUMPRODUCT(('تشخيص الحالات'!$B$2:$B$1001=B967)*('تشخيص الحالات'!$G$2:$G$1001=6))&gt;0,"، "&amp;IFERROR(INDEX('تشخيص الحالات'!$D$2:$D$1001,SUMPRODUCT(('تشخيص الحالات'!$B$2:$B$1001=B967)*('تشخيص الحالات'!$G$2:$G$1001=6)*ROW('تشخيص الحالات'!$B$2:$B$1001))-1),""),"")&amp;IF(SUMPRODUCT(('تشخيص الحالات'!$B$2:$B$1001=B967)*('تشخيص الحالات'!$G$2:$G$1001=7))&gt;0,"، "&amp;IFERROR(INDEX('تشخيص الحالات'!$D$2:$D$1001,SUMPRODUCT(('تشخيص الحالات'!$B$2:$B$1001=B967)*('تشخيص الحالات'!$G$2:$G$1001=7)*ROW('تشخيص الحالات'!$B$2:$B$1001))-1),""),"")&amp;IF(SUMPRODUCT(('تشخيص الحالات'!$B$2:$B$1001=B967)*('تشخيص الحالات'!$G$2:$G$1001=8))&gt;0,"، "&amp;IFERROR(INDEX('تشخيص الحالات'!$D$2:$D$1001,SUMPRODUCT(('تشخيص الحالات'!$B$2:$B$1001=B967)*('تشخيص الحالات'!$G$2:$G$1001=8)*ROW('تشخيص الحالات'!$B$2:$B$1001))-1),""),"")</f>
        <v/>
      </c>
      <c r="J967" s="1"/>
      <c r="K967" s="1"/>
      <c r="L967" s="1"/>
      <c r="M967" s="1"/>
    </row>
    <row r="968" spans="1:13" x14ac:dyDescent="0.2">
      <c r="A968" s="1"/>
      <c r="B968" s="1"/>
      <c r="C968" s="1"/>
      <c r="D968" s="1"/>
      <c r="E968" s="1"/>
      <c r="F968" s="1"/>
      <c r="G968" s="1"/>
      <c r="H968" s="1"/>
      <c r="I968" t="str">
        <f>IFERROR(INDEX('تشخيص الحالات'!$D$2:$D$1001,SUMPRODUCT(('تشخيص الحالات'!$B$2:$B$1001=B968)*('تشخيص الحالات'!$G$2:$G$1001=1)*ROW('تشخيص الحالات'!$B$2:$B$1001))-1),"")&amp;IF(SUMPRODUCT(('تشخيص الحالات'!$B$2:$B$1001=B968)*('تشخيص الحالات'!$G$2:$G$1001=2))&gt;0,"، "&amp;IFERROR(INDEX('تشخيص الحالات'!$D$2:$D$1001,SUMPRODUCT(('تشخيص الحالات'!$B$2:$B$1001=B968)*('تشخيص الحالات'!$G$2:$G$1001=2)*ROW('تشخيص الحالات'!$B$2:$B$1001))-1),""),"")&amp;IF(SUMPRODUCT(('تشخيص الحالات'!$B$2:$B$1001=B968)*('تشخيص الحالات'!$G$2:$G$1001=3))&gt;0,"، "&amp;IFERROR(INDEX('تشخيص الحالات'!$D$2:$D$1001,SUMPRODUCT(('تشخيص الحالات'!$B$2:$B$1001=B968)*('تشخيص الحالات'!$G$2:$G$1001=3)*ROW('تشخيص الحالات'!$B$2:$B$1001))-1),""),"")&amp;IF(SUMPRODUCT(('تشخيص الحالات'!$B$2:$B$1001=B968)*('تشخيص الحالات'!$G$2:$G$1001=4))&gt;0,"، "&amp;IFERROR(INDEX('تشخيص الحالات'!$D$2:$D$1001,SUMPRODUCT(('تشخيص الحالات'!$B$2:$B$1001=B968)*('تشخيص الحالات'!$G$2:$G$1001=4)*ROW('تشخيص الحالات'!$B$2:$B$1001))-1),""),"")&amp;IF(SUMPRODUCT(('تشخيص الحالات'!$B$2:$B$1001=B968)*('تشخيص الحالات'!$G$2:$G$1001=5))&gt;0,"، "&amp;IFERROR(INDEX('تشخيص الحالات'!$D$2:$D$1001,SUMPRODUCT(('تشخيص الحالات'!$B$2:$B$1001=B968)*('تشخيص الحالات'!$G$2:$G$1001=5)*ROW('تشخيص الحالات'!$B$2:$B$1001))-1),""),"")&amp;IF(SUMPRODUCT(('تشخيص الحالات'!$B$2:$B$1001=B968)*('تشخيص الحالات'!$G$2:$G$1001=6))&gt;0,"، "&amp;IFERROR(INDEX('تشخيص الحالات'!$D$2:$D$1001,SUMPRODUCT(('تشخيص الحالات'!$B$2:$B$1001=B968)*('تشخيص الحالات'!$G$2:$G$1001=6)*ROW('تشخيص الحالات'!$B$2:$B$1001))-1),""),"")&amp;IF(SUMPRODUCT(('تشخيص الحالات'!$B$2:$B$1001=B968)*('تشخيص الحالات'!$G$2:$G$1001=7))&gt;0,"، "&amp;IFERROR(INDEX('تشخيص الحالات'!$D$2:$D$1001,SUMPRODUCT(('تشخيص الحالات'!$B$2:$B$1001=B968)*('تشخيص الحالات'!$G$2:$G$1001=7)*ROW('تشخيص الحالات'!$B$2:$B$1001))-1),""),"")&amp;IF(SUMPRODUCT(('تشخيص الحالات'!$B$2:$B$1001=B968)*('تشخيص الحالات'!$G$2:$G$1001=8))&gt;0,"، "&amp;IFERROR(INDEX('تشخيص الحالات'!$D$2:$D$1001,SUMPRODUCT(('تشخيص الحالات'!$B$2:$B$1001=B968)*('تشخيص الحالات'!$G$2:$G$1001=8)*ROW('تشخيص الحالات'!$B$2:$B$1001))-1),""),"")</f>
        <v/>
      </c>
      <c r="J968" s="1"/>
      <c r="K968" s="1"/>
      <c r="L968" s="1"/>
      <c r="M968" s="1"/>
    </row>
    <row r="969" spans="1:13" x14ac:dyDescent="0.2">
      <c r="A969" s="1"/>
      <c r="B969" s="1"/>
      <c r="C969" s="1"/>
      <c r="D969" s="1"/>
      <c r="E969" s="1"/>
      <c r="F969" s="1"/>
      <c r="G969" s="1"/>
      <c r="H969" s="1"/>
      <c r="I969" t="str">
        <f>IFERROR(INDEX('تشخيص الحالات'!$D$2:$D$1001,SUMPRODUCT(('تشخيص الحالات'!$B$2:$B$1001=B969)*('تشخيص الحالات'!$G$2:$G$1001=1)*ROW('تشخيص الحالات'!$B$2:$B$1001))-1),"")&amp;IF(SUMPRODUCT(('تشخيص الحالات'!$B$2:$B$1001=B969)*('تشخيص الحالات'!$G$2:$G$1001=2))&gt;0,"، "&amp;IFERROR(INDEX('تشخيص الحالات'!$D$2:$D$1001,SUMPRODUCT(('تشخيص الحالات'!$B$2:$B$1001=B969)*('تشخيص الحالات'!$G$2:$G$1001=2)*ROW('تشخيص الحالات'!$B$2:$B$1001))-1),""),"")&amp;IF(SUMPRODUCT(('تشخيص الحالات'!$B$2:$B$1001=B969)*('تشخيص الحالات'!$G$2:$G$1001=3))&gt;0,"، "&amp;IFERROR(INDEX('تشخيص الحالات'!$D$2:$D$1001,SUMPRODUCT(('تشخيص الحالات'!$B$2:$B$1001=B969)*('تشخيص الحالات'!$G$2:$G$1001=3)*ROW('تشخيص الحالات'!$B$2:$B$1001))-1),""),"")&amp;IF(SUMPRODUCT(('تشخيص الحالات'!$B$2:$B$1001=B969)*('تشخيص الحالات'!$G$2:$G$1001=4))&gt;0,"، "&amp;IFERROR(INDEX('تشخيص الحالات'!$D$2:$D$1001,SUMPRODUCT(('تشخيص الحالات'!$B$2:$B$1001=B969)*('تشخيص الحالات'!$G$2:$G$1001=4)*ROW('تشخيص الحالات'!$B$2:$B$1001))-1),""),"")&amp;IF(SUMPRODUCT(('تشخيص الحالات'!$B$2:$B$1001=B969)*('تشخيص الحالات'!$G$2:$G$1001=5))&gt;0,"، "&amp;IFERROR(INDEX('تشخيص الحالات'!$D$2:$D$1001,SUMPRODUCT(('تشخيص الحالات'!$B$2:$B$1001=B969)*('تشخيص الحالات'!$G$2:$G$1001=5)*ROW('تشخيص الحالات'!$B$2:$B$1001))-1),""),"")&amp;IF(SUMPRODUCT(('تشخيص الحالات'!$B$2:$B$1001=B969)*('تشخيص الحالات'!$G$2:$G$1001=6))&gt;0,"، "&amp;IFERROR(INDEX('تشخيص الحالات'!$D$2:$D$1001,SUMPRODUCT(('تشخيص الحالات'!$B$2:$B$1001=B969)*('تشخيص الحالات'!$G$2:$G$1001=6)*ROW('تشخيص الحالات'!$B$2:$B$1001))-1),""),"")&amp;IF(SUMPRODUCT(('تشخيص الحالات'!$B$2:$B$1001=B969)*('تشخيص الحالات'!$G$2:$G$1001=7))&gt;0,"، "&amp;IFERROR(INDEX('تشخيص الحالات'!$D$2:$D$1001,SUMPRODUCT(('تشخيص الحالات'!$B$2:$B$1001=B969)*('تشخيص الحالات'!$G$2:$G$1001=7)*ROW('تشخيص الحالات'!$B$2:$B$1001))-1),""),"")&amp;IF(SUMPRODUCT(('تشخيص الحالات'!$B$2:$B$1001=B969)*('تشخيص الحالات'!$G$2:$G$1001=8))&gt;0,"، "&amp;IFERROR(INDEX('تشخيص الحالات'!$D$2:$D$1001,SUMPRODUCT(('تشخيص الحالات'!$B$2:$B$1001=B969)*('تشخيص الحالات'!$G$2:$G$1001=8)*ROW('تشخيص الحالات'!$B$2:$B$1001))-1),""),"")</f>
        <v/>
      </c>
      <c r="J969" s="1"/>
      <c r="K969" s="1"/>
      <c r="L969" s="1"/>
      <c r="M969" s="1"/>
    </row>
    <row r="970" spans="1:13" x14ac:dyDescent="0.2">
      <c r="A970" s="1"/>
      <c r="B970" s="1"/>
      <c r="C970" s="1"/>
      <c r="D970" s="1"/>
      <c r="E970" s="1"/>
      <c r="F970" s="1"/>
      <c r="G970" s="1"/>
      <c r="H970" s="1"/>
      <c r="I970" t="str">
        <f>IFERROR(INDEX('تشخيص الحالات'!$D$2:$D$1001,SUMPRODUCT(('تشخيص الحالات'!$B$2:$B$1001=B970)*('تشخيص الحالات'!$G$2:$G$1001=1)*ROW('تشخيص الحالات'!$B$2:$B$1001))-1),"")&amp;IF(SUMPRODUCT(('تشخيص الحالات'!$B$2:$B$1001=B970)*('تشخيص الحالات'!$G$2:$G$1001=2))&gt;0,"، "&amp;IFERROR(INDEX('تشخيص الحالات'!$D$2:$D$1001,SUMPRODUCT(('تشخيص الحالات'!$B$2:$B$1001=B970)*('تشخيص الحالات'!$G$2:$G$1001=2)*ROW('تشخيص الحالات'!$B$2:$B$1001))-1),""),"")&amp;IF(SUMPRODUCT(('تشخيص الحالات'!$B$2:$B$1001=B970)*('تشخيص الحالات'!$G$2:$G$1001=3))&gt;0,"، "&amp;IFERROR(INDEX('تشخيص الحالات'!$D$2:$D$1001,SUMPRODUCT(('تشخيص الحالات'!$B$2:$B$1001=B970)*('تشخيص الحالات'!$G$2:$G$1001=3)*ROW('تشخيص الحالات'!$B$2:$B$1001))-1),""),"")&amp;IF(SUMPRODUCT(('تشخيص الحالات'!$B$2:$B$1001=B970)*('تشخيص الحالات'!$G$2:$G$1001=4))&gt;0,"، "&amp;IFERROR(INDEX('تشخيص الحالات'!$D$2:$D$1001,SUMPRODUCT(('تشخيص الحالات'!$B$2:$B$1001=B970)*('تشخيص الحالات'!$G$2:$G$1001=4)*ROW('تشخيص الحالات'!$B$2:$B$1001))-1),""),"")&amp;IF(SUMPRODUCT(('تشخيص الحالات'!$B$2:$B$1001=B970)*('تشخيص الحالات'!$G$2:$G$1001=5))&gt;0,"، "&amp;IFERROR(INDEX('تشخيص الحالات'!$D$2:$D$1001,SUMPRODUCT(('تشخيص الحالات'!$B$2:$B$1001=B970)*('تشخيص الحالات'!$G$2:$G$1001=5)*ROW('تشخيص الحالات'!$B$2:$B$1001))-1),""),"")&amp;IF(SUMPRODUCT(('تشخيص الحالات'!$B$2:$B$1001=B970)*('تشخيص الحالات'!$G$2:$G$1001=6))&gt;0,"، "&amp;IFERROR(INDEX('تشخيص الحالات'!$D$2:$D$1001,SUMPRODUCT(('تشخيص الحالات'!$B$2:$B$1001=B970)*('تشخيص الحالات'!$G$2:$G$1001=6)*ROW('تشخيص الحالات'!$B$2:$B$1001))-1),""),"")&amp;IF(SUMPRODUCT(('تشخيص الحالات'!$B$2:$B$1001=B970)*('تشخيص الحالات'!$G$2:$G$1001=7))&gt;0,"، "&amp;IFERROR(INDEX('تشخيص الحالات'!$D$2:$D$1001,SUMPRODUCT(('تشخيص الحالات'!$B$2:$B$1001=B970)*('تشخيص الحالات'!$G$2:$G$1001=7)*ROW('تشخيص الحالات'!$B$2:$B$1001))-1),""),"")&amp;IF(SUMPRODUCT(('تشخيص الحالات'!$B$2:$B$1001=B970)*('تشخيص الحالات'!$G$2:$G$1001=8))&gt;0,"، "&amp;IFERROR(INDEX('تشخيص الحالات'!$D$2:$D$1001,SUMPRODUCT(('تشخيص الحالات'!$B$2:$B$1001=B970)*('تشخيص الحالات'!$G$2:$G$1001=8)*ROW('تشخيص الحالات'!$B$2:$B$1001))-1),""),"")</f>
        <v/>
      </c>
      <c r="J970" s="1"/>
      <c r="K970" s="1"/>
      <c r="L970" s="1"/>
      <c r="M970" s="1"/>
    </row>
    <row r="971" spans="1:13" x14ac:dyDescent="0.2">
      <c r="A971" s="1"/>
      <c r="B971" s="1"/>
      <c r="C971" s="1"/>
      <c r="D971" s="1"/>
      <c r="E971" s="1"/>
      <c r="F971" s="1"/>
      <c r="G971" s="1"/>
      <c r="H971" s="1"/>
      <c r="I971" t="str">
        <f>IFERROR(INDEX('تشخيص الحالات'!$D$2:$D$1001,SUMPRODUCT(('تشخيص الحالات'!$B$2:$B$1001=B971)*('تشخيص الحالات'!$G$2:$G$1001=1)*ROW('تشخيص الحالات'!$B$2:$B$1001))-1),"")&amp;IF(SUMPRODUCT(('تشخيص الحالات'!$B$2:$B$1001=B971)*('تشخيص الحالات'!$G$2:$G$1001=2))&gt;0,"، "&amp;IFERROR(INDEX('تشخيص الحالات'!$D$2:$D$1001,SUMPRODUCT(('تشخيص الحالات'!$B$2:$B$1001=B971)*('تشخيص الحالات'!$G$2:$G$1001=2)*ROW('تشخيص الحالات'!$B$2:$B$1001))-1),""),"")&amp;IF(SUMPRODUCT(('تشخيص الحالات'!$B$2:$B$1001=B971)*('تشخيص الحالات'!$G$2:$G$1001=3))&gt;0,"، "&amp;IFERROR(INDEX('تشخيص الحالات'!$D$2:$D$1001,SUMPRODUCT(('تشخيص الحالات'!$B$2:$B$1001=B971)*('تشخيص الحالات'!$G$2:$G$1001=3)*ROW('تشخيص الحالات'!$B$2:$B$1001))-1),""),"")&amp;IF(SUMPRODUCT(('تشخيص الحالات'!$B$2:$B$1001=B971)*('تشخيص الحالات'!$G$2:$G$1001=4))&gt;0,"، "&amp;IFERROR(INDEX('تشخيص الحالات'!$D$2:$D$1001,SUMPRODUCT(('تشخيص الحالات'!$B$2:$B$1001=B971)*('تشخيص الحالات'!$G$2:$G$1001=4)*ROW('تشخيص الحالات'!$B$2:$B$1001))-1),""),"")&amp;IF(SUMPRODUCT(('تشخيص الحالات'!$B$2:$B$1001=B971)*('تشخيص الحالات'!$G$2:$G$1001=5))&gt;0,"، "&amp;IFERROR(INDEX('تشخيص الحالات'!$D$2:$D$1001,SUMPRODUCT(('تشخيص الحالات'!$B$2:$B$1001=B971)*('تشخيص الحالات'!$G$2:$G$1001=5)*ROW('تشخيص الحالات'!$B$2:$B$1001))-1),""),"")&amp;IF(SUMPRODUCT(('تشخيص الحالات'!$B$2:$B$1001=B971)*('تشخيص الحالات'!$G$2:$G$1001=6))&gt;0,"، "&amp;IFERROR(INDEX('تشخيص الحالات'!$D$2:$D$1001,SUMPRODUCT(('تشخيص الحالات'!$B$2:$B$1001=B971)*('تشخيص الحالات'!$G$2:$G$1001=6)*ROW('تشخيص الحالات'!$B$2:$B$1001))-1),""),"")&amp;IF(SUMPRODUCT(('تشخيص الحالات'!$B$2:$B$1001=B971)*('تشخيص الحالات'!$G$2:$G$1001=7))&gt;0,"، "&amp;IFERROR(INDEX('تشخيص الحالات'!$D$2:$D$1001,SUMPRODUCT(('تشخيص الحالات'!$B$2:$B$1001=B971)*('تشخيص الحالات'!$G$2:$G$1001=7)*ROW('تشخيص الحالات'!$B$2:$B$1001))-1),""),"")&amp;IF(SUMPRODUCT(('تشخيص الحالات'!$B$2:$B$1001=B971)*('تشخيص الحالات'!$G$2:$G$1001=8))&gt;0,"، "&amp;IFERROR(INDEX('تشخيص الحالات'!$D$2:$D$1001,SUMPRODUCT(('تشخيص الحالات'!$B$2:$B$1001=B971)*('تشخيص الحالات'!$G$2:$G$1001=8)*ROW('تشخيص الحالات'!$B$2:$B$1001))-1),""),"")</f>
        <v/>
      </c>
      <c r="J971" s="1"/>
      <c r="K971" s="1"/>
      <c r="L971" s="1"/>
      <c r="M971" s="1"/>
    </row>
    <row r="972" spans="1:13" x14ac:dyDescent="0.2">
      <c r="A972" s="1"/>
      <c r="B972" s="1"/>
      <c r="C972" s="1"/>
      <c r="D972" s="1"/>
      <c r="E972" s="1"/>
      <c r="F972" s="1"/>
      <c r="G972" s="1"/>
      <c r="H972" s="1"/>
      <c r="I972" t="str">
        <f>IFERROR(INDEX('تشخيص الحالات'!$D$2:$D$1001,SUMPRODUCT(('تشخيص الحالات'!$B$2:$B$1001=B972)*('تشخيص الحالات'!$G$2:$G$1001=1)*ROW('تشخيص الحالات'!$B$2:$B$1001))-1),"")&amp;IF(SUMPRODUCT(('تشخيص الحالات'!$B$2:$B$1001=B972)*('تشخيص الحالات'!$G$2:$G$1001=2))&gt;0,"، "&amp;IFERROR(INDEX('تشخيص الحالات'!$D$2:$D$1001,SUMPRODUCT(('تشخيص الحالات'!$B$2:$B$1001=B972)*('تشخيص الحالات'!$G$2:$G$1001=2)*ROW('تشخيص الحالات'!$B$2:$B$1001))-1),""),"")&amp;IF(SUMPRODUCT(('تشخيص الحالات'!$B$2:$B$1001=B972)*('تشخيص الحالات'!$G$2:$G$1001=3))&gt;0,"، "&amp;IFERROR(INDEX('تشخيص الحالات'!$D$2:$D$1001,SUMPRODUCT(('تشخيص الحالات'!$B$2:$B$1001=B972)*('تشخيص الحالات'!$G$2:$G$1001=3)*ROW('تشخيص الحالات'!$B$2:$B$1001))-1),""),"")&amp;IF(SUMPRODUCT(('تشخيص الحالات'!$B$2:$B$1001=B972)*('تشخيص الحالات'!$G$2:$G$1001=4))&gt;0,"، "&amp;IFERROR(INDEX('تشخيص الحالات'!$D$2:$D$1001,SUMPRODUCT(('تشخيص الحالات'!$B$2:$B$1001=B972)*('تشخيص الحالات'!$G$2:$G$1001=4)*ROW('تشخيص الحالات'!$B$2:$B$1001))-1),""),"")&amp;IF(SUMPRODUCT(('تشخيص الحالات'!$B$2:$B$1001=B972)*('تشخيص الحالات'!$G$2:$G$1001=5))&gt;0,"، "&amp;IFERROR(INDEX('تشخيص الحالات'!$D$2:$D$1001,SUMPRODUCT(('تشخيص الحالات'!$B$2:$B$1001=B972)*('تشخيص الحالات'!$G$2:$G$1001=5)*ROW('تشخيص الحالات'!$B$2:$B$1001))-1),""),"")&amp;IF(SUMPRODUCT(('تشخيص الحالات'!$B$2:$B$1001=B972)*('تشخيص الحالات'!$G$2:$G$1001=6))&gt;0,"، "&amp;IFERROR(INDEX('تشخيص الحالات'!$D$2:$D$1001,SUMPRODUCT(('تشخيص الحالات'!$B$2:$B$1001=B972)*('تشخيص الحالات'!$G$2:$G$1001=6)*ROW('تشخيص الحالات'!$B$2:$B$1001))-1),""),"")&amp;IF(SUMPRODUCT(('تشخيص الحالات'!$B$2:$B$1001=B972)*('تشخيص الحالات'!$G$2:$G$1001=7))&gt;0,"، "&amp;IFERROR(INDEX('تشخيص الحالات'!$D$2:$D$1001,SUMPRODUCT(('تشخيص الحالات'!$B$2:$B$1001=B972)*('تشخيص الحالات'!$G$2:$G$1001=7)*ROW('تشخيص الحالات'!$B$2:$B$1001))-1),""),"")&amp;IF(SUMPRODUCT(('تشخيص الحالات'!$B$2:$B$1001=B972)*('تشخيص الحالات'!$G$2:$G$1001=8))&gt;0,"، "&amp;IFERROR(INDEX('تشخيص الحالات'!$D$2:$D$1001,SUMPRODUCT(('تشخيص الحالات'!$B$2:$B$1001=B972)*('تشخيص الحالات'!$G$2:$G$1001=8)*ROW('تشخيص الحالات'!$B$2:$B$1001))-1),""),"")</f>
        <v/>
      </c>
      <c r="J972" s="1"/>
      <c r="K972" s="1"/>
      <c r="L972" s="1"/>
      <c r="M972" s="1"/>
    </row>
    <row r="973" spans="1:13" x14ac:dyDescent="0.2">
      <c r="A973" s="1"/>
      <c r="B973" s="1"/>
      <c r="C973" s="1"/>
      <c r="D973" s="1"/>
      <c r="E973" s="1"/>
      <c r="F973" s="1"/>
      <c r="G973" s="1"/>
      <c r="H973" s="1"/>
      <c r="I973" t="str">
        <f>IFERROR(INDEX('تشخيص الحالات'!$D$2:$D$1001,SUMPRODUCT(('تشخيص الحالات'!$B$2:$B$1001=B973)*('تشخيص الحالات'!$G$2:$G$1001=1)*ROW('تشخيص الحالات'!$B$2:$B$1001))-1),"")&amp;IF(SUMPRODUCT(('تشخيص الحالات'!$B$2:$B$1001=B973)*('تشخيص الحالات'!$G$2:$G$1001=2))&gt;0,"، "&amp;IFERROR(INDEX('تشخيص الحالات'!$D$2:$D$1001,SUMPRODUCT(('تشخيص الحالات'!$B$2:$B$1001=B973)*('تشخيص الحالات'!$G$2:$G$1001=2)*ROW('تشخيص الحالات'!$B$2:$B$1001))-1),""),"")&amp;IF(SUMPRODUCT(('تشخيص الحالات'!$B$2:$B$1001=B973)*('تشخيص الحالات'!$G$2:$G$1001=3))&gt;0,"، "&amp;IFERROR(INDEX('تشخيص الحالات'!$D$2:$D$1001,SUMPRODUCT(('تشخيص الحالات'!$B$2:$B$1001=B973)*('تشخيص الحالات'!$G$2:$G$1001=3)*ROW('تشخيص الحالات'!$B$2:$B$1001))-1),""),"")&amp;IF(SUMPRODUCT(('تشخيص الحالات'!$B$2:$B$1001=B973)*('تشخيص الحالات'!$G$2:$G$1001=4))&gt;0,"، "&amp;IFERROR(INDEX('تشخيص الحالات'!$D$2:$D$1001,SUMPRODUCT(('تشخيص الحالات'!$B$2:$B$1001=B973)*('تشخيص الحالات'!$G$2:$G$1001=4)*ROW('تشخيص الحالات'!$B$2:$B$1001))-1),""),"")&amp;IF(SUMPRODUCT(('تشخيص الحالات'!$B$2:$B$1001=B973)*('تشخيص الحالات'!$G$2:$G$1001=5))&gt;0,"، "&amp;IFERROR(INDEX('تشخيص الحالات'!$D$2:$D$1001,SUMPRODUCT(('تشخيص الحالات'!$B$2:$B$1001=B973)*('تشخيص الحالات'!$G$2:$G$1001=5)*ROW('تشخيص الحالات'!$B$2:$B$1001))-1),""),"")&amp;IF(SUMPRODUCT(('تشخيص الحالات'!$B$2:$B$1001=B973)*('تشخيص الحالات'!$G$2:$G$1001=6))&gt;0,"، "&amp;IFERROR(INDEX('تشخيص الحالات'!$D$2:$D$1001,SUMPRODUCT(('تشخيص الحالات'!$B$2:$B$1001=B973)*('تشخيص الحالات'!$G$2:$G$1001=6)*ROW('تشخيص الحالات'!$B$2:$B$1001))-1),""),"")&amp;IF(SUMPRODUCT(('تشخيص الحالات'!$B$2:$B$1001=B973)*('تشخيص الحالات'!$G$2:$G$1001=7))&gt;0,"، "&amp;IFERROR(INDEX('تشخيص الحالات'!$D$2:$D$1001,SUMPRODUCT(('تشخيص الحالات'!$B$2:$B$1001=B973)*('تشخيص الحالات'!$G$2:$G$1001=7)*ROW('تشخيص الحالات'!$B$2:$B$1001))-1),""),"")&amp;IF(SUMPRODUCT(('تشخيص الحالات'!$B$2:$B$1001=B973)*('تشخيص الحالات'!$G$2:$G$1001=8))&gt;0,"، "&amp;IFERROR(INDEX('تشخيص الحالات'!$D$2:$D$1001,SUMPRODUCT(('تشخيص الحالات'!$B$2:$B$1001=B973)*('تشخيص الحالات'!$G$2:$G$1001=8)*ROW('تشخيص الحالات'!$B$2:$B$1001))-1),""),"")</f>
        <v/>
      </c>
      <c r="J973" s="1"/>
      <c r="K973" s="1"/>
      <c r="L973" s="1"/>
      <c r="M973" s="1"/>
    </row>
    <row r="974" spans="1:13" x14ac:dyDescent="0.2">
      <c r="A974" s="1"/>
      <c r="B974" s="1"/>
      <c r="C974" s="1"/>
      <c r="D974" s="1"/>
      <c r="E974" s="1"/>
      <c r="F974" s="1"/>
      <c r="G974" s="1"/>
      <c r="H974" s="1"/>
      <c r="I974" t="str">
        <f>IFERROR(INDEX('تشخيص الحالات'!$D$2:$D$1001,SUMPRODUCT(('تشخيص الحالات'!$B$2:$B$1001=B974)*('تشخيص الحالات'!$G$2:$G$1001=1)*ROW('تشخيص الحالات'!$B$2:$B$1001))-1),"")&amp;IF(SUMPRODUCT(('تشخيص الحالات'!$B$2:$B$1001=B974)*('تشخيص الحالات'!$G$2:$G$1001=2))&gt;0,"، "&amp;IFERROR(INDEX('تشخيص الحالات'!$D$2:$D$1001,SUMPRODUCT(('تشخيص الحالات'!$B$2:$B$1001=B974)*('تشخيص الحالات'!$G$2:$G$1001=2)*ROW('تشخيص الحالات'!$B$2:$B$1001))-1),""),"")&amp;IF(SUMPRODUCT(('تشخيص الحالات'!$B$2:$B$1001=B974)*('تشخيص الحالات'!$G$2:$G$1001=3))&gt;0,"، "&amp;IFERROR(INDEX('تشخيص الحالات'!$D$2:$D$1001,SUMPRODUCT(('تشخيص الحالات'!$B$2:$B$1001=B974)*('تشخيص الحالات'!$G$2:$G$1001=3)*ROW('تشخيص الحالات'!$B$2:$B$1001))-1),""),"")&amp;IF(SUMPRODUCT(('تشخيص الحالات'!$B$2:$B$1001=B974)*('تشخيص الحالات'!$G$2:$G$1001=4))&gt;0,"، "&amp;IFERROR(INDEX('تشخيص الحالات'!$D$2:$D$1001,SUMPRODUCT(('تشخيص الحالات'!$B$2:$B$1001=B974)*('تشخيص الحالات'!$G$2:$G$1001=4)*ROW('تشخيص الحالات'!$B$2:$B$1001))-1),""),"")&amp;IF(SUMPRODUCT(('تشخيص الحالات'!$B$2:$B$1001=B974)*('تشخيص الحالات'!$G$2:$G$1001=5))&gt;0,"، "&amp;IFERROR(INDEX('تشخيص الحالات'!$D$2:$D$1001,SUMPRODUCT(('تشخيص الحالات'!$B$2:$B$1001=B974)*('تشخيص الحالات'!$G$2:$G$1001=5)*ROW('تشخيص الحالات'!$B$2:$B$1001))-1),""),"")&amp;IF(SUMPRODUCT(('تشخيص الحالات'!$B$2:$B$1001=B974)*('تشخيص الحالات'!$G$2:$G$1001=6))&gt;0,"، "&amp;IFERROR(INDEX('تشخيص الحالات'!$D$2:$D$1001,SUMPRODUCT(('تشخيص الحالات'!$B$2:$B$1001=B974)*('تشخيص الحالات'!$G$2:$G$1001=6)*ROW('تشخيص الحالات'!$B$2:$B$1001))-1),""),"")&amp;IF(SUMPRODUCT(('تشخيص الحالات'!$B$2:$B$1001=B974)*('تشخيص الحالات'!$G$2:$G$1001=7))&gt;0,"، "&amp;IFERROR(INDEX('تشخيص الحالات'!$D$2:$D$1001,SUMPRODUCT(('تشخيص الحالات'!$B$2:$B$1001=B974)*('تشخيص الحالات'!$G$2:$G$1001=7)*ROW('تشخيص الحالات'!$B$2:$B$1001))-1),""),"")&amp;IF(SUMPRODUCT(('تشخيص الحالات'!$B$2:$B$1001=B974)*('تشخيص الحالات'!$G$2:$G$1001=8))&gt;0,"، "&amp;IFERROR(INDEX('تشخيص الحالات'!$D$2:$D$1001,SUMPRODUCT(('تشخيص الحالات'!$B$2:$B$1001=B974)*('تشخيص الحالات'!$G$2:$G$1001=8)*ROW('تشخيص الحالات'!$B$2:$B$1001))-1),""),"")</f>
        <v/>
      </c>
      <c r="J974" s="1"/>
      <c r="K974" s="1"/>
      <c r="L974" s="1"/>
      <c r="M974" s="1"/>
    </row>
    <row r="975" spans="1:13" x14ac:dyDescent="0.2">
      <c r="A975" s="1"/>
      <c r="B975" s="1"/>
      <c r="C975" s="1"/>
      <c r="D975" s="1"/>
      <c r="E975" s="1"/>
      <c r="F975" s="1"/>
      <c r="G975" s="1"/>
      <c r="H975" s="1"/>
      <c r="I975" t="str">
        <f>IFERROR(INDEX('تشخيص الحالات'!$D$2:$D$1001,SUMPRODUCT(('تشخيص الحالات'!$B$2:$B$1001=B975)*('تشخيص الحالات'!$G$2:$G$1001=1)*ROW('تشخيص الحالات'!$B$2:$B$1001))-1),"")&amp;IF(SUMPRODUCT(('تشخيص الحالات'!$B$2:$B$1001=B975)*('تشخيص الحالات'!$G$2:$G$1001=2))&gt;0,"، "&amp;IFERROR(INDEX('تشخيص الحالات'!$D$2:$D$1001,SUMPRODUCT(('تشخيص الحالات'!$B$2:$B$1001=B975)*('تشخيص الحالات'!$G$2:$G$1001=2)*ROW('تشخيص الحالات'!$B$2:$B$1001))-1),""),"")&amp;IF(SUMPRODUCT(('تشخيص الحالات'!$B$2:$B$1001=B975)*('تشخيص الحالات'!$G$2:$G$1001=3))&gt;0,"، "&amp;IFERROR(INDEX('تشخيص الحالات'!$D$2:$D$1001,SUMPRODUCT(('تشخيص الحالات'!$B$2:$B$1001=B975)*('تشخيص الحالات'!$G$2:$G$1001=3)*ROW('تشخيص الحالات'!$B$2:$B$1001))-1),""),"")&amp;IF(SUMPRODUCT(('تشخيص الحالات'!$B$2:$B$1001=B975)*('تشخيص الحالات'!$G$2:$G$1001=4))&gt;0,"، "&amp;IFERROR(INDEX('تشخيص الحالات'!$D$2:$D$1001,SUMPRODUCT(('تشخيص الحالات'!$B$2:$B$1001=B975)*('تشخيص الحالات'!$G$2:$G$1001=4)*ROW('تشخيص الحالات'!$B$2:$B$1001))-1),""),"")&amp;IF(SUMPRODUCT(('تشخيص الحالات'!$B$2:$B$1001=B975)*('تشخيص الحالات'!$G$2:$G$1001=5))&gt;0,"، "&amp;IFERROR(INDEX('تشخيص الحالات'!$D$2:$D$1001,SUMPRODUCT(('تشخيص الحالات'!$B$2:$B$1001=B975)*('تشخيص الحالات'!$G$2:$G$1001=5)*ROW('تشخيص الحالات'!$B$2:$B$1001))-1),""),"")&amp;IF(SUMPRODUCT(('تشخيص الحالات'!$B$2:$B$1001=B975)*('تشخيص الحالات'!$G$2:$G$1001=6))&gt;0,"، "&amp;IFERROR(INDEX('تشخيص الحالات'!$D$2:$D$1001,SUMPRODUCT(('تشخيص الحالات'!$B$2:$B$1001=B975)*('تشخيص الحالات'!$G$2:$G$1001=6)*ROW('تشخيص الحالات'!$B$2:$B$1001))-1),""),"")&amp;IF(SUMPRODUCT(('تشخيص الحالات'!$B$2:$B$1001=B975)*('تشخيص الحالات'!$G$2:$G$1001=7))&gt;0,"، "&amp;IFERROR(INDEX('تشخيص الحالات'!$D$2:$D$1001,SUMPRODUCT(('تشخيص الحالات'!$B$2:$B$1001=B975)*('تشخيص الحالات'!$G$2:$G$1001=7)*ROW('تشخيص الحالات'!$B$2:$B$1001))-1),""),"")&amp;IF(SUMPRODUCT(('تشخيص الحالات'!$B$2:$B$1001=B975)*('تشخيص الحالات'!$G$2:$G$1001=8))&gt;0,"، "&amp;IFERROR(INDEX('تشخيص الحالات'!$D$2:$D$1001,SUMPRODUCT(('تشخيص الحالات'!$B$2:$B$1001=B975)*('تشخيص الحالات'!$G$2:$G$1001=8)*ROW('تشخيص الحالات'!$B$2:$B$1001))-1),""),"")</f>
        <v/>
      </c>
      <c r="J975" s="1"/>
      <c r="K975" s="1"/>
      <c r="L975" s="1"/>
      <c r="M975" s="1"/>
    </row>
    <row r="976" spans="1:13" x14ac:dyDescent="0.2">
      <c r="A976" s="1"/>
      <c r="B976" s="1"/>
      <c r="C976" s="1"/>
      <c r="D976" s="1"/>
      <c r="E976" s="1"/>
      <c r="F976" s="1"/>
      <c r="G976" s="1"/>
      <c r="H976" s="1"/>
      <c r="I976" t="str">
        <f>IFERROR(INDEX('تشخيص الحالات'!$D$2:$D$1001,SUMPRODUCT(('تشخيص الحالات'!$B$2:$B$1001=B976)*('تشخيص الحالات'!$G$2:$G$1001=1)*ROW('تشخيص الحالات'!$B$2:$B$1001))-1),"")&amp;IF(SUMPRODUCT(('تشخيص الحالات'!$B$2:$B$1001=B976)*('تشخيص الحالات'!$G$2:$G$1001=2))&gt;0,"، "&amp;IFERROR(INDEX('تشخيص الحالات'!$D$2:$D$1001,SUMPRODUCT(('تشخيص الحالات'!$B$2:$B$1001=B976)*('تشخيص الحالات'!$G$2:$G$1001=2)*ROW('تشخيص الحالات'!$B$2:$B$1001))-1),""),"")&amp;IF(SUMPRODUCT(('تشخيص الحالات'!$B$2:$B$1001=B976)*('تشخيص الحالات'!$G$2:$G$1001=3))&gt;0,"، "&amp;IFERROR(INDEX('تشخيص الحالات'!$D$2:$D$1001,SUMPRODUCT(('تشخيص الحالات'!$B$2:$B$1001=B976)*('تشخيص الحالات'!$G$2:$G$1001=3)*ROW('تشخيص الحالات'!$B$2:$B$1001))-1),""),"")&amp;IF(SUMPRODUCT(('تشخيص الحالات'!$B$2:$B$1001=B976)*('تشخيص الحالات'!$G$2:$G$1001=4))&gt;0,"، "&amp;IFERROR(INDEX('تشخيص الحالات'!$D$2:$D$1001,SUMPRODUCT(('تشخيص الحالات'!$B$2:$B$1001=B976)*('تشخيص الحالات'!$G$2:$G$1001=4)*ROW('تشخيص الحالات'!$B$2:$B$1001))-1),""),"")&amp;IF(SUMPRODUCT(('تشخيص الحالات'!$B$2:$B$1001=B976)*('تشخيص الحالات'!$G$2:$G$1001=5))&gt;0,"، "&amp;IFERROR(INDEX('تشخيص الحالات'!$D$2:$D$1001,SUMPRODUCT(('تشخيص الحالات'!$B$2:$B$1001=B976)*('تشخيص الحالات'!$G$2:$G$1001=5)*ROW('تشخيص الحالات'!$B$2:$B$1001))-1),""),"")&amp;IF(SUMPRODUCT(('تشخيص الحالات'!$B$2:$B$1001=B976)*('تشخيص الحالات'!$G$2:$G$1001=6))&gt;0,"، "&amp;IFERROR(INDEX('تشخيص الحالات'!$D$2:$D$1001,SUMPRODUCT(('تشخيص الحالات'!$B$2:$B$1001=B976)*('تشخيص الحالات'!$G$2:$G$1001=6)*ROW('تشخيص الحالات'!$B$2:$B$1001))-1),""),"")&amp;IF(SUMPRODUCT(('تشخيص الحالات'!$B$2:$B$1001=B976)*('تشخيص الحالات'!$G$2:$G$1001=7))&gt;0,"، "&amp;IFERROR(INDEX('تشخيص الحالات'!$D$2:$D$1001,SUMPRODUCT(('تشخيص الحالات'!$B$2:$B$1001=B976)*('تشخيص الحالات'!$G$2:$G$1001=7)*ROW('تشخيص الحالات'!$B$2:$B$1001))-1),""),"")&amp;IF(SUMPRODUCT(('تشخيص الحالات'!$B$2:$B$1001=B976)*('تشخيص الحالات'!$G$2:$G$1001=8))&gt;0,"، "&amp;IFERROR(INDEX('تشخيص الحالات'!$D$2:$D$1001,SUMPRODUCT(('تشخيص الحالات'!$B$2:$B$1001=B976)*('تشخيص الحالات'!$G$2:$G$1001=8)*ROW('تشخيص الحالات'!$B$2:$B$1001))-1),""),"")</f>
        <v/>
      </c>
      <c r="J976" s="1"/>
      <c r="K976" s="1"/>
      <c r="L976" s="1"/>
      <c r="M976" s="1"/>
    </row>
    <row r="977" spans="1:13" x14ac:dyDescent="0.2">
      <c r="A977" s="1"/>
      <c r="B977" s="1"/>
      <c r="C977" s="1"/>
      <c r="D977" s="1"/>
      <c r="E977" s="1"/>
      <c r="F977" s="1"/>
      <c r="G977" s="1"/>
      <c r="H977" s="1"/>
      <c r="I977" t="str">
        <f>IFERROR(INDEX('تشخيص الحالات'!$D$2:$D$1001,SUMPRODUCT(('تشخيص الحالات'!$B$2:$B$1001=B977)*('تشخيص الحالات'!$G$2:$G$1001=1)*ROW('تشخيص الحالات'!$B$2:$B$1001))-1),"")&amp;IF(SUMPRODUCT(('تشخيص الحالات'!$B$2:$B$1001=B977)*('تشخيص الحالات'!$G$2:$G$1001=2))&gt;0,"، "&amp;IFERROR(INDEX('تشخيص الحالات'!$D$2:$D$1001,SUMPRODUCT(('تشخيص الحالات'!$B$2:$B$1001=B977)*('تشخيص الحالات'!$G$2:$G$1001=2)*ROW('تشخيص الحالات'!$B$2:$B$1001))-1),""),"")&amp;IF(SUMPRODUCT(('تشخيص الحالات'!$B$2:$B$1001=B977)*('تشخيص الحالات'!$G$2:$G$1001=3))&gt;0,"، "&amp;IFERROR(INDEX('تشخيص الحالات'!$D$2:$D$1001,SUMPRODUCT(('تشخيص الحالات'!$B$2:$B$1001=B977)*('تشخيص الحالات'!$G$2:$G$1001=3)*ROW('تشخيص الحالات'!$B$2:$B$1001))-1),""),"")&amp;IF(SUMPRODUCT(('تشخيص الحالات'!$B$2:$B$1001=B977)*('تشخيص الحالات'!$G$2:$G$1001=4))&gt;0,"، "&amp;IFERROR(INDEX('تشخيص الحالات'!$D$2:$D$1001,SUMPRODUCT(('تشخيص الحالات'!$B$2:$B$1001=B977)*('تشخيص الحالات'!$G$2:$G$1001=4)*ROW('تشخيص الحالات'!$B$2:$B$1001))-1),""),"")&amp;IF(SUMPRODUCT(('تشخيص الحالات'!$B$2:$B$1001=B977)*('تشخيص الحالات'!$G$2:$G$1001=5))&gt;0,"، "&amp;IFERROR(INDEX('تشخيص الحالات'!$D$2:$D$1001,SUMPRODUCT(('تشخيص الحالات'!$B$2:$B$1001=B977)*('تشخيص الحالات'!$G$2:$G$1001=5)*ROW('تشخيص الحالات'!$B$2:$B$1001))-1),""),"")&amp;IF(SUMPRODUCT(('تشخيص الحالات'!$B$2:$B$1001=B977)*('تشخيص الحالات'!$G$2:$G$1001=6))&gt;0,"، "&amp;IFERROR(INDEX('تشخيص الحالات'!$D$2:$D$1001,SUMPRODUCT(('تشخيص الحالات'!$B$2:$B$1001=B977)*('تشخيص الحالات'!$G$2:$G$1001=6)*ROW('تشخيص الحالات'!$B$2:$B$1001))-1),""),"")&amp;IF(SUMPRODUCT(('تشخيص الحالات'!$B$2:$B$1001=B977)*('تشخيص الحالات'!$G$2:$G$1001=7))&gt;0,"، "&amp;IFERROR(INDEX('تشخيص الحالات'!$D$2:$D$1001,SUMPRODUCT(('تشخيص الحالات'!$B$2:$B$1001=B977)*('تشخيص الحالات'!$G$2:$G$1001=7)*ROW('تشخيص الحالات'!$B$2:$B$1001))-1),""),"")&amp;IF(SUMPRODUCT(('تشخيص الحالات'!$B$2:$B$1001=B977)*('تشخيص الحالات'!$G$2:$G$1001=8))&gt;0,"، "&amp;IFERROR(INDEX('تشخيص الحالات'!$D$2:$D$1001,SUMPRODUCT(('تشخيص الحالات'!$B$2:$B$1001=B977)*('تشخيص الحالات'!$G$2:$G$1001=8)*ROW('تشخيص الحالات'!$B$2:$B$1001))-1),""),"")</f>
        <v/>
      </c>
      <c r="J977" s="1"/>
      <c r="K977" s="1"/>
      <c r="L977" s="1"/>
      <c r="M977" s="1"/>
    </row>
    <row r="978" spans="1:13" x14ac:dyDescent="0.2">
      <c r="A978" s="1"/>
      <c r="B978" s="1"/>
      <c r="C978" s="1"/>
      <c r="D978" s="1"/>
      <c r="E978" s="1"/>
      <c r="F978" s="1"/>
      <c r="G978" s="1"/>
      <c r="H978" s="1"/>
      <c r="I978" t="str">
        <f>IFERROR(INDEX('تشخيص الحالات'!$D$2:$D$1001,SUMPRODUCT(('تشخيص الحالات'!$B$2:$B$1001=B978)*('تشخيص الحالات'!$G$2:$G$1001=1)*ROW('تشخيص الحالات'!$B$2:$B$1001))-1),"")&amp;IF(SUMPRODUCT(('تشخيص الحالات'!$B$2:$B$1001=B978)*('تشخيص الحالات'!$G$2:$G$1001=2))&gt;0,"، "&amp;IFERROR(INDEX('تشخيص الحالات'!$D$2:$D$1001,SUMPRODUCT(('تشخيص الحالات'!$B$2:$B$1001=B978)*('تشخيص الحالات'!$G$2:$G$1001=2)*ROW('تشخيص الحالات'!$B$2:$B$1001))-1),""),"")&amp;IF(SUMPRODUCT(('تشخيص الحالات'!$B$2:$B$1001=B978)*('تشخيص الحالات'!$G$2:$G$1001=3))&gt;0,"، "&amp;IFERROR(INDEX('تشخيص الحالات'!$D$2:$D$1001,SUMPRODUCT(('تشخيص الحالات'!$B$2:$B$1001=B978)*('تشخيص الحالات'!$G$2:$G$1001=3)*ROW('تشخيص الحالات'!$B$2:$B$1001))-1),""),"")&amp;IF(SUMPRODUCT(('تشخيص الحالات'!$B$2:$B$1001=B978)*('تشخيص الحالات'!$G$2:$G$1001=4))&gt;0,"، "&amp;IFERROR(INDEX('تشخيص الحالات'!$D$2:$D$1001,SUMPRODUCT(('تشخيص الحالات'!$B$2:$B$1001=B978)*('تشخيص الحالات'!$G$2:$G$1001=4)*ROW('تشخيص الحالات'!$B$2:$B$1001))-1),""),"")&amp;IF(SUMPRODUCT(('تشخيص الحالات'!$B$2:$B$1001=B978)*('تشخيص الحالات'!$G$2:$G$1001=5))&gt;0,"، "&amp;IFERROR(INDEX('تشخيص الحالات'!$D$2:$D$1001,SUMPRODUCT(('تشخيص الحالات'!$B$2:$B$1001=B978)*('تشخيص الحالات'!$G$2:$G$1001=5)*ROW('تشخيص الحالات'!$B$2:$B$1001))-1),""),"")&amp;IF(SUMPRODUCT(('تشخيص الحالات'!$B$2:$B$1001=B978)*('تشخيص الحالات'!$G$2:$G$1001=6))&gt;0,"، "&amp;IFERROR(INDEX('تشخيص الحالات'!$D$2:$D$1001,SUMPRODUCT(('تشخيص الحالات'!$B$2:$B$1001=B978)*('تشخيص الحالات'!$G$2:$G$1001=6)*ROW('تشخيص الحالات'!$B$2:$B$1001))-1),""),"")&amp;IF(SUMPRODUCT(('تشخيص الحالات'!$B$2:$B$1001=B978)*('تشخيص الحالات'!$G$2:$G$1001=7))&gt;0,"، "&amp;IFERROR(INDEX('تشخيص الحالات'!$D$2:$D$1001,SUMPRODUCT(('تشخيص الحالات'!$B$2:$B$1001=B978)*('تشخيص الحالات'!$G$2:$G$1001=7)*ROW('تشخيص الحالات'!$B$2:$B$1001))-1),""),"")&amp;IF(SUMPRODUCT(('تشخيص الحالات'!$B$2:$B$1001=B978)*('تشخيص الحالات'!$G$2:$G$1001=8))&gt;0,"، "&amp;IFERROR(INDEX('تشخيص الحالات'!$D$2:$D$1001,SUMPRODUCT(('تشخيص الحالات'!$B$2:$B$1001=B978)*('تشخيص الحالات'!$G$2:$G$1001=8)*ROW('تشخيص الحالات'!$B$2:$B$1001))-1),""),"")</f>
        <v/>
      </c>
      <c r="J978" s="1"/>
      <c r="K978" s="1"/>
      <c r="L978" s="1"/>
      <c r="M978" s="1"/>
    </row>
    <row r="979" spans="1:13" x14ac:dyDescent="0.2">
      <c r="A979" s="1"/>
      <c r="B979" s="1"/>
      <c r="C979" s="1"/>
      <c r="D979" s="1"/>
      <c r="E979" s="1"/>
      <c r="F979" s="1"/>
      <c r="G979" s="1"/>
      <c r="H979" s="1"/>
      <c r="I979" t="str">
        <f>IFERROR(INDEX('تشخيص الحالات'!$D$2:$D$1001,SUMPRODUCT(('تشخيص الحالات'!$B$2:$B$1001=B979)*('تشخيص الحالات'!$G$2:$G$1001=1)*ROW('تشخيص الحالات'!$B$2:$B$1001))-1),"")&amp;IF(SUMPRODUCT(('تشخيص الحالات'!$B$2:$B$1001=B979)*('تشخيص الحالات'!$G$2:$G$1001=2))&gt;0,"، "&amp;IFERROR(INDEX('تشخيص الحالات'!$D$2:$D$1001,SUMPRODUCT(('تشخيص الحالات'!$B$2:$B$1001=B979)*('تشخيص الحالات'!$G$2:$G$1001=2)*ROW('تشخيص الحالات'!$B$2:$B$1001))-1),""),"")&amp;IF(SUMPRODUCT(('تشخيص الحالات'!$B$2:$B$1001=B979)*('تشخيص الحالات'!$G$2:$G$1001=3))&gt;0,"، "&amp;IFERROR(INDEX('تشخيص الحالات'!$D$2:$D$1001,SUMPRODUCT(('تشخيص الحالات'!$B$2:$B$1001=B979)*('تشخيص الحالات'!$G$2:$G$1001=3)*ROW('تشخيص الحالات'!$B$2:$B$1001))-1),""),"")&amp;IF(SUMPRODUCT(('تشخيص الحالات'!$B$2:$B$1001=B979)*('تشخيص الحالات'!$G$2:$G$1001=4))&gt;0,"، "&amp;IFERROR(INDEX('تشخيص الحالات'!$D$2:$D$1001,SUMPRODUCT(('تشخيص الحالات'!$B$2:$B$1001=B979)*('تشخيص الحالات'!$G$2:$G$1001=4)*ROW('تشخيص الحالات'!$B$2:$B$1001))-1),""),"")&amp;IF(SUMPRODUCT(('تشخيص الحالات'!$B$2:$B$1001=B979)*('تشخيص الحالات'!$G$2:$G$1001=5))&gt;0,"، "&amp;IFERROR(INDEX('تشخيص الحالات'!$D$2:$D$1001,SUMPRODUCT(('تشخيص الحالات'!$B$2:$B$1001=B979)*('تشخيص الحالات'!$G$2:$G$1001=5)*ROW('تشخيص الحالات'!$B$2:$B$1001))-1),""),"")&amp;IF(SUMPRODUCT(('تشخيص الحالات'!$B$2:$B$1001=B979)*('تشخيص الحالات'!$G$2:$G$1001=6))&gt;0,"، "&amp;IFERROR(INDEX('تشخيص الحالات'!$D$2:$D$1001,SUMPRODUCT(('تشخيص الحالات'!$B$2:$B$1001=B979)*('تشخيص الحالات'!$G$2:$G$1001=6)*ROW('تشخيص الحالات'!$B$2:$B$1001))-1),""),"")&amp;IF(SUMPRODUCT(('تشخيص الحالات'!$B$2:$B$1001=B979)*('تشخيص الحالات'!$G$2:$G$1001=7))&gt;0,"، "&amp;IFERROR(INDEX('تشخيص الحالات'!$D$2:$D$1001,SUMPRODUCT(('تشخيص الحالات'!$B$2:$B$1001=B979)*('تشخيص الحالات'!$G$2:$G$1001=7)*ROW('تشخيص الحالات'!$B$2:$B$1001))-1),""),"")&amp;IF(SUMPRODUCT(('تشخيص الحالات'!$B$2:$B$1001=B979)*('تشخيص الحالات'!$G$2:$G$1001=8))&gt;0,"، "&amp;IFERROR(INDEX('تشخيص الحالات'!$D$2:$D$1001,SUMPRODUCT(('تشخيص الحالات'!$B$2:$B$1001=B979)*('تشخيص الحالات'!$G$2:$G$1001=8)*ROW('تشخيص الحالات'!$B$2:$B$1001))-1),""),"")</f>
        <v/>
      </c>
      <c r="J979" s="1"/>
      <c r="K979" s="1"/>
      <c r="L979" s="1"/>
      <c r="M979" s="1"/>
    </row>
    <row r="980" spans="1:13" x14ac:dyDescent="0.2">
      <c r="A980" s="1"/>
      <c r="B980" s="1"/>
      <c r="C980" s="1"/>
      <c r="D980" s="1"/>
      <c r="E980" s="1"/>
      <c r="F980" s="1"/>
      <c r="G980" s="1"/>
      <c r="H980" s="1"/>
      <c r="I980" t="str">
        <f>IFERROR(INDEX('تشخيص الحالات'!$D$2:$D$1001,SUMPRODUCT(('تشخيص الحالات'!$B$2:$B$1001=B980)*('تشخيص الحالات'!$G$2:$G$1001=1)*ROW('تشخيص الحالات'!$B$2:$B$1001))-1),"")&amp;IF(SUMPRODUCT(('تشخيص الحالات'!$B$2:$B$1001=B980)*('تشخيص الحالات'!$G$2:$G$1001=2))&gt;0,"، "&amp;IFERROR(INDEX('تشخيص الحالات'!$D$2:$D$1001,SUMPRODUCT(('تشخيص الحالات'!$B$2:$B$1001=B980)*('تشخيص الحالات'!$G$2:$G$1001=2)*ROW('تشخيص الحالات'!$B$2:$B$1001))-1),""),"")&amp;IF(SUMPRODUCT(('تشخيص الحالات'!$B$2:$B$1001=B980)*('تشخيص الحالات'!$G$2:$G$1001=3))&gt;0,"، "&amp;IFERROR(INDEX('تشخيص الحالات'!$D$2:$D$1001,SUMPRODUCT(('تشخيص الحالات'!$B$2:$B$1001=B980)*('تشخيص الحالات'!$G$2:$G$1001=3)*ROW('تشخيص الحالات'!$B$2:$B$1001))-1),""),"")&amp;IF(SUMPRODUCT(('تشخيص الحالات'!$B$2:$B$1001=B980)*('تشخيص الحالات'!$G$2:$G$1001=4))&gt;0,"، "&amp;IFERROR(INDEX('تشخيص الحالات'!$D$2:$D$1001,SUMPRODUCT(('تشخيص الحالات'!$B$2:$B$1001=B980)*('تشخيص الحالات'!$G$2:$G$1001=4)*ROW('تشخيص الحالات'!$B$2:$B$1001))-1),""),"")&amp;IF(SUMPRODUCT(('تشخيص الحالات'!$B$2:$B$1001=B980)*('تشخيص الحالات'!$G$2:$G$1001=5))&gt;0,"، "&amp;IFERROR(INDEX('تشخيص الحالات'!$D$2:$D$1001,SUMPRODUCT(('تشخيص الحالات'!$B$2:$B$1001=B980)*('تشخيص الحالات'!$G$2:$G$1001=5)*ROW('تشخيص الحالات'!$B$2:$B$1001))-1),""),"")&amp;IF(SUMPRODUCT(('تشخيص الحالات'!$B$2:$B$1001=B980)*('تشخيص الحالات'!$G$2:$G$1001=6))&gt;0,"، "&amp;IFERROR(INDEX('تشخيص الحالات'!$D$2:$D$1001,SUMPRODUCT(('تشخيص الحالات'!$B$2:$B$1001=B980)*('تشخيص الحالات'!$G$2:$G$1001=6)*ROW('تشخيص الحالات'!$B$2:$B$1001))-1),""),"")&amp;IF(SUMPRODUCT(('تشخيص الحالات'!$B$2:$B$1001=B980)*('تشخيص الحالات'!$G$2:$G$1001=7))&gt;0,"، "&amp;IFERROR(INDEX('تشخيص الحالات'!$D$2:$D$1001,SUMPRODUCT(('تشخيص الحالات'!$B$2:$B$1001=B980)*('تشخيص الحالات'!$G$2:$G$1001=7)*ROW('تشخيص الحالات'!$B$2:$B$1001))-1),""),"")&amp;IF(SUMPRODUCT(('تشخيص الحالات'!$B$2:$B$1001=B980)*('تشخيص الحالات'!$G$2:$G$1001=8))&gt;0,"، "&amp;IFERROR(INDEX('تشخيص الحالات'!$D$2:$D$1001,SUMPRODUCT(('تشخيص الحالات'!$B$2:$B$1001=B980)*('تشخيص الحالات'!$G$2:$G$1001=8)*ROW('تشخيص الحالات'!$B$2:$B$1001))-1),""),"")</f>
        <v/>
      </c>
      <c r="J980" s="1"/>
      <c r="K980" s="1"/>
      <c r="L980" s="1"/>
      <c r="M980" s="1"/>
    </row>
    <row r="981" spans="1:13" x14ac:dyDescent="0.2">
      <c r="A981" s="1"/>
      <c r="B981" s="1"/>
      <c r="C981" s="1"/>
      <c r="D981" s="1"/>
      <c r="E981" s="1"/>
      <c r="F981" s="1"/>
      <c r="G981" s="1"/>
      <c r="H981" s="1"/>
      <c r="I981" t="str">
        <f>IFERROR(INDEX('تشخيص الحالات'!$D$2:$D$1001,SUMPRODUCT(('تشخيص الحالات'!$B$2:$B$1001=B981)*('تشخيص الحالات'!$G$2:$G$1001=1)*ROW('تشخيص الحالات'!$B$2:$B$1001))-1),"")&amp;IF(SUMPRODUCT(('تشخيص الحالات'!$B$2:$B$1001=B981)*('تشخيص الحالات'!$G$2:$G$1001=2))&gt;0,"، "&amp;IFERROR(INDEX('تشخيص الحالات'!$D$2:$D$1001,SUMPRODUCT(('تشخيص الحالات'!$B$2:$B$1001=B981)*('تشخيص الحالات'!$G$2:$G$1001=2)*ROW('تشخيص الحالات'!$B$2:$B$1001))-1),""),"")&amp;IF(SUMPRODUCT(('تشخيص الحالات'!$B$2:$B$1001=B981)*('تشخيص الحالات'!$G$2:$G$1001=3))&gt;0,"، "&amp;IFERROR(INDEX('تشخيص الحالات'!$D$2:$D$1001,SUMPRODUCT(('تشخيص الحالات'!$B$2:$B$1001=B981)*('تشخيص الحالات'!$G$2:$G$1001=3)*ROW('تشخيص الحالات'!$B$2:$B$1001))-1),""),"")&amp;IF(SUMPRODUCT(('تشخيص الحالات'!$B$2:$B$1001=B981)*('تشخيص الحالات'!$G$2:$G$1001=4))&gt;0,"، "&amp;IFERROR(INDEX('تشخيص الحالات'!$D$2:$D$1001,SUMPRODUCT(('تشخيص الحالات'!$B$2:$B$1001=B981)*('تشخيص الحالات'!$G$2:$G$1001=4)*ROW('تشخيص الحالات'!$B$2:$B$1001))-1),""),"")&amp;IF(SUMPRODUCT(('تشخيص الحالات'!$B$2:$B$1001=B981)*('تشخيص الحالات'!$G$2:$G$1001=5))&gt;0,"، "&amp;IFERROR(INDEX('تشخيص الحالات'!$D$2:$D$1001,SUMPRODUCT(('تشخيص الحالات'!$B$2:$B$1001=B981)*('تشخيص الحالات'!$G$2:$G$1001=5)*ROW('تشخيص الحالات'!$B$2:$B$1001))-1),""),"")&amp;IF(SUMPRODUCT(('تشخيص الحالات'!$B$2:$B$1001=B981)*('تشخيص الحالات'!$G$2:$G$1001=6))&gt;0,"، "&amp;IFERROR(INDEX('تشخيص الحالات'!$D$2:$D$1001,SUMPRODUCT(('تشخيص الحالات'!$B$2:$B$1001=B981)*('تشخيص الحالات'!$G$2:$G$1001=6)*ROW('تشخيص الحالات'!$B$2:$B$1001))-1),""),"")&amp;IF(SUMPRODUCT(('تشخيص الحالات'!$B$2:$B$1001=B981)*('تشخيص الحالات'!$G$2:$G$1001=7))&gt;0,"، "&amp;IFERROR(INDEX('تشخيص الحالات'!$D$2:$D$1001,SUMPRODUCT(('تشخيص الحالات'!$B$2:$B$1001=B981)*('تشخيص الحالات'!$G$2:$G$1001=7)*ROW('تشخيص الحالات'!$B$2:$B$1001))-1),""),"")&amp;IF(SUMPRODUCT(('تشخيص الحالات'!$B$2:$B$1001=B981)*('تشخيص الحالات'!$G$2:$G$1001=8))&gt;0,"، "&amp;IFERROR(INDEX('تشخيص الحالات'!$D$2:$D$1001,SUMPRODUCT(('تشخيص الحالات'!$B$2:$B$1001=B981)*('تشخيص الحالات'!$G$2:$G$1001=8)*ROW('تشخيص الحالات'!$B$2:$B$1001))-1),""),"")</f>
        <v/>
      </c>
      <c r="J981" s="1"/>
      <c r="K981" s="1"/>
      <c r="L981" s="1"/>
      <c r="M981" s="1"/>
    </row>
    <row r="982" spans="1:13" x14ac:dyDescent="0.2">
      <c r="A982" s="1"/>
      <c r="B982" s="1"/>
      <c r="C982" s="1"/>
      <c r="D982" s="1"/>
      <c r="E982" s="1"/>
      <c r="F982" s="1"/>
      <c r="G982" s="1"/>
      <c r="H982" s="1"/>
      <c r="I982" t="str">
        <f>IFERROR(INDEX('تشخيص الحالات'!$D$2:$D$1001,SUMPRODUCT(('تشخيص الحالات'!$B$2:$B$1001=B982)*('تشخيص الحالات'!$G$2:$G$1001=1)*ROW('تشخيص الحالات'!$B$2:$B$1001))-1),"")&amp;IF(SUMPRODUCT(('تشخيص الحالات'!$B$2:$B$1001=B982)*('تشخيص الحالات'!$G$2:$G$1001=2))&gt;0,"، "&amp;IFERROR(INDEX('تشخيص الحالات'!$D$2:$D$1001,SUMPRODUCT(('تشخيص الحالات'!$B$2:$B$1001=B982)*('تشخيص الحالات'!$G$2:$G$1001=2)*ROW('تشخيص الحالات'!$B$2:$B$1001))-1),""),"")&amp;IF(SUMPRODUCT(('تشخيص الحالات'!$B$2:$B$1001=B982)*('تشخيص الحالات'!$G$2:$G$1001=3))&gt;0,"، "&amp;IFERROR(INDEX('تشخيص الحالات'!$D$2:$D$1001,SUMPRODUCT(('تشخيص الحالات'!$B$2:$B$1001=B982)*('تشخيص الحالات'!$G$2:$G$1001=3)*ROW('تشخيص الحالات'!$B$2:$B$1001))-1),""),"")&amp;IF(SUMPRODUCT(('تشخيص الحالات'!$B$2:$B$1001=B982)*('تشخيص الحالات'!$G$2:$G$1001=4))&gt;0,"، "&amp;IFERROR(INDEX('تشخيص الحالات'!$D$2:$D$1001,SUMPRODUCT(('تشخيص الحالات'!$B$2:$B$1001=B982)*('تشخيص الحالات'!$G$2:$G$1001=4)*ROW('تشخيص الحالات'!$B$2:$B$1001))-1),""),"")&amp;IF(SUMPRODUCT(('تشخيص الحالات'!$B$2:$B$1001=B982)*('تشخيص الحالات'!$G$2:$G$1001=5))&gt;0,"، "&amp;IFERROR(INDEX('تشخيص الحالات'!$D$2:$D$1001,SUMPRODUCT(('تشخيص الحالات'!$B$2:$B$1001=B982)*('تشخيص الحالات'!$G$2:$G$1001=5)*ROW('تشخيص الحالات'!$B$2:$B$1001))-1),""),"")&amp;IF(SUMPRODUCT(('تشخيص الحالات'!$B$2:$B$1001=B982)*('تشخيص الحالات'!$G$2:$G$1001=6))&gt;0,"، "&amp;IFERROR(INDEX('تشخيص الحالات'!$D$2:$D$1001,SUMPRODUCT(('تشخيص الحالات'!$B$2:$B$1001=B982)*('تشخيص الحالات'!$G$2:$G$1001=6)*ROW('تشخيص الحالات'!$B$2:$B$1001))-1),""),"")&amp;IF(SUMPRODUCT(('تشخيص الحالات'!$B$2:$B$1001=B982)*('تشخيص الحالات'!$G$2:$G$1001=7))&gt;0,"، "&amp;IFERROR(INDEX('تشخيص الحالات'!$D$2:$D$1001,SUMPRODUCT(('تشخيص الحالات'!$B$2:$B$1001=B982)*('تشخيص الحالات'!$G$2:$G$1001=7)*ROW('تشخيص الحالات'!$B$2:$B$1001))-1),""),"")&amp;IF(SUMPRODUCT(('تشخيص الحالات'!$B$2:$B$1001=B982)*('تشخيص الحالات'!$G$2:$G$1001=8))&gt;0,"، "&amp;IFERROR(INDEX('تشخيص الحالات'!$D$2:$D$1001,SUMPRODUCT(('تشخيص الحالات'!$B$2:$B$1001=B982)*('تشخيص الحالات'!$G$2:$G$1001=8)*ROW('تشخيص الحالات'!$B$2:$B$1001))-1),""),"")</f>
        <v/>
      </c>
      <c r="J982" s="1"/>
      <c r="K982" s="1"/>
      <c r="L982" s="1"/>
      <c r="M982" s="1"/>
    </row>
    <row r="983" spans="1:13" x14ac:dyDescent="0.2">
      <c r="A983" s="1"/>
      <c r="B983" s="1"/>
      <c r="C983" s="1"/>
      <c r="D983" s="1"/>
      <c r="E983" s="1"/>
      <c r="F983" s="1"/>
      <c r="G983" s="1"/>
      <c r="H983" s="1"/>
      <c r="I983" t="str">
        <f>IFERROR(INDEX('تشخيص الحالات'!$D$2:$D$1001,SUMPRODUCT(('تشخيص الحالات'!$B$2:$B$1001=B983)*('تشخيص الحالات'!$G$2:$G$1001=1)*ROW('تشخيص الحالات'!$B$2:$B$1001))-1),"")&amp;IF(SUMPRODUCT(('تشخيص الحالات'!$B$2:$B$1001=B983)*('تشخيص الحالات'!$G$2:$G$1001=2))&gt;0,"، "&amp;IFERROR(INDEX('تشخيص الحالات'!$D$2:$D$1001,SUMPRODUCT(('تشخيص الحالات'!$B$2:$B$1001=B983)*('تشخيص الحالات'!$G$2:$G$1001=2)*ROW('تشخيص الحالات'!$B$2:$B$1001))-1),""),"")&amp;IF(SUMPRODUCT(('تشخيص الحالات'!$B$2:$B$1001=B983)*('تشخيص الحالات'!$G$2:$G$1001=3))&gt;0,"، "&amp;IFERROR(INDEX('تشخيص الحالات'!$D$2:$D$1001,SUMPRODUCT(('تشخيص الحالات'!$B$2:$B$1001=B983)*('تشخيص الحالات'!$G$2:$G$1001=3)*ROW('تشخيص الحالات'!$B$2:$B$1001))-1),""),"")&amp;IF(SUMPRODUCT(('تشخيص الحالات'!$B$2:$B$1001=B983)*('تشخيص الحالات'!$G$2:$G$1001=4))&gt;0,"، "&amp;IFERROR(INDEX('تشخيص الحالات'!$D$2:$D$1001,SUMPRODUCT(('تشخيص الحالات'!$B$2:$B$1001=B983)*('تشخيص الحالات'!$G$2:$G$1001=4)*ROW('تشخيص الحالات'!$B$2:$B$1001))-1),""),"")&amp;IF(SUMPRODUCT(('تشخيص الحالات'!$B$2:$B$1001=B983)*('تشخيص الحالات'!$G$2:$G$1001=5))&gt;0,"، "&amp;IFERROR(INDEX('تشخيص الحالات'!$D$2:$D$1001,SUMPRODUCT(('تشخيص الحالات'!$B$2:$B$1001=B983)*('تشخيص الحالات'!$G$2:$G$1001=5)*ROW('تشخيص الحالات'!$B$2:$B$1001))-1),""),"")&amp;IF(SUMPRODUCT(('تشخيص الحالات'!$B$2:$B$1001=B983)*('تشخيص الحالات'!$G$2:$G$1001=6))&gt;0,"، "&amp;IFERROR(INDEX('تشخيص الحالات'!$D$2:$D$1001,SUMPRODUCT(('تشخيص الحالات'!$B$2:$B$1001=B983)*('تشخيص الحالات'!$G$2:$G$1001=6)*ROW('تشخيص الحالات'!$B$2:$B$1001))-1),""),"")&amp;IF(SUMPRODUCT(('تشخيص الحالات'!$B$2:$B$1001=B983)*('تشخيص الحالات'!$G$2:$G$1001=7))&gt;0,"، "&amp;IFERROR(INDEX('تشخيص الحالات'!$D$2:$D$1001,SUMPRODUCT(('تشخيص الحالات'!$B$2:$B$1001=B983)*('تشخيص الحالات'!$G$2:$G$1001=7)*ROW('تشخيص الحالات'!$B$2:$B$1001))-1),""),"")&amp;IF(SUMPRODUCT(('تشخيص الحالات'!$B$2:$B$1001=B983)*('تشخيص الحالات'!$G$2:$G$1001=8))&gt;0,"، "&amp;IFERROR(INDEX('تشخيص الحالات'!$D$2:$D$1001,SUMPRODUCT(('تشخيص الحالات'!$B$2:$B$1001=B983)*('تشخيص الحالات'!$G$2:$G$1001=8)*ROW('تشخيص الحالات'!$B$2:$B$1001))-1),""),"")</f>
        <v/>
      </c>
      <c r="J983" s="1"/>
      <c r="K983" s="1"/>
      <c r="L983" s="1"/>
      <c r="M983" s="1"/>
    </row>
    <row r="984" spans="1:13" x14ac:dyDescent="0.2">
      <c r="A984" s="1"/>
      <c r="B984" s="1"/>
      <c r="C984" s="1"/>
      <c r="D984" s="1"/>
      <c r="E984" s="1"/>
      <c r="F984" s="1"/>
      <c r="G984" s="1"/>
      <c r="H984" s="1"/>
      <c r="I984" t="str">
        <f>IFERROR(INDEX('تشخيص الحالات'!$D$2:$D$1001,SUMPRODUCT(('تشخيص الحالات'!$B$2:$B$1001=B984)*('تشخيص الحالات'!$G$2:$G$1001=1)*ROW('تشخيص الحالات'!$B$2:$B$1001))-1),"")&amp;IF(SUMPRODUCT(('تشخيص الحالات'!$B$2:$B$1001=B984)*('تشخيص الحالات'!$G$2:$G$1001=2))&gt;0,"، "&amp;IFERROR(INDEX('تشخيص الحالات'!$D$2:$D$1001,SUMPRODUCT(('تشخيص الحالات'!$B$2:$B$1001=B984)*('تشخيص الحالات'!$G$2:$G$1001=2)*ROW('تشخيص الحالات'!$B$2:$B$1001))-1),""),"")&amp;IF(SUMPRODUCT(('تشخيص الحالات'!$B$2:$B$1001=B984)*('تشخيص الحالات'!$G$2:$G$1001=3))&gt;0,"، "&amp;IFERROR(INDEX('تشخيص الحالات'!$D$2:$D$1001,SUMPRODUCT(('تشخيص الحالات'!$B$2:$B$1001=B984)*('تشخيص الحالات'!$G$2:$G$1001=3)*ROW('تشخيص الحالات'!$B$2:$B$1001))-1),""),"")&amp;IF(SUMPRODUCT(('تشخيص الحالات'!$B$2:$B$1001=B984)*('تشخيص الحالات'!$G$2:$G$1001=4))&gt;0,"، "&amp;IFERROR(INDEX('تشخيص الحالات'!$D$2:$D$1001,SUMPRODUCT(('تشخيص الحالات'!$B$2:$B$1001=B984)*('تشخيص الحالات'!$G$2:$G$1001=4)*ROW('تشخيص الحالات'!$B$2:$B$1001))-1),""),"")&amp;IF(SUMPRODUCT(('تشخيص الحالات'!$B$2:$B$1001=B984)*('تشخيص الحالات'!$G$2:$G$1001=5))&gt;0,"، "&amp;IFERROR(INDEX('تشخيص الحالات'!$D$2:$D$1001,SUMPRODUCT(('تشخيص الحالات'!$B$2:$B$1001=B984)*('تشخيص الحالات'!$G$2:$G$1001=5)*ROW('تشخيص الحالات'!$B$2:$B$1001))-1),""),"")&amp;IF(SUMPRODUCT(('تشخيص الحالات'!$B$2:$B$1001=B984)*('تشخيص الحالات'!$G$2:$G$1001=6))&gt;0,"، "&amp;IFERROR(INDEX('تشخيص الحالات'!$D$2:$D$1001,SUMPRODUCT(('تشخيص الحالات'!$B$2:$B$1001=B984)*('تشخيص الحالات'!$G$2:$G$1001=6)*ROW('تشخيص الحالات'!$B$2:$B$1001))-1),""),"")&amp;IF(SUMPRODUCT(('تشخيص الحالات'!$B$2:$B$1001=B984)*('تشخيص الحالات'!$G$2:$G$1001=7))&gt;0,"، "&amp;IFERROR(INDEX('تشخيص الحالات'!$D$2:$D$1001,SUMPRODUCT(('تشخيص الحالات'!$B$2:$B$1001=B984)*('تشخيص الحالات'!$G$2:$G$1001=7)*ROW('تشخيص الحالات'!$B$2:$B$1001))-1),""),"")&amp;IF(SUMPRODUCT(('تشخيص الحالات'!$B$2:$B$1001=B984)*('تشخيص الحالات'!$G$2:$G$1001=8))&gt;0,"، "&amp;IFERROR(INDEX('تشخيص الحالات'!$D$2:$D$1001,SUMPRODUCT(('تشخيص الحالات'!$B$2:$B$1001=B984)*('تشخيص الحالات'!$G$2:$G$1001=8)*ROW('تشخيص الحالات'!$B$2:$B$1001))-1),""),"")</f>
        <v/>
      </c>
      <c r="J984" s="1"/>
      <c r="K984" s="1"/>
      <c r="L984" s="1"/>
      <c r="M984" s="1"/>
    </row>
    <row r="985" spans="1:13" x14ac:dyDescent="0.2">
      <c r="A985" s="1"/>
      <c r="B985" s="1"/>
      <c r="C985" s="1"/>
      <c r="D985" s="1"/>
      <c r="E985" s="1"/>
      <c r="F985" s="1"/>
      <c r="G985" s="1"/>
      <c r="H985" s="1"/>
      <c r="I985" t="str">
        <f>IFERROR(INDEX('تشخيص الحالات'!$D$2:$D$1001,SUMPRODUCT(('تشخيص الحالات'!$B$2:$B$1001=B985)*('تشخيص الحالات'!$G$2:$G$1001=1)*ROW('تشخيص الحالات'!$B$2:$B$1001))-1),"")&amp;IF(SUMPRODUCT(('تشخيص الحالات'!$B$2:$B$1001=B985)*('تشخيص الحالات'!$G$2:$G$1001=2))&gt;0,"، "&amp;IFERROR(INDEX('تشخيص الحالات'!$D$2:$D$1001,SUMPRODUCT(('تشخيص الحالات'!$B$2:$B$1001=B985)*('تشخيص الحالات'!$G$2:$G$1001=2)*ROW('تشخيص الحالات'!$B$2:$B$1001))-1),""),"")&amp;IF(SUMPRODUCT(('تشخيص الحالات'!$B$2:$B$1001=B985)*('تشخيص الحالات'!$G$2:$G$1001=3))&gt;0,"، "&amp;IFERROR(INDEX('تشخيص الحالات'!$D$2:$D$1001,SUMPRODUCT(('تشخيص الحالات'!$B$2:$B$1001=B985)*('تشخيص الحالات'!$G$2:$G$1001=3)*ROW('تشخيص الحالات'!$B$2:$B$1001))-1),""),"")&amp;IF(SUMPRODUCT(('تشخيص الحالات'!$B$2:$B$1001=B985)*('تشخيص الحالات'!$G$2:$G$1001=4))&gt;0,"، "&amp;IFERROR(INDEX('تشخيص الحالات'!$D$2:$D$1001,SUMPRODUCT(('تشخيص الحالات'!$B$2:$B$1001=B985)*('تشخيص الحالات'!$G$2:$G$1001=4)*ROW('تشخيص الحالات'!$B$2:$B$1001))-1),""),"")&amp;IF(SUMPRODUCT(('تشخيص الحالات'!$B$2:$B$1001=B985)*('تشخيص الحالات'!$G$2:$G$1001=5))&gt;0,"، "&amp;IFERROR(INDEX('تشخيص الحالات'!$D$2:$D$1001,SUMPRODUCT(('تشخيص الحالات'!$B$2:$B$1001=B985)*('تشخيص الحالات'!$G$2:$G$1001=5)*ROW('تشخيص الحالات'!$B$2:$B$1001))-1),""),"")&amp;IF(SUMPRODUCT(('تشخيص الحالات'!$B$2:$B$1001=B985)*('تشخيص الحالات'!$G$2:$G$1001=6))&gt;0,"، "&amp;IFERROR(INDEX('تشخيص الحالات'!$D$2:$D$1001,SUMPRODUCT(('تشخيص الحالات'!$B$2:$B$1001=B985)*('تشخيص الحالات'!$G$2:$G$1001=6)*ROW('تشخيص الحالات'!$B$2:$B$1001))-1),""),"")&amp;IF(SUMPRODUCT(('تشخيص الحالات'!$B$2:$B$1001=B985)*('تشخيص الحالات'!$G$2:$G$1001=7))&gt;0,"، "&amp;IFERROR(INDEX('تشخيص الحالات'!$D$2:$D$1001,SUMPRODUCT(('تشخيص الحالات'!$B$2:$B$1001=B985)*('تشخيص الحالات'!$G$2:$G$1001=7)*ROW('تشخيص الحالات'!$B$2:$B$1001))-1),""),"")&amp;IF(SUMPRODUCT(('تشخيص الحالات'!$B$2:$B$1001=B985)*('تشخيص الحالات'!$G$2:$G$1001=8))&gt;0,"، "&amp;IFERROR(INDEX('تشخيص الحالات'!$D$2:$D$1001,SUMPRODUCT(('تشخيص الحالات'!$B$2:$B$1001=B985)*('تشخيص الحالات'!$G$2:$G$1001=8)*ROW('تشخيص الحالات'!$B$2:$B$1001))-1),""),"")</f>
        <v/>
      </c>
      <c r="J985" s="1"/>
      <c r="K985" s="1"/>
      <c r="L985" s="1"/>
      <c r="M985" s="1"/>
    </row>
    <row r="986" spans="1:13" x14ac:dyDescent="0.2">
      <c r="A986" s="1"/>
      <c r="B986" s="1"/>
      <c r="C986" s="1"/>
      <c r="D986" s="1"/>
      <c r="E986" s="1"/>
      <c r="F986" s="1"/>
      <c r="G986" s="1"/>
      <c r="H986" s="1"/>
      <c r="I986" t="str">
        <f>IFERROR(INDEX('تشخيص الحالات'!$D$2:$D$1001,SUMPRODUCT(('تشخيص الحالات'!$B$2:$B$1001=B986)*('تشخيص الحالات'!$G$2:$G$1001=1)*ROW('تشخيص الحالات'!$B$2:$B$1001))-1),"")&amp;IF(SUMPRODUCT(('تشخيص الحالات'!$B$2:$B$1001=B986)*('تشخيص الحالات'!$G$2:$G$1001=2))&gt;0,"، "&amp;IFERROR(INDEX('تشخيص الحالات'!$D$2:$D$1001,SUMPRODUCT(('تشخيص الحالات'!$B$2:$B$1001=B986)*('تشخيص الحالات'!$G$2:$G$1001=2)*ROW('تشخيص الحالات'!$B$2:$B$1001))-1),""),"")&amp;IF(SUMPRODUCT(('تشخيص الحالات'!$B$2:$B$1001=B986)*('تشخيص الحالات'!$G$2:$G$1001=3))&gt;0,"، "&amp;IFERROR(INDEX('تشخيص الحالات'!$D$2:$D$1001,SUMPRODUCT(('تشخيص الحالات'!$B$2:$B$1001=B986)*('تشخيص الحالات'!$G$2:$G$1001=3)*ROW('تشخيص الحالات'!$B$2:$B$1001))-1),""),"")&amp;IF(SUMPRODUCT(('تشخيص الحالات'!$B$2:$B$1001=B986)*('تشخيص الحالات'!$G$2:$G$1001=4))&gt;0,"، "&amp;IFERROR(INDEX('تشخيص الحالات'!$D$2:$D$1001,SUMPRODUCT(('تشخيص الحالات'!$B$2:$B$1001=B986)*('تشخيص الحالات'!$G$2:$G$1001=4)*ROW('تشخيص الحالات'!$B$2:$B$1001))-1),""),"")&amp;IF(SUMPRODUCT(('تشخيص الحالات'!$B$2:$B$1001=B986)*('تشخيص الحالات'!$G$2:$G$1001=5))&gt;0,"، "&amp;IFERROR(INDEX('تشخيص الحالات'!$D$2:$D$1001,SUMPRODUCT(('تشخيص الحالات'!$B$2:$B$1001=B986)*('تشخيص الحالات'!$G$2:$G$1001=5)*ROW('تشخيص الحالات'!$B$2:$B$1001))-1),""),"")&amp;IF(SUMPRODUCT(('تشخيص الحالات'!$B$2:$B$1001=B986)*('تشخيص الحالات'!$G$2:$G$1001=6))&gt;0,"، "&amp;IFERROR(INDEX('تشخيص الحالات'!$D$2:$D$1001,SUMPRODUCT(('تشخيص الحالات'!$B$2:$B$1001=B986)*('تشخيص الحالات'!$G$2:$G$1001=6)*ROW('تشخيص الحالات'!$B$2:$B$1001))-1),""),"")&amp;IF(SUMPRODUCT(('تشخيص الحالات'!$B$2:$B$1001=B986)*('تشخيص الحالات'!$G$2:$G$1001=7))&gt;0,"، "&amp;IFERROR(INDEX('تشخيص الحالات'!$D$2:$D$1001,SUMPRODUCT(('تشخيص الحالات'!$B$2:$B$1001=B986)*('تشخيص الحالات'!$G$2:$G$1001=7)*ROW('تشخيص الحالات'!$B$2:$B$1001))-1),""),"")&amp;IF(SUMPRODUCT(('تشخيص الحالات'!$B$2:$B$1001=B986)*('تشخيص الحالات'!$G$2:$G$1001=8))&gt;0,"، "&amp;IFERROR(INDEX('تشخيص الحالات'!$D$2:$D$1001,SUMPRODUCT(('تشخيص الحالات'!$B$2:$B$1001=B986)*('تشخيص الحالات'!$G$2:$G$1001=8)*ROW('تشخيص الحالات'!$B$2:$B$1001))-1),""),"")</f>
        <v/>
      </c>
      <c r="J986" s="1"/>
      <c r="K986" s="1"/>
      <c r="L986" s="1"/>
      <c r="M986" s="1"/>
    </row>
    <row r="987" spans="1:13" x14ac:dyDescent="0.2">
      <c r="A987" s="1"/>
      <c r="B987" s="1"/>
      <c r="C987" s="1"/>
      <c r="D987" s="1"/>
      <c r="E987" s="1"/>
      <c r="F987" s="1"/>
      <c r="G987" s="1"/>
      <c r="H987" s="1"/>
      <c r="I987" t="str">
        <f>IFERROR(INDEX('تشخيص الحالات'!$D$2:$D$1001,SUMPRODUCT(('تشخيص الحالات'!$B$2:$B$1001=B987)*('تشخيص الحالات'!$G$2:$G$1001=1)*ROW('تشخيص الحالات'!$B$2:$B$1001))-1),"")&amp;IF(SUMPRODUCT(('تشخيص الحالات'!$B$2:$B$1001=B987)*('تشخيص الحالات'!$G$2:$G$1001=2))&gt;0,"، "&amp;IFERROR(INDEX('تشخيص الحالات'!$D$2:$D$1001,SUMPRODUCT(('تشخيص الحالات'!$B$2:$B$1001=B987)*('تشخيص الحالات'!$G$2:$G$1001=2)*ROW('تشخيص الحالات'!$B$2:$B$1001))-1),""),"")&amp;IF(SUMPRODUCT(('تشخيص الحالات'!$B$2:$B$1001=B987)*('تشخيص الحالات'!$G$2:$G$1001=3))&gt;0,"، "&amp;IFERROR(INDEX('تشخيص الحالات'!$D$2:$D$1001,SUMPRODUCT(('تشخيص الحالات'!$B$2:$B$1001=B987)*('تشخيص الحالات'!$G$2:$G$1001=3)*ROW('تشخيص الحالات'!$B$2:$B$1001))-1),""),"")&amp;IF(SUMPRODUCT(('تشخيص الحالات'!$B$2:$B$1001=B987)*('تشخيص الحالات'!$G$2:$G$1001=4))&gt;0,"، "&amp;IFERROR(INDEX('تشخيص الحالات'!$D$2:$D$1001,SUMPRODUCT(('تشخيص الحالات'!$B$2:$B$1001=B987)*('تشخيص الحالات'!$G$2:$G$1001=4)*ROW('تشخيص الحالات'!$B$2:$B$1001))-1),""),"")&amp;IF(SUMPRODUCT(('تشخيص الحالات'!$B$2:$B$1001=B987)*('تشخيص الحالات'!$G$2:$G$1001=5))&gt;0,"، "&amp;IFERROR(INDEX('تشخيص الحالات'!$D$2:$D$1001,SUMPRODUCT(('تشخيص الحالات'!$B$2:$B$1001=B987)*('تشخيص الحالات'!$G$2:$G$1001=5)*ROW('تشخيص الحالات'!$B$2:$B$1001))-1),""),"")&amp;IF(SUMPRODUCT(('تشخيص الحالات'!$B$2:$B$1001=B987)*('تشخيص الحالات'!$G$2:$G$1001=6))&gt;0,"، "&amp;IFERROR(INDEX('تشخيص الحالات'!$D$2:$D$1001,SUMPRODUCT(('تشخيص الحالات'!$B$2:$B$1001=B987)*('تشخيص الحالات'!$G$2:$G$1001=6)*ROW('تشخيص الحالات'!$B$2:$B$1001))-1),""),"")&amp;IF(SUMPRODUCT(('تشخيص الحالات'!$B$2:$B$1001=B987)*('تشخيص الحالات'!$G$2:$G$1001=7))&gt;0,"، "&amp;IFERROR(INDEX('تشخيص الحالات'!$D$2:$D$1001,SUMPRODUCT(('تشخيص الحالات'!$B$2:$B$1001=B987)*('تشخيص الحالات'!$G$2:$G$1001=7)*ROW('تشخيص الحالات'!$B$2:$B$1001))-1),""),"")&amp;IF(SUMPRODUCT(('تشخيص الحالات'!$B$2:$B$1001=B987)*('تشخيص الحالات'!$G$2:$G$1001=8))&gt;0,"، "&amp;IFERROR(INDEX('تشخيص الحالات'!$D$2:$D$1001,SUMPRODUCT(('تشخيص الحالات'!$B$2:$B$1001=B987)*('تشخيص الحالات'!$G$2:$G$1001=8)*ROW('تشخيص الحالات'!$B$2:$B$1001))-1),""),"")</f>
        <v/>
      </c>
      <c r="J987" s="1"/>
      <c r="K987" s="1"/>
      <c r="L987" s="1"/>
      <c r="M987" s="1"/>
    </row>
    <row r="988" spans="1:13" x14ac:dyDescent="0.2">
      <c r="A988" s="1"/>
      <c r="B988" s="1"/>
      <c r="C988" s="1"/>
      <c r="D988" s="1"/>
      <c r="E988" s="1"/>
      <c r="F988" s="1"/>
      <c r="G988" s="1"/>
      <c r="H988" s="1"/>
      <c r="I988" t="str">
        <f>IFERROR(INDEX('تشخيص الحالات'!$D$2:$D$1001,SUMPRODUCT(('تشخيص الحالات'!$B$2:$B$1001=B988)*('تشخيص الحالات'!$G$2:$G$1001=1)*ROW('تشخيص الحالات'!$B$2:$B$1001))-1),"")&amp;IF(SUMPRODUCT(('تشخيص الحالات'!$B$2:$B$1001=B988)*('تشخيص الحالات'!$G$2:$G$1001=2))&gt;0,"، "&amp;IFERROR(INDEX('تشخيص الحالات'!$D$2:$D$1001,SUMPRODUCT(('تشخيص الحالات'!$B$2:$B$1001=B988)*('تشخيص الحالات'!$G$2:$G$1001=2)*ROW('تشخيص الحالات'!$B$2:$B$1001))-1),""),"")&amp;IF(SUMPRODUCT(('تشخيص الحالات'!$B$2:$B$1001=B988)*('تشخيص الحالات'!$G$2:$G$1001=3))&gt;0,"، "&amp;IFERROR(INDEX('تشخيص الحالات'!$D$2:$D$1001,SUMPRODUCT(('تشخيص الحالات'!$B$2:$B$1001=B988)*('تشخيص الحالات'!$G$2:$G$1001=3)*ROW('تشخيص الحالات'!$B$2:$B$1001))-1),""),"")&amp;IF(SUMPRODUCT(('تشخيص الحالات'!$B$2:$B$1001=B988)*('تشخيص الحالات'!$G$2:$G$1001=4))&gt;0,"، "&amp;IFERROR(INDEX('تشخيص الحالات'!$D$2:$D$1001,SUMPRODUCT(('تشخيص الحالات'!$B$2:$B$1001=B988)*('تشخيص الحالات'!$G$2:$G$1001=4)*ROW('تشخيص الحالات'!$B$2:$B$1001))-1),""),"")&amp;IF(SUMPRODUCT(('تشخيص الحالات'!$B$2:$B$1001=B988)*('تشخيص الحالات'!$G$2:$G$1001=5))&gt;0,"، "&amp;IFERROR(INDEX('تشخيص الحالات'!$D$2:$D$1001,SUMPRODUCT(('تشخيص الحالات'!$B$2:$B$1001=B988)*('تشخيص الحالات'!$G$2:$G$1001=5)*ROW('تشخيص الحالات'!$B$2:$B$1001))-1),""),"")&amp;IF(SUMPRODUCT(('تشخيص الحالات'!$B$2:$B$1001=B988)*('تشخيص الحالات'!$G$2:$G$1001=6))&gt;0,"، "&amp;IFERROR(INDEX('تشخيص الحالات'!$D$2:$D$1001,SUMPRODUCT(('تشخيص الحالات'!$B$2:$B$1001=B988)*('تشخيص الحالات'!$G$2:$G$1001=6)*ROW('تشخيص الحالات'!$B$2:$B$1001))-1),""),"")&amp;IF(SUMPRODUCT(('تشخيص الحالات'!$B$2:$B$1001=B988)*('تشخيص الحالات'!$G$2:$G$1001=7))&gt;0,"، "&amp;IFERROR(INDEX('تشخيص الحالات'!$D$2:$D$1001,SUMPRODUCT(('تشخيص الحالات'!$B$2:$B$1001=B988)*('تشخيص الحالات'!$G$2:$G$1001=7)*ROW('تشخيص الحالات'!$B$2:$B$1001))-1),""),"")&amp;IF(SUMPRODUCT(('تشخيص الحالات'!$B$2:$B$1001=B988)*('تشخيص الحالات'!$G$2:$G$1001=8))&gt;0,"، "&amp;IFERROR(INDEX('تشخيص الحالات'!$D$2:$D$1001,SUMPRODUCT(('تشخيص الحالات'!$B$2:$B$1001=B988)*('تشخيص الحالات'!$G$2:$G$1001=8)*ROW('تشخيص الحالات'!$B$2:$B$1001))-1),""),"")</f>
        <v/>
      </c>
      <c r="J988" s="1"/>
      <c r="K988" s="1"/>
      <c r="L988" s="1"/>
      <c r="M988" s="1"/>
    </row>
    <row r="989" spans="1:13" x14ac:dyDescent="0.2">
      <c r="A989" s="1"/>
      <c r="B989" s="1"/>
      <c r="C989" s="1"/>
      <c r="D989" s="1"/>
      <c r="E989" s="1"/>
      <c r="F989" s="1"/>
      <c r="G989" s="1"/>
      <c r="H989" s="1"/>
      <c r="I989" t="str">
        <f>IFERROR(INDEX('تشخيص الحالات'!$D$2:$D$1001,SUMPRODUCT(('تشخيص الحالات'!$B$2:$B$1001=B989)*('تشخيص الحالات'!$G$2:$G$1001=1)*ROW('تشخيص الحالات'!$B$2:$B$1001))-1),"")&amp;IF(SUMPRODUCT(('تشخيص الحالات'!$B$2:$B$1001=B989)*('تشخيص الحالات'!$G$2:$G$1001=2))&gt;0,"، "&amp;IFERROR(INDEX('تشخيص الحالات'!$D$2:$D$1001,SUMPRODUCT(('تشخيص الحالات'!$B$2:$B$1001=B989)*('تشخيص الحالات'!$G$2:$G$1001=2)*ROW('تشخيص الحالات'!$B$2:$B$1001))-1),""),"")&amp;IF(SUMPRODUCT(('تشخيص الحالات'!$B$2:$B$1001=B989)*('تشخيص الحالات'!$G$2:$G$1001=3))&gt;0,"، "&amp;IFERROR(INDEX('تشخيص الحالات'!$D$2:$D$1001,SUMPRODUCT(('تشخيص الحالات'!$B$2:$B$1001=B989)*('تشخيص الحالات'!$G$2:$G$1001=3)*ROW('تشخيص الحالات'!$B$2:$B$1001))-1),""),"")&amp;IF(SUMPRODUCT(('تشخيص الحالات'!$B$2:$B$1001=B989)*('تشخيص الحالات'!$G$2:$G$1001=4))&gt;0,"، "&amp;IFERROR(INDEX('تشخيص الحالات'!$D$2:$D$1001,SUMPRODUCT(('تشخيص الحالات'!$B$2:$B$1001=B989)*('تشخيص الحالات'!$G$2:$G$1001=4)*ROW('تشخيص الحالات'!$B$2:$B$1001))-1),""),"")&amp;IF(SUMPRODUCT(('تشخيص الحالات'!$B$2:$B$1001=B989)*('تشخيص الحالات'!$G$2:$G$1001=5))&gt;0,"، "&amp;IFERROR(INDEX('تشخيص الحالات'!$D$2:$D$1001,SUMPRODUCT(('تشخيص الحالات'!$B$2:$B$1001=B989)*('تشخيص الحالات'!$G$2:$G$1001=5)*ROW('تشخيص الحالات'!$B$2:$B$1001))-1),""),"")&amp;IF(SUMPRODUCT(('تشخيص الحالات'!$B$2:$B$1001=B989)*('تشخيص الحالات'!$G$2:$G$1001=6))&gt;0,"، "&amp;IFERROR(INDEX('تشخيص الحالات'!$D$2:$D$1001,SUMPRODUCT(('تشخيص الحالات'!$B$2:$B$1001=B989)*('تشخيص الحالات'!$G$2:$G$1001=6)*ROW('تشخيص الحالات'!$B$2:$B$1001))-1),""),"")&amp;IF(SUMPRODUCT(('تشخيص الحالات'!$B$2:$B$1001=B989)*('تشخيص الحالات'!$G$2:$G$1001=7))&gt;0,"، "&amp;IFERROR(INDEX('تشخيص الحالات'!$D$2:$D$1001,SUMPRODUCT(('تشخيص الحالات'!$B$2:$B$1001=B989)*('تشخيص الحالات'!$G$2:$G$1001=7)*ROW('تشخيص الحالات'!$B$2:$B$1001))-1),""),"")&amp;IF(SUMPRODUCT(('تشخيص الحالات'!$B$2:$B$1001=B989)*('تشخيص الحالات'!$G$2:$G$1001=8))&gt;0,"، "&amp;IFERROR(INDEX('تشخيص الحالات'!$D$2:$D$1001,SUMPRODUCT(('تشخيص الحالات'!$B$2:$B$1001=B989)*('تشخيص الحالات'!$G$2:$G$1001=8)*ROW('تشخيص الحالات'!$B$2:$B$1001))-1),""),"")</f>
        <v/>
      </c>
      <c r="J989" s="1"/>
      <c r="K989" s="1"/>
      <c r="L989" s="1"/>
      <c r="M989" s="1"/>
    </row>
    <row r="990" spans="1:13" x14ac:dyDescent="0.2">
      <c r="A990" s="1"/>
      <c r="B990" s="1"/>
      <c r="C990" s="1"/>
      <c r="D990" s="1"/>
      <c r="E990" s="1"/>
      <c r="F990" s="1"/>
      <c r="G990" s="1"/>
      <c r="H990" s="1"/>
      <c r="I990" t="str">
        <f>IFERROR(INDEX('تشخيص الحالات'!$D$2:$D$1001,SUMPRODUCT(('تشخيص الحالات'!$B$2:$B$1001=B990)*('تشخيص الحالات'!$G$2:$G$1001=1)*ROW('تشخيص الحالات'!$B$2:$B$1001))-1),"")&amp;IF(SUMPRODUCT(('تشخيص الحالات'!$B$2:$B$1001=B990)*('تشخيص الحالات'!$G$2:$G$1001=2))&gt;0,"، "&amp;IFERROR(INDEX('تشخيص الحالات'!$D$2:$D$1001,SUMPRODUCT(('تشخيص الحالات'!$B$2:$B$1001=B990)*('تشخيص الحالات'!$G$2:$G$1001=2)*ROW('تشخيص الحالات'!$B$2:$B$1001))-1),""),"")&amp;IF(SUMPRODUCT(('تشخيص الحالات'!$B$2:$B$1001=B990)*('تشخيص الحالات'!$G$2:$G$1001=3))&gt;0,"، "&amp;IFERROR(INDEX('تشخيص الحالات'!$D$2:$D$1001,SUMPRODUCT(('تشخيص الحالات'!$B$2:$B$1001=B990)*('تشخيص الحالات'!$G$2:$G$1001=3)*ROW('تشخيص الحالات'!$B$2:$B$1001))-1),""),"")&amp;IF(SUMPRODUCT(('تشخيص الحالات'!$B$2:$B$1001=B990)*('تشخيص الحالات'!$G$2:$G$1001=4))&gt;0,"، "&amp;IFERROR(INDEX('تشخيص الحالات'!$D$2:$D$1001,SUMPRODUCT(('تشخيص الحالات'!$B$2:$B$1001=B990)*('تشخيص الحالات'!$G$2:$G$1001=4)*ROW('تشخيص الحالات'!$B$2:$B$1001))-1),""),"")&amp;IF(SUMPRODUCT(('تشخيص الحالات'!$B$2:$B$1001=B990)*('تشخيص الحالات'!$G$2:$G$1001=5))&gt;0,"، "&amp;IFERROR(INDEX('تشخيص الحالات'!$D$2:$D$1001,SUMPRODUCT(('تشخيص الحالات'!$B$2:$B$1001=B990)*('تشخيص الحالات'!$G$2:$G$1001=5)*ROW('تشخيص الحالات'!$B$2:$B$1001))-1),""),"")&amp;IF(SUMPRODUCT(('تشخيص الحالات'!$B$2:$B$1001=B990)*('تشخيص الحالات'!$G$2:$G$1001=6))&gt;0,"، "&amp;IFERROR(INDEX('تشخيص الحالات'!$D$2:$D$1001,SUMPRODUCT(('تشخيص الحالات'!$B$2:$B$1001=B990)*('تشخيص الحالات'!$G$2:$G$1001=6)*ROW('تشخيص الحالات'!$B$2:$B$1001))-1),""),"")&amp;IF(SUMPRODUCT(('تشخيص الحالات'!$B$2:$B$1001=B990)*('تشخيص الحالات'!$G$2:$G$1001=7))&gt;0,"، "&amp;IFERROR(INDEX('تشخيص الحالات'!$D$2:$D$1001,SUMPRODUCT(('تشخيص الحالات'!$B$2:$B$1001=B990)*('تشخيص الحالات'!$G$2:$G$1001=7)*ROW('تشخيص الحالات'!$B$2:$B$1001))-1),""),"")&amp;IF(SUMPRODUCT(('تشخيص الحالات'!$B$2:$B$1001=B990)*('تشخيص الحالات'!$G$2:$G$1001=8))&gt;0,"، "&amp;IFERROR(INDEX('تشخيص الحالات'!$D$2:$D$1001,SUMPRODUCT(('تشخيص الحالات'!$B$2:$B$1001=B990)*('تشخيص الحالات'!$G$2:$G$1001=8)*ROW('تشخيص الحالات'!$B$2:$B$1001))-1),""),"")</f>
        <v/>
      </c>
      <c r="J990" s="1"/>
      <c r="K990" s="1"/>
      <c r="L990" s="1"/>
      <c r="M990" s="1"/>
    </row>
    <row r="991" spans="1:13" x14ac:dyDescent="0.2">
      <c r="A991" s="1"/>
      <c r="B991" s="1"/>
      <c r="C991" s="1"/>
      <c r="D991" s="1"/>
      <c r="E991" s="1"/>
      <c r="F991" s="1"/>
      <c r="G991" s="1"/>
      <c r="H991" s="1"/>
      <c r="I991" t="str">
        <f>IFERROR(INDEX('تشخيص الحالات'!$D$2:$D$1001,SUMPRODUCT(('تشخيص الحالات'!$B$2:$B$1001=B991)*('تشخيص الحالات'!$G$2:$G$1001=1)*ROW('تشخيص الحالات'!$B$2:$B$1001))-1),"")&amp;IF(SUMPRODUCT(('تشخيص الحالات'!$B$2:$B$1001=B991)*('تشخيص الحالات'!$G$2:$G$1001=2))&gt;0,"، "&amp;IFERROR(INDEX('تشخيص الحالات'!$D$2:$D$1001,SUMPRODUCT(('تشخيص الحالات'!$B$2:$B$1001=B991)*('تشخيص الحالات'!$G$2:$G$1001=2)*ROW('تشخيص الحالات'!$B$2:$B$1001))-1),""),"")&amp;IF(SUMPRODUCT(('تشخيص الحالات'!$B$2:$B$1001=B991)*('تشخيص الحالات'!$G$2:$G$1001=3))&gt;0,"، "&amp;IFERROR(INDEX('تشخيص الحالات'!$D$2:$D$1001,SUMPRODUCT(('تشخيص الحالات'!$B$2:$B$1001=B991)*('تشخيص الحالات'!$G$2:$G$1001=3)*ROW('تشخيص الحالات'!$B$2:$B$1001))-1),""),"")&amp;IF(SUMPRODUCT(('تشخيص الحالات'!$B$2:$B$1001=B991)*('تشخيص الحالات'!$G$2:$G$1001=4))&gt;0,"، "&amp;IFERROR(INDEX('تشخيص الحالات'!$D$2:$D$1001,SUMPRODUCT(('تشخيص الحالات'!$B$2:$B$1001=B991)*('تشخيص الحالات'!$G$2:$G$1001=4)*ROW('تشخيص الحالات'!$B$2:$B$1001))-1),""),"")&amp;IF(SUMPRODUCT(('تشخيص الحالات'!$B$2:$B$1001=B991)*('تشخيص الحالات'!$G$2:$G$1001=5))&gt;0,"، "&amp;IFERROR(INDEX('تشخيص الحالات'!$D$2:$D$1001,SUMPRODUCT(('تشخيص الحالات'!$B$2:$B$1001=B991)*('تشخيص الحالات'!$G$2:$G$1001=5)*ROW('تشخيص الحالات'!$B$2:$B$1001))-1),""),"")&amp;IF(SUMPRODUCT(('تشخيص الحالات'!$B$2:$B$1001=B991)*('تشخيص الحالات'!$G$2:$G$1001=6))&gt;0,"، "&amp;IFERROR(INDEX('تشخيص الحالات'!$D$2:$D$1001,SUMPRODUCT(('تشخيص الحالات'!$B$2:$B$1001=B991)*('تشخيص الحالات'!$G$2:$G$1001=6)*ROW('تشخيص الحالات'!$B$2:$B$1001))-1),""),"")&amp;IF(SUMPRODUCT(('تشخيص الحالات'!$B$2:$B$1001=B991)*('تشخيص الحالات'!$G$2:$G$1001=7))&gt;0,"، "&amp;IFERROR(INDEX('تشخيص الحالات'!$D$2:$D$1001,SUMPRODUCT(('تشخيص الحالات'!$B$2:$B$1001=B991)*('تشخيص الحالات'!$G$2:$G$1001=7)*ROW('تشخيص الحالات'!$B$2:$B$1001))-1),""),"")&amp;IF(SUMPRODUCT(('تشخيص الحالات'!$B$2:$B$1001=B991)*('تشخيص الحالات'!$G$2:$G$1001=8))&gt;0,"، "&amp;IFERROR(INDEX('تشخيص الحالات'!$D$2:$D$1001,SUMPRODUCT(('تشخيص الحالات'!$B$2:$B$1001=B991)*('تشخيص الحالات'!$G$2:$G$1001=8)*ROW('تشخيص الحالات'!$B$2:$B$1001))-1),""),"")</f>
        <v/>
      </c>
      <c r="J991" s="1"/>
      <c r="K991" s="1"/>
      <c r="L991" s="1"/>
      <c r="M991" s="1"/>
    </row>
    <row r="992" spans="1:13" x14ac:dyDescent="0.2">
      <c r="A992" s="1"/>
      <c r="B992" s="1"/>
      <c r="C992" s="1"/>
      <c r="D992" s="1"/>
      <c r="E992" s="1"/>
      <c r="F992" s="1"/>
      <c r="G992" s="1"/>
      <c r="H992" s="1"/>
      <c r="I992" t="str">
        <f>IFERROR(INDEX('تشخيص الحالات'!$D$2:$D$1001,SUMPRODUCT(('تشخيص الحالات'!$B$2:$B$1001=B992)*('تشخيص الحالات'!$G$2:$G$1001=1)*ROW('تشخيص الحالات'!$B$2:$B$1001))-1),"")&amp;IF(SUMPRODUCT(('تشخيص الحالات'!$B$2:$B$1001=B992)*('تشخيص الحالات'!$G$2:$G$1001=2))&gt;0,"، "&amp;IFERROR(INDEX('تشخيص الحالات'!$D$2:$D$1001,SUMPRODUCT(('تشخيص الحالات'!$B$2:$B$1001=B992)*('تشخيص الحالات'!$G$2:$G$1001=2)*ROW('تشخيص الحالات'!$B$2:$B$1001))-1),""),"")&amp;IF(SUMPRODUCT(('تشخيص الحالات'!$B$2:$B$1001=B992)*('تشخيص الحالات'!$G$2:$G$1001=3))&gt;0,"، "&amp;IFERROR(INDEX('تشخيص الحالات'!$D$2:$D$1001,SUMPRODUCT(('تشخيص الحالات'!$B$2:$B$1001=B992)*('تشخيص الحالات'!$G$2:$G$1001=3)*ROW('تشخيص الحالات'!$B$2:$B$1001))-1),""),"")&amp;IF(SUMPRODUCT(('تشخيص الحالات'!$B$2:$B$1001=B992)*('تشخيص الحالات'!$G$2:$G$1001=4))&gt;0,"، "&amp;IFERROR(INDEX('تشخيص الحالات'!$D$2:$D$1001,SUMPRODUCT(('تشخيص الحالات'!$B$2:$B$1001=B992)*('تشخيص الحالات'!$G$2:$G$1001=4)*ROW('تشخيص الحالات'!$B$2:$B$1001))-1),""),"")&amp;IF(SUMPRODUCT(('تشخيص الحالات'!$B$2:$B$1001=B992)*('تشخيص الحالات'!$G$2:$G$1001=5))&gt;0,"، "&amp;IFERROR(INDEX('تشخيص الحالات'!$D$2:$D$1001,SUMPRODUCT(('تشخيص الحالات'!$B$2:$B$1001=B992)*('تشخيص الحالات'!$G$2:$G$1001=5)*ROW('تشخيص الحالات'!$B$2:$B$1001))-1),""),"")&amp;IF(SUMPRODUCT(('تشخيص الحالات'!$B$2:$B$1001=B992)*('تشخيص الحالات'!$G$2:$G$1001=6))&gt;0,"، "&amp;IFERROR(INDEX('تشخيص الحالات'!$D$2:$D$1001,SUMPRODUCT(('تشخيص الحالات'!$B$2:$B$1001=B992)*('تشخيص الحالات'!$G$2:$G$1001=6)*ROW('تشخيص الحالات'!$B$2:$B$1001))-1),""),"")&amp;IF(SUMPRODUCT(('تشخيص الحالات'!$B$2:$B$1001=B992)*('تشخيص الحالات'!$G$2:$G$1001=7))&gt;0,"، "&amp;IFERROR(INDEX('تشخيص الحالات'!$D$2:$D$1001,SUMPRODUCT(('تشخيص الحالات'!$B$2:$B$1001=B992)*('تشخيص الحالات'!$G$2:$G$1001=7)*ROW('تشخيص الحالات'!$B$2:$B$1001))-1),""),"")&amp;IF(SUMPRODUCT(('تشخيص الحالات'!$B$2:$B$1001=B992)*('تشخيص الحالات'!$G$2:$G$1001=8))&gt;0,"، "&amp;IFERROR(INDEX('تشخيص الحالات'!$D$2:$D$1001,SUMPRODUCT(('تشخيص الحالات'!$B$2:$B$1001=B992)*('تشخيص الحالات'!$G$2:$G$1001=8)*ROW('تشخيص الحالات'!$B$2:$B$1001))-1),""),"")</f>
        <v/>
      </c>
      <c r="J992" s="1"/>
      <c r="K992" s="1"/>
      <c r="L992" s="1"/>
      <c r="M992" s="1"/>
    </row>
    <row r="993" spans="1:13" x14ac:dyDescent="0.2">
      <c r="A993" s="1"/>
      <c r="B993" s="1"/>
      <c r="C993" s="1"/>
      <c r="D993" s="1"/>
      <c r="E993" s="1"/>
      <c r="F993" s="1"/>
      <c r="G993" s="1"/>
      <c r="H993" s="1"/>
      <c r="I993" t="str">
        <f>IFERROR(INDEX('تشخيص الحالات'!$D$2:$D$1001,SUMPRODUCT(('تشخيص الحالات'!$B$2:$B$1001=B993)*('تشخيص الحالات'!$G$2:$G$1001=1)*ROW('تشخيص الحالات'!$B$2:$B$1001))-1),"")&amp;IF(SUMPRODUCT(('تشخيص الحالات'!$B$2:$B$1001=B993)*('تشخيص الحالات'!$G$2:$G$1001=2))&gt;0,"، "&amp;IFERROR(INDEX('تشخيص الحالات'!$D$2:$D$1001,SUMPRODUCT(('تشخيص الحالات'!$B$2:$B$1001=B993)*('تشخيص الحالات'!$G$2:$G$1001=2)*ROW('تشخيص الحالات'!$B$2:$B$1001))-1),""),"")&amp;IF(SUMPRODUCT(('تشخيص الحالات'!$B$2:$B$1001=B993)*('تشخيص الحالات'!$G$2:$G$1001=3))&gt;0,"، "&amp;IFERROR(INDEX('تشخيص الحالات'!$D$2:$D$1001,SUMPRODUCT(('تشخيص الحالات'!$B$2:$B$1001=B993)*('تشخيص الحالات'!$G$2:$G$1001=3)*ROW('تشخيص الحالات'!$B$2:$B$1001))-1),""),"")&amp;IF(SUMPRODUCT(('تشخيص الحالات'!$B$2:$B$1001=B993)*('تشخيص الحالات'!$G$2:$G$1001=4))&gt;0,"، "&amp;IFERROR(INDEX('تشخيص الحالات'!$D$2:$D$1001,SUMPRODUCT(('تشخيص الحالات'!$B$2:$B$1001=B993)*('تشخيص الحالات'!$G$2:$G$1001=4)*ROW('تشخيص الحالات'!$B$2:$B$1001))-1),""),"")&amp;IF(SUMPRODUCT(('تشخيص الحالات'!$B$2:$B$1001=B993)*('تشخيص الحالات'!$G$2:$G$1001=5))&gt;0,"، "&amp;IFERROR(INDEX('تشخيص الحالات'!$D$2:$D$1001,SUMPRODUCT(('تشخيص الحالات'!$B$2:$B$1001=B993)*('تشخيص الحالات'!$G$2:$G$1001=5)*ROW('تشخيص الحالات'!$B$2:$B$1001))-1),""),"")&amp;IF(SUMPRODUCT(('تشخيص الحالات'!$B$2:$B$1001=B993)*('تشخيص الحالات'!$G$2:$G$1001=6))&gt;0,"، "&amp;IFERROR(INDEX('تشخيص الحالات'!$D$2:$D$1001,SUMPRODUCT(('تشخيص الحالات'!$B$2:$B$1001=B993)*('تشخيص الحالات'!$G$2:$G$1001=6)*ROW('تشخيص الحالات'!$B$2:$B$1001))-1),""),"")&amp;IF(SUMPRODUCT(('تشخيص الحالات'!$B$2:$B$1001=B993)*('تشخيص الحالات'!$G$2:$G$1001=7))&gt;0,"، "&amp;IFERROR(INDEX('تشخيص الحالات'!$D$2:$D$1001,SUMPRODUCT(('تشخيص الحالات'!$B$2:$B$1001=B993)*('تشخيص الحالات'!$G$2:$G$1001=7)*ROW('تشخيص الحالات'!$B$2:$B$1001))-1),""),"")&amp;IF(SUMPRODUCT(('تشخيص الحالات'!$B$2:$B$1001=B993)*('تشخيص الحالات'!$G$2:$G$1001=8))&gt;0,"، "&amp;IFERROR(INDEX('تشخيص الحالات'!$D$2:$D$1001,SUMPRODUCT(('تشخيص الحالات'!$B$2:$B$1001=B993)*('تشخيص الحالات'!$G$2:$G$1001=8)*ROW('تشخيص الحالات'!$B$2:$B$1001))-1),""),"")</f>
        <v/>
      </c>
      <c r="J993" s="1"/>
      <c r="K993" s="1"/>
      <c r="L993" s="1"/>
      <c r="M993" s="1"/>
    </row>
    <row r="994" spans="1:13" x14ac:dyDescent="0.2">
      <c r="A994" s="1"/>
      <c r="B994" s="1"/>
      <c r="C994" s="1"/>
      <c r="D994" s="1"/>
      <c r="E994" s="1"/>
      <c r="F994" s="1"/>
      <c r="G994" s="1"/>
      <c r="H994" s="1"/>
      <c r="I994" t="str">
        <f>IFERROR(INDEX('تشخيص الحالات'!$D$2:$D$1001,SUMPRODUCT(('تشخيص الحالات'!$B$2:$B$1001=B994)*('تشخيص الحالات'!$G$2:$G$1001=1)*ROW('تشخيص الحالات'!$B$2:$B$1001))-1),"")&amp;IF(SUMPRODUCT(('تشخيص الحالات'!$B$2:$B$1001=B994)*('تشخيص الحالات'!$G$2:$G$1001=2))&gt;0,"، "&amp;IFERROR(INDEX('تشخيص الحالات'!$D$2:$D$1001,SUMPRODUCT(('تشخيص الحالات'!$B$2:$B$1001=B994)*('تشخيص الحالات'!$G$2:$G$1001=2)*ROW('تشخيص الحالات'!$B$2:$B$1001))-1),""),"")&amp;IF(SUMPRODUCT(('تشخيص الحالات'!$B$2:$B$1001=B994)*('تشخيص الحالات'!$G$2:$G$1001=3))&gt;0,"، "&amp;IFERROR(INDEX('تشخيص الحالات'!$D$2:$D$1001,SUMPRODUCT(('تشخيص الحالات'!$B$2:$B$1001=B994)*('تشخيص الحالات'!$G$2:$G$1001=3)*ROW('تشخيص الحالات'!$B$2:$B$1001))-1),""),"")&amp;IF(SUMPRODUCT(('تشخيص الحالات'!$B$2:$B$1001=B994)*('تشخيص الحالات'!$G$2:$G$1001=4))&gt;0,"، "&amp;IFERROR(INDEX('تشخيص الحالات'!$D$2:$D$1001,SUMPRODUCT(('تشخيص الحالات'!$B$2:$B$1001=B994)*('تشخيص الحالات'!$G$2:$G$1001=4)*ROW('تشخيص الحالات'!$B$2:$B$1001))-1),""),"")&amp;IF(SUMPRODUCT(('تشخيص الحالات'!$B$2:$B$1001=B994)*('تشخيص الحالات'!$G$2:$G$1001=5))&gt;0,"، "&amp;IFERROR(INDEX('تشخيص الحالات'!$D$2:$D$1001,SUMPRODUCT(('تشخيص الحالات'!$B$2:$B$1001=B994)*('تشخيص الحالات'!$G$2:$G$1001=5)*ROW('تشخيص الحالات'!$B$2:$B$1001))-1),""),"")&amp;IF(SUMPRODUCT(('تشخيص الحالات'!$B$2:$B$1001=B994)*('تشخيص الحالات'!$G$2:$G$1001=6))&gt;0,"، "&amp;IFERROR(INDEX('تشخيص الحالات'!$D$2:$D$1001,SUMPRODUCT(('تشخيص الحالات'!$B$2:$B$1001=B994)*('تشخيص الحالات'!$G$2:$G$1001=6)*ROW('تشخيص الحالات'!$B$2:$B$1001))-1),""),"")&amp;IF(SUMPRODUCT(('تشخيص الحالات'!$B$2:$B$1001=B994)*('تشخيص الحالات'!$G$2:$G$1001=7))&gt;0,"، "&amp;IFERROR(INDEX('تشخيص الحالات'!$D$2:$D$1001,SUMPRODUCT(('تشخيص الحالات'!$B$2:$B$1001=B994)*('تشخيص الحالات'!$G$2:$G$1001=7)*ROW('تشخيص الحالات'!$B$2:$B$1001))-1),""),"")&amp;IF(SUMPRODUCT(('تشخيص الحالات'!$B$2:$B$1001=B994)*('تشخيص الحالات'!$G$2:$G$1001=8))&gt;0,"، "&amp;IFERROR(INDEX('تشخيص الحالات'!$D$2:$D$1001,SUMPRODUCT(('تشخيص الحالات'!$B$2:$B$1001=B994)*('تشخيص الحالات'!$G$2:$G$1001=8)*ROW('تشخيص الحالات'!$B$2:$B$1001))-1),""),"")</f>
        <v/>
      </c>
      <c r="J994" s="1"/>
      <c r="K994" s="1"/>
      <c r="L994" s="1"/>
      <c r="M994" s="1"/>
    </row>
    <row r="995" spans="1:13" x14ac:dyDescent="0.2">
      <c r="A995" s="1"/>
      <c r="B995" s="1"/>
      <c r="C995" s="1"/>
      <c r="D995" s="1"/>
      <c r="E995" s="1"/>
      <c r="F995" s="1"/>
      <c r="G995" s="1"/>
      <c r="H995" s="1"/>
      <c r="I995" t="str">
        <f>IFERROR(INDEX('تشخيص الحالات'!$D$2:$D$1001,SUMPRODUCT(('تشخيص الحالات'!$B$2:$B$1001=B995)*('تشخيص الحالات'!$G$2:$G$1001=1)*ROW('تشخيص الحالات'!$B$2:$B$1001))-1),"")&amp;IF(SUMPRODUCT(('تشخيص الحالات'!$B$2:$B$1001=B995)*('تشخيص الحالات'!$G$2:$G$1001=2))&gt;0,"، "&amp;IFERROR(INDEX('تشخيص الحالات'!$D$2:$D$1001,SUMPRODUCT(('تشخيص الحالات'!$B$2:$B$1001=B995)*('تشخيص الحالات'!$G$2:$G$1001=2)*ROW('تشخيص الحالات'!$B$2:$B$1001))-1),""),"")&amp;IF(SUMPRODUCT(('تشخيص الحالات'!$B$2:$B$1001=B995)*('تشخيص الحالات'!$G$2:$G$1001=3))&gt;0,"، "&amp;IFERROR(INDEX('تشخيص الحالات'!$D$2:$D$1001,SUMPRODUCT(('تشخيص الحالات'!$B$2:$B$1001=B995)*('تشخيص الحالات'!$G$2:$G$1001=3)*ROW('تشخيص الحالات'!$B$2:$B$1001))-1),""),"")&amp;IF(SUMPRODUCT(('تشخيص الحالات'!$B$2:$B$1001=B995)*('تشخيص الحالات'!$G$2:$G$1001=4))&gt;0,"، "&amp;IFERROR(INDEX('تشخيص الحالات'!$D$2:$D$1001,SUMPRODUCT(('تشخيص الحالات'!$B$2:$B$1001=B995)*('تشخيص الحالات'!$G$2:$G$1001=4)*ROW('تشخيص الحالات'!$B$2:$B$1001))-1),""),"")&amp;IF(SUMPRODUCT(('تشخيص الحالات'!$B$2:$B$1001=B995)*('تشخيص الحالات'!$G$2:$G$1001=5))&gt;0,"، "&amp;IFERROR(INDEX('تشخيص الحالات'!$D$2:$D$1001,SUMPRODUCT(('تشخيص الحالات'!$B$2:$B$1001=B995)*('تشخيص الحالات'!$G$2:$G$1001=5)*ROW('تشخيص الحالات'!$B$2:$B$1001))-1),""),"")&amp;IF(SUMPRODUCT(('تشخيص الحالات'!$B$2:$B$1001=B995)*('تشخيص الحالات'!$G$2:$G$1001=6))&gt;0,"، "&amp;IFERROR(INDEX('تشخيص الحالات'!$D$2:$D$1001,SUMPRODUCT(('تشخيص الحالات'!$B$2:$B$1001=B995)*('تشخيص الحالات'!$G$2:$G$1001=6)*ROW('تشخيص الحالات'!$B$2:$B$1001))-1),""),"")&amp;IF(SUMPRODUCT(('تشخيص الحالات'!$B$2:$B$1001=B995)*('تشخيص الحالات'!$G$2:$G$1001=7))&gt;0,"، "&amp;IFERROR(INDEX('تشخيص الحالات'!$D$2:$D$1001,SUMPRODUCT(('تشخيص الحالات'!$B$2:$B$1001=B995)*('تشخيص الحالات'!$G$2:$G$1001=7)*ROW('تشخيص الحالات'!$B$2:$B$1001))-1),""),"")&amp;IF(SUMPRODUCT(('تشخيص الحالات'!$B$2:$B$1001=B995)*('تشخيص الحالات'!$G$2:$G$1001=8))&gt;0,"، "&amp;IFERROR(INDEX('تشخيص الحالات'!$D$2:$D$1001,SUMPRODUCT(('تشخيص الحالات'!$B$2:$B$1001=B995)*('تشخيص الحالات'!$G$2:$G$1001=8)*ROW('تشخيص الحالات'!$B$2:$B$1001))-1),""),"")</f>
        <v/>
      </c>
      <c r="J995" s="1"/>
      <c r="K995" s="1"/>
      <c r="L995" s="1"/>
      <c r="M995" s="1"/>
    </row>
    <row r="996" spans="1:13" x14ac:dyDescent="0.2">
      <c r="A996" s="1"/>
      <c r="B996" s="1"/>
      <c r="C996" s="1"/>
      <c r="D996" s="1"/>
      <c r="E996" s="1"/>
      <c r="F996" s="1"/>
      <c r="G996" s="1"/>
      <c r="H996" s="1"/>
      <c r="I996" t="str">
        <f>IFERROR(INDEX('تشخيص الحالات'!$D$2:$D$1001,SUMPRODUCT(('تشخيص الحالات'!$B$2:$B$1001=B996)*('تشخيص الحالات'!$G$2:$G$1001=1)*ROW('تشخيص الحالات'!$B$2:$B$1001))-1),"")&amp;IF(SUMPRODUCT(('تشخيص الحالات'!$B$2:$B$1001=B996)*('تشخيص الحالات'!$G$2:$G$1001=2))&gt;0,"، "&amp;IFERROR(INDEX('تشخيص الحالات'!$D$2:$D$1001,SUMPRODUCT(('تشخيص الحالات'!$B$2:$B$1001=B996)*('تشخيص الحالات'!$G$2:$G$1001=2)*ROW('تشخيص الحالات'!$B$2:$B$1001))-1),""),"")&amp;IF(SUMPRODUCT(('تشخيص الحالات'!$B$2:$B$1001=B996)*('تشخيص الحالات'!$G$2:$G$1001=3))&gt;0,"، "&amp;IFERROR(INDEX('تشخيص الحالات'!$D$2:$D$1001,SUMPRODUCT(('تشخيص الحالات'!$B$2:$B$1001=B996)*('تشخيص الحالات'!$G$2:$G$1001=3)*ROW('تشخيص الحالات'!$B$2:$B$1001))-1),""),"")&amp;IF(SUMPRODUCT(('تشخيص الحالات'!$B$2:$B$1001=B996)*('تشخيص الحالات'!$G$2:$G$1001=4))&gt;0,"، "&amp;IFERROR(INDEX('تشخيص الحالات'!$D$2:$D$1001,SUMPRODUCT(('تشخيص الحالات'!$B$2:$B$1001=B996)*('تشخيص الحالات'!$G$2:$G$1001=4)*ROW('تشخيص الحالات'!$B$2:$B$1001))-1),""),"")&amp;IF(SUMPRODUCT(('تشخيص الحالات'!$B$2:$B$1001=B996)*('تشخيص الحالات'!$G$2:$G$1001=5))&gt;0,"، "&amp;IFERROR(INDEX('تشخيص الحالات'!$D$2:$D$1001,SUMPRODUCT(('تشخيص الحالات'!$B$2:$B$1001=B996)*('تشخيص الحالات'!$G$2:$G$1001=5)*ROW('تشخيص الحالات'!$B$2:$B$1001))-1),""),"")&amp;IF(SUMPRODUCT(('تشخيص الحالات'!$B$2:$B$1001=B996)*('تشخيص الحالات'!$G$2:$G$1001=6))&gt;0,"، "&amp;IFERROR(INDEX('تشخيص الحالات'!$D$2:$D$1001,SUMPRODUCT(('تشخيص الحالات'!$B$2:$B$1001=B996)*('تشخيص الحالات'!$G$2:$G$1001=6)*ROW('تشخيص الحالات'!$B$2:$B$1001))-1),""),"")&amp;IF(SUMPRODUCT(('تشخيص الحالات'!$B$2:$B$1001=B996)*('تشخيص الحالات'!$G$2:$G$1001=7))&gt;0,"، "&amp;IFERROR(INDEX('تشخيص الحالات'!$D$2:$D$1001,SUMPRODUCT(('تشخيص الحالات'!$B$2:$B$1001=B996)*('تشخيص الحالات'!$G$2:$G$1001=7)*ROW('تشخيص الحالات'!$B$2:$B$1001))-1),""),"")&amp;IF(SUMPRODUCT(('تشخيص الحالات'!$B$2:$B$1001=B996)*('تشخيص الحالات'!$G$2:$G$1001=8))&gt;0,"، "&amp;IFERROR(INDEX('تشخيص الحالات'!$D$2:$D$1001,SUMPRODUCT(('تشخيص الحالات'!$B$2:$B$1001=B996)*('تشخيص الحالات'!$G$2:$G$1001=8)*ROW('تشخيص الحالات'!$B$2:$B$1001))-1),""),"")</f>
        <v/>
      </c>
      <c r="J996" s="1"/>
      <c r="K996" s="1"/>
      <c r="L996" s="1"/>
      <c r="M996" s="1"/>
    </row>
    <row r="997" spans="1:13" x14ac:dyDescent="0.2">
      <c r="A997" s="1"/>
      <c r="B997" s="1"/>
      <c r="C997" s="1"/>
      <c r="D997" s="1"/>
      <c r="E997" s="1"/>
      <c r="F997" s="1"/>
      <c r="G997" s="1"/>
      <c r="H997" s="1"/>
      <c r="I997" t="str">
        <f>IFERROR(INDEX('تشخيص الحالات'!$D$2:$D$1001,SUMPRODUCT(('تشخيص الحالات'!$B$2:$B$1001=B997)*('تشخيص الحالات'!$G$2:$G$1001=1)*ROW('تشخيص الحالات'!$B$2:$B$1001))-1),"")&amp;IF(SUMPRODUCT(('تشخيص الحالات'!$B$2:$B$1001=B997)*('تشخيص الحالات'!$G$2:$G$1001=2))&gt;0,"، "&amp;IFERROR(INDEX('تشخيص الحالات'!$D$2:$D$1001,SUMPRODUCT(('تشخيص الحالات'!$B$2:$B$1001=B997)*('تشخيص الحالات'!$G$2:$G$1001=2)*ROW('تشخيص الحالات'!$B$2:$B$1001))-1),""),"")&amp;IF(SUMPRODUCT(('تشخيص الحالات'!$B$2:$B$1001=B997)*('تشخيص الحالات'!$G$2:$G$1001=3))&gt;0,"، "&amp;IFERROR(INDEX('تشخيص الحالات'!$D$2:$D$1001,SUMPRODUCT(('تشخيص الحالات'!$B$2:$B$1001=B997)*('تشخيص الحالات'!$G$2:$G$1001=3)*ROW('تشخيص الحالات'!$B$2:$B$1001))-1),""),"")&amp;IF(SUMPRODUCT(('تشخيص الحالات'!$B$2:$B$1001=B997)*('تشخيص الحالات'!$G$2:$G$1001=4))&gt;0,"، "&amp;IFERROR(INDEX('تشخيص الحالات'!$D$2:$D$1001,SUMPRODUCT(('تشخيص الحالات'!$B$2:$B$1001=B997)*('تشخيص الحالات'!$G$2:$G$1001=4)*ROW('تشخيص الحالات'!$B$2:$B$1001))-1),""),"")&amp;IF(SUMPRODUCT(('تشخيص الحالات'!$B$2:$B$1001=B997)*('تشخيص الحالات'!$G$2:$G$1001=5))&gt;0,"، "&amp;IFERROR(INDEX('تشخيص الحالات'!$D$2:$D$1001,SUMPRODUCT(('تشخيص الحالات'!$B$2:$B$1001=B997)*('تشخيص الحالات'!$G$2:$G$1001=5)*ROW('تشخيص الحالات'!$B$2:$B$1001))-1),""),"")&amp;IF(SUMPRODUCT(('تشخيص الحالات'!$B$2:$B$1001=B997)*('تشخيص الحالات'!$G$2:$G$1001=6))&gt;0,"، "&amp;IFERROR(INDEX('تشخيص الحالات'!$D$2:$D$1001,SUMPRODUCT(('تشخيص الحالات'!$B$2:$B$1001=B997)*('تشخيص الحالات'!$G$2:$G$1001=6)*ROW('تشخيص الحالات'!$B$2:$B$1001))-1),""),"")&amp;IF(SUMPRODUCT(('تشخيص الحالات'!$B$2:$B$1001=B997)*('تشخيص الحالات'!$G$2:$G$1001=7))&gt;0,"، "&amp;IFERROR(INDEX('تشخيص الحالات'!$D$2:$D$1001,SUMPRODUCT(('تشخيص الحالات'!$B$2:$B$1001=B997)*('تشخيص الحالات'!$G$2:$G$1001=7)*ROW('تشخيص الحالات'!$B$2:$B$1001))-1),""),"")&amp;IF(SUMPRODUCT(('تشخيص الحالات'!$B$2:$B$1001=B997)*('تشخيص الحالات'!$G$2:$G$1001=8))&gt;0,"، "&amp;IFERROR(INDEX('تشخيص الحالات'!$D$2:$D$1001,SUMPRODUCT(('تشخيص الحالات'!$B$2:$B$1001=B997)*('تشخيص الحالات'!$G$2:$G$1001=8)*ROW('تشخيص الحالات'!$B$2:$B$1001))-1),""),"")</f>
        <v/>
      </c>
      <c r="J997" s="1"/>
      <c r="K997" s="1"/>
      <c r="L997" s="1"/>
      <c r="M997" s="1"/>
    </row>
    <row r="998" spans="1:13" x14ac:dyDescent="0.2">
      <c r="A998" s="1"/>
      <c r="B998" s="1"/>
      <c r="C998" s="1"/>
      <c r="D998" s="1"/>
      <c r="E998" s="1"/>
      <c r="F998" s="1"/>
      <c r="G998" s="1"/>
      <c r="H998" s="1"/>
      <c r="I998" t="str">
        <f>IFERROR(INDEX('تشخيص الحالات'!$D$2:$D$1001,SUMPRODUCT(('تشخيص الحالات'!$B$2:$B$1001=B998)*('تشخيص الحالات'!$G$2:$G$1001=1)*ROW('تشخيص الحالات'!$B$2:$B$1001))-1),"")&amp;IF(SUMPRODUCT(('تشخيص الحالات'!$B$2:$B$1001=B998)*('تشخيص الحالات'!$G$2:$G$1001=2))&gt;0,"، "&amp;IFERROR(INDEX('تشخيص الحالات'!$D$2:$D$1001,SUMPRODUCT(('تشخيص الحالات'!$B$2:$B$1001=B998)*('تشخيص الحالات'!$G$2:$G$1001=2)*ROW('تشخيص الحالات'!$B$2:$B$1001))-1),""),"")&amp;IF(SUMPRODUCT(('تشخيص الحالات'!$B$2:$B$1001=B998)*('تشخيص الحالات'!$G$2:$G$1001=3))&gt;0,"، "&amp;IFERROR(INDEX('تشخيص الحالات'!$D$2:$D$1001,SUMPRODUCT(('تشخيص الحالات'!$B$2:$B$1001=B998)*('تشخيص الحالات'!$G$2:$G$1001=3)*ROW('تشخيص الحالات'!$B$2:$B$1001))-1),""),"")&amp;IF(SUMPRODUCT(('تشخيص الحالات'!$B$2:$B$1001=B998)*('تشخيص الحالات'!$G$2:$G$1001=4))&gt;0,"، "&amp;IFERROR(INDEX('تشخيص الحالات'!$D$2:$D$1001,SUMPRODUCT(('تشخيص الحالات'!$B$2:$B$1001=B998)*('تشخيص الحالات'!$G$2:$G$1001=4)*ROW('تشخيص الحالات'!$B$2:$B$1001))-1),""),"")&amp;IF(SUMPRODUCT(('تشخيص الحالات'!$B$2:$B$1001=B998)*('تشخيص الحالات'!$G$2:$G$1001=5))&gt;0,"، "&amp;IFERROR(INDEX('تشخيص الحالات'!$D$2:$D$1001,SUMPRODUCT(('تشخيص الحالات'!$B$2:$B$1001=B998)*('تشخيص الحالات'!$G$2:$G$1001=5)*ROW('تشخيص الحالات'!$B$2:$B$1001))-1),""),"")&amp;IF(SUMPRODUCT(('تشخيص الحالات'!$B$2:$B$1001=B998)*('تشخيص الحالات'!$G$2:$G$1001=6))&gt;0,"، "&amp;IFERROR(INDEX('تشخيص الحالات'!$D$2:$D$1001,SUMPRODUCT(('تشخيص الحالات'!$B$2:$B$1001=B998)*('تشخيص الحالات'!$G$2:$G$1001=6)*ROW('تشخيص الحالات'!$B$2:$B$1001))-1),""),"")&amp;IF(SUMPRODUCT(('تشخيص الحالات'!$B$2:$B$1001=B998)*('تشخيص الحالات'!$G$2:$G$1001=7))&gt;0,"، "&amp;IFERROR(INDEX('تشخيص الحالات'!$D$2:$D$1001,SUMPRODUCT(('تشخيص الحالات'!$B$2:$B$1001=B998)*('تشخيص الحالات'!$G$2:$G$1001=7)*ROW('تشخيص الحالات'!$B$2:$B$1001))-1),""),"")&amp;IF(SUMPRODUCT(('تشخيص الحالات'!$B$2:$B$1001=B998)*('تشخيص الحالات'!$G$2:$G$1001=8))&gt;0,"، "&amp;IFERROR(INDEX('تشخيص الحالات'!$D$2:$D$1001,SUMPRODUCT(('تشخيص الحالات'!$B$2:$B$1001=B998)*('تشخيص الحالات'!$G$2:$G$1001=8)*ROW('تشخيص الحالات'!$B$2:$B$1001))-1),""),"")</f>
        <v/>
      </c>
      <c r="J998" s="1"/>
      <c r="K998" s="1"/>
      <c r="L998" s="1"/>
      <c r="M998" s="1"/>
    </row>
    <row r="999" spans="1:13" x14ac:dyDescent="0.2">
      <c r="A999" s="1"/>
      <c r="B999" s="1"/>
      <c r="C999" s="1"/>
      <c r="D999" s="1"/>
      <c r="E999" s="1"/>
      <c r="F999" s="1"/>
      <c r="G999" s="1"/>
      <c r="H999" s="1"/>
      <c r="I999" t="str">
        <f>IFERROR(INDEX('تشخيص الحالات'!$D$2:$D$1001,SUMPRODUCT(('تشخيص الحالات'!$B$2:$B$1001=B999)*('تشخيص الحالات'!$G$2:$G$1001=1)*ROW('تشخيص الحالات'!$B$2:$B$1001))-1),"")&amp;IF(SUMPRODUCT(('تشخيص الحالات'!$B$2:$B$1001=B999)*('تشخيص الحالات'!$G$2:$G$1001=2))&gt;0,"، "&amp;IFERROR(INDEX('تشخيص الحالات'!$D$2:$D$1001,SUMPRODUCT(('تشخيص الحالات'!$B$2:$B$1001=B999)*('تشخيص الحالات'!$G$2:$G$1001=2)*ROW('تشخيص الحالات'!$B$2:$B$1001))-1),""),"")&amp;IF(SUMPRODUCT(('تشخيص الحالات'!$B$2:$B$1001=B999)*('تشخيص الحالات'!$G$2:$G$1001=3))&gt;0,"، "&amp;IFERROR(INDEX('تشخيص الحالات'!$D$2:$D$1001,SUMPRODUCT(('تشخيص الحالات'!$B$2:$B$1001=B999)*('تشخيص الحالات'!$G$2:$G$1001=3)*ROW('تشخيص الحالات'!$B$2:$B$1001))-1),""),"")&amp;IF(SUMPRODUCT(('تشخيص الحالات'!$B$2:$B$1001=B999)*('تشخيص الحالات'!$G$2:$G$1001=4))&gt;0,"، "&amp;IFERROR(INDEX('تشخيص الحالات'!$D$2:$D$1001,SUMPRODUCT(('تشخيص الحالات'!$B$2:$B$1001=B999)*('تشخيص الحالات'!$G$2:$G$1001=4)*ROW('تشخيص الحالات'!$B$2:$B$1001))-1),""),"")&amp;IF(SUMPRODUCT(('تشخيص الحالات'!$B$2:$B$1001=B999)*('تشخيص الحالات'!$G$2:$G$1001=5))&gt;0,"، "&amp;IFERROR(INDEX('تشخيص الحالات'!$D$2:$D$1001,SUMPRODUCT(('تشخيص الحالات'!$B$2:$B$1001=B999)*('تشخيص الحالات'!$G$2:$G$1001=5)*ROW('تشخيص الحالات'!$B$2:$B$1001))-1),""),"")&amp;IF(SUMPRODUCT(('تشخيص الحالات'!$B$2:$B$1001=B999)*('تشخيص الحالات'!$G$2:$G$1001=6))&gt;0,"، "&amp;IFERROR(INDEX('تشخيص الحالات'!$D$2:$D$1001,SUMPRODUCT(('تشخيص الحالات'!$B$2:$B$1001=B999)*('تشخيص الحالات'!$G$2:$G$1001=6)*ROW('تشخيص الحالات'!$B$2:$B$1001))-1),""),"")&amp;IF(SUMPRODUCT(('تشخيص الحالات'!$B$2:$B$1001=B999)*('تشخيص الحالات'!$G$2:$G$1001=7))&gt;0,"، "&amp;IFERROR(INDEX('تشخيص الحالات'!$D$2:$D$1001,SUMPRODUCT(('تشخيص الحالات'!$B$2:$B$1001=B999)*('تشخيص الحالات'!$G$2:$G$1001=7)*ROW('تشخيص الحالات'!$B$2:$B$1001))-1),""),"")&amp;IF(SUMPRODUCT(('تشخيص الحالات'!$B$2:$B$1001=B999)*('تشخيص الحالات'!$G$2:$G$1001=8))&gt;0,"، "&amp;IFERROR(INDEX('تشخيص الحالات'!$D$2:$D$1001,SUMPRODUCT(('تشخيص الحالات'!$B$2:$B$1001=B999)*('تشخيص الحالات'!$G$2:$G$1001=8)*ROW('تشخيص الحالات'!$B$2:$B$1001))-1),""),"")</f>
        <v/>
      </c>
      <c r="J999" s="1"/>
      <c r="K999" s="1"/>
      <c r="L999" s="1"/>
      <c r="M999" s="1"/>
    </row>
    <row r="1000" spans="1:13" x14ac:dyDescent="0.2">
      <c r="A1000" s="1"/>
      <c r="B1000" s="1"/>
      <c r="C1000" s="1"/>
      <c r="D1000" s="1"/>
      <c r="E1000" s="1"/>
      <c r="F1000" s="1"/>
      <c r="G1000" s="1"/>
      <c r="H1000" s="1"/>
      <c r="I1000" t="str">
        <f>IFERROR(INDEX('تشخيص الحالات'!$D$2:$D$1001,SUMPRODUCT(('تشخيص الحالات'!$B$2:$B$1001=B1000)*('تشخيص الحالات'!$G$2:$G$1001=1)*ROW('تشخيص الحالات'!$B$2:$B$1001))-1),"")&amp;IF(SUMPRODUCT(('تشخيص الحالات'!$B$2:$B$1001=B1000)*('تشخيص الحالات'!$G$2:$G$1001=2))&gt;0,"، "&amp;IFERROR(INDEX('تشخيص الحالات'!$D$2:$D$1001,SUMPRODUCT(('تشخيص الحالات'!$B$2:$B$1001=B1000)*('تشخيص الحالات'!$G$2:$G$1001=2)*ROW('تشخيص الحالات'!$B$2:$B$1001))-1),""),"")&amp;IF(SUMPRODUCT(('تشخيص الحالات'!$B$2:$B$1001=B1000)*('تشخيص الحالات'!$G$2:$G$1001=3))&gt;0,"، "&amp;IFERROR(INDEX('تشخيص الحالات'!$D$2:$D$1001,SUMPRODUCT(('تشخيص الحالات'!$B$2:$B$1001=B1000)*('تشخيص الحالات'!$G$2:$G$1001=3)*ROW('تشخيص الحالات'!$B$2:$B$1001))-1),""),"")&amp;IF(SUMPRODUCT(('تشخيص الحالات'!$B$2:$B$1001=B1000)*('تشخيص الحالات'!$G$2:$G$1001=4))&gt;0,"، "&amp;IFERROR(INDEX('تشخيص الحالات'!$D$2:$D$1001,SUMPRODUCT(('تشخيص الحالات'!$B$2:$B$1001=B1000)*('تشخيص الحالات'!$G$2:$G$1001=4)*ROW('تشخيص الحالات'!$B$2:$B$1001))-1),""),"")&amp;IF(SUMPRODUCT(('تشخيص الحالات'!$B$2:$B$1001=B1000)*('تشخيص الحالات'!$G$2:$G$1001=5))&gt;0,"، "&amp;IFERROR(INDEX('تشخيص الحالات'!$D$2:$D$1001,SUMPRODUCT(('تشخيص الحالات'!$B$2:$B$1001=B1000)*('تشخيص الحالات'!$G$2:$G$1001=5)*ROW('تشخيص الحالات'!$B$2:$B$1001))-1),""),"")&amp;IF(SUMPRODUCT(('تشخيص الحالات'!$B$2:$B$1001=B1000)*('تشخيص الحالات'!$G$2:$G$1001=6))&gt;0,"، "&amp;IFERROR(INDEX('تشخيص الحالات'!$D$2:$D$1001,SUMPRODUCT(('تشخيص الحالات'!$B$2:$B$1001=B1000)*('تشخيص الحالات'!$G$2:$G$1001=6)*ROW('تشخيص الحالات'!$B$2:$B$1001))-1),""),"")&amp;IF(SUMPRODUCT(('تشخيص الحالات'!$B$2:$B$1001=B1000)*('تشخيص الحالات'!$G$2:$G$1001=7))&gt;0,"، "&amp;IFERROR(INDEX('تشخيص الحالات'!$D$2:$D$1001,SUMPRODUCT(('تشخيص الحالات'!$B$2:$B$1001=B1000)*('تشخيص الحالات'!$G$2:$G$1001=7)*ROW('تشخيص الحالات'!$B$2:$B$1001))-1),""),"")&amp;IF(SUMPRODUCT(('تشخيص الحالات'!$B$2:$B$1001=B1000)*('تشخيص الحالات'!$G$2:$G$1001=8))&gt;0,"، "&amp;IFERROR(INDEX('تشخيص الحالات'!$D$2:$D$1001,SUMPRODUCT(('تشخيص الحالات'!$B$2:$B$1001=B1000)*('تشخيص الحالات'!$G$2:$G$1001=8)*ROW('تشخيص الحالات'!$B$2:$B$1001))-1),""),"")</f>
        <v/>
      </c>
      <c r="J1000" s="1"/>
      <c r="K1000" s="1"/>
      <c r="L1000" s="1"/>
      <c r="M1000" s="1"/>
    </row>
    <row r="1001" spans="1:13" x14ac:dyDescent="0.2">
      <c r="A1001" s="1"/>
      <c r="B1001" s="1"/>
      <c r="C1001" s="1"/>
      <c r="D1001" s="1"/>
      <c r="E1001" s="1"/>
      <c r="F1001" s="1"/>
      <c r="G1001" s="1"/>
      <c r="H1001" s="1"/>
      <c r="I1001" t="str">
        <f>IFERROR(INDEX('تشخيص الحالات'!$D$2:$D$1001,SUMPRODUCT(('تشخيص الحالات'!$B$2:$B$1001=B1001)*('تشخيص الحالات'!$G$2:$G$1001=1)*ROW('تشخيص الحالات'!$B$2:$B$1001))-1),"")&amp;IF(SUMPRODUCT(('تشخيص الحالات'!$B$2:$B$1001=B1001)*('تشخيص الحالات'!$G$2:$G$1001=2))&gt;0,"، "&amp;IFERROR(INDEX('تشخيص الحالات'!$D$2:$D$1001,SUMPRODUCT(('تشخيص الحالات'!$B$2:$B$1001=B1001)*('تشخيص الحالات'!$G$2:$G$1001=2)*ROW('تشخيص الحالات'!$B$2:$B$1001))-1),""),"")&amp;IF(SUMPRODUCT(('تشخيص الحالات'!$B$2:$B$1001=B1001)*('تشخيص الحالات'!$G$2:$G$1001=3))&gt;0,"، "&amp;IFERROR(INDEX('تشخيص الحالات'!$D$2:$D$1001,SUMPRODUCT(('تشخيص الحالات'!$B$2:$B$1001=B1001)*('تشخيص الحالات'!$G$2:$G$1001=3)*ROW('تشخيص الحالات'!$B$2:$B$1001))-1),""),"")&amp;IF(SUMPRODUCT(('تشخيص الحالات'!$B$2:$B$1001=B1001)*('تشخيص الحالات'!$G$2:$G$1001=4))&gt;0,"، "&amp;IFERROR(INDEX('تشخيص الحالات'!$D$2:$D$1001,SUMPRODUCT(('تشخيص الحالات'!$B$2:$B$1001=B1001)*('تشخيص الحالات'!$G$2:$G$1001=4)*ROW('تشخيص الحالات'!$B$2:$B$1001))-1),""),"")&amp;IF(SUMPRODUCT(('تشخيص الحالات'!$B$2:$B$1001=B1001)*('تشخيص الحالات'!$G$2:$G$1001=5))&gt;0,"، "&amp;IFERROR(INDEX('تشخيص الحالات'!$D$2:$D$1001,SUMPRODUCT(('تشخيص الحالات'!$B$2:$B$1001=B1001)*('تشخيص الحالات'!$G$2:$G$1001=5)*ROW('تشخيص الحالات'!$B$2:$B$1001))-1),""),"")&amp;IF(SUMPRODUCT(('تشخيص الحالات'!$B$2:$B$1001=B1001)*('تشخيص الحالات'!$G$2:$G$1001=6))&gt;0,"، "&amp;IFERROR(INDEX('تشخيص الحالات'!$D$2:$D$1001,SUMPRODUCT(('تشخيص الحالات'!$B$2:$B$1001=B1001)*('تشخيص الحالات'!$G$2:$G$1001=6)*ROW('تشخيص الحالات'!$B$2:$B$1001))-1),""),"")&amp;IF(SUMPRODUCT(('تشخيص الحالات'!$B$2:$B$1001=B1001)*('تشخيص الحالات'!$G$2:$G$1001=7))&gt;0,"، "&amp;IFERROR(INDEX('تشخيص الحالات'!$D$2:$D$1001,SUMPRODUCT(('تشخيص الحالات'!$B$2:$B$1001=B1001)*('تشخيص الحالات'!$G$2:$G$1001=7)*ROW('تشخيص الحالات'!$B$2:$B$1001))-1),""),"")&amp;IF(SUMPRODUCT(('تشخيص الحالات'!$B$2:$B$1001=B1001)*('تشخيص الحالات'!$G$2:$G$1001=8))&gt;0,"، "&amp;IFERROR(INDEX('تشخيص الحالات'!$D$2:$D$1001,SUMPRODUCT(('تشخيص الحالات'!$B$2:$B$1001=B1001)*('تشخيص الحالات'!$G$2:$G$1001=8)*ROW('تشخيص الحالات'!$B$2:$B$1001))-1),""),"")</f>
        <v/>
      </c>
      <c r="J1001" s="1"/>
      <c r="K1001" s="1"/>
      <c r="L1001" s="1"/>
      <c r="M1001" s="1"/>
    </row>
  </sheetData>
  <sheetProtection sort="0" autoFilter="0"/>
  <dataValidations count="2">
    <dataValidation type="list" errorStyle="warning" allowBlank="1" showInputMessage="1" showErrorMessage="1" errorTitle="قيمة غير صالحة" error="الرجاء اختيار رقم الخدمة من جدول الخدمات." sqref="K202:K1192" xr:uid="{00000000-0002-0000-0100-000000000000}">
      <formula1>#REF!</formula1>
    </dataValidation>
    <dataValidation type="list" errorStyle="warning" allowBlank="1" showInputMessage="1" showErrorMessage="1" errorTitle="قيمة غير صالحة" error="الرجاء اختيار رقم الخدمة من جدول الخدمات." sqref="K3:K201" xr:uid="{00000000-0002-0000-0100-000001000000}">
      <formula1>$O$5:$O$19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errorTitle="قيمة غير صالحة" error="القيمة غير موجودة في القائمة المرجعية." xr:uid="{00000000-0002-0000-0100-000002000000}">
          <x14:formula1>
            <xm:f>'القوائم المرجعية'!$J$5:$J$6</xm:f>
          </x14:formula1>
          <xm:sqref>D2:D1192</xm:sqref>
        </x14:dataValidation>
        <x14:dataValidation type="list" errorStyle="warning" allowBlank="1" showInputMessage="1" showErrorMessage="1" errorTitle="قيمة غير صالحة" error="القيمة غير موجودة في القائمة المرجعية." xr:uid="{00000000-0002-0000-0100-000003000000}">
          <x14:formula1>
            <xm:f>'القوائم المرجعية'!$F$5:$F$8</xm:f>
          </x14:formula1>
          <xm:sqref>F2:F1192</xm:sqref>
        </x14:dataValidation>
        <x14:dataValidation type="list" errorStyle="warning" allowBlank="1" showInputMessage="1" showErrorMessage="1" errorTitle="قيمة غير صالحة" error="القيمة غير موجودة في القائمة المرجعية." xr:uid="{00000000-0002-0000-0100-000004000000}">
          <x14:formula1>
            <xm:f>'القوائم المرجعية'!$G$5:$G$7</xm:f>
          </x14:formula1>
          <xm:sqref>G2:G1192</xm:sqref>
        </x14:dataValidation>
        <x14:dataValidation type="list" errorStyle="warning" allowBlank="1" showInputMessage="1" showErrorMessage="1" errorTitle="قيمة غير صالحة" error="القيمة غير موجودة في القائمة المرجعية." xr:uid="{00000000-0002-0000-0100-000005000000}">
          <x14:formula1>
            <xm:f>'القوائم المرجعية'!$P$5:$P$9</xm:f>
          </x14:formula1>
          <xm:sqref>M2:M1192</xm:sqref>
        </x14:dataValidation>
        <x14:dataValidation type="list" errorStyle="warning" allowBlank="1" showInputMessage="1" showErrorMessage="1" errorTitle="قيمة غير صالحة" error="الرجاء اختيار رقم الخدمة من جدول الخدمات." xr:uid="{00000000-0002-0000-0100-000006000000}">
          <x14:formula1>
            <xm:f>'القوائم المرجعية'!$O$5:$O$19</xm:f>
          </x14:formula1>
          <xm:sqref>J2:K2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rightToLeft="1" workbookViewId="0">
      <selection activeCell="D23" sqref="D23"/>
    </sheetView>
  </sheetViews>
  <sheetFormatPr defaultRowHeight="14.25" x14ac:dyDescent="0.2"/>
  <cols>
    <col min="1" max="1" width="3.875" bestFit="1" customWidth="1"/>
    <col min="2" max="2" width="10.875" bestFit="1" customWidth="1"/>
    <col min="3" max="3" width="19.25" customWidth="1"/>
    <col min="4" max="5" width="22.25" customWidth="1"/>
    <col min="6" max="6" width="38.25" bestFit="1" customWidth="1"/>
    <col min="7" max="7" width="10.25" customWidth="1"/>
  </cols>
  <sheetData>
    <row r="1" spans="1:7" ht="15" x14ac:dyDescent="0.25">
      <c r="A1" s="4" t="s">
        <v>356</v>
      </c>
      <c r="B1" s="5" t="s">
        <v>366</v>
      </c>
      <c r="C1" s="5" t="s">
        <v>55</v>
      </c>
      <c r="D1" s="6" t="s">
        <v>60</v>
      </c>
      <c r="E1" s="6" t="s">
        <v>35</v>
      </c>
      <c r="F1" s="6" t="s">
        <v>567</v>
      </c>
      <c r="G1" s="7" t="s">
        <v>522</v>
      </c>
    </row>
    <row r="2" spans="1:7" x14ac:dyDescent="0.2">
      <c r="A2" s="9">
        <v>1</v>
      </c>
      <c r="B2" s="10">
        <v>1025469854</v>
      </c>
      <c r="C2" s="8" t="str">
        <f>IFERROR(IF(B2="","",VLOOKUP(B2,المستفيدين!$B:$C,2,FALSE)),"")</f>
        <v>مستفيد1</v>
      </c>
      <c r="D2" s="13" t="s">
        <v>137</v>
      </c>
      <c r="E2" s="14" t="s">
        <v>37</v>
      </c>
      <c r="F2" s="14" t="str">
        <f>IFERROR(IF(B2="","",VLOOKUP(B2,المستفيدين!$B:$F,5,FALSE)),"")</f>
        <v>مركز إرادة وتمكين للرعاية النهارية (القدس)</v>
      </c>
      <c r="G2">
        <f>COUNTIF($B$2:B2,B2)</f>
        <v>1</v>
      </c>
    </row>
    <row r="3" spans="1:7" x14ac:dyDescent="0.2">
      <c r="A3" s="11">
        <v>2</v>
      </c>
      <c r="B3" s="12">
        <v>1025469854</v>
      </c>
      <c r="C3" s="8" t="str">
        <f>IFERROR(IF(B3="","",VLOOKUP(B3,المستفيدين!$B:$C,2,FALSE)),"")</f>
        <v>مستفيد1</v>
      </c>
      <c r="D3" s="15" t="s">
        <v>138</v>
      </c>
      <c r="E3" s="16" t="s">
        <v>37</v>
      </c>
      <c r="F3" s="14" t="str">
        <f>IFERROR(IF(B3="","",VLOOKUP(B3,المستفيدين!$B:$F,5,FALSE)),"")</f>
        <v>مركز إرادة وتمكين للرعاية النهارية (القدس)</v>
      </c>
      <c r="G3">
        <f>COUNTIF($B$2:B3,B3)</f>
        <v>2</v>
      </c>
    </row>
    <row r="4" spans="1:7" x14ac:dyDescent="0.2">
      <c r="A4" s="9">
        <v>3</v>
      </c>
      <c r="B4" s="10">
        <v>1065397512</v>
      </c>
      <c r="C4" s="8" t="str">
        <f>IFERROR(IF(B4="","",VLOOKUP(B4,المستفيدين!$B:$C,2,FALSE)),"")</f>
        <v>مستفيد2</v>
      </c>
      <c r="D4" s="13" t="s">
        <v>143</v>
      </c>
      <c r="E4" s="14" t="s">
        <v>36</v>
      </c>
      <c r="F4" s="14" t="str">
        <f>IFERROR(IF(B4="","",VLOOKUP(B4,المستفيدين!$B:$F,5,FALSE)),"")</f>
        <v>مدرسة إرادة وتمكين لمتلازمة داون (نجد)</v>
      </c>
      <c r="G4">
        <f>COUNTIF($B$2:B4,B4)</f>
        <v>1</v>
      </c>
    </row>
    <row r="5" spans="1:7" x14ac:dyDescent="0.2">
      <c r="A5" s="11">
        <v>4</v>
      </c>
      <c r="B5" s="12">
        <v>1065397512</v>
      </c>
      <c r="C5" s="8" t="str">
        <f>IFERROR(IF(B5="","",VLOOKUP(B5,المستفيدين!$B:$C,2,FALSE)),"")</f>
        <v>مستفيد2</v>
      </c>
      <c r="D5" s="15" t="s">
        <v>64</v>
      </c>
      <c r="E5" s="16" t="s">
        <v>34</v>
      </c>
      <c r="F5" s="14" t="str">
        <f>IFERROR(IF(B5="","",VLOOKUP(B5,المستفيدين!$B:$F,5,FALSE)),"")</f>
        <v>مدرسة إرادة وتمكين لمتلازمة داون (نجد)</v>
      </c>
      <c r="G5">
        <f>COUNTIF($B$2:B5,B5)</f>
        <v>2</v>
      </c>
    </row>
    <row r="6" spans="1:7" x14ac:dyDescent="0.2">
      <c r="A6" s="9">
        <v>5</v>
      </c>
      <c r="B6" s="10">
        <v>1069735216</v>
      </c>
      <c r="C6" s="8" t="str">
        <f>IFERROR(IF(B6="","",VLOOKUP(B6,المستفيدين!$B:$C,2,FALSE)),"")</f>
        <v>مستفيد3</v>
      </c>
      <c r="D6" s="13" t="s">
        <v>139</v>
      </c>
      <c r="E6" s="14" t="s">
        <v>37</v>
      </c>
      <c r="F6" s="14" t="str">
        <f>IFERROR(IF(B6="","",VLOOKUP(B6,المستفيدين!$B:$F,5,FALSE)),"")</f>
        <v>مركز إرادة وتمكين للرعاية النهارية (القدس)</v>
      </c>
      <c r="G6">
        <f>COUNTIF($B$2:B6,B6)</f>
        <v>1</v>
      </c>
    </row>
    <row r="7" spans="1:7" x14ac:dyDescent="0.2">
      <c r="A7" s="11">
        <v>6</v>
      </c>
      <c r="B7" s="12">
        <v>1069735216</v>
      </c>
      <c r="C7" s="8" t="str">
        <f>IFERROR(IF(B7="","",VLOOKUP(B7,المستفيدين!$B:$C,2,FALSE)),"")</f>
        <v>مستفيد3</v>
      </c>
      <c r="D7" s="15" t="s">
        <v>370</v>
      </c>
      <c r="E7" s="16" t="s">
        <v>36</v>
      </c>
      <c r="F7" s="14" t="str">
        <f>IFERROR(IF(B7="","",VLOOKUP(B7,المستفيدين!$B:$F,5,FALSE)),"")</f>
        <v>مركز إرادة وتمكين للرعاية النهارية (القدس)</v>
      </c>
      <c r="G7">
        <f>COUNTIF($B$2:B7,B7)</f>
        <v>2</v>
      </c>
    </row>
    <row r="8" spans="1:7" x14ac:dyDescent="0.2">
      <c r="A8" s="9">
        <v>7</v>
      </c>
      <c r="B8" s="10">
        <v>1096348523</v>
      </c>
      <c r="C8" s="8" t="str">
        <f>IFERROR(IF(B8="","",VLOOKUP(B8,المستفيدين!$B:$C,2,FALSE)),"")</f>
        <v>مستفيد4</v>
      </c>
      <c r="D8" s="13" t="s">
        <v>139</v>
      </c>
      <c r="E8" s="14" t="s">
        <v>34</v>
      </c>
      <c r="F8" s="14" t="str">
        <f>IFERROR(IF(B8="","",VLOOKUP(B8,المستفيدين!$B:$F,5,FALSE)),"")</f>
        <v>مدرسة إرادة للتعليم (مكة)</v>
      </c>
      <c r="G8">
        <f>COUNTIF($B$2:B8,B8)</f>
        <v>1</v>
      </c>
    </row>
    <row r="9" spans="1:7" x14ac:dyDescent="0.2">
      <c r="A9" s="11">
        <v>8</v>
      </c>
      <c r="B9" s="12">
        <v>1096348523</v>
      </c>
      <c r="C9" s="8" t="str">
        <f>IFERROR(IF(B9="","",VLOOKUP(B9,المستفيدين!$B:$C,2,FALSE)),"")</f>
        <v>مستفيد4</v>
      </c>
      <c r="D9" s="15" t="s">
        <v>136</v>
      </c>
      <c r="E9" s="16" t="s">
        <v>34</v>
      </c>
      <c r="F9" s="14" t="str">
        <f>IFERROR(IF(B9="","",VLOOKUP(B9,المستفيدين!$B:$F,5,FALSE)),"")</f>
        <v>مدرسة إرادة للتعليم (مكة)</v>
      </c>
      <c r="G9">
        <f>COUNTIF($B$2:B9,B9)</f>
        <v>2</v>
      </c>
    </row>
    <row r="10" spans="1:7" x14ac:dyDescent="0.2">
      <c r="A10" s="9">
        <v>9</v>
      </c>
      <c r="B10" s="10">
        <v>1096348523</v>
      </c>
      <c r="C10" s="8" t="str">
        <f>IFERROR(IF(B10="","",VLOOKUP(B10,المستفيدين!$B:$C,2,FALSE)),"")</f>
        <v>مستفيد4</v>
      </c>
      <c r="D10" s="13" t="s">
        <v>64</v>
      </c>
      <c r="E10" s="14" t="s">
        <v>34</v>
      </c>
      <c r="F10" s="14" t="str">
        <f>IFERROR(IF(B10="","",VLOOKUP(B10,المستفيدين!$B:$F,5,FALSE)),"")</f>
        <v>مدرسة إرادة للتعليم (مكة)</v>
      </c>
      <c r="G10">
        <f>COUNTIF($B$2:B10,B10)</f>
        <v>3</v>
      </c>
    </row>
    <row r="11" spans="1:7" x14ac:dyDescent="0.2">
      <c r="A11" s="11">
        <v>10</v>
      </c>
      <c r="B11" s="12">
        <v>1124422216</v>
      </c>
      <c r="C11" s="8" t="str">
        <f>IFERROR(IF(B11="","",VLOOKUP(B11,المستفيدين!$B:$C,2,FALSE)),"")</f>
        <v>مستفيد5</v>
      </c>
      <c r="D11" s="15" t="s">
        <v>146</v>
      </c>
      <c r="E11" s="16" t="s">
        <v>36</v>
      </c>
      <c r="F11" s="14" t="str">
        <f>IFERROR(IF(B11="","",VLOOKUP(B11,المستفيدين!$B:$F,5,FALSE)),"")</f>
        <v>مركز إرادة وتمكين لمتلازمة داون (نجد)</v>
      </c>
      <c r="G11">
        <f>COUNTIF($B$2:B11,B11)</f>
        <v>1</v>
      </c>
    </row>
    <row r="12" spans="1:7" x14ac:dyDescent="0.2">
      <c r="A12" s="9">
        <v>11</v>
      </c>
      <c r="B12" s="10">
        <v>1124422216</v>
      </c>
      <c r="C12" s="8" t="str">
        <f>IFERROR(IF(B12="","",VLOOKUP(B12,المستفيدين!$B:$C,2,FALSE)),"")</f>
        <v>مستفيد5</v>
      </c>
      <c r="D12" s="13" t="s">
        <v>135</v>
      </c>
      <c r="E12" s="14" t="s">
        <v>36</v>
      </c>
      <c r="F12" s="14" t="str">
        <f>IFERROR(IF(B12="","",VLOOKUP(B12,المستفيدين!$B:$F,5,FALSE)),"")</f>
        <v>مركز إرادة وتمكين لمتلازمة داون (نجد)</v>
      </c>
      <c r="G12">
        <f>COUNTIF($B$2:B12,B12)</f>
        <v>2</v>
      </c>
    </row>
    <row r="13" spans="1:7" x14ac:dyDescent="0.2">
      <c r="A13" s="11">
        <v>12</v>
      </c>
      <c r="B13" s="12">
        <v>1124422216</v>
      </c>
      <c r="C13" s="8" t="str">
        <f>IFERROR(IF(B13="","",VLOOKUP(B13,المستفيدين!$B:$C,2,FALSE)),"")</f>
        <v>مستفيد5</v>
      </c>
      <c r="D13" s="15" t="s">
        <v>141</v>
      </c>
      <c r="E13" s="16" t="s">
        <v>37</v>
      </c>
      <c r="F13" s="14" t="str">
        <f>IFERROR(IF(B13="","",VLOOKUP(B13,المستفيدين!$B:$F,5,FALSE)),"")</f>
        <v>مركز إرادة وتمكين لمتلازمة داون (نجد)</v>
      </c>
      <c r="G13">
        <f>COUNTIF($B$2:B13,B13)</f>
        <v>3</v>
      </c>
    </row>
    <row r="14" spans="1:7" x14ac:dyDescent="0.2">
      <c r="A14" s="9">
        <v>13</v>
      </c>
      <c r="B14" s="10">
        <v>1124422216</v>
      </c>
      <c r="C14" s="8" t="str">
        <f>IFERROR(IF(B14="","",VLOOKUP(B14,المستفيدين!$B:$C,2,FALSE)),"")</f>
        <v>مستفيد5</v>
      </c>
      <c r="D14" s="13" t="s">
        <v>142</v>
      </c>
      <c r="E14" s="14" t="s">
        <v>34</v>
      </c>
      <c r="F14" s="14" t="str">
        <f>IFERROR(IF(B14="","",VLOOKUP(B14,المستفيدين!$B:$F,5,FALSE)),"")</f>
        <v>مركز إرادة وتمكين لمتلازمة داون (نجد)</v>
      </c>
      <c r="G14">
        <f>COUNTIF($B$2:B14,B14)</f>
        <v>4</v>
      </c>
    </row>
    <row r="15" spans="1:7" x14ac:dyDescent="0.2">
      <c r="A15" s="11">
        <v>14</v>
      </c>
      <c r="B15" s="12">
        <v>1889143921</v>
      </c>
      <c r="C15" s="8" t="str">
        <f>IFERROR(IF(B15="","",VLOOKUP(B15,المستفيدين!$B:$C,2,FALSE)),"")</f>
        <v>مستفيد6</v>
      </c>
      <c r="D15" s="15" t="s">
        <v>138</v>
      </c>
      <c r="E15" s="16" t="s">
        <v>36</v>
      </c>
      <c r="F15" s="14" t="str">
        <f>IFERROR(IF(B15="","",VLOOKUP(B15,المستفيدين!$B:$F,5,FALSE)),"")</f>
        <v>مركز إرادة وتمكين لرعاية ذوي الاحتياجات الخاصة (جلمودة)</v>
      </c>
      <c r="G15">
        <f>COUNTIF($B$2:B15,B15)</f>
        <v>1</v>
      </c>
    </row>
    <row r="16" spans="1:7" x14ac:dyDescent="0.2">
      <c r="A16" s="9">
        <v>15</v>
      </c>
      <c r="B16" s="10">
        <v>1889143921</v>
      </c>
      <c r="C16" s="8" t="str">
        <f>IFERROR(IF(B16="","",VLOOKUP(B16,المستفيدين!$B:$C,2,FALSE)),"")</f>
        <v>مستفيد6</v>
      </c>
      <c r="D16" s="13" t="s">
        <v>137</v>
      </c>
      <c r="E16" s="14" t="s">
        <v>34</v>
      </c>
      <c r="F16" s="14" t="str">
        <f>IFERROR(IF(B16="","",VLOOKUP(B16,المستفيدين!$B:$F,5,FALSE)),"")</f>
        <v>مركز إرادة وتمكين لرعاية ذوي الاحتياجات الخاصة (جلمودة)</v>
      </c>
      <c r="G16">
        <f>COUNTIF($B$2:B16,B16)</f>
        <v>2</v>
      </c>
    </row>
    <row r="17" spans="1:7" x14ac:dyDescent="0.2">
      <c r="A17" s="11">
        <v>16</v>
      </c>
      <c r="B17" s="12">
        <v>1889143921</v>
      </c>
      <c r="C17" s="8" t="str">
        <f>IFERROR(IF(B17="","",VLOOKUP(B17,المستفيدين!$B:$C,2,FALSE)),"")</f>
        <v>مستفيد6</v>
      </c>
      <c r="D17" s="15" t="s">
        <v>136</v>
      </c>
      <c r="E17" s="16" t="s">
        <v>36</v>
      </c>
      <c r="F17" s="14" t="str">
        <f>IFERROR(IF(B17="","",VLOOKUP(B17,المستفيدين!$B:$F,5,FALSE)),"")</f>
        <v>مركز إرادة وتمكين لرعاية ذوي الاحتياجات الخاصة (جلمودة)</v>
      </c>
      <c r="G17">
        <f>COUNTIF($B$2:B17,B17)</f>
        <v>3</v>
      </c>
    </row>
    <row r="18" spans="1:7" x14ac:dyDescent="0.2">
      <c r="A18" s="9">
        <v>17</v>
      </c>
      <c r="B18" s="10">
        <v>1889143921</v>
      </c>
      <c r="C18" s="8" t="str">
        <f>IFERROR(IF(B18="","",VLOOKUP(B18,المستفيدين!$B:$C,2,FALSE)),"")</f>
        <v>مستفيد6</v>
      </c>
      <c r="D18" s="13" t="s">
        <v>370</v>
      </c>
      <c r="E18" s="14" t="s">
        <v>36</v>
      </c>
      <c r="F18" s="14" t="str">
        <f>IFERROR(IF(B18="","",VLOOKUP(B18,المستفيدين!$B:$F,5,FALSE)),"")</f>
        <v>مركز إرادة وتمكين لرعاية ذوي الاحتياجات الخاصة (جلمودة)</v>
      </c>
      <c r="G18">
        <f>COUNTIF($B$2:B18,B18)</f>
        <v>4</v>
      </c>
    </row>
    <row r="19" spans="1:7" x14ac:dyDescent="0.2">
      <c r="A19" s="11">
        <v>18</v>
      </c>
      <c r="B19" s="12">
        <v>1854312995</v>
      </c>
      <c r="C19" s="8" t="str">
        <f>IFERROR(IF(B19="","",VLOOKUP(B19,المستفيدين!$B:$C,2,FALSE)),"")</f>
        <v>مستفيد7</v>
      </c>
      <c r="D19" s="15" t="s">
        <v>144</v>
      </c>
      <c r="E19" s="16" t="s">
        <v>34</v>
      </c>
      <c r="F19" s="14" t="str">
        <f>IFERROR(IF(B19="","",VLOOKUP(B19,المستفيدين!$B:$F,5,FALSE)),"")</f>
        <v>مدرسة إرادة وتمكين لمتلازمة داون (نجد)</v>
      </c>
      <c r="G19">
        <f>COUNTIF($B$2:B19,B19)</f>
        <v>1</v>
      </c>
    </row>
    <row r="20" spans="1:7" x14ac:dyDescent="0.2">
      <c r="A20" s="9">
        <v>19</v>
      </c>
      <c r="B20" s="10">
        <v>1911743491</v>
      </c>
      <c r="C20" s="8" t="str">
        <f>IFERROR(IF(B20="","",VLOOKUP(B20,المستفيدين!$B:$C,2,FALSE)),"")</f>
        <v>مستفيد8</v>
      </c>
      <c r="D20" s="13" t="s">
        <v>370</v>
      </c>
      <c r="E20" s="14" t="s">
        <v>36</v>
      </c>
      <c r="F20" s="14" t="str">
        <f>IFERROR(IF(B20="","",VLOOKUP(B20,المستفيدين!$B:$F,5,FALSE)),"")</f>
        <v>مركز إرادة وتمكين لمتلازمة داون (نجد)</v>
      </c>
      <c r="G20">
        <f>COUNTIF($B$2:B20,B20)</f>
        <v>1</v>
      </c>
    </row>
    <row r="21" spans="1:7" x14ac:dyDescent="0.2">
      <c r="A21" s="11">
        <v>20</v>
      </c>
      <c r="B21" s="12">
        <v>1347584820</v>
      </c>
      <c r="C21" s="8" t="str">
        <f>IFERROR(IF(B21="","",VLOOKUP(B21,المستفيدين!$B:$C,2,FALSE)),"")</f>
        <v>مستفيد9</v>
      </c>
      <c r="D21" s="15" t="s">
        <v>141</v>
      </c>
      <c r="E21" s="16" t="s">
        <v>36</v>
      </c>
      <c r="F21" s="14" t="str">
        <f>IFERROR(IF(B21="","",VLOOKUP(B21,المستفيدين!$B:$F,5,FALSE)),"")</f>
        <v>مركز إرادة وتمكين للرعاية النهارية (القدس)</v>
      </c>
      <c r="G21">
        <f>COUNTIF($B$2:B21,B21)</f>
        <v>1</v>
      </c>
    </row>
    <row r="22" spans="1:7" x14ac:dyDescent="0.2">
      <c r="A22" s="9">
        <v>21</v>
      </c>
      <c r="B22" s="10">
        <v>1347584820</v>
      </c>
      <c r="C22" s="8" t="str">
        <f>IFERROR(IF(B22="","",VLOOKUP(B22,المستفيدين!$B:$C,2,FALSE)),"")</f>
        <v>مستفيد9</v>
      </c>
      <c r="D22" s="13" t="s">
        <v>144</v>
      </c>
      <c r="E22" s="14" t="s">
        <v>36</v>
      </c>
      <c r="F22" s="14" t="str">
        <f>IFERROR(IF(B22="","",VLOOKUP(B22,المستفيدين!$B:$F,5,FALSE)),"")</f>
        <v>مركز إرادة وتمكين للرعاية النهارية (القدس)</v>
      </c>
      <c r="G22">
        <f>COUNTIF($B$2:B22,B22)</f>
        <v>2</v>
      </c>
    </row>
    <row r="23" spans="1:7" x14ac:dyDescent="0.2">
      <c r="A23" s="11">
        <v>22</v>
      </c>
      <c r="B23" s="12">
        <v>1763354093</v>
      </c>
      <c r="C23" s="8" t="str">
        <f>IFERROR(IF(B23="","",VLOOKUP(B23,المستفيدين!$B:$C,2,FALSE)),"")</f>
        <v>مستفيد10</v>
      </c>
      <c r="D23" s="15" t="s">
        <v>136</v>
      </c>
      <c r="E23" s="16" t="s">
        <v>37</v>
      </c>
      <c r="F23" s="14" t="str">
        <f>IFERROR(IF(B23="","",VLOOKUP(B23,المستفيدين!$B:$F,5,FALSE)),"")</f>
        <v>مركز إرادة وتمكين للرعاية النهارية (القدس)</v>
      </c>
      <c r="G23">
        <f>COUNTIF($B$2:B23,B23)</f>
        <v>1</v>
      </c>
    </row>
    <row r="24" spans="1:7" x14ac:dyDescent="0.2">
      <c r="A24" s="9">
        <v>23</v>
      </c>
      <c r="B24" s="10">
        <v>1763354093</v>
      </c>
      <c r="C24" s="8" t="str">
        <f>IFERROR(IF(B24="","",VLOOKUP(B24,المستفيدين!$B:$C,2,FALSE)),"")</f>
        <v>مستفيد10</v>
      </c>
      <c r="D24" s="13" t="s">
        <v>368</v>
      </c>
      <c r="E24" s="14" t="s">
        <v>36</v>
      </c>
      <c r="F24" s="14" t="str">
        <f>IFERROR(IF(B24="","",VLOOKUP(B24,المستفيدين!$B:$F,5,FALSE)),"")</f>
        <v>مركز إرادة وتمكين للرعاية النهارية (القدس)</v>
      </c>
      <c r="G24">
        <f>COUNTIF($B$2:B24,B24)</f>
        <v>2</v>
      </c>
    </row>
    <row r="25" spans="1:7" x14ac:dyDescent="0.2">
      <c r="A25" s="11">
        <v>24</v>
      </c>
      <c r="B25" s="12">
        <v>1763354093</v>
      </c>
      <c r="C25" s="8" t="str">
        <f>IFERROR(IF(B25="","",VLOOKUP(B25,المستفيدين!$B:$C,2,FALSE)),"")</f>
        <v>مستفيد10</v>
      </c>
      <c r="D25" s="15" t="s">
        <v>145</v>
      </c>
      <c r="E25" s="16" t="s">
        <v>37</v>
      </c>
      <c r="F25" s="14" t="str">
        <f>IFERROR(IF(B25="","",VLOOKUP(B25,المستفيدين!$B:$F,5,FALSE)),"")</f>
        <v>مركز إرادة وتمكين للرعاية النهارية (القدس)</v>
      </c>
      <c r="G25">
        <f>COUNTIF($B$2:B25,B25)</f>
        <v>3</v>
      </c>
    </row>
    <row r="26" spans="1:7" x14ac:dyDescent="0.2">
      <c r="A26" s="9">
        <v>25</v>
      </c>
      <c r="B26" s="10">
        <v>1763354093</v>
      </c>
      <c r="C26" s="8" t="str">
        <f>IFERROR(IF(B26="","",VLOOKUP(B26,المستفيدين!$B:$C,2,FALSE)),"")</f>
        <v>مستفيد10</v>
      </c>
      <c r="D26" s="13" t="s">
        <v>139</v>
      </c>
      <c r="E26" s="14" t="s">
        <v>34</v>
      </c>
      <c r="F26" s="14" t="str">
        <f>IFERROR(IF(B26="","",VLOOKUP(B26,المستفيدين!$B:$F,5,FALSE)),"")</f>
        <v>مركز إرادة وتمكين للرعاية النهارية (القدس)</v>
      </c>
      <c r="G26">
        <f>COUNTIF($B$2:B26,B26)</f>
        <v>4</v>
      </c>
    </row>
    <row r="27" spans="1:7" x14ac:dyDescent="0.2">
      <c r="A27" s="11">
        <v>26</v>
      </c>
      <c r="B27" s="12">
        <v>1231607400</v>
      </c>
      <c r="C27" s="8" t="str">
        <f>IFERROR(IF(B27="","",VLOOKUP(B27,المستفيدين!$B:$C,2,FALSE)),"")</f>
        <v>مستفيد11</v>
      </c>
      <c r="D27" s="15" t="s">
        <v>64</v>
      </c>
      <c r="E27" s="16" t="s">
        <v>36</v>
      </c>
      <c r="F27" s="14" t="str">
        <f>IFERROR(IF(B27="","",VLOOKUP(B27,المستفيدين!$B:$F,5,FALSE)),"")</f>
        <v>مركز إرادة وتمكين لمتلازمة داون (نجد)</v>
      </c>
      <c r="G27">
        <f>COUNTIF($B$2:B27,B27)</f>
        <v>1</v>
      </c>
    </row>
    <row r="28" spans="1:7" x14ac:dyDescent="0.2">
      <c r="A28" s="9">
        <v>27</v>
      </c>
      <c r="B28" s="10">
        <v>1231607400</v>
      </c>
      <c r="C28" s="8" t="str">
        <f>IFERROR(IF(B28="","",VLOOKUP(B28,المستفيدين!$B:$C,2,FALSE)),"")</f>
        <v>مستفيد11</v>
      </c>
      <c r="D28" s="13" t="s">
        <v>134</v>
      </c>
      <c r="E28" s="14" t="s">
        <v>34</v>
      </c>
      <c r="F28" s="14" t="str">
        <f>IFERROR(IF(B28="","",VLOOKUP(B28,المستفيدين!$B:$F,5,FALSE)),"")</f>
        <v>مركز إرادة وتمكين لمتلازمة داون (نجد)</v>
      </c>
      <c r="G28">
        <f>COUNTIF($B$2:B28,B28)</f>
        <v>2</v>
      </c>
    </row>
    <row r="29" spans="1:7" x14ac:dyDescent="0.2">
      <c r="A29" s="11">
        <v>28</v>
      </c>
      <c r="B29" s="12">
        <v>1777789161</v>
      </c>
      <c r="C29" s="8" t="str">
        <f>IFERROR(IF(B29="","",VLOOKUP(B29,المستفيدين!$B:$C,2,FALSE)),"")</f>
        <v>مستفيد12</v>
      </c>
      <c r="D29" s="15" t="s">
        <v>368</v>
      </c>
      <c r="E29" s="16" t="s">
        <v>34</v>
      </c>
      <c r="F29" s="14" t="str">
        <f>IFERROR(IF(B29="","",VLOOKUP(B29,المستفيدين!$B:$F,5,FALSE)),"")</f>
        <v>مدرسة إرادة للتعليم (مكة)</v>
      </c>
      <c r="G29">
        <f>COUNTIF($B$2:B29,B29)</f>
        <v>1</v>
      </c>
    </row>
    <row r="30" spans="1:7" x14ac:dyDescent="0.2">
      <c r="A30" s="9">
        <v>29</v>
      </c>
      <c r="B30" s="10">
        <v>1777789161</v>
      </c>
      <c r="C30" s="8" t="str">
        <f>IFERROR(IF(B30="","",VLOOKUP(B30,المستفيدين!$B:$C,2,FALSE)),"")</f>
        <v>مستفيد12</v>
      </c>
      <c r="D30" s="13" t="s">
        <v>145</v>
      </c>
      <c r="E30" s="14" t="s">
        <v>34</v>
      </c>
      <c r="F30" s="14" t="str">
        <f>IFERROR(IF(B30="","",VLOOKUP(B30,المستفيدين!$B:$F,5,FALSE)),"")</f>
        <v>مدرسة إرادة للتعليم (مكة)</v>
      </c>
      <c r="G30">
        <f>COUNTIF($B$2:B30,B30)</f>
        <v>2</v>
      </c>
    </row>
    <row r="31" spans="1:7" x14ac:dyDescent="0.2">
      <c r="A31" s="11">
        <v>30</v>
      </c>
      <c r="B31" s="12">
        <v>1777789161</v>
      </c>
      <c r="C31" s="8" t="str">
        <f>IFERROR(IF(B31="","",VLOOKUP(B31,المستفيدين!$B:$C,2,FALSE)),"")</f>
        <v>مستفيد12</v>
      </c>
      <c r="D31" s="15" t="s">
        <v>135</v>
      </c>
      <c r="E31" s="16" t="s">
        <v>34</v>
      </c>
      <c r="F31" s="14" t="str">
        <f>IFERROR(IF(B31="","",VLOOKUP(B31,المستفيدين!$B:$F,5,FALSE)),"")</f>
        <v>مدرسة إرادة للتعليم (مكة)</v>
      </c>
      <c r="G31">
        <f>COUNTIF($B$2:B31,B31)</f>
        <v>3</v>
      </c>
    </row>
    <row r="32" spans="1:7" x14ac:dyDescent="0.2">
      <c r="A32" s="9">
        <v>31</v>
      </c>
      <c r="B32" s="10">
        <v>1239383239</v>
      </c>
      <c r="C32" s="8" t="str">
        <f>IFERROR(IF(B32="","",VLOOKUP(B32,المستفيدين!$B:$C,2,FALSE)),"")</f>
        <v>مستفيد13</v>
      </c>
      <c r="D32" s="13" t="s">
        <v>144</v>
      </c>
      <c r="E32" s="14" t="s">
        <v>36</v>
      </c>
      <c r="F32" s="14" t="str">
        <f>IFERROR(IF(B32="","",VLOOKUP(B32,المستفيدين!$B:$F,5,FALSE)),"")</f>
        <v>مركز إرادة وتمكين لرعاية ذوي الاحتياجات الخاصة (جلمودة)</v>
      </c>
      <c r="G32">
        <f>COUNTIF($B$2:B32,B32)</f>
        <v>1</v>
      </c>
    </row>
    <row r="33" spans="1:7" x14ac:dyDescent="0.2">
      <c r="A33" s="11">
        <v>32</v>
      </c>
      <c r="B33" s="12">
        <v>1239383239</v>
      </c>
      <c r="C33" s="8" t="str">
        <f>IFERROR(IF(B33="","",VLOOKUP(B33,المستفيدين!$B:$C,2,FALSE)),"")</f>
        <v>مستفيد13</v>
      </c>
      <c r="D33" s="15" t="s">
        <v>141</v>
      </c>
      <c r="E33" s="16" t="s">
        <v>36</v>
      </c>
      <c r="F33" s="14" t="str">
        <f>IFERROR(IF(B33="","",VLOOKUP(B33,المستفيدين!$B:$F,5,FALSE)),"")</f>
        <v>مركز إرادة وتمكين لرعاية ذوي الاحتياجات الخاصة (جلمودة)</v>
      </c>
      <c r="G33">
        <f>COUNTIF($B$2:B33,B33)</f>
        <v>2</v>
      </c>
    </row>
    <row r="34" spans="1:7" x14ac:dyDescent="0.2">
      <c r="A34" s="9">
        <v>33</v>
      </c>
      <c r="B34" s="10">
        <v>1839924869</v>
      </c>
      <c r="C34" s="8" t="str">
        <f>IFERROR(IF(B34="","",VLOOKUP(B34,المستفيدين!$B:$C,2,FALSE)),"")</f>
        <v>مستفيد14</v>
      </c>
      <c r="D34" s="13" t="s">
        <v>64</v>
      </c>
      <c r="E34" s="14" t="s">
        <v>34</v>
      </c>
      <c r="F34" s="14" t="str">
        <f>IFERROR(IF(B34="","",VLOOKUP(B34,المستفيدين!$B:$F,5,FALSE)),"")</f>
        <v>مدرسة إرادة وتمكين لمتلازمة داون (نجد)</v>
      </c>
      <c r="G34">
        <f>COUNTIF($B$2:B34,B34)</f>
        <v>1</v>
      </c>
    </row>
    <row r="35" spans="1:7" x14ac:dyDescent="0.2">
      <c r="A35" s="11">
        <v>34</v>
      </c>
      <c r="B35" s="12">
        <v>1839924869</v>
      </c>
      <c r="C35" s="8" t="str">
        <f>IFERROR(IF(B35="","",VLOOKUP(B35,المستفيدين!$B:$C,2,FALSE)),"")</f>
        <v>مستفيد14</v>
      </c>
      <c r="D35" s="15" t="s">
        <v>143</v>
      </c>
      <c r="E35" s="16" t="s">
        <v>36</v>
      </c>
      <c r="F35" s="14" t="str">
        <f>IFERROR(IF(B35="","",VLOOKUP(B35,المستفيدين!$B:$F,5,FALSE)),"")</f>
        <v>مدرسة إرادة وتمكين لمتلازمة داون (نجد)</v>
      </c>
      <c r="G35">
        <f>COUNTIF($B$2:B35,B35)</f>
        <v>2</v>
      </c>
    </row>
    <row r="36" spans="1:7" x14ac:dyDescent="0.2">
      <c r="A36" s="9">
        <v>35</v>
      </c>
      <c r="B36" s="10">
        <v>1839924869</v>
      </c>
      <c r="C36" s="8" t="str">
        <f>IFERROR(IF(B36="","",VLOOKUP(B36,المستفيدين!$B:$C,2,FALSE)),"")</f>
        <v>مستفيد14</v>
      </c>
      <c r="D36" s="13" t="s">
        <v>369</v>
      </c>
      <c r="E36" s="14" t="s">
        <v>37</v>
      </c>
      <c r="F36" s="14" t="str">
        <f>IFERROR(IF(B36="","",VLOOKUP(B36,المستفيدين!$B:$F,5,FALSE)),"")</f>
        <v>مدرسة إرادة وتمكين لمتلازمة داون (نجد)</v>
      </c>
      <c r="G36">
        <f>COUNTIF($B$2:B36,B36)</f>
        <v>3</v>
      </c>
    </row>
    <row r="37" spans="1:7" x14ac:dyDescent="0.2">
      <c r="A37" s="11">
        <v>36</v>
      </c>
      <c r="B37" s="12">
        <v>1617014847</v>
      </c>
      <c r="C37" s="8" t="str">
        <f>IFERROR(IF(B37="","",VLOOKUP(B37,المستفيدين!$B:$C,2,FALSE)),"")</f>
        <v>مستفيد15</v>
      </c>
      <c r="D37" s="15" t="s">
        <v>64</v>
      </c>
      <c r="E37" s="16" t="s">
        <v>34</v>
      </c>
      <c r="F37" s="14" t="str">
        <f>IFERROR(IF(B37="","",VLOOKUP(B37,المستفيدين!$B:$F,5,FALSE)),"")</f>
        <v>مدرسة إرادة للتعليم (مكة)</v>
      </c>
      <c r="G37">
        <f>COUNTIF($B$2:B37,B37)</f>
        <v>1</v>
      </c>
    </row>
    <row r="38" spans="1:7" x14ac:dyDescent="0.2">
      <c r="A38" s="9">
        <v>37</v>
      </c>
      <c r="B38" s="10">
        <v>1617014847</v>
      </c>
      <c r="C38" s="8" t="str">
        <f>IFERROR(IF(B38="","",VLOOKUP(B38,المستفيدين!$B:$C,2,FALSE)),"")</f>
        <v>مستفيد15</v>
      </c>
      <c r="D38" s="13" t="s">
        <v>142</v>
      </c>
      <c r="E38" s="14" t="s">
        <v>34</v>
      </c>
      <c r="F38" s="14" t="str">
        <f>IFERROR(IF(B38="","",VLOOKUP(B38,المستفيدين!$B:$F,5,FALSE)),"")</f>
        <v>مدرسة إرادة للتعليم (مكة)</v>
      </c>
      <c r="G38">
        <f>COUNTIF($B$2:B38,B38)</f>
        <v>2</v>
      </c>
    </row>
    <row r="39" spans="1:7" x14ac:dyDescent="0.2">
      <c r="A39" s="11">
        <v>38</v>
      </c>
      <c r="B39" s="12">
        <v>1617014847</v>
      </c>
      <c r="C39" s="8" t="str">
        <f>IFERROR(IF(B39="","",VLOOKUP(B39,المستفيدين!$B:$C,2,FALSE)),"")</f>
        <v>مستفيد15</v>
      </c>
      <c r="D39" s="15" t="s">
        <v>146</v>
      </c>
      <c r="E39" s="16" t="s">
        <v>34</v>
      </c>
      <c r="F39" s="14" t="str">
        <f>IFERROR(IF(B39="","",VLOOKUP(B39,المستفيدين!$B:$F,5,FALSE)),"")</f>
        <v>مدرسة إرادة للتعليم (مكة)</v>
      </c>
      <c r="G39">
        <f>COUNTIF($B$2:B39,B39)</f>
        <v>3</v>
      </c>
    </row>
    <row r="40" spans="1:7" x14ac:dyDescent="0.2">
      <c r="A40" s="9">
        <v>39</v>
      </c>
      <c r="B40" s="10">
        <v>1688005726</v>
      </c>
      <c r="C40" s="8" t="str">
        <f>IFERROR(IF(B40="","",VLOOKUP(B40,المستفيدين!$B:$C,2,FALSE)),"")</f>
        <v>مستفيد16</v>
      </c>
      <c r="D40" s="13" t="s">
        <v>370</v>
      </c>
      <c r="E40" s="14" t="s">
        <v>37</v>
      </c>
      <c r="F40" s="14" t="str">
        <f>IFERROR(IF(B40="","",VLOOKUP(B40,المستفيدين!$B:$F,5,FALSE)),"")</f>
        <v>مركز إرادة وتمكين لرعاية ذوي الاحتياجات الخاصة (جلمودة)</v>
      </c>
      <c r="G40">
        <f>COUNTIF($B$2:B40,B40)</f>
        <v>1</v>
      </c>
    </row>
    <row r="41" spans="1:7" x14ac:dyDescent="0.2">
      <c r="A41" s="11">
        <v>40</v>
      </c>
      <c r="B41" s="12">
        <v>1688005726</v>
      </c>
      <c r="C41" s="8" t="str">
        <f>IFERROR(IF(B41="","",VLOOKUP(B41,المستفيدين!$B:$C,2,FALSE)),"")</f>
        <v>مستفيد16</v>
      </c>
      <c r="D41" s="15" t="s">
        <v>135</v>
      </c>
      <c r="E41" s="16" t="s">
        <v>36</v>
      </c>
      <c r="F41" s="14" t="str">
        <f>IFERROR(IF(B41="","",VLOOKUP(B41,المستفيدين!$B:$F,5,FALSE)),"")</f>
        <v>مركز إرادة وتمكين لرعاية ذوي الاحتياجات الخاصة (جلمودة)</v>
      </c>
      <c r="G41">
        <f>COUNTIF($B$2:B41,B41)</f>
        <v>2</v>
      </c>
    </row>
    <row r="42" spans="1:7" x14ac:dyDescent="0.2">
      <c r="A42" s="9">
        <v>41</v>
      </c>
      <c r="B42" s="10">
        <v>1688005726</v>
      </c>
      <c r="C42" s="8" t="str">
        <f>IFERROR(IF(B42="","",VLOOKUP(B42,المستفيدين!$B:$C,2,FALSE)),"")</f>
        <v>مستفيد16</v>
      </c>
      <c r="D42" s="13" t="s">
        <v>143</v>
      </c>
      <c r="E42" s="14" t="s">
        <v>34</v>
      </c>
      <c r="F42" s="14" t="str">
        <f>IFERROR(IF(B42="","",VLOOKUP(B42,المستفيدين!$B:$F,5,FALSE)),"")</f>
        <v>مركز إرادة وتمكين لرعاية ذوي الاحتياجات الخاصة (جلمودة)</v>
      </c>
      <c r="G42">
        <f>COUNTIF($B$2:B42,B42)</f>
        <v>3</v>
      </c>
    </row>
    <row r="43" spans="1:7" x14ac:dyDescent="0.2">
      <c r="A43" s="11">
        <v>42</v>
      </c>
      <c r="B43" s="12">
        <v>1488518976</v>
      </c>
      <c r="C43" s="8" t="str">
        <f>IFERROR(IF(B43="","",VLOOKUP(B43,المستفيدين!$B:$C,2,FALSE)),"")</f>
        <v>مستفيد17</v>
      </c>
      <c r="D43" s="15" t="s">
        <v>134</v>
      </c>
      <c r="E43" s="16" t="s">
        <v>34</v>
      </c>
      <c r="F43" s="14" t="str">
        <f>IFERROR(IF(B43="","",VLOOKUP(B43,المستفيدين!$B:$F,5,FALSE)),"")</f>
        <v>مدرسة إرادة وتمكين لمتلازمة داون (نجد)</v>
      </c>
      <c r="G43">
        <f>COUNTIF($B$2:B43,B43)</f>
        <v>1</v>
      </c>
    </row>
    <row r="44" spans="1:7" x14ac:dyDescent="0.2">
      <c r="A44" s="9">
        <v>43</v>
      </c>
      <c r="B44" s="10">
        <v>1215214714</v>
      </c>
      <c r="C44" s="8" t="str">
        <f>IFERROR(IF(B44="","",VLOOKUP(B44,المستفيدين!$B:$C,2,FALSE)),"")</f>
        <v>مستفيد18</v>
      </c>
      <c r="D44" s="13" t="s">
        <v>144</v>
      </c>
      <c r="E44" s="14" t="s">
        <v>34</v>
      </c>
      <c r="F44" s="14" t="str">
        <f>IFERROR(IF(B44="","",VLOOKUP(B44,المستفيدين!$B:$F,5,FALSE)),"")</f>
        <v>مركز إرادة وتمكين لرعاية ذوي الاحتياجات الخاصة (جلمودة)</v>
      </c>
      <c r="G44">
        <f>COUNTIF($B$2:B44,B44)</f>
        <v>1</v>
      </c>
    </row>
    <row r="45" spans="1:7" x14ac:dyDescent="0.2">
      <c r="A45" s="11">
        <v>44</v>
      </c>
      <c r="B45" s="12">
        <v>1284752099</v>
      </c>
      <c r="C45" s="8" t="str">
        <f>IFERROR(IF(B45="","",VLOOKUP(B45,المستفيدين!$B:$C,2,FALSE)),"")</f>
        <v>مستفيد19</v>
      </c>
      <c r="D45" s="15" t="s">
        <v>146</v>
      </c>
      <c r="E45" s="16" t="s">
        <v>34</v>
      </c>
      <c r="F45" s="14" t="str">
        <f>IFERROR(IF(B45="","",VLOOKUP(B45,المستفيدين!$B:$F,5,FALSE)),"")</f>
        <v>مركز إرادة وتمكين لمتلازمة داون (نجد)</v>
      </c>
      <c r="G45">
        <f>COUNTIF($B$2:B45,B45)</f>
        <v>1</v>
      </c>
    </row>
    <row r="46" spans="1:7" x14ac:dyDescent="0.2">
      <c r="A46" s="9">
        <v>45</v>
      </c>
      <c r="B46" s="10">
        <v>1284752099</v>
      </c>
      <c r="C46" s="8" t="str">
        <f>IFERROR(IF(B46="","",VLOOKUP(B46,المستفيدين!$B:$C,2,FALSE)),"")</f>
        <v>مستفيد19</v>
      </c>
      <c r="D46" s="13" t="s">
        <v>145</v>
      </c>
      <c r="E46" s="14" t="s">
        <v>34</v>
      </c>
      <c r="F46" s="14" t="str">
        <f>IFERROR(IF(B46="","",VLOOKUP(B46,المستفيدين!$B:$F,5,FALSE)),"")</f>
        <v>مركز إرادة وتمكين لمتلازمة داون (نجد)</v>
      </c>
      <c r="G46">
        <f>COUNTIF($B$2:B46,B46)</f>
        <v>2</v>
      </c>
    </row>
    <row r="47" spans="1:7" x14ac:dyDescent="0.2">
      <c r="A47" s="11">
        <v>46</v>
      </c>
      <c r="B47" s="12">
        <v>1668099269</v>
      </c>
      <c r="C47" s="8" t="str">
        <f>IFERROR(IF(B47="","",VLOOKUP(B47,المستفيدين!$B:$C,2,FALSE)),"")</f>
        <v>مستفيد20</v>
      </c>
      <c r="D47" s="15" t="s">
        <v>146</v>
      </c>
      <c r="E47" s="16" t="s">
        <v>34</v>
      </c>
      <c r="F47" s="14" t="str">
        <f>IFERROR(IF(B47="","",VLOOKUP(B47,المستفيدين!$B:$F,5,FALSE)),"")</f>
        <v>مركز إرادة وتمكين لرعاية ذوي الاحتياجات الخاصة (جلمودة)</v>
      </c>
      <c r="G47">
        <f>COUNTIF($B$2:B47,B47)</f>
        <v>1</v>
      </c>
    </row>
    <row r="48" spans="1:7" x14ac:dyDescent="0.2">
      <c r="A48" s="9">
        <v>47</v>
      </c>
      <c r="B48" s="10">
        <v>1668099269</v>
      </c>
      <c r="C48" s="8" t="str">
        <f>IFERROR(IF(B48="","",VLOOKUP(B48,المستفيدين!$B:$C,2,FALSE)),"")</f>
        <v>مستفيد20</v>
      </c>
      <c r="D48" s="13" t="s">
        <v>136</v>
      </c>
      <c r="E48" s="14" t="s">
        <v>36</v>
      </c>
      <c r="F48" s="14" t="str">
        <f>IFERROR(IF(B48="","",VLOOKUP(B48,المستفيدين!$B:$F,5,FALSE)),"")</f>
        <v>مركز إرادة وتمكين لرعاية ذوي الاحتياجات الخاصة (جلمودة)</v>
      </c>
      <c r="G48">
        <f>COUNTIF($B$2:B48,B48)</f>
        <v>2</v>
      </c>
    </row>
    <row r="49" spans="1:7" x14ac:dyDescent="0.2">
      <c r="A49" s="11">
        <v>48</v>
      </c>
      <c r="B49" s="12">
        <v>1668099269</v>
      </c>
      <c r="C49" s="8" t="str">
        <f>IFERROR(IF(B49="","",VLOOKUP(B49,المستفيدين!$B:$C,2,FALSE)),"")</f>
        <v>مستفيد20</v>
      </c>
      <c r="D49" s="15" t="s">
        <v>143</v>
      </c>
      <c r="E49" s="16" t="s">
        <v>36</v>
      </c>
      <c r="F49" s="14" t="str">
        <f>IFERROR(IF(B49="","",VLOOKUP(B49,المستفيدين!$B:$F,5,FALSE)),"")</f>
        <v>مركز إرادة وتمكين لرعاية ذوي الاحتياجات الخاصة (جلمودة)</v>
      </c>
      <c r="G49">
        <f>COUNTIF($B$2:B49,B49)</f>
        <v>3</v>
      </c>
    </row>
    <row r="50" spans="1:7" x14ac:dyDescent="0.2">
      <c r="A50" s="9">
        <v>49</v>
      </c>
      <c r="B50" s="10">
        <v>1668099269</v>
      </c>
      <c r="C50" s="8" t="str">
        <f>IFERROR(IF(B50="","",VLOOKUP(B50,المستفيدين!$B:$C,2,FALSE)),"")</f>
        <v>مستفيد20</v>
      </c>
      <c r="D50" s="13" t="s">
        <v>145</v>
      </c>
      <c r="E50" s="14" t="s">
        <v>34</v>
      </c>
      <c r="F50" s="14" t="str">
        <f>IFERROR(IF(B50="","",VLOOKUP(B50,المستفيدين!$B:$F,5,FALSE)),"")</f>
        <v>مركز إرادة وتمكين لرعاية ذوي الاحتياجات الخاصة (جلمودة)</v>
      </c>
      <c r="G50">
        <f>COUNTIF($B$2:B50,B50)</f>
        <v>4</v>
      </c>
    </row>
    <row r="51" spans="1:7" x14ac:dyDescent="0.2">
      <c r="A51" s="11">
        <v>50</v>
      </c>
      <c r="B51" s="12">
        <v>1095920856</v>
      </c>
      <c r="C51" s="8" t="str">
        <f>IFERROR(IF(B51="","",VLOOKUP(B51,المستفيدين!$B:$C,2,FALSE)),"")</f>
        <v>مستفيد21</v>
      </c>
      <c r="D51" s="15" t="s">
        <v>142</v>
      </c>
      <c r="E51" s="16" t="s">
        <v>36</v>
      </c>
      <c r="F51" s="14" t="str">
        <f>IFERROR(IF(B51="","",VLOOKUP(B51,المستفيدين!$B:$F,5,FALSE)),"")</f>
        <v>مركز إرادة وتمكين لرعاية ذوي الاحتياجات الخاصة (جلمودة)</v>
      </c>
      <c r="G51">
        <f>COUNTIF($B$2:B51,B51)</f>
        <v>1</v>
      </c>
    </row>
    <row r="52" spans="1:7" x14ac:dyDescent="0.2">
      <c r="A52" s="9">
        <v>51</v>
      </c>
      <c r="B52" s="10">
        <v>1095920856</v>
      </c>
      <c r="C52" s="8" t="str">
        <f>IFERROR(IF(B52="","",VLOOKUP(B52,المستفيدين!$B:$C,2,FALSE)),"")</f>
        <v>مستفيد21</v>
      </c>
      <c r="D52" s="13" t="s">
        <v>139</v>
      </c>
      <c r="E52" s="14" t="s">
        <v>36</v>
      </c>
      <c r="F52" s="14" t="str">
        <f>IFERROR(IF(B52="","",VLOOKUP(B52,المستفيدين!$B:$F,5,FALSE)),"")</f>
        <v>مركز إرادة وتمكين لرعاية ذوي الاحتياجات الخاصة (جلمودة)</v>
      </c>
      <c r="G52">
        <f>COUNTIF($B$2:B52,B52)</f>
        <v>2</v>
      </c>
    </row>
    <row r="53" spans="1:7" x14ac:dyDescent="0.2">
      <c r="A53" s="11">
        <v>52</v>
      </c>
      <c r="B53" s="12">
        <v>1095920856</v>
      </c>
      <c r="C53" s="8" t="str">
        <f>IFERROR(IF(B53="","",VLOOKUP(B53,المستفيدين!$B:$C,2,FALSE)),"")</f>
        <v>مستفيد21</v>
      </c>
      <c r="D53" s="15" t="s">
        <v>368</v>
      </c>
      <c r="E53" s="16" t="s">
        <v>34</v>
      </c>
      <c r="F53" s="14" t="str">
        <f>IFERROR(IF(B53="","",VLOOKUP(B53,المستفيدين!$B:$F,5,FALSE)),"")</f>
        <v>مركز إرادة وتمكين لرعاية ذوي الاحتياجات الخاصة (جلمودة)</v>
      </c>
      <c r="G53">
        <f>COUNTIF($B$2:B53,B53)</f>
        <v>3</v>
      </c>
    </row>
    <row r="54" spans="1:7" x14ac:dyDescent="0.2">
      <c r="A54" s="9">
        <v>53</v>
      </c>
      <c r="B54" s="10">
        <v>1095920856</v>
      </c>
      <c r="C54" s="8" t="str">
        <f>IFERROR(IF(B54="","",VLOOKUP(B54,المستفيدين!$B:$C,2,FALSE)),"")</f>
        <v>مستفيد21</v>
      </c>
      <c r="D54" s="13" t="s">
        <v>369</v>
      </c>
      <c r="E54" s="14" t="s">
        <v>37</v>
      </c>
      <c r="F54" s="14" t="str">
        <f>IFERROR(IF(B54="","",VLOOKUP(B54,المستفيدين!$B:$F,5,FALSE)),"")</f>
        <v>مركز إرادة وتمكين لرعاية ذوي الاحتياجات الخاصة (جلمودة)</v>
      </c>
      <c r="G54">
        <f>COUNTIF($B$2:B54,B54)</f>
        <v>4</v>
      </c>
    </row>
    <row r="55" spans="1:7" x14ac:dyDescent="0.2">
      <c r="A55" s="11">
        <v>54</v>
      </c>
      <c r="B55" s="12">
        <v>1611059558</v>
      </c>
      <c r="C55" s="8" t="str">
        <f>IFERROR(IF(B55="","",VLOOKUP(B55,المستفيدين!$B:$C,2,FALSE)),"")</f>
        <v>مستفيد22</v>
      </c>
      <c r="D55" s="15" t="s">
        <v>136</v>
      </c>
      <c r="E55" s="16" t="s">
        <v>37</v>
      </c>
      <c r="F55" s="14" t="str">
        <f>IFERROR(IF(B55="","",VLOOKUP(B55,المستفيدين!$B:$F,5,FALSE)),"")</f>
        <v>مركز إرادة وتمكين لمتلازمة داون (نجد)</v>
      </c>
      <c r="G55">
        <f>COUNTIF($B$2:B55,B55)</f>
        <v>1</v>
      </c>
    </row>
    <row r="56" spans="1:7" x14ac:dyDescent="0.2">
      <c r="A56" s="9">
        <v>55</v>
      </c>
      <c r="B56" s="10">
        <v>1611059558</v>
      </c>
      <c r="C56" s="8" t="str">
        <f>IFERROR(IF(B56="","",VLOOKUP(B56,المستفيدين!$B:$C,2,FALSE)),"")</f>
        <v>مستفيد22</v>
      </c>
      <c r="D56" s="13" t="s">
        <v>368</v>
      </c>
      <c r="E56" s="14" t="s">
        <v>37</v>
      </c>
      <c r="F56" s="14" t="str">
        <f>IFERROR(IF(B56="","",VLOOKUP(B56,المستفيدين!$B:$F,5,FALSE)),"")</f>
        <v>مركز إرادة وتمكين لمتلازمة داون (نجد)</v>
      </c>
      <c r="G56">
        <f>COUNTIF($B$2:B56,B56)</f>
        <v>2</v>
      </c>
    </row>
    <row r="57" spans="1:7" x14ac:dyDescent="0.2">
      <c r="A57" s="11">
        <v>56</v>
      </c>
      <c r="B57" s="12">
        <v>1611059558</v>
      </c>
      <c r="C57" s="8" t="str">
        <f>IFERROR(IF(B57="","",VLOOKUP(B57,المستفيدين!$B:$C,2,FALSE)),"")</f>
        <v>مستفيد22</v>
      </c>
      <c r="D57" s="15" t="s">
        <v>140</v>
      </c>
      <c r="E57" s="16" t="s">
        <v>37</v>
      </c>
      <c r="F57" s="14" t="str">
        <f>IFERROR(IF(B57="","",VLOOKUP(B57,المستفيدين!$B:$F,5,FALSE)),"")</f>
        <v>مركز إرادة وتمكين لمتلازمة داون (نجد)</v>
      </c>
      <c r="G57">
        <f>COUNTIF($B$2:B57,B57)</f>
        <v>3</v>
      </c>
    </row>
    <row r="58" spans="1:7" x14ac:dyDescent="0.2">
      <c r="A58" s="9">
        <v>57</v>
      </c>
      <c r="B58" s="10">
        <v>1050635578</v>
      </c>
      <c r="C58" s="8" t="str">
        <f>IFERROR(IF(B58="","",VLOOKUP(B58,المستفيدين!$B:$C,2,FALSE)),"")</f>
        <v>مستفيد23</v>
      </c>
      <c r="D58" s="13" t="s">
        <v>141</v>
      </c>
      <c r="E58" s="14" t="s">
        <v>34</v>
      </c>
      <c r="F58" s="14" t="str">
        <f>IFERROR(IF(B58="","",VLOOKUP(B58,المستفيدين!$B:$F,5,FALSE)),"")</f>
        <v>مدرسة إرادة للتعليم (مكة)</v>
      </c>
      <c r="G58">
        <f>COUNTIF($B$2:B58,B58)</f>
        <v>1</v>
      </c>
    </row>
    <row r="59" spans="1:7" x14ac:dyDescent="0.2">
      <c r="A59" s="11">
        <v>58</v>
      </c>
      <c r="B59" s="12">
        <v>1151017514</v>
      </c>
      <c r="C59" s="8" t="str">
        <f>IFERROR(IF(B59="","",VLOOKUP(B59,المستفيدين!$B:$C,2,FALSE)),"")</f>
        <v>مستفيد24</v>
      </c>
      <c r="D59" s="15" t="s">
        <v>146</v>
      </c>
      <c r="E59" s="16" t="s">
        <v>34</v>
      </c>
      <c r="F59" s="14" t="str">
        <f>IFERROR(IF(B59="","",VLOOKUP(B59,المستفيدين!$B:$F,5,FALSE)),"")</f>
        <v>مركز إرادة وتمكين للرعاية النهارية (القدس)</v>
      </c>
      <c r="G59">
        <f>COUNTIF($B$2:B59,B59)</f>
        <v>1</v>
      </c>
    </row>
    <row r="60" spans="1:7" x14ac:dyDescent="0.2">
      <c r="A60" s="9">
        <v>59</v>
      </c>
      <c r="B60" s="10">
        <v>1814840095</v>
      </c>
      <c r="C60" s="8" t="str">
        <f>IFERROR(IF(B60="","",VLOOKUP(B60,المستفيدين!$B:$C,2,FALSE)),"")</f>
        <v>مستفيد25</v>
      </c>
      <c r="D60" s="13" t="s">
        <v>145</v>
      </c>
      <c r="E60" s="14" t="s">
        <v>34</v>
      </c>
      <c r="F60" s="14" t="str">
        <f>IFERROR(IF(B60="","",VLOOKUP(B60,المستفيدين!$B:$F,5,FALSE)),"")</f>
        <v>مركز إرادة وتمكين للرعاية النهارية (القدس)</v>
      </c>
      <c r="G60">
        <f>COUNTIF($B$2:B60,B60)</f>
        <v>1</v>
      </c>
    </row>
    <row r="61" spans="1:7" x14ac:dyDescent="0.2">
      <c r="A61" s="11">
        <v>60</v>
      </c>
      <c r="B61" s="12">
        <v>1814840095</v>
      </c>
      <c r="C61" s="8" t="str">
        <f>IFERROR(IF(B61="","",VLOOKUP(B61,المستفيدين!$B:$C,2,FALSE)),"")</f>
        <v>مستفيد25</v>
      </c>
      <c r="D61" s="15" t="s">
        <v>140</v>
      </c>
      <c r="E61" s="16" t="s">
        <v>37</v>
      </c>
      <c r="F61" s="14" t="str">
        <f>IFERROR(IF(B61="","",VLOOKUP(B61,المستفيدين!$B:$F,5,FALSE)),"")</f>
        <v>مركز إرادة وتمكين للرعاية النهارية (القدس)</v>
      </c>
      <c r="G61">
        <f>COUNTIF($B$2:B61,B61)</f>
        <v>2</v>
      </c>
    </row>
    <row r="62" spans="1:7" x14ac:dyDescent="0.2">
      <c r="A62" s="9">
        <v>61</v>
      </c>
      <c r="B62" s="10">
        <v>1057659923</v>
      </c>
      <c r="C62" s="8" t="str">
        <f>IFERROR(IF(B62="","",VLOOKUP(B62,المستفيدين!$B:$C,2,FALSE)),"")</f>
        <v>مستفيد26</v>
      </c>
      <c r="D62" s="13" t="s">
        <v>369</v>
      </c>
      <c r="E62" s="14" t="s">
        <v>36</v>
      </c>
      <c r="F62" s="14" t="str">
        <f>IFERROR(IF(B62="","",VLOOKUP(B62,المستفيدين!$B:$F,5,FALSE)),"")</f>
        <v>مدرسة إرادة للتعليم (مكة)</v>
      </c>
      <c r="G62">
        <f>COUNTIF($B$2:B62,B62)</f>
        <v>1</v>
      </c>
    </row>
    <row r="63" spans="1:7" x14ac:dyDescent="0.2">
      <c r="A63" s="11">
        <v>62</v>
      </c>
      <c r="B63" s="12">
        <v>1057659923</v>
      </c>
      <c r="C63" s="8" t="str">
        <f>IFERROR(IF(B63="","",VLOOKUP(B63,المستفيدين!$B:$C,2,FALSE)),"")</f>
        <v>مستفيد26</v>
      </c>
      <c r="D63" s="15" t="s">
        <v>64</v>
      </c>
      <c r="E63" s="16" t="s">
        <v>36</v>
      </c>
      <c r="F63" s="14" t="str">
        <f>IFERROR(IF(B63="","",VLOOKUP(B63,المستفيدين!$B:$F,5,FALSE)),"")</f>
        <v>مدرسة إرادة للتعليم (مكة)</v>
      </c>
      <c r="G63">
        <f>COUNTIF($B$2:B63,B63)</f>
        <v>2</v>
      </c>
    </row>
    <row r="64" spans="1:7" x14ac:dyDescent="0.2">
      <c r="A64" s="9">
        <v>63</v>
      </c>
      <c r="B64" s="10">
        <v>1057659923</v>
      </c>
      <c r="C64" s="8" t="str">
        <f>IFERROR(IF(B64="","",VLOOKUP(B64,المستفيدين!$B:$C,2,FALSE)),"")</f>
        <v>مستفيد26</v>
      </c>
      <c r="D64" s="13" t="s">
        <v>136</v>
      </c>
      <c r="E64" s="14" t="s">
        <v>36</v>
      </c>
      <c r="F64" s="14" t="str">
        <f>IFERROR(IF(B64="","",VLOOKUP(B64,المستفيدين!$B:$F,5,FALSE)),"")</f>
        <v>مدرسة إرادة للتعليم (مكة)</v>
      </c>
      <c r="G64">
        <f>COUNTIF($B$2:B64,B64)</f>
        <v>3</v>
      </c>
    </row>
    <row r="65" spans="1:7" x14ac:dyDescent="0.2">
      <c r="A65" s="11">
        <v>64</v>
      </c>
      <c r="B65" s="12">
        <v>1590618188</v>
      </c>
      <c r="C65" s="8" t="str">
        <f>IFERROR(IF(B65="","",VLOOKUP(B65,المستفيدين!$B:$C,2,FALSE)),"")</f>
        <v>مستفيد27</v>
      </c>
      <c r="D65" s="15" t="s">
        <v>134</v>
      </c>
      <c r="E65" s="16" t="s">
        <v>36</v>
      </c>
      <c r="F65" s="14" t="str">
        <f>IFERROR(IF(B65="","",VLOOKUP(B65,المستفيدين!$B:$F,5,FALSE)),"")</f>
        <v>مدرسة إرادة وتمكين لمتلازمة داون (نجد)</v>
      </c>
      <c r="G65">
        <f>COUNTIF($B$2:B65,B65)</f>
        <v>1</v>
      </c>
    </row>
    <row r="66" spans="1:7" x14ac:dyDescent="0.2">
      <c r="A66" s="9">
        <v>65</v>
      </c>
      <c r="B66" s="10">
        <v>1590618188</v>
      </c>
      <c r="C66" s="8" t="str">
        <f>IFERROR(IF(B66="","",VLOOKUP(B66,المستفيدين!$B:$C,2,FALSE)),"")</f>
        <v>مستفيد27</v>
      </c>
      <c r="D66" s="13" t="s">
        <v>145</v>
      </c>
      <c r="E66" s="14" t="s">
        <v>34</v>
      </c>
      <c r="F66" s="14" t="str">
        <f>IFERROR(IF(B66="","",VLOOKUP(B66,المستفيدين!$B:$F,5,FALSE)),"")</f>
        <v>مدرسة إرادة وتمكين لمتلازمة داون (نجد)</v>
      </c>
      <c r="G66">
        <f>COUNTIF($B$2:B66,B66)</f>
        <v>2</v>
      </c>
    </row>
    <row r="67" spans="1:7" x14ac:dyDescent="0.2">
      <c r="A67" s="11">
        <v>66</v>
      </c>
      <c r="B67" s="12">
        <v>1590618188</v>
      </c>
      <c r="C67" s="8" t="str">
        <f>IFERROR(IF(B67="","",VLOOKUP(B67,المستفيدين!$B:$C,2,FALSE)),"")</f>
        <v>مستفيد27</v>
      </c>
      <c r="D67" s="15" t="s">
        <v>143</v>
      </c>
      <c r="E67" s="16" t="s">
        <v>34</v>
      </c>
      <c r="F67" s="14" t="str">
        <f>IFERROR(IF(B67="","",VLOOKUP(B67,المستفيدين!$B:$F,5,FALSE)),"")</f>
        <v>مدرسة إرادة وتمكين لمتلازمة داون (نجد)</v>
      </c>
      <c r="G67">
        <f>COUNTIF($B$2:B67,B67)</f>
        <v>3</v>
      </c>
    </row>
    <row r="68" spans="1:7" x14ac:dyDescent="0.2">
      <c r="A68" s="9">
        <v>67</v>
      </c>
      <c r="B68" s="10">
        <v>1590618188</v>
      </c>
      <c r="C68" s="8" t="str">
        <f>IFERROR(IF(B68="","",VLOOKUP(B68,المستفيدين!$B:$C,2,FALSE)),"")</f>
        <v>مستفيد27</v>
      </c>
      <c r="D68" s="13" t="s">
        <v>137</v>
      </c>
      <c r="E68" s="14" t="s">
        <v>36</v>
      </c>
      <c r="F68" s="14" t="str">
        <f>IFERROR(IF(B68="","",VLOOKUP(B68,المستفيدين!$B:$F,5,FALSE)),"")</f>
        <v>مدرسة إرادة وتمكين لمتلازمة داون (نجد)</v>
      </c>
      <c r="G68">
        <f>COUNTIF($B$2:B68,B68)</f>
        <v>4</v>
      </c>
    </row>
    <row r="69" spans="1:7" x14ac:dyDescent="0.2">
      <c r="A69" s="11">
        <v>68</v>
      </c>
      <c r="B69" s="12">
        <v>1998973443</v>
      </c>
      <c r="C69" s="8" t="str">
        <f>IFERROR(IF(B69="","",VLOOKUP(B69,المستفيدين!$B:$C,2,FALSE)),"")</f>
        <v>مستفيد28</v>
      </c>
      <c r="D69" s="15" t="s">
        <v>136</v>
      </c>
      <c r="E69" s="16" t="s">
        <v>37</v>
      </c>
      <c r="F69" s="14" t="str">
        <f>IFERROR(IF(B69="","",VLOOKUP(B69,المستفيدين!$B:$F,5,FALSE)),"")</f>
        <v>مدرسة إرادة وتمكين لمتلازمة داون (نجد)</v>
      </c>
      <c r="G69">
        <f>COUNTIF($B$2:B69,B69)</f>
        <v>1</v>
      </c>
    </row>
    <row r="70" spans="1:7" x14ac:dyDescent="0.2">
      <c r="A70" s="9">
        <v>69</v>
      </c>
      <c r="B70" s="10">
        <v>1998973443</v>
      </c>
      <c r="C70" s="8" t="str">
        <f>IFERROR(IF(B70="","",VLOOKUP(B70,المستفيدين!$B:$C,2,FALSE)),"")</f>
        <v>مستفيد28</v>
      </c>
      <c r="D70" s="13" t="s">
        <v>64</v>
      </c>
      <c r="E70" s="14" t="s">
        <v>37</v>
      </c>
      <c r="F70" s="14" t="str">
        <f>IFERROR(IF(B70="","",VLOOKUP(B70,المستفيدين!$B:$F,5,FALSE)),"")</f>
        <v>مدرسة إرادة وتمكين لمتلازمة داون (نجد)</v>
      </c>
      <c r="G70">
        <f>COUNTIF($B$2:B70,B70)</f>
        <v>2</v>
      </c>
    </row>
    <row r="71" spans="1:7" x14ac:dyDescent="0.2">
      <c r="A71" s="11">
        <v>70</v>
      </c>
      <c r="B71" s="12">
        <v>1838907615</v>
      </c>
      <c r="C71" s="8" t="str">
        <f>IFERROR(IF(B71="","",VLOOKUP(B71,المستفيدين!$B:$C,2,FALSE)),"")</f>
        <v>مستفيد29</v>
      </c>
      <c r="D71" s="15" t="s">
        <v>370</v>
      </c>
      <c r="E71" s="16" t="s">
        <v>36</v>
      </c>
      <c r="F71" s="14" t="str">
        <f>IFERROR(IF(B71="","",VLOOKUP(B71,المستفيدين!$B:$F,5,FALSE)),"")</f>
        <v>مركز إرادة وتمكين لرعاية ذوي الاحتياجات الخاصة (جلمودة)</v>
      </c>
      <c r="G71">
        <f>COUNTIF($B$2:B71,B71)</f>
        <v>1</v>
      </c>
    </row>
    <row r="72" spans="1:7" x14ac:dyDescent="0.2">
      <c r="A72" s="9">
        <v>71</v>
      </c>
      <c r="B72" s="10">
        <v>1838907615</v>
      </c>
      <c r="C72" s="8" t="str">
        <f>IFERROR(IF(B72="","",VLOOKUP(B72,المستفيدين!$B:$C,2,FALSE)),"")</f>
        <v>مستفيد29</v>
      </c>
      <c r="D72" s="13" t="s">
        <v>144</v>
      </c>
      <c r="E72" s="14" t="s">
        <v>34</v>
      </c>
      <c r="F72" s="14" t="str">
        <f>IFERROR(IF(B72="","",VLOOKUP(B72,المستفيدين!$B:$F,5,FALSE)),"")</f>
        <v>مركز إرادة وتمكين لرعاية ذوي الاحتياجات الخاصة (جلمودة)</v>
      </c>
      <c r="G72">
        <f>COUNTIF($B$2:B72,B72)</f>
        <v>2</v>
      </c>
    </row>
    <row r="73" spans="1:7" x14ac:dyDescent="0.2">
      <c r="A73" s="11">
        <v>72</v>
      </c>
      <c r="B73" s="12">
        <v>1838907615</v>
      </c>
      <c r="C73" s="8" t="str">
        <f>IFERROR(IF(B73="","",VLOOKUP(B73,المستفيدين!$B:$C,2,FALSE)),"")</f>
        <v>مستفيد29</v>
      </c>
      <c r="D73" s="15" t="s">
        <v>135</v>
      </c>
      <c r="E73" s="16" t="s">
        <v>34</v>
      </c>
      <c r="F73" s="14" t="str">
        <f>IFERROR(IF(B73="","",VLOOKUP(B73,المستفيدين!$B:$F,5,FALSE)),"")</f>
        <v>مركز إرادة وتمكين لرعاية ذوي الاحتياجات الخاصة (جلمودة)</v>
      </c>
      <c r="G73">
        <f>COUNTIF($B$2:B73,B73)</f>
        <v>3</v>
      </c>
    </row>
    <row r="74" spans="1:7" x14ac:dyDescent="0.2">
      <c r="A74" s="9">
        <v>73</v>
      </c>
      <c r="B74" s="10">
        <v>1838907615</v>
      </c>
      <c r="C74" s="8" t="str">
        <f>IFERROR(IF(B74="","",VLOOKUP(B74,المستفيدين!$B:$C,2,FALSE)),"")</f>
        <v>مستفيد29</v>
      </c>
      <c r="D74" s="13" t="s">
        <v>64</v>
      </c>
      <c r="E74" s="14" t="s">
        <v>36</v>
      </c>
      <c r="F74" s="14" t="str">
        <f>IFERROR(IF(B74="","",VLOOKUP(B74,المستفيدين!$B:$F,5,FALSE)),"")</f>
        <v>مركز إرادة وتمكين لرعاية ذوي الاحتياجات الخاصة (جلمودة)</v>
      </c>
      <c r="G74">
        <f>COUNTIF($B$2:B74,B74)</f>
        <v>4</v>
      </c>
    </row>
    <row r="75" spans="1:7" x14ac:dyDescent="0.2">
      <c r="A75" s="11">
        <v>74</v>
      </c>
      <c r="B75" s="12">
        <v>1252971687</v>
      </c>
      <c r="C75" s="8" t="str">
        <f>IFERROR(IF(B75="","",VLOOKUP(B75,المستفيدين!$B:$C,2,FALSE)),"")</f>
        <v>مستفيد30</v>
      </c>
      <c r="D75" s="15" t="s">
        <v>370</v>
      </c>
      <c r="E75" s="16" t="s">
        <v>37</v>
      </c>
      <c r="F75" s="14" t="str">
        <f>IFERROR(IF(B75="","",VLOOKUP(B75,المستفيدين!$B:$F,5,FALSE)),"")</f>
        <v>مدرسة إرادة للتعليم (مكة)</v>
      </c>
      <c r="G75">
        <f>COUNTIF($B$2:B75,B75)</f>
        <v>1</v>
      </c>
    </row>
    <row r="76" spans="1:7" x14ac:dyDescent="0.2">
      <c r="A76" s="9">
        <v>75</v>
      </c>
      <c r="B76" s="10">
        <v>1252971687</v>
      </c>
      <c r="C76" s="8" t="str">
        <f>IFERROR(IF(B76="","",VLOOKUP(B76,المستفيدين!$B:$C,2,FALSE)),"")</f>
        <v>مستفيد30</v>
      </c>
      <c r="D76" s="13" t="s">
        <v>144</v>
      </c>
      <c r="E76" s="14" t="s">
        <v>34</v>
      </c>
      <c r="F76" s="14" t="str">
        <f>IFERROR(IF(B76="","",VLOOKUP(B76,المستفيدين!$B:$F,5,FALSE)),"")</f>
        <v>مدرسة إرادة للتعليم (مكة)</v>
      </c>
      <c r="G76">
        <f>COUNTIF($B$2:B76,B76)</f>
        <v>2</v>
      </c>
    </row>
    <row r="77" spans="1:7" x14ac:dyDescent="0.2">
      <c r="A77" s="11">
        <v>76</v>
      </c>
      <c r="B77" s="12">
        <v>1252971687</v>
      </c>
      <c r="C77" s="8" t="str">
        <f>IFERROR(IF(B77="","",VLOOKUP(B77,المستفيدين!$B:$C,2,FALSE)),"")</f>
        <v>مستفيد30</v>
      </c>
      <c r="D77" s="15" t="s">
        <v>134</v>
      </c>
      <c r="E77" s="16" t="s">
        <v>37</v>
      </c>
      <c r="F77" s="14" t="str">
        <f>IFERROR(IF(B77="","",VLOOKUP(B77,المستفيدين!$B:$F,5,FALSE)),"")</f>
        <v>مدرسة إرادة للتعليم (مكة)</v>
      </c>
      <c r="G77">
        <f>COUNTIF($B$2:B77,B77)</f>
        <v>3</v>
      </c>
    </row>
    <row r="78" spans="1:7" x14ac:dyDescent="0.2">
      <c r="A78" s="9">
        <v>77</v>
      </c>
      <c r="B78" s="10">
        <v>1252971687</v>
      </c>
      <c r="C78" s="8" t="str">
        <f>IFERROR(IF(B78="","",VLOOKUP(B78,المستفيدين!$B:$C,2,FALSE)),"")</f>
        <v>مستفيد30</v>
      </c>
      <c r="D78" s="13" t="s">
        <v>143</v>
      </c>
      <c r="E78" s="14" t="s">
        <v>34</v>
      </c>
      <c r="F78" s="14" t="str">
        <f>IFERROR(IF(B78="","",VLOOKUP(B78,المستفيدين!$B:$F,5,FALSE)),"")</f>
        <v>مدرسة إرادة للتعليم (مكة)</v>
      </c>
      <c r="G78">
        <f>COUNTIF($B$2:B78,B78)</f>
        <v>4</v>
      </c>
    </row>
    <row r="79" spans="1:7" x14ac:dyDescent="0.2">
      <c r="A79" s="11">
        <v>78</v>
      </c>
      <c r="B79" s="12">
        <v>1737713745</v>
      </c>
      <c r="C79" s="8" t="str">
        <f>IFERROR(IF(B79="","",VLOOKUP(B79,المستفيدين!$B:$C,2,FALSE)),"")</f>
        <v>مستفيد31</v>
      </c>
      <c r="D79" s="15" t="s">
        <v>145</v>
      </c>
      <c r="E79" s="16" t="s">
        <v>34</v>
      </c>
      <c r="F79" s="14" t="str">
        <f>IFERROR(IF(B79="","",VLOOKUP(B79,المستفيدين!$B:$F,5,FALSE)),"")</f>
        <v>مدرسة إرادة للتعليم (مكة)</v>
      </c>
      <c r="G79">
        <f>COUNTIF($B$2:B79,B79)</f>
        <v>1</v>
      </c>
    </row>
    <row r="80" spans="1:7" x14ac:dyDescent="0.2">
      <c r="A80" s="9">
        <v>79</v>
      </c>
      <c r="B80" s="10">
        <v>1020269730</v>
      </c>
      <c r="C80" s="8" t="str">
        <f>IFERROR(IF(B80="","",VLOOKUP(B80,المستفيدين!$B:$C,2,FALSE)),"")</f>
        <v>مستفيد32</v>
      </c>
      <c r="D80" s="13" t="s">
        <v>134</v>
      </c>
      <c r="E80" s="14" t="s">
        <v>36</v>
      </c>
      <c r="F80" s="14" t="str">
        <f>IFERROR(IF(B80="","",VLOOKUP(B80,المستفيدين!$B:$F,5,FALSE)),"")</f>
        <v>مدرسة إرادة للتعليم (مكة)</v>
      </c>
      <c r="G80">
        <f>COUNTIF($B$2:B80,B80)</f>
        <v>1</v>
      </c>
    </row>
    <row r="81" spans="1:7" x14ac:dyDescent="0.2">
      <c r="A81" s="11">
        <v>80</v>
      </c>
      <c r="B81" s="12">
        <v>1859263783</v>
      </c>
      <c r="C81" s="8" t="str">
        <f>IFERROR(IF(B81="","",VLOOKUP(B81,المستفيدين!$B:$C,2,FALSE)),"")</f>
        <v>مستفيد33</v>
      </c>
      <c r="D81" s="15" t="s">
        <v>135</v>
      </c>
      <c r="E81" s="16" t="s">
        <v>34</v>
      </c>
      <c r="F81" s="14" t="str">
        <f>IFERROR(IF(B81="","",VLOOKUP(B81,المستفيدين!$B:$F,5,FALSE)),"")</f>
        <v>مدرسة إرادة للتعليم (مكة)</v>
      </c>
      <c r="G81">
        <f>COUNTIF($B$2:B81,B81)</f>
        <v>1</v>
      </c>
    </row>
    <row r="82" spans="1:7" x14ac:dyDescent="0.2">
      <c r="A82" s="9">
        <v>81</v>
      </c>
      <c r="B82" s="10">
        <v>1859263783</v>
      </c>
      <c r="C82" s="8" t="str">
        <f>IFERROR(IF(B82="","",VLOOKUP(B82,المستفيدين!$B:$C,2,FALSE)),"")</f>
        <v>مستفيد33</v>
      </c>
      <c r="D82" s="13" t="s">
        <v>144</v>
      </c>
      <c r="E82" s="14" t="s">
        <v>37</v>
      </c>
      <c r="F82" s="14" t="str">
        <f>IFERROR(IF(B82="","",VLOOKUP(B82,المستفيدين!$B:$F,5,FALSE)),"")</f>
        <v>مدرسة إرادة للتعليم (مكة)</v>
      </c>
      <c r="G82">
        <f>COUNTIF($B$2:B82,B82)</f>
        <v>2</v>
      </c>
    </row>
    <row r="83" spans="1:7" x14ac:dyDescent="0.2">
      <c r="A83" s="11">
        <v>82</v>
      </c>
      <c r="B83" s="12">
        <v>1859263783</v>
      </c>
      <c r="C83" s="8" t="str">
        <f>IFERROR(IF(B83="","",VLOOKUP(B83,المستفيدين!$B:$C,2,FALSE)),"")</f>
        <v>مستفيد33</v>
      </c>
      <c r="D83" s="15" t="s">
        <v>64</v>
      </c>
      <c r="E83" s="16" t="s">
        <v>36</v>
      </c>
      <c r="F83" s="14" t="str">
        <f>IFERROR(IF(B83="","",VLOOKUP(B83,المستفيدين!$B:$F,5,FALSE)),"")</f>
        <v>مدرسة إرادة للتعليم (مكة)</v>
      </c>
      <c r="G83">
        <f>COUNTIF($B$2:B83,B83)</f>
        <v>3</v>
      </c>
    </row>
    <row r="84" spans="1:7" x14ac:dyDescent="0.2">
      <c r="A84" s="9">
        <v>83</v>
      </c>
      <c r="B84" s="10">
        <v>1859263783</v>
      </c>
      <c r="C84" s="8" t="str">
        <f>IFERROR(IF(B84="","",VLOOKUP(B84,المستفيدين!$B:$C,2,FALSE)),"")</f>
        <v>مستفيد33</v>
      </c>
      <c r="D84" s="13" t="s">
        <v>142</v>
      </c>
      <c r="E84" s="14" t="s">
        <v>37</v>
      </c>
      <c r="F84" s="14" t="str">
        <f>IFERROR(IF(B84="","",VLOOKUP(B84,المستفيدين!$B:$F,5,FALSE)),"")</f>
        <v>مدرسة إرادة للتعليم (مكة)</v>
      </c>
      <c r="G84">
        <f>COUNTIF($B$2:B84,B84)</f>
        <v>4</v>
      </c>
    </row>
    <row r="85" spans="1:7" x14ac:dyDescent="0.2">
      <c r="A85" s="11">
        <v>84</v>
      </c>
      <c r="B85" s="12">
        <v>1110215725</v>
      </c>
      <c r="C85" s="8" t="str">
        <f>IFERROR(IF(B85="","",VLOOKUP(B85,المستفيدين!$B:$C,2,FALSE)),"")</f>
        <v>مستفيد34</v>
      </c>
      <c r="D85" s="15" t="s">
        <v>141</v>
      </c>
      <c r="E85" s="16" t="s">
        <v>36</v>
      </c>
      <c r="F85" s="14" t="str">
        <f>IFERROR(IF(B85="","",VLOOKUP(B85,المستفيدين!$B:$F,5,FALSE)),"")</f>
        <v>مركز إرادة وتمكين لرعاية ذوي الاحتياجات الخاصة (جلمودة)</v>
      </c>
      <c r="G85">
        <f>COUNTIF($B$2:B85,B85)</f>
        <v>1</v>
      </c>
    </row>
    <row r="86" spans="1:7" x14ac:dyDescent="0.2">
      <c r="A86" s="9">
        <v>85</v>
      </c>
      <c r="B86" s="10">
        <v>1110215725</v>
      </c>
      <c r="C86" s="8" t="str">
        <f>IFERROR(IF(B86="","",VLOOKUP(B86,المستفيدين!$B:$C,2,FALSE)),"")</f>
        <v>مستفيد34</v>
      </c>
      <c r="D86" s="13" t="s">
        <v>145</v>
      </c>
      <c r="E86" s="14" t="s">
        <v>34</v>
      </c>
      <c r="F86" s="14" t="str">
        <f>IFERROR(IF(B86="","",VLOOKUP(B86,المستفيدين!$B:$F,5,FALSE)),"")</f>
        <v>مركز إرادة وتمكين لرعاية ذوي الاحتياجات الخاصة (جلمودة)</v>
      </c>
      <c r="G86">
        <f>COUNTIF($B$2:B86,B86)</f>
        <v>2</v>
      </c>
    </row>
    <row r="87" spans="1:7" x14ac:dyDescent="0.2">
      <c r="A87" s="11">
        <v>86</v>
      </c>
      <c r="B87" s="12">
        <v>1110215725</v>
      </c>
      <c r="C87" s="8" t="str">
        <f>IFERROR(IF(B87="","",VLOOKUP(B87,المستفيدين!$B:$C,2,FALSE)),"")</f>
        <v>مستفيد34</v>
      </c>
      <c r="D87" s="15" t="s">
        <v>64</v>
      </c>
      <c r="E87" s="16" t="s">
        <v>34</v>
      </c>
      <c r="F87" s="14" t="str">
        <f>IFERROR(IF(B87="","",VLOOKUP(B87,المستفيدين!$B:$F,5,FALSE)),"")</f>
        <v>مركز إرادة وتمكين لرعاية ذوي الاحتياجات الخاصة (جلمودة)</v>
      </c>
      <c r="G87">
        <f>COUNTIF($B$2:B87,B87)</f>
        <v>3</v>
      </c>
    </row>
    <row r="88" spans="1:7" x14ac:dyDescent="0.2">
      <c r="A88" s="9">
        <v>87</v>
      </c>
      <c r="B88" s="10">
        <v>1110215725</v>
      </c>
      <c r="C88" s="8" t="str">
        <f>IFERROR(IF(B88="","",VLOOKUP(B88,المستفيدين!$B:$C,2,FALSE)),"")</f>
        <v>مستفيد34</v>
      </c>
      <c r="D88" s="13" t="s">
        <v>134</v>
      </c>
      <c r="E88" s="14" t="s">
        <v>34</v>
      </c>
      <c r="F88" s="14" t="str">
        <f>IFERROR(IF(B88="","",VLOOKUP(B88,المستفيدين!$B:$F,5,FALSE)),"")</f>
        <v>مركز إرادة وتمكين لرعاية ذوي الاحتياجات الخاصة (جلمودة)</v>
      </c>
      <c r="G88">
        <f>COUNTIF($B$2:B88,B88)</f>
        <v>4</v>
      </c>
    </row>
    <row r="89" spans="1:7" x14ac:dyDescent="0.2">
      <c r="A89" s="11">
        <v>88</v>
      </c>
      <c r="B89" s="12">
        <v>1531942049</v>
      </c>
      <c r="C89" s="8" t="str">
        <f>IFERROR(IF(B89="","",VLOOKUP(B89,المستفيدين!$B:$C,2,FALSE)),"")</f>
        <v>مستفيد35</v>
      </c>
      <c r="D89" s="15" t="s">
        <v>369</v>
      </c>
      <c r="E89" s="16" t="s">
        <v>37</v>
      </c>
      <c r="F89" s="14" t="str">
        <f>IFERROR(IF(B89="","",VLOOKUP(B89,المستفيدين!$B:$F,5,FALSE)),"")</f>
        <v>مدرسة إرادة وتمكين لمتلازمة داون (نجد)</v>
      </c>
      <c r="G89">
        <f>COUNTIF($B$2:B89,B89)</f>
        <v>1</v>
      </c>
    </row>
    <row r="90" spans="1:7" x14ac:dyDescent="0.2">
      <c r="A90" s="9">
        <v>89</v>
      </c>
      <c r="B90" s="10">
        <v>1618104695</v>
      </c>
      <c r="C90" s="8" t="str">
        <f>IFERROR(IF(B90="","",VLOOKUP(B90,المستفيدين!$B:$C,2,FALSE)),"")</f>
        <v>مستفيد36</v>
      </c>
      <c r="D90" s="13" t="s">
        <v>64</v>
      </c>
      <c r="E90" s="14" t="s">
        <v>36</v>
      </c>
      <c r="F90" s="14" t="str">
        <f>IFERROR(IF(B90="","",VLOOKUP(B90,المستفيدين!$B:$F,5,FALSE)),"")</f>
        <v>مدرسة إرادة وتمكين لمتلازمة داون (نجد)</v>
      </c>
      <c r="G90">
        <f>COUNTIF($B$2:B90,B90)</f>
        <v>1</v>
      </c>
    </row>
    <row r="91" spans="1:7" x14ac:dyDescent="0.2">
      <c r="A91" s="11">
        <v>90</v>
      </c>
      <c r="B91" s="12">
        <v>1618104695</v>
      </c>
      <c r="C91" s="8" t="str">
        <f>IFERROR(IF(B91="","",VLOOKUP(B91,المستفيدين!$B:$C,2,FALSE)),"")</f>
        <v>مستفيد36</v>
      </c>
      <c r="D91" s="15" t="s">
        <v>134</v>
      </c>
      <c r="E91" s="16" t="s">
        <v>34</v>
      </c>
      <c r="F91" s="14" t="str">
        <f>IFERROR(IF(B91="","",VLOOKUP(B91,المستفيدين!$B:$F,5,FALSE)),"")</f>
        <v>مدرسة إرادة وتمكين لمتلازمة داون (نجد)</v>
      </c>
      <c r="G91">
        <f>COUNTIF($B$2:B91,B91)</f>
        <v>2</v>
      </c>
    </row>
    <row r="92" spans="1:7" x14ac:dyDescent="0.2">
      <c r="A92" s="9">
        <v>91</v>
      </c>
      <c r="B92" s="10">
        <v>1618104695</v>
      </c>
      <c r="C92" s="8" t="str">
        <f>IFERROR(IF(B92="","",VLOOKUP(B92,المستفيدين!$B:$C,2,FALSE)),"")</f>
        <v>مستفيد36</v>
      </c>
      <c r="D92" s="13" t="s">
        <v>135</v>
      </c>
      <c r="E92" s="14" t="s">
        <v>36</v>
      </c>
      <c r="F92" s="14" t="str">
        <f>IFERROR(IF(B92="","",VLOOKUP(B92,المستفيدين!$B:$F,5,FALSE)),"")</f>
        <v>مدرسة إرادة وتمكين لمتلازمة داون (نجد)</v>
      </c>
      <c r="G92">
        <f>COUNTIF($B$2:B92,B92)</f>
        <v>3</v>
      </c>
    </row>
    <row r="93" spans="1:7" x14ac:dyDescent="0.2">
      <c r="A93" s="11">
        <v>92</v>
      </c>
      <c r="B93" s="12">
        <v>1511480692</v>
      </c>
      <c r="C93" s="8" t="str">
        <f>IFERROR(IF(B93="","",VLOOKUP(B93,المستفيدين!$B:$C,2,FALSE)),"")</f>
        <v>مستفيد37</v>
      </c>
      <c r="D93" s="15" t="s">
        <v>146</v>
      </c>
      <c r="E93" s="16" t="s">
        <v>37</v>
      </c>
      <c r="F93" s="14" t="str">
        <f>IFERROR(IF(B93="","",VLOOKUP(B93,المستفيدين!$B:$F,5,FALSE)),"")</f>
        <v>مدرسة إرادة وتمكين لمتلازمة داون (نجد)</v>
      </c>
      <c r="G93">
        <f>COUNTIF($B$2:B93,B93)</f>
        <v>1</v>
      </c>
    </row>
    <row r="94" spans="1:7" x14ac:dyDescent="0.2">
      <c r="A94" s="9">
        <v>93</v>
      </c>
      <c r="B94" s="10">
        <v>1511480692</v>
      </c>
      <c r="C94" s="8" t="str">
        <f>IFERROR(IF(B94="","",VLOOKUP(B94,المستفيدين!$B:$C,2,FALSE)),"")</f>
        <v>مستفيد37</v>
      </c>
      <c r="D94" s="13" t="s">
        <v>369</v>
      </c>
      <c r="E94" s="14" t="s">
        <v>36</v>
      </c>
      <c r="F94" s="14" t="str">
        <f>IFERROR(IF(B94="","",VLOOKUP(B94,المستفيدين!$B:$F,5,FALSE)),"")</f>
        <v>مدرسة إرادة وتمكين لمتلازمة داون (نجد)</v>
      </c>
      <c r="G94">
        <f>COUNTIF($B$2:B94,B94)</f>
        <v>2</v>
      </c>
    </row>
    <row r="95" spans="1:7" x14ac:dyDescent="0.2">
      <c r="A95" s="11">
        <v>94</v>
      </c>
      <c r="B95" s="12">
        <v>1511480692</v>
      </c>
      <c r="C95" s="8" t="str">
        <f>IFERROR(IF(B95="","",VLOOKUP(B95,المستفيدين!$B:$C,2,FALSE)),"")</f>
        <v>مستفيد37</v>
      </c>
      <c r="D95" s="15" t="s">
        <v>137</v>
      </c>
      <c r="E95" s="16" t="s">
        <v>37</v>
      </c>
      <c r="F95" s="14" t="str">
        <f>IFERROR(IF(B95="","",VLOOKUP(B95,المستفيدين!$B:$F,5,FALSE)),"")</f>
        <v>مدرسة إرادة وتمكين لمتلازمة داون (نجد)</v>
      </c>
      <c r="G95">
        <f>COUNTIF($B$2:B95,B95)</f>
        <v>3</v>
      </c>
    </row>
    <row r="96" spans="1:7" x14ac:dyDescent="0.2">
      <c r="A96" s="9">
        <v>95</v>
      </c>
      <c r="B96" s="10">
        <v>1597351109</v>
      </c>
      <c r="C96" s="8" t="str">
        <f>IFERROR(IF(B96="","",VLOOKUP(B96,المستفيدين!$B:$C,2,FALSE)),"")</f>
        <v>مستفيد38</v>
      </c>
      <c r="D96" s="13" t="s">
        <v>144</v>
      </c>
      <c r="E96" s="14" t="s">
        <v>34</v>
      </c>
      <c r="F96" s="14" t="str">
        <f>IFERROR(IF(B96="","",VLOOKUP(B96,المستفيدين!$B:$F,5,FALSE)),"")</f>
        <v>مركز إرادة وتمكين للرعاية النهارية (القدس)</v>
      </c>
      <c r="G96">
        <f>COUNTIF($B$2:B96,B96)</f>
        <v>1</v>
      </c>
    </row>
    <row r="97" spans="1:7" x14ac:dyDescent="0.2">
      <c r="A97" s="11">
        <v>96</v>
      </c>
      <c r="B97" s="12">
        <v>1061601642</v>
      </c>
      <c r="C97" s="8" t="str">
        <f>IFERROR(IF(B97="","",VLOOKUP(B97,المستفيدين!$B:$C,2,FALSE)),"")</f>
        <v>مستفيد39</v>
      </c>
      <c r="D97" s="15" t="s">
        <v>144</v>
      </c>
      <c r="E97" s="16" t="s">
        <v>34</v>
      </c>
      <c r="F97" s="14" t="str">
        <f>IFERROR(IF(B97="","",VLOOKUP(B97,المستفيدين!$B:$F,5,FALSE)),"")</f>
        <v>مركز إرادة وتمكين لمتلازمة داون (نجد)</v>
      </c>
      <c r="G97">
        <f>COUNTIF($B$2:B97,B97)</f>
        <v>1</v>
      </c>
    </row>
    <row r="98" spans="1:7" x14ac:dyDescent="0.2">
      <c r="A98" s="9">
        <v>97</v>
      </c>
      <c r="B98" s="10">
        <v>1061601642</v>
      </c>
      <c r="C98" s="8" t="str">
        <f>IFERROR(IF(B98="","",VLOOKUP(B98,المستفيدين!$B:$C,2,FALSE)),"")</f>
        <v>مستفيد39</v>
      </c>
      <c r="D98" s="13" t="s">
        <v>145</v>
      </c>
      <c r="E98" s="14" t="s">
        <v>34</v>
      </c>
      <c r="F98" s="14" t="str">
        <f>IFERROR(IF(B98="","",VLOOKUP(B98,المستفيدين!$B:$F,5,FALSE)),"")</f>
        <v>مركز إرادة وتمكين لمتلازمة داون (نجد)</v>
      </c>
      <c r="G98">
        <f>COUNTIF($B$2:B98,B98)</f>
        <v>2</v>
      </c>
    </row>
    <row r="99" spans="1:7" x14ac:dyDescent="0.2">
      <c r="A99" s="11">
        <v>98</v>
      </c>
      <c r="B99" s="12">
        <v>1035556284</v>
      </c>
      <c r="C99" s="8" t="str">
        <f>IFERROR(IF(B99="","",VLOOKUP(B99,المستفيدين!$B:$C,2,FALSE)),"")</f>
        <v>مستفيد40</v>
      </c>
      <c r="D99" s="15" t="s">
        <v>64</v>
      </c>
      <c r="E99" s="16" t="s">
        <v>36</v>
      </c>
      <c r="F99" s="14" t="str">
        <f>IFERROR(IF(B99="","",VLOOKUP(B99,المستفيدين!$B:$F,5,FALSE)),"")</f>
        <v>مركز إرادة وتمكين لرعاية ذوي الاحتياجات الخاصة (جلمودة)</v>
      </c>
      <c r="G99">
        <f>COUNTIF($B$2:B99,B99)</f>
        <v>1</v>
      </c>
    </row>
    <row r="100" spans="1:7" x14ac:dyDescent="0.2">
      <c r="A100" s="9">
        <v>99</v>
      </c>
      <c r="B100" s="10">
        <v>1035556284</v>
      </c>
      <c r="C100" s="8" t="str">
        <f>IFERROR(IF(B100="","",VLOOKUP(B100,المستفيدين!$B:$C,2,FALSE)),"")</f>
        <v>مستفيد40</v>
      </c>
      <c r="D100" s="13" t="s">
        <v>370</v>
      </c>
      <c r="E100" s="14" t="s">
        <v>34</v>
      </c>
      <c r="F100" s="14" t="str">
        <f>IFERROR(IF(B100="","",VLOOKUP(B100,المستفيدين!$B:$F,5,FALSE)),"")</f>
        <v>مركز إرادة وتمكين لرعاية ذوي الاحتياجات الخاصة (جلمودة)</v>
      </c>
      <c r="G100">
        <f>COUNTIF($B$2:B100,B100)</f>
        <v>2</v>
      </c>
    </row>
    <row r="101" spans="1:7" x14ac:dyDescent="0.2">
      <c r="A101" s="11">
        <v>100</v>
      </c>
      <c r="B101" s="12">
        <v>1035556284</v>
      </c>
      <c r="C101" s="8" t="str">
        <f>IFERROR(IF(B101="","",VLOOKUP(B101,المستفيدين!$B:$C,2,FALSE)),"")</f>
        <v>مستفيد40</v>
      </c>
      <c r="D101" s="15" t="s">
        <v>139</v>
      </c>
      <c r="E101" s="16" t="s">
        <v>36</v>
      </c>
      <c r="F101" s="14" t="str">
        <f>IFERROR(IF(B101="","",VLOOKUP(B101,المستفيدين!$B:$F,5,FALSE)),"")</f>
        <v>مركز إرادة وتمكين لرعاية ذوي الاحتياجات الخاصة (جلمودة)</v>
      </c>
      <c r="G101">
        <f>COUNTIF($B$2:B101,B101)</f>
        <v>3</v>
      </c>
    </row>
    <row r="102" spans="1:7" x14ac:dyDescent="0.2">
      <c r="A102" s="9">
        <v>101</v>
      </c>
      <c r="B102" s="10">
        <v>1402220485</v>
      </c>
      <c r="C102" s="8" t="str">
        <f>IFERROR(IF(B102="","",VLOOKUP(B102,المستفيدين!$B:$C,2,FALSE)),"")</f>
        <v>مستفيد41</v>
      </c>
      <c r="D102" s="13" t="s">
        <v>64</v>
      </c>
      <c r="E102" s="14" t="s">
        <v>36</v>
      </c>
      <c r="F102" s="14" t="str">
        <f>IFERROR(IF(B102="","",VLOOKUP(B102,المستفيدين!$B:$F,5,FALSE)),"")</f>
        <v>مدرسة إرادة وتمكين لمتلازمة داون (نجد)</v>
      </c>
      <c r="G102">
        <f>COUNTIF($B$2:B102,B102)</f>
        <v>1</v>
      </c>
    </row>
    <row r="103" spans="1:7" x14ac:dyDescent="0.2">
      <c r="A103" s="11">
        <v>102</v>
      </c>
      <c r="B103" s="12">
        <v>1402220485</v>
      </c>
      <c r="C103" s="8" t="str">
        <f>IFERROR(IF(B103="","",VLOOKUP(B103,المستفيدين!$B:$C,2,FALSE)),"")</f>
        <v>مستفيد41</v>
      </c>
      <c r="D103" s="15" t="s">
        <v>135</v>
      </c>
      <c r="E103" s="16" t="s">
        <v>34</v>
      </c>
      <c r="F103" s="14" t="str">
        <f>IFERROR(IF(B103="","",VLOOKUP(B103,المستفيدين!$B:$F,5,FALSE)),"")</f>
        <v>مدرسة إرادة وتمكين لمتلازمة داون (نجد)</v>
      </c>
      <c r="G103">
        <f>COUNTIF($B$2:B103,B103)</f>
        <v>2</v>
      </c>
    </row>
    <row r="104" spans="1:7" x14ac:dyDescent="0.2">
      <c r="A104" s="9">
        <v>103</v>
      </c>
      <c r="B104" s="10">
        <v>1009443870</v>
      </c>
      <c r="C104" s="8" t="str">
        <f>IFERROR(IF(B104="","",VLOOKUP(B104,المستفيدين!$B:$C,2,FALSE)),"")</f>
        <v>مستفيد42</v>
      </c>
      <c r="D104" s="13" t="s">
        <v>136</v>
      </c>
      <c r="E104" s="14" t="s">
        <v>36</v>
      </c>
      <c r="F104" s="14" t="str">
        <f>IFERROR(IF(B104="","",VLOOKUP(B104,المستفيدين!$B:$F,5,FALSE)),"")</f>
        <v>مركز إرادة وتمكين لمتلازمة داون (نجد)</v>
      </c>
      <c r="G104">
        <f>COUNTIF($B$2:B104,B104)</f>
        <v>1</v>
      </c>
    </row>
    <row r="105" spans="1:7" x14ac:dyDescent="0.2">
      <c r="A105" s="11">
        <v>104</v>
      </c>
      <c r="B105" s="12">
        <v>1376850558</v>
      </c>
      <c r="C105" s="8" t="str">
        <f>IFERROR(IF(B105="","",VLOOKUP(B105,المستفيدين!$B:$C,2,FALSE)),"")</f>
        <v>مستفيد43</v>
      </c>
      <c r="D105" s="15" t="s">
        <v>143</v>
      </c>
      <c r="E105" s="16" t="s">
        <v>36</v>
      </c>
      <c r="F105" s="14" t="str">
        <f>IFERROR(IF(B105="","",VLOOKUP(B105,المستفيدين!$B:$F,5,FALSE)),"")</f>
        <v>مركز إرادة وتمكين لرعاية ذوي الاحتياجات الخاصة (جلمودة)</v>
      </c>
      <c r="G105">
        <f>COUNTIF($B$2:B105,B105)</f>
        <v>1</v>
      </c>
    </row>
    <row r="106" spans="1:7" x14ac:dyDescent="0.2">
      <c r="A106" s="9">
        <v>105</v>
      </c>
      <c r="B106" s="10">
        <v>1376850558</v>
      </c>
      <c r="C106" s="8" t="str">
        <f>IFERROR(IF(B106="","",VLOOKUP(B106,المستفيدين!$B:$C,2,FALSE)),"")</f>
        <v>مستفيد43</v>
      </c>
      <c r="D106" s="13" t="s">
        <v>368</v>
      </c>
      <c r="E106" s="14" t="s">
        <v>36</v>
      </c>
      <c r="F106" s="14" t="str">
        <f>IFERROR(IF(B106="","",VLOOKUP(B106,المستفيدين!$B:$F,5,FALSE)),"")</f>
        <v>مركز إرادة وتمكين لرعاية ذوي الاحتياجات الخاصة (جلمودة)</v>
      </c>
      <c r="G106">
        <f>COUNTIF($B$2:B106,B106)</f>
        <v>2</v>
      </c>
    </row>
    <row r="107" spans="1:7" x14ac:dyDescent="0.2">
      <c r="A107" s="11">
        <v>106</v>
      </c>
      <c r="B107" s="12">
        <v>1216681476</v>
      </c>
      <c r="C107" s="8" t="str">
        <f>IFERROR(IF(B107="","",VLOOKUP(B107,المستفيدين!$B:$C,2,FALSE)),"")</f>
        <v>مستفيد44</v>
      </c>
      <c r="D107" s="15" t="s">
        <v>370</v>
      </c>
      <c r="E107" s="16" t="s">
        <v>36</v>
      </c>
      <c r="F107" s="14" t="str">
        <f>IFERROR(IF(B107="","",VLOOKUP(B107,المستفيدين!$B:$F,5,FALSE)),"")</f>
        <v>مدرسة إرادة للتعليم (مكة)</v>
      </c>
      <c r="G107">
        <f>COUNTIF($B$2:B107,B107)</f>
        <v>1</v>
      </c>
    </row>
    <row r="108" spans="1:7" x14ac:dyDescent="0.2">
      <c r="A108" s="9">
        <v>107</v>
      </c>
      <c r="B108" s="10">
        <v>1216681476</v>
      </c>
      <c r="C108" s="8" t="str">
        <f>IFERROR(IF(B108="","",VLOOKUP(B108,المستفيدين!$B:$C,2,FALSE)),"")</f>
        <v>مستفيد44</v>
      </c>
      <c r="D108" s="13" t="s">
        <v>135</v>
      </c>
      <c r="E108" s="14" t="s">
        <v>34</v>
      </c>
      <c r="F108" s="14" t="str">
        <f>IFERROR(IF(B108="","",VLOOKUP(B108,المستفيدين!$B:$F,5,FALSE)),"")</f>
        <v>مدرسة إرادة للتعليم (مكة)</v>
      </c>
      <c r="G108">
        <f>COUNTIF($B$2:B108,B108)</f>
        <v>2</v>
      </c>
    </row>
    <row r="109" spans="1:7" x14ac:dyDescent="0.2">
      <c r="A109" s="11">
        <v>108</v>
      </c>
      <c r="B109" s="12">
        <v>1330656105</v>
      </c>
      <c r="C109" s="8" t="str">
        <f>IFERROR(IF(B109="","",VLOOKUP(B109,المستفيدين!$B:$C,2,FALSE)),"")</f>
        <v>مستفيد45</v>
      </c>
      <c r="D109" s="15" t="s">
        <v>139</v>
      </c>
      <c r="E109" s="16" t="s">
        <v>36</v>
      </c>
      <c r="F109" s="14" t="str">
        <f>IFERROR(IF(B109="","",VLOOKUP(B109,المستفيدين!$B:$F,5,FALSE)),"")</f>
        <v>مركز إرادة وتمكين لمتلازمة داون (نجد)</v>
      </c>
      <c r="G109">
        <f>COUNTIF($B$2:B109,B109)</f>
        <v>1</v>
      </c>
    </row>
    <row r="110" spans="1:7" x14ac:dyDescent="0.2">
      <c r="A110" s="9">
        <v>109</v>
      </c>
      <c r="B110" s="10">
        <v>1977823774</v>
      </c>
      <c r="C110" s="8" t="str">
        <f>IFERROR(IF(B110="","",VLOOKUP(B110,المستفيدين!$B:$C,2,FALSE)),"")</f>
        <v>مستفيد46</v>
      </c>
      <c r="D110" s="13" t="s">
        <v>143</v>
      </c>
      <c r="E110" s="14" t="s">
        <v>36</v>
      </c>
      <c r="F110" s="14" t="str">
        <f>IFERROR(IF(B110="","",VLOOKUP(B110,المستفيدين!$B:$F,5,FALSE)),"")</f>
        <v>مركز إرادة وتمكين لرعاية ذوي الاحتياجات الخاصة (جلمودة)</v>
      </c>
      <c r="G110">
        <f>COUNTIF($B$2:B110,B110)</f>
        <v>1</v>
      </c>
    </row>
    <row r="111" spans="1:7" x14ac:dyDescent="0.2">
      <c r="A111" s="11">
        <v>110</v>
      </c>
      <c r="B111" s="12">
        <v>1977823774</v>
      </c>
      <c r="C111" s="8" t="str">
        <f>IFERROR(IF(B111="","",VLOOKUP(B111,المستفيدين!$B:$C,2,FALSE)),"")</f>
        <v>مستفيد46</v>
      </c>
      <c r="D111" s="15" t="s">
        <v>135</v>
      </c>
      <c r="E111" s="16" t="s">
        <v>37</v>
      </c>
      <c r="F111" s="14" t="str">
        <f>IFERROR(IF(B111="","",VLOOKUP(B111,المستفيدين!$B:$F,5,FALSE)),"")</f>
        <v>مركز إرادة وتمكين لرعاية ذوي الاحتياجات الخاصة (جلمودة)</v>
      </c>
      <c r="G111">
        <f>COUNTIF($B$2:B111,B111)</f>
        <v>2</v>
      </c>
    </row>
    <row r="112" spans="1:7" x14ac:dyDescent="0.2">
      <c r="A112" s="9">
        <v>111</v>
      </c>
      <c r="B112" s="10">
        <v>1977823774</v>
      </c>
      <c r="C112" s="8" t="str">
        <f>IFERROR(IF(B112="","",VLOOKUP(B112,المستفيدين!$B:$C,2,FALSE)),"")</f>
        <v>مستفيد46</v>
      </c>
      <c r="D112" s="13" t="s">
        <v>145</v>
      </c>
      <c r="E112" s="14" t="s">
        <v>34</v>
      </c>
      <c r="F112" s="14" t="str">
        <f>IFERROR(IF(B112="","",VLOOKUP(B112,المستفيدين!$B:$F,5,FALSE)),"")</f>
        <v>مركز إرادة وتمكين لرعاية ذوي الاحتياجات الخاصة (جلمودة)</v>
      </c>
      <c r="G112">
        <f>COUNTIF($B$2:B112,B112)</f>
        <v>3</v>
      </c>
    </row>
    <row r="113" spans="1:7" x14ac:dyDescent="0.2">
      <c r="A113" s="11">
        <v>112</v>
      </c>
      <c r="B113" s="12">
        <v>1863051572</v>
      </c>
      <c r="C113" s="8" t="str">
        <f>IFERROR(IF(B113="","",VLOOKUP(B113,المستفيدين!$B:$C,2,FALSE)),"")</f>
        <v>مستفيد47</v>
      </c>
      <c r="D113" s="15" t="s">
        <v>142</v>
      </c>
      <c r="E113" s="16" t="s">
        <v>36</v>
      </c>
      <c r="F113" s="14" t="str">
        <f>IFERROR(IF(B113="","",VLOOKUP(B113,المستفيدين!$B:$F,5,FALSE)),"")</f>
        <v>مركز إرادة وتمكين للرعاية النهارية (القدس)</v>
      </c>
      <c r="G113">
        <f>COUNTIF($B$2:B113,B113)</f>
        <v>1</v>
      </c>
    </row>
    <row r="114" spans="1:7" x14ac:dyDescent="0.2">
      <c r="A114" s="9">
        <v>113</v>
      </c>
      <c r="B114" s="10">
        <v>1863051572</v>
      </c>
      <c r="C114" s="8" t="str">
        <f>IFERROR(IF(B114="","",VLOOKUP(B114,المستفيدين!$B:$C,2,FALSE)),"")</f>
        <v>مستفيد47</v>
      </c>
      <c r="D114" s="13" t="s">
        <v>137</v>
      </c>
      <c r="E114" s="14" t="s">
        <v>34</v>
      </c>
      <c r="F114" s="14" t="str">
        <f>IFERROR(IF(B114="","",VLOOKUP(B114,المستفيدين!$B:$F,5,FALSE)),"")</f>
        <v>مركز إرادة وتمكين للرعاية النهارية (القدس)</v>
      </c>
      <c r="G114">
        <f>COUNTIF($B$2:B114,B114)</f>
        <v>2</v>
      </c>
    </row>
    <row r="115" spans="1:7" x14ac:dyDescent="0.2">
      <c r="A115" s="11">
        <v>114</v>
      </c>
      <c r="B115" s="12">
        <v>1863051572</v>
      </c>
      <c r="C115" s="8" t="str">
        <f>IFERROR(IF(B115="","",VLOOKUP(B115,المستفيدين!$B:$C,2,FALSE)),"")</f>
        <v>مستفيد47</v>
      </c>
      <c r="D115" s="15" t="s">
        <v>64</v>
      </c>
      <c r="E115" s="16" t="s">
        <v>36</v>
      </c>
      <c r="F115" s="14" t="str">
        <f>IFERROR(IF(B115="","",VLOOKUP(B115,المستفيدين!$B:$F,5,FALSE)),"")</f>
        <v>مركز إرادة وتمكين للرعاية النهارية (القدس)</v>
      </c>
      <c r="G115">
        <f>COUNTIF($B$2:B115,B115)</f>
        <v>3</v>
      </c>
    </row>
    <row r="116" spans="1:7" x14ac:dyDescent="0.2">
      <c r="A116" s="9">
        <v>115</v>
      </c>
      <c r="B116" s="10">
        <v>1588971066</v>
      </c>
      <c r="C116" s="8" t="str">
        <f>IFERROR(IF(B116="","",VLOOKUP(B116,المستفيدين!$B:$C,2,FALSE)),"")</f>
        <v>مستفيد48</v>
      </c>
      <c r="D116" s="13" t="s">
        <v>134</v>
      </c>
      <c r="E116" s="14" t="s">
        <v>34</v>
      </c>
      <c r="F116" s="14" t="str">
        <f>IFERROR(IF(B116="","",VLOOKUP(B116,المستفيدين!$B:$F,5,FALSE)),"")</f>
        <v>مركز إرادة وتمكين للرعاية النهارية (القدس)</v>
      </c>
      <c r="G116">
        <f>COUNTIF($B$2:B116,B116)</f>
        <v>1</v>
      </c>
    </row>
    <row r="117" spans="1:7" x14ac:dyDescent="0.2">
      <c r="A117" s="11">
        <v>116</v>
      </c>
      <c r="B117" s="12">
        <v>1588971066</v>
      </c>
      <c r="C117" s="8" t="str">
        <f>IFERROR(IF(B117="","",VLOOKUP(B117,المستفيدين!$B:$C,2,FALSE)),"")</f>
        <v>مستفيد48</v>
      </c>
      <c r="D117" s="15" t="s">
        <v>370</v>
      </c>
      <c r="E117" s="16" t="s">
        <v>34</v>
      </c>
      <c r="F117" s="14" t="str">
        <f>IFERROR(IF(B117="","",VLOOKUP(B117,المستفيدين!$B:$F,5,FALSE)),"")</f>
        <v>مركز إرادة وتمكين للرعاية النهارية (القدس)</v>
      </c>
      <c r="G117">
        <f>COUNTIF($B$2:B117,B117)</f>
        <v>2</v>
      </c>
    </row>
    <row r="118" spans="1:7" x14ac:dyDescent="0.2">
      <c r="A118" s="9">
        <v>117</v>
      </c>
      <c r="B118" s="10">
        <v>1588971066</v>
      </c>
      <c r="C118" s="8" t="str">
        <f>IFERROR(IF(B118="","",VLOOKUP(B118,المستفيدين!$B:$C,2,FALSE)),"")</f>
        <v>مستفيد48</v>
      </c>
      <c r="D118" s="13" t="s">
        <v>142</v>
      </c>
      <c r="E118" s="14" t="s">
        <v>37</v>
      </c>
      <c r="F118" s="14" t="str">
        <f>IFERROR(IF(B118="","",VLOOKUP(B118,المستفيدين!$B:$F,5,FALSE)),"")</f>
        <v>مركز إرادة وتمكين للرعاية النهارية (القدس)</v>
      </c>
      <c r="G118">
        <f>COUNTIF($B$2:B118,B118)</f>
        <v>3</v>
      </c>
    </row>
    <row r="119" spans="1:7" x14ac:dyDescent="0.2">
      <c r="A119" s="11">
        <v>118</v>
      </c>
      <c r="B119" s="12">
        <v>1588971066</v>
      </c>
      <c r="C119" s="8" t="str">
        <f>IFERROR(IF(B119="","",VLOOKUP(B119,المستفيدين!$B:$C,2,FALSE)),"")</f>
        <v>مستفيد48</v>
      </c>
      <c r="D119" s="15" t="s">
        <v>143</v>
      </c>
      <c r="E119" s="16" t="s">
        <v>34</v>
      </c>
      <c r="F119" s="14" t="str">
        <f>IFERROR(IF(B119="","",VLOOKUP(B119,المستفيدين!$B:$F,5,FALSE)),"")</f>
        <v>مركز إرادة وتمكين للرعاية النهارية (القدس)</v>
      </c>
      <c r="G119">
        <f>COUNTIF($B$2:B119,B119)</f>
        <v>4</v>
      </c>
    </row>
    <row r="120" spans="1:7" x14ac:dyDescent="0.2">
      <c r="A120" s="9">
        <v>119</v>
      </c>
      <c r="B120" s="10">
        <v>1846066363</v>
      </c>
      <c r="C120" s="8" t="str">
        <f>IFERROR(IF(B120="","",VLOOKUP(B120,المستفيدين!$B:$C,2,FALSE)),"")</f>
        <v>مستفيد49</v>
      </c>
      <c r="D120" s="13" t="s">
        <v>141</v>
      </c>
      <c r="E120" s="14" t="s">
        <v>34</v>
      </c>
      <c r="F120" s="14" t="str">
        <f>IFERROR(IF(B120="","",VLOOKUP(B120,المستفيدين!$B:$F,5,FALSE)),"")</f>
        <v>مدرسة إرادة وتمكين لمتلازمة داون (نجد)</v>
      </c>
      <c r="G120">
        <f>COUNTIF($B$2:B120,B120)</f>
        <v>1</v>
      </c>
    </row>
    <row r="121" spans="1:7" x14ac:dyDescent="0.2">
      <c r="A121" s="11">
        <v>120</v>
      </c>
      <c r="B121" s="12">
        <v>1846066363</v>
      </c>
      <c r="C121" s="8" t="str">
        <f>IFERROR(IF(B121="","",VLOOKUP(B121,المستفيدين!$B:$C,2,FALSE)),"")</f>
        <v>مستفيد49</v>
      </c>
      <c r="D121" s="15" t="s">
        <v>143</v>
      </c>
      <c r="E121" s="16" t="s">
        <v>34</v>
      </c>
      <c r="F121" s="14" t="str">
        <f>IFERROR(IF(B121="","",VLOOKUP(B121,المستفيدين!$B:$F,5,FALSE)),"")</f>
        <v>مدرسة إرادة وتمكين لمتلازمة داون (نجد)</v>
      </c>
      <c r="G121">
        <f>COUNTIF($B$2:B121,B121)</f>
        <v>2</v>
      </c>
    </row>
    <row r="122" spans="1:7" x14ac:dyDescent="0.2">
      <c r="A122" s="9">
        <v>121</v>
      </c>
      <c r="B122" s="10">
        <v>1074930603</v>
      </c>
      <c r="C122" s="8" t="str">
        <f>IFERROR(IF(B122="","",VLOOKUP(B122,المستفيدين!$B:$C,2,FALSE)),"")</f>
        <v>مستفيد50</v>
      </c>
      <c r="D122" s="13" t="s">
        <v>138</v>
      </c>
      <c r="E122" s="14" t="s">
        <v>36</v>
      </c>
      <c r="F122" s="14" t="str">
        <f>IFERROR(IF(B122="","",VLOOKUP(B122,المستفيدين!$B:$F,5,FALSE)),"")</f>
        <v>مركز إرادة وتمكين لمتلازمة داون (نجد)</v>
      </c>
      <c r="G122">
        <f>COUNTIF($B$2:B122,B122)</f>
        <v>1</v>
      </c>
    </row>
    <row r="123" spans="1:7" x14ac:dyDescent="0.2">
      <c r="A123" s="11">
        <v>122</v>
      </c>
      <c r="B123" s="12">
        <v>1074930603</v>
      </c>
      <c r="C123" s="8" t="str">
        <f>IFERROR(IF(B123="","",VLOOKUP(B123,المستفيدين!$B:$C,2,FALSE)),"")</f>
        <v>مستفيد50</v>
      </c>
      <c r="D123" s="15" t="s">
        <v>142</v>
      </c>
      <c r="E123" s="16" t="s">
        <v>37</v>
      </c>
      <c r="F123" s="14" t="str">
        <f>IFERROR(IF(B123="","",VLOOKUP(B123,المستفيدين!$B:$F,5,FALSE)),"")</f>
        <v>مركز إرادة وتمكين لمتلازمة داون (نجد)</v>
      </c>
      <c r="G123">
        <f>COUNTIF($B$2:B123,B123)</f>
        <v>2</v>
      </c>
    </row>
    <row r="124" spans="1:7" x14ac:dyDescent="0.2">
      <c r="A124" s="9">
        <v>123</v>
      </c>
      <c r="B124" s="10">
        <v>1074930603</v>
      </c>
      <c r="C124" s="8" t="str">
        <f>IFERROR(IF(B124="","",VLOOKUP(B124,المستفيدين!$B:$C,2,FALSE)),"")</f>
        <v>مستفيد50</v>
      </c>
      <c r="D124" s="13" t="s">
        <v>143</v>
      </c>
      <c r="E124" s="14" t="s">
        <v>34</v>
      </c>
      <c r="F124" s="14" t="str">
        <f>IFERROR(IF(B124="","",VLOOKUP(B124,المستفيدين!$B:$F,5,FALSE)),"")</f>
        <v>مركز إرادة وتمكين لمتلازمة داون (نجد)</v>
      </c>
      <c r="G124">
        <f>COUNTIF($B$2:B124,B124)</f>
        <v>3</v>
      </c>
    </row>
    <row r="125" spans="1:7" x14ac:dyDescent="0.2">
      <c r="A125" s="11">
        <v>124</v>
      </c>
      <c r="B125" s="12">
        <v>1074930603</v>
      </c>
      <c r="C125" s="8" t="str">
        <f>IFERROR(IF(B125="","",VLOOKUP(B125,المستفيدين!$B:$C,2,FALSE)),"")</f>
        <v>مستفيد50</v>
      </c>
      <c r="D125" s="15" t="s">
        <v>145</v>
      </c>
      <c r="E125" s="16" t="s">
        <v>34</v>
      </c>
      <c r="F125" s="14" t="str">
        <f>IFERROR(IF(B125="","",VLOOKUP(B125,المستفيدين!$B:$F,5,FALSE)),"")</f>
        <v>مركز إرادة وتمكين لمتلازمة داون (نجد)</v>
      </c>
      <c r="G125">
        <f>COUNTIF($B$2:B125,B125)</f>
        <v>4</v>
      </c>
    </row>
    <row r="126" spans="1:7" x14ac:dyDescent="0.2">
      <c r="A126" s="9">
        <v>125</v>
      </c>
      <c r="B126" s="10">
        <v>1313917845</v>
      </c>
      <c r="C126" s="8" t="str">
        <f>IFERROR(IF(B126="","",VLOOKUP(B126,المستفيدين!$B:$C,2,FALSE)),"")</f>
        <v>مستفيد51</v>
      </c>
      <c r="D126" s="13" t="s">
        <v>139</v>
      </c>
      <c r="E126" s="14" t="s">
        <v>36</v>
      </c>
      <c r="F126" s="14" t="str">
        <f>IFERROR(IF(B126="","",VLOOKUP(B126,المستفيدين!$B:$F,5,FALSE)),"")</f>
        <v>مركز إرادة وتمكين للرعاية النهارية (القدس)</v>
      </c>
      <c r="G126">
        <f>COUNTIF($B$2:B126,B126)</f>
        <v>1</v>
      </c>
    </row>
    <row r="127" spans="1:7" x14ac:dyDescent="0.2">
      <c r="A127" s="11">
        <v>126</v>
      </c>
      <c r="B127" s="12">
        <v>1017688451</v>
      </c>
      <c r="C127" s="8" t="str">
        <f>IFERROR(IF(B127="","",VLOOKUP(B127,المستفيدين!$B:$C,2,FALSE)),"")</f>
        <v>مستفيد52</v>
      </c>
      <c r="D127" s="15" t="s">
        <v>64</v>
      </c>
      <c r="E127" s="16" t="s">
        <v>36</v>
      </c>
      <c r="F127" s="14" t="str">
        <f>IFERROR(IF(B127="","",VLOOKUP(B127,المستفيدين!$B:$F,5,FALSE)),"")</f>
        <v>مركز إرادة وتمكين لرعاية ذوي الاحتياجات الخاصة (جلمودة)</v>
      </c>
      <c r="G127">
        <f>COUNTIF($B$2:B127,B127)</f>
        <v>1</v>
      </c>
    </row>
    <row r="128" spans="1:7" x14ac:dyDescent="0.2">
      <c r="A128" s="9">
        <v>127</v>
      </c>
      <c r="B128" s="10">
        <v>1256720953</v>
      </c>
      <c r="C128" s="8" t="str">
        <f>IFERROR(IF(B128="","",VLOOKUP(B128,المستفيدين!$B:$C,2,FALSE)),"")</f>
        <v>مستفيد53</v>
      </c>
      <c r="D128" s="13" t="s">
        <v>369</v>
      </c>
      <c r="E128" s="14" t="s">
        <v>36</v>
      </c>
      <c r="F128" s="14" t="str">
        <f>IFERROR(IF(B128="","",VLOOKUP(B128,المستفيدين!$B:$F,5,FALSE)),"")</f>
        <v>مركز إرادة وتمكين لمتلازمة داون (نجد)</v>
      </c>
      <c r="G128">
        <f>COUNTIF($B$2:B128,B128)</f>
        <v>1</v>
      </c>
    </row>
    <row r="129" spans="1:7" x14ac:dyDescent="0.2">
      <c r="A129" s="11">
        <v>128</v>
      </c>
      <c r="B129" s="12">
        <v>1256720953</v>
      </c>
      <c r="C129" s="8" t="str">
        <f>IFERROR(IF(B129="","",VLOOKUP(B129,المستفيدين!$B:$C,2,FALSE)),"")</f>
        <v>مستفيد53</v>
      </c>
      <c r="D129" s="15" t="s">
        <v>134</v>
      </c>
      <c r="E129" s="16" t="s">
        <v>37</v>
      </c>
      <c r="F129" s="14" t="str">
        <f>IFERROR(IF(B129="","",VLOOKUP(B129,المستفيدين!$B:$F,5,FALSE)),"")</f>
        <v>مركز إرادة وتمكين لمتلازمة داون (نجد)</v>
      </c>
      <c r="G129">
        <f>COUNTIF($B$2:B129,B129)</f>
        <v>2</v>
      </c>
    </row>
    <row r="130" spans="1:7" x14ac:dyDescent="0.2">
      <c r="A130" s="9">
        <v>129</v>
      </c>
      <c r="B130" s="10">
        <v>1256720953</v>
      </c>
      <c r="C130" s="8" t="str">
        <f>IFERROR(IF(B130="","",VLOOKUP(B130,المستفيدين!$B:$C,2,FALSE)),"")</f>
        <v>مستفيد53</v>
      </c>
      <c r="D130" s="13" t="s">
        <v>145</v>
      </c>
      <c r="E130" s="14" t="s">
        <v>36</v>
      </c>
      <c r="F130" s="14" t="str">
        <f>IFERROR(IF(B130="","",VLOOKUP(B130,المستفيدين!$B:$F,5,FALSE)),"")</f>
        <v>مركز إرادة وتمكين لمتلازمة داون (نجد)</v>
      </c>
      <c r="G130">
        <f>COUNTIF($B$2:B130,B130)</f>
        <v>3</v>
      </c>
    </row>
    <row r="131" spans="1:7" x14ac:dyDescent="0.2">
      <c r="A131" s="11">
        <v>130</v>
      </c>
      <c r="B131" s="12">
        <v>1256720953</v>
      </c>
      <c r="C131" s="8" t="str">
        <f>IFERROR(IF(B131="","",VLOOKUP(B131,المستفيدين!$B:$C,2,FALSE)),"")</f>
        <v>مستفيد53</v>
      </c>
      <c r="D131" s="15" t="s">
        <v>144</v>
      </c>
      <c r="E131" s="16" t="s">
        <v>36</v>
      </c>
      <c r="F131" s="14" t="str">
        <f>IFERROR(IF(B131="","",VLOOKUP(B131,المستفيدين!$B:$F,5,FALSE)),"")</f>
        <v>مركز إرادة وتمكين لمتلازمة داون (نجد)</v>
      </c>
      <c r="G131">
        <f>COUNTIF($B$2:B131,B131)</f>
        <v>4</v>
      </c>
    </row>
    <row r="132" spans="1:7" x14ac:dyDescent="0.2">
      <c r="A132" s="9">
        <v>131</v>
      </c>
      <c r="B132" s="10">
        <v>1228939605</v>
      </c>
      <c r="C132" s="8" t="str">
        <f>IFERROR(IF(B132="","",VLOOKUP(B132,المستفيدين!$B:$C,2,FALSE)),"")</f>
        <v>مستفيد54</v>
      </c>
      <c r="D132" s="13" t="s">
        <v>64</v>
      </c>
      <c r="E132" s="14" t="s">
        <v>36</v>
      </c>
      <c r="F132" s="14" t="str">
        <f>IFERROR(IF(B132="","",VLOOKUP(B132,المستفيدين!$B:$F,5,FALSE)),"")</f>
        <v>مدرسة إرادة للتعليم (مكة)</v>
      </c>
      <c r="G132">
        <f>COUNTIF($B$2:B132,B132)</f>
        <v>1</v>
      </c>
    </row>
    <row r="133" spans="1:7" x14ac:dyDescent="0.2">
      <c r="A133" s="11">
        <v>132</v>
      </c>
      <c r="B133" s="12">
        <v>1228939605</v>
      </c>
      <c r="C133" s="8" t="str">
        <f>IFERROR(IF(B133="","",VLOOKUP(B133,المستفيدين!$B:$C,2,FALSE)),"")</f>
        <v>مستفيد54</v>
      </c>
      <c r="D133" s="15" t="s">
        <v>141</v>
      </c>
      <c r="E133" s="16" t="s">
        <v>36</v>
      </c>
      <c r="F133" s="14" t="str">
        <f>IFERROR(IF(B133="","",VLOOKUP(B133,المستفيدين!$B:$F,5,FALSE)),"")</f>
        <v>مدرسة إرادة للتعليم (مكة)</v>
      </c>
      <c r="G133">
        <f>COUNTIF($B$2:B133,B133)</f>
        <v>2</v>
      </c>
    </row>
    <row r="134" spans="1:7" x14ac:dyDescent="0.2">
      <c r="A134" s="9">
        <v>133</v>
      </c>
      <c r="B134" s="10">
        <v>1369869858</v>
      </c>
      <c r="C134" s="8" t="str">
        <f>IFERROR(IF(B134="","",VLOOKUP(B134,المستفيدين!$B:$C,2,FALSE)),"")</f>
        <v>مستفيد55</v>
      </c>
      <c r="D134" s="13" t="s">
        <v>143</v>
      </c>
      <c r="E134" s="14" t="s">
        <v>37</v>
      </c>
      <c r="F134" s="14" t="str">
        <f>IFERROR(IF(B134="","",VLOOKUP(B134,المستفيدين!$B:$F,5,FALSE)),"")</f>
        <v>مدرسة إرادة للتعليم (مكة)</v>
      </c>
      <c r="G134">
        <f>COUNTIF($B$2:B134,B134)</f>
        <v>1</v>
      </c>
    </row>
    <row r="135" spans="1:7" x14ac:dyDescent="0.2">
      <c r="A135" s="11">
        <v>134</v>
      </c>
      <c r="B135" s="12">
        <v>1445520895</v>
      </c>
      <c r="C135" s="8" t="str">
        <f>IFERROR(IF(B135="","",VLOOKUP(B135,المستفيدين!$B:$C,2,FALSE)),"")</f>
        <v>مستفيد56</v>
      </c>
      <c r="D135" s="15" t="s">
        <v>142</v>
      </c>
      <c r="E135" s="16" t="s">
        <v>34</v>
      </c>
      <c r="F135" s="14" t="str">
        <f>IFERROR(IF(B135="","",VLOOKUP(B135,المستفيدين!$B:$F,5,FALSE)),"")</f>
        <v>مركز إرادة وتمكين للرعاية النهارية (القدس)</v>
      </c>
      <c r="G135">
        <f>COUNTIF($B$2:B135,B135)</f>
        <v>1</v>
      </c>
    </row>
    <row r="136" spans="1:7" x14ac:dyDescent="0.2">
      <c r="A136" s="9">
        <v>135</v>
      </c>
      <c r="B136" s="10">
        <v>1445520895</v>
      </c>
      <c r="C136" s="8" t="str">
        <f>IFERROR(IF(B136="","",VLOOKUP(B136,المستفيدين!$B:$C,2,FALSE)),"")</f>
        <v>مستفيد56</v>
      </c>
      <c r="D136" s="13" t="s">
        <v>137</v>
      </c>
      <c r="E136" s="14" t="s">
        <v>34</v>
      </c>
      <c r="F136" s="14" t="str">
        <f>IFERROR(IF(B136="","",VLOOKUP(B136,المستفيدين!$B:$F,5,FALSE)),"")</f>
        <v>مركز إرادة وتمكين للرعاية النهارية (القدس)</v>
      </c>
      <c r="G136">
        <f>COUNTIF($B$2:B136,B136)</f>
        <v>2</v>
      </c>
    </row>
    <row r="137" spans="1:7" x14ac:dyDescent="0.2">
      <c r="A137" s="11">
        <v>136</v>
      </c>
      <c r="B137" s="12">
        <v>1445520895</v>
      </c>
      <c r="C137" s="8" t="str">
        <f>IFERROR(IF(B137="","",VLOOKUP(B137,المستفيدين!$B:$C,2,FALSE)),"")</f>
        <v>مستفيد56</v>
      </c>
      <c r="D137" s="15" t="s">
        <v>146</v>
      </c>
      <c r="E137" s="16" t="s">
        <v>36</v>
      </c>
      <c r="F137" s="14" t="str">
        <f>IFERROR(IF(B137="","",VLOOKUP(B137,المستفيدين!$B:$F,5,FALSE)),"")</f>
        <v>مركز إرادة وتمكين للرعاية النهارية (القدس)</v>
      </c>
      <c r="G137">
        <f>COUNTIF($B$2:B137,B137)</f>
        <v>3</v>
      </c>
    </row>
    <row r="138" spans="1:7" x14ac:dyDescent="0.2">
      <c r="A138" s="9">
        <v>137</v>
      </c>
      <c r="B138" s="10">
        <v>1754717023</v>
      </c>
      <c r="C138" s="8" t="str">
        <f>IFERROR(IF(B138="","",VLOOKUP(B138,المستفيدين!$B:$C,2,FALSE)),"")</f>
        <v>مستفيد57</v>
      </c>
      <c r="D138" s="13" t="s">
        <v>146</v>
      </c>
      <c r="E138" s="14" t="s">
        <v>34</v>
      </c>
      <c r="F138" s="14" t="str">
        <f>IFERROR(IF(B138="","",VLOOKUP(B138,المستفيدين!$B:$F,5,FALSE)),"")</f>
        <v>مركز إرادة وتمكين لمتلازمة داون (نجد)</v>
      </c>
      <c r="G138">
        <f>COUNTIF($B$2:B138,B138)</f>
        <v>1</v>
      </c>
    </row>
    <row r="139" spans="1:7" x14ac:dyDescent="0.2">
      <c r="A139" s="11">
        <v>138</v>
      </c>
      <c r="B139" s="12">
        <v>1754717023</v>
      </c>
      <c r="C139" s="8" t="str">
        <f>IFERROR(IF(B139="","",VLOOKUP(B139,المستفيدين!$B:$C,2,FALSE)),"")</f>
        <v>مستفيد57</v>
      </c>
      <c r="D139" s="15" t="s">
        <v>64</v>
      </c>
      <c r="E139" s="16" t="s">
        <v>37</v>
      </c>
      <c r="F139" s="14" t="str">
        <f>IFERROR(IF(B139="","",VLOOKUP(B139,المستفيدين!$B:$F,5,FALSE)),"")</f>
        <v>مركز إرادة وتمكين لمتلازمة داون (نجد)</v>
      </c>
      <c r="G139">
        <f>COUNTIF($B$2:B139,B139)</f>
        <v>2</v>
      </c>
    </row>
    <row r="140" spans="1:7" x14ac:dyDescent="0.2">
      <c r="A140" s="9">
        <v>139</v>
      </c>
      <c r="B140" s="10">
        <v>1754717023</v>
      </c>
      <c r="C140" s="8" t="str">
        <f>IFERROR(IF(B140="","",VLOOKUP(B140,المستفيدين!$B:$C,2,FALSE)),"")</f>
        <v>مستفيد57</v>
      </c>
      <c r="D140" s="13" t="s">
        <v>137</v>
      </c>
      <c r="E140" s="14" t="s">
        <v>34</v>
      </c>
      <c r="F140" s="14" t="str">
        <f>IFERROR(IF(B140="","",VLOOKUP(B140,المستفيدين!$B:$F,5,FALSE)),"")</f>
        <v>مركز إرادة وتمكين لمتلازمة داون (نجد)</v>
      </c>
      <c r="G140">
        <f>COUNTIF($B$2:B140,B140)</f>
        <v>3</v>
      </c>
    </row>
    <row r="141" spans="1:7" x14ac:dyDescent="0.2">
      <c r="A141" s="11">
        <v>140</v>
      </c>
      <c r="B141" s="12">
        <v>1228837751</v>
      </c>
      <c r="C141" s="8" t="str">
        <f>IFERROR(IF(B141="","",VLOOKUP(B141,المستفيدين!$B:$C,2,FALSE)),"")</f>
        <v>مستفيد58</v>
      </c>
      <c r="D141" s="15" t="s">
        <v>140</v>
      </c>
      <c r="E141" s="16" t="s">
        <v>34</v>
      </c>
      <c r="F141" s="14" t="str">
        <f>IFERROR(IF(B141="","",VLOOKUP(B141,المستفيدين!$B:$F,5,FALSE)),"")</f>
        <v>مدرسة إرادة وتمكين لمتلازمة داون (نجد)</v>
      </c>
      <c r="G141">
        <f>COUNTIF($B$2:B141,B141)</f>
        <v>1</v>
      </c>
    </row>
    <row r="142" spans="1:7" x14ac:dyDescent="0.2">
      <c r="A142" s="9">
        <v>141</v>
      </c>
      <c r="B142" s="10">
        <v>1228837751</v>
      </c>
      <c r="C142" s="8" t="str">
        <f>IFERROR(IF(B142="","",VLOOKUP(B142,المستفيدين!$B:$C,2,FALSE)),"")</f>
        <v>مستفيد58</v>
      </c>
      <c r="D142" s="13" t="s">
        <v>368</v>
      </c>
      <c r="E142" s="14" t="s">
        <v>36</v>
      </c>
      <c r="F142" s="14" t="str">
        <f>IFERROR(IF(B142="","",VLOOKUP(B142,المستفيدين!$B:$F,5,FALSE)),"")</f>
        <v>مدرسة إرادة وتمكين لمتلازمة داون (نجد)</v>
      </c>
      <c r="G142">
        <f>COUNTIF($B$2:B142,B142)</f>
        <v>2</v>
      </c>
    </row>
    <row r="143" spans="1:7" x14ac:dyDescent="0.2">
      <c r="A143" s="11">
        <v>142</v>
      </c>
      <c r="B143" s="12">
        <v>1228837751</v>
      </c>
      <c r="C143" s="8" t="str">
        <f>IFERROR(IF(B143="","",VLOOKUP(B143,المستفيدين!$B:$C,2,FALSE)),"")</f>
        <v>مستفيد58</v>
      </c>
      <c r="D143" s="15" t="s">
        <v>144</v>
      </c>
      <c r="E143" s="16" t="s">
        <v>37</v>
      </c>
      <c r="F143" s="14" t="str">
        <f>IFERROR(IF(B143="","",VLOOKUP(B143,المستفيدين!$B:$F,5,FALSE)),"")</f>
        <v>مدرسة إرادة وتمكين لمتلازمة داون (نجد)</v>
      </c>
      <c r="G143">
        <f>COUNTIF($B$2:B143,B143)</f>
        <v>3</v>
      </c>
    </row>
    <row r="144" spans="1:7" x14ac:dyDescent="0.2">
      <c r="A144" s="9">
        <v>143</v>
      </c>
      <c r="B144" s="10">
        <v>1228837751</v>
      </c>
      <c r="C144" s="8" t="str">
        <f>IFERROR(IF(B144="","",VLOOKUP(B144,المستفيدين!$B:$C,2,FALSE)),"")</f>
        <v>مستفيد58</v>
      </c>
      <c r="D144" s="13" t="s">
        <v>142</v>
      </c>
      <c r="E144" s="14" t="s">
        <v>34</v>
      </c>
      <c r="F144" s="14" t="str">
        <f>IFERROR(IF(B144="","",VLOOKUP(B144,المستفيدين!$B:$F,5,FALSE)),"")</f>
        <v>مدرسة إرادة وتمكين لمتلازمة داون (نجد)</v>
      </c>
      <c r="G144">
        <f>COUNTIF($B$2:B144,B144)</f>
        <v>4</v>
      </c>
    </row>
    <row r="145" spans="1:7" x14ac:dyDescent="0.2">
      <c r="A145" s="11">
        <v>144</v>
      </c>
      <c r="B145" s="12">
        <v>1911132783</v>
      </c>
      <c r="C145" s="8" t="str">
        <f>IFERROR(IF(B145="","",VLOOKUP(B145,المستفيدين!$B:$C,2,FALSE)),"")</f>
        <v>مستفيد59</v>
      </c>
      <c r="D145" s="15" t="s">
        <v>370</v>
      </c>
      <c r="E145" s="16" t="s">
        <v>34</v>
      </c>
      <c r="F145" s="14" t="str">
        <f>IFERROR(IF(B145="","",VLOOKUP(B145,المستفيدين!$B:$F,5,FALSE)),"")</f>
        <v>مركز إرادة وتمكين للرعاية النهارية (القدس)</v>
      </c>
      <c r="G145">
        <f>COUNTIF($B$2:B145,B145)</f>
        <v>1</v>
      </c>
    </row>
    <row r="146" spans="1:7" x14ac:dyDescent="0.2">
      <c r="A146" s="9">
        <v>145</v>
      </c>
      <c r="B146" s="10">
        <v>1911132783</v>
      </c>
      <c r="C146" s="8" t="str">
        <f>IFERROR(IF(B146="","",VLOOKUP(B146,المستفيدين!$B:$C,2,FALSE)),"")</f>
        <v>مستفيد59</v>
      </c>
      <c r="D146" s="13" t="s">
        <v>146</v>
      </c>
      <c r="E146" s="14" t="s">
        <v>37</v>
      </c>
      <c r="F146" s="14" t="str">
        <f>IFERROR(IF(B146="","",VLOOKUP(B146,المستفيدين!$B:$F,5,FALSE)),"")</f>
        <v>مركز إرادة وتمكين للرعاية النهارية (القدس)</v>
      </c>
      <c r="G146">
        <f>COUNTIF($B$2:B146,B146)</f>
        <v>2</v>
      </c>
    </row>
    <row r="147" spans="1:7" x14ac:dyDescent="0.2">
      <c r="A147" s="11">
        <v>146</v>
      </c>
      <c r="B147" s="12">
        <v>1911132783</v>
      </c>
      <c r="C147" s="8" t="str">
        <f>IFERROR(IF(B147="","",VLOOKUP(B147,المستفيدين!$B:$C,2,FALSE)),"")</f>
        <v>مستفيد59</v>
      </c>
      <c r="D147" s="15" t="s">
        <v>134</v>
      </c>
      <c r="E147" s="16" t="s">
        <v>34</v>
      </c>
      <c r="F147" s="14" t="str">
        <f>IFERROR(IF(B147="","",VLOOKUP(B147,المستفيدين!$B:$F,5,FALSE)),"")</f>
        <v>مركز إرادة وتمكين للرعاية النهارية (القدس)</v>
      </c>
      <c r="G147">
        <f>COUNTIF($B$2:B147,B147)</f>
        <v>3</v>
      </c>
    </row>
    <row r="148" spans="1:7" x14ac:dyDescent="0.2">
      <c r="A148" s="9">
        <v>147</v>
      </c>
      <c r="B148" s="10">
        <v>1113591668</v>
      </c>
      <c r="C148" s="8" t="str">
        <f>IFERROR(IF(B148="","",VLOOKUP(B148,المستفيدين!$B:$C,2,FALSE)),"")</f>
        <v>مستفيد60</v>
      </c>
      <c r="D148" s="13" t="s">
        <v>368</v>
      </c>
      <c r="E148" s="14" t="s">
        <v>34</v>
      </c>
      <c r="F148" s="14" t="str">
        <f>IFERROR(IF(B148="","",VLOOKUP(B148,المستفيدين!$B:$F,5,FALSE)),"")</f>
        <v>مركز إرادة وتمكين لرعاية ذوي الاحتياجات الخاصة (جلمودة)</v>
      </c>
      <c r="G148">
        <f>COUNTIF($B$2:B148,B148)</f>
        <v>1</v>
      </c>
    </row>
    <row r="149" spans="1:7" x14ac:dyDescent="0.2">
      <c r="A149" s="11">
        <v>148</v>
      </c>
      <c r="B149" s="12">
        <v>1113591668</v>
      </c>
      <c r="C149" s="8" t="str">
        <f>IFERROR(IF(B149="","",VLOOKUP(B149,المستفيدين!$B:$C,2,FALSE)),"")</f>
        <v>مستفيد60</v>
      </c>
      <c r="D149" s="15" t="s">
        <v>140</v>
      </c>
      <c r="E149" s="16" t="s">
        <v>37</v>
      </c>
      <c r="F149" s="14" t="str">
        <f>IFERROR(IF(B149="","",VLOOKUP(B149,المستفيدين!$B:$F,5,FALSE)),"")</f>
        <v>مركز إرادة وتمكين لرعاية ذوي الاحتياجات الخاصة (جلمودة)</v>
      </c>
      <c r="G149">
        <f>COUNTIF($B$2:B149,B149)</f>
        <v>2</v>
      </c>
    </row>
    <row r="150" spans="1:7" x14ac:dyDescent="0.2">
      <c r="A150" s="9">
        <v>149</v>
      </c>
      <c r="B150" s="10">
        <v>1116222487</v>
      </c>
      <c r="C150" s="8" t="str">
        <f>IFERROR(IF(B150="","",VLOOKUP(B150,المستفيدين!$B:$C,2,FALSE)),"")</f>
        <v>مستفيد61</v>
      </c>
      <c r="D150" s="13" t="s">
        <v>141</v>
      </c>
      <c r="E150" s="14" t="s">
        <v>37</v>
      </c>
      <c r="F150" s="14" t="str">
        <f>IFERROR(IF(B150="","",VLOOKUP(B150,المستفيدين!$B:$F,5,FALSE)),"")</f>
        <v>مركز إرادة وتمكين لمتلازمة داون (نجد)</v>
      </c>
      <c r="G150">
        <f>COUNTIF($B$2:B150,B150)</f>
        <v>1</v>
      </c>
    </row>
    <row r="151" spans="1:7" x14ac:dyDescent="0.2">
      <c r="A151" s="11">
        <v>150</v>
      </c>
      <c r="B151" s="12">
        <v>1116222487</v>
      </c>
      <c r="C151" s="8" t="str">
        <f>IFERROR(IF(B151="","",VLOOKUP(B151,المستفيدين!$B:$C,2,FALSE)),"")</f>
        <v>مستفيد61</v>
      </c>
      <c r="D151" s="15" t="s">
        <v>137</v>
      </c>
      <c r="E151" s="16" t="s">
        <v>34</v>
      </c>
      <c r="F151" s="14" t="str">
        <f>IFERROR(IF(B151="","",VLOOKUP(B151,المستفيدين!$B:$F,5,FALSE)),"")</f>
        <v>مركز إرادة وتمكين لمتلازمة داون (نجد)</v>
      </c>
      <c r="G151">
        <f>COUNTIF($B$2:B151,B151)</f>
        <v>2</v>
      </c>
    </row>
    <row r="152" spans="1:7" x14ac:dyDescent="0.2">
      <c r="A152" s="9">
        <v>151</v>
      </c>
      <c r="B152" s="10">
        <v>1116222487</v>
      </c>
      <c r="C152" s="8" t="str">
        <f>IFERROR(IF(B152="","",VLOOKUP(B152,المستفيدين!$B:$C,2,FALSE)),"")</f>
        <v>مستفيد61</v>
      </c>
      <c r="D152" s="13" t="s">
        <v>135</v>
      </c>
      <c r="E152" s="14" t="s">
        <v>34</v>
      </c>
      <c r="F152" s="14" t="str">
        <f>IFERROR(IF(B152="","",VLOOKUP(B152,المستفيدين!$B:$F,5,FALSE)),"")</f>
        <v>مركز إرادة وتمكين لمتلازمة داون (نجد)</v>
      </c>
      <c r="G152">
        <f>COUNTIF($B$2:B152,B152)</f>
        <v>3</v>
      </c>
    </row>
    <row r="153" spans="1:7" x14ac:dyDescent="0.2">
      <c r="A153" s="11">
        <v>152</v>
      </c>
      <c r="B153" s="12">
        <v>1116222487</v>
      </c>
      <c r="C153" s="8" t="str">
        <f>IFERROR(IF(B153="","",VLOOKUP(B153,المستفيدين!$B:$C,2,FALSE)),"")</f>
        <v>مستفيد61</v>
      </c>
      <c r="D153" s="15" t="s">
        <v>143</v>
      </c>
      <c r="E153" s="16" t="s">
        <v>34</v>
      </c>
      <c r="F153" s="14" t="str">
        <f>IFERROR(IF(B153="","",VLOOKUP(B153,المستفيدين!$B:$F,5,FALSE)),"")</f>
        <v>مركز إرادة وتمكين لمتلازمة داون (نجد)</v>
      </c>
      <c r="G153">
        <f>COUNTIF($B$2:B153,B153)</f>
        <v>4</v>
      </c>
    </row>
    <row r="154" spans="1:7" x14ac:dyDescent="0.2">
      <c r="A154" s="9">
        <v>153</v>
      </c>
      <c r="B154" s="10">
        <v>1846035977</v>
      </c>
      <c r="C154" s="8" t="str">
        <f>IFERROR(IF(B154="","",VLOOKUP(B154,المستفيدين!$B:$C,2,FALSE)),"")</f>
        <v>مستفيد62</v>
      </c>
      <c r="D154" s="13" t="s">
        <v>143</v>
      </c>
      <c r="E154" s="14" t="s">
        <v>34</v>
      </c>
      <c r="F154" s="14" t="str">
        <f>IFERROR(IF(B154="","",VLOOKUP(B154,المستفيدين!$B:$F,5,FALSE)),"")</f>
        <v>مدرسة إرادة للتعليم (مكة)</v>
      </c>
      <c r="G154">
        <f>COUNTIF($B$2:B154,B154)</f>
        <v>1</v>
      </c>
    </row>
    <row r="155" spans="1:7" x14ac:dyDescent="0.2">
      <c r="A155" s="11">
        <v>154</v>
      </c>
      <c r="B155" s="12">
        <v>1846035977</v>
      </c>
      <c r="C155" s="8" t="str">
        <f>IFERROR(IF(B155="","",VLOOKUP(B155,المستفيدين!$B:$C,2,FALSE)),"")</f>
        <v>مستفيد62</v>
      </c>
      <c r="D155" s="15" t="s">
        <v>64</v>
      </c>
      <c r="E155" s="16" t="s">
        <v>37</v>
      </c>
      <c r="F155" s="14" t="str">
        <f>IFERROR(IF(B155="","",VLOOKUP(B155,المستفيدين!$B:$F,5,FALSE)),"")</f>
        <v>مدرسة إرادة للتعليم (مكة)</v>
      </c>
      <c r="G155">
        <f>COUNTIF($B$2:B155,B155)</f>
        <v>2</v>
      </c>
    </row>
    <row r="156" spans="1:7" x14ac:dyDescent="0.2">
      <c r="A156" s="9">
        <v>155</v>
      </c>
      <c r="B156" s="10">
        <v>1473361734</v>
      </c>
      <c r="C156" s="8" t="str">
        <f>IFERROR(IF(B156="","",VLOOKUP(B156,المستفيدين!$B:$C,2,FALSE)),"")</f>
        <v>مستفيد63</v>
      </c>
      <c r="D156" s="13" t="s">
        <v>134</v>
      </c>
      <c r="E156" s="14" t="s">
        <v>34</v>
      </c>
      <c r="F156" s="14" t="str">
        <f>IFERROR(IF(B156="","",VLOOKUP(B156,المستفيدين!$B:$F,5,FALSE)),"")</f>
        <v>مدرسة إرادة للتعليم (مكة)</v>
      </c>
      <c r="G156">
        <f>COUNTIF($B$2:B156,B156)</f>
        <v>1</v>
      </c>
    </row>
    <row r="157" spans="1:7" x14ac:dyDescent="0.2">
      <c r="A157" s="11">
        <v>156</v>
      </c>
      <c r="B157" s="12">
        <v>1473361734</v>
      </c>
      <c r="C157" s="8" t="str">
        <f>IFERROR(IF(B157="","",VLOOKUP(B157,المستفيدين!$B:$C,2,FALSE)),"")</f>
        <v>مستفيد63</v>
      </c>
      <c r="D157" s="15" t="s">
        <v>368</v>
      </c>
      <c r="E157" s="16" t="s">
        <v>37</v>
      </c>
      <c r="F157" s="14" t="str">
        <f>IFERROR(IF(B157="","",VLOOKUP(B157,المستفيدين!$B:$F,5,FALSE)),"")</f>
        <v>مدرسة إرادة للتعليم (مكة)</v>
      </c>
      <c r="G157">
        <f>COUNTIF($B$2:B157,B157)</f>
        <v>2</v>
      </c>
    </row>
    <row r="158" spans="1:7" x14ac:dyDescent="0.2">
      <c r="A158" s="9">
        <v>157</v>
      </c>
      <c r="B158" s="10">
        <v>1253511077</v>
      </c>
      <c r="C158" s="8" t="str">
        <f>IFERROR(IF(B158="","",VLOOKUP(B158,المستفيدين!$B:$C,2,FALSE)),"")</f>
        <v>مستفيد64</v>
      </c>
      <c r="D158" s="13" t="s">
        <v>137</v>
      </c>
      <c r="E158" s="14" t="s">
        <v>34</v>
      </c>
      <c r="F158" s="14" t="str">
        <f>IFERROR(IF(B158="","",VLOOKUP(B158,المستفيدين!$B:$F,5,FALSE)),"")</f>
        <v>مدرسة إرادة للتعليم (مكة)</v>
      </c>
      <c r="G158">
        <f>COUNTIF($B$2:B158,B158)</f>
        <v>1</v>
      </c>
    </row>
    <row r="159" spans="1:7" x14ac:dyDescent="0.2">
      <c r="A159" s="11">
        <v>158</v>
      </c>
      <c r="B159" s="12">
        <v>1253511077</v>
      </c>
      <c r="C159" s="8" t="str">
        <f>IFERROR(IF(B159="","",VLOOKUP(B159,المستفيدين!$B:$C,2,FALSE)),"")</f>
        <v>مستفيد64</v>
      </c>
      <c r="D159" s="15" t="s">
        <v>135</v>
      </c>
      <c r="E159" s="16" t="s">
        <v>34</v>
      </c>
      <c r="F159" s="14" t="str">
        <f>IFERROR(IF(B159="","",VLOOKUP(B159,المستفيدين!$B:$F,5,FALSE)),"")</f>
        <v>مدرسة إرادة للتعليم (مكة)</v>
      </c>
      <c r="G159">
        <f>COUNTIF($B$2:B159,B159)</f>
        <v>2</v>
      </c>
    </row>
    <row r="160" spans="1:7" x14ac:dyDescent="0.2">
      <c r="A160" s="9">
        <v>159</v>
      </c>
      <c r="B160" s="10">
        <v>1992868682</v>
      </c>
      <c r="C160" s="8" t="str">
        <f>IFERROR(IF(B160="","",VLOOKUP(B160,المستفيدين!$B:$C,2,FALSE)),"")</f>
        <v>مستفيد65</v>
      </c>
      <c r="D160" s="13" t="s">
        <v>369</v>
      </c>
      <c r="E160" s="14" t="s">
        <v>34</v>
      </c>
      <c r="F160" s="14" t="str">
        <f>IFERROR(IF(B160="","",VLOOKUP(B160,المستفيدين!$B:$F,5,FALSE)),"")</f>
        <v>مركز إرادة وتمكين لرعاية ذوي الاحتياجات الخاصة (جلمودة)</v>
      </c>
      <c r="G160">
        <f>COUNTIF($B$2:B160,B160)</f>
        <v>1</v>
      </c>
    </row>
    <row r="161" spans="1:7" x14ac:dyDescent="0.2">
      <c r="A161" s="11">
        <v>160</v>
      </c>
      <c r="B161" s="12">
        <v>1285427152</v>
      </c>
      <c r="C161" s="8" t="str">
        <f>IFERROR(IF(B161="","",VLOOKUP(B161,المستفيدين!$B:$C,2,FALSE)),"")</f>
        <v>مستفيد66</v>
      </c>
      <c r="D161" s="15" t="s">
        <v>143</v>
      </c>
      <c r="E161" s="16" t="s">
        <v>36</v>
      </c>
      <c r="F161" s="14" t="str">
        <f>IFERROR(IF(B161="","",VLOOKUP(B161,المستفيدين!$B:$F,5,FALSE)),"")</f>
        <v>مدرسة إرادة وتمكين لمتلازمة داون (نجد)</v>
      </c>
      <c r="G161">
        <f>COUNTIF($B$2:B161,B161)</f>
        <v>1</v>
      </c>
    </row>
    <row r="162" spans="1:7" x14ac:dyDescent="0.2">
      <c r="A162" s="9">
        <v>161</v>
      </c>
      <c r="B162" s="10">
        <v>1285427152</v>
      </c>
      <c r="C162" s="8" t="str">
        <f>IFERROR(IF(B162="","",VLOOKUP(B162,المستفيدين!$B:$C,2,FALSE)),"")</f>
        <v>مستفيد66</v>
      </c>
      <c r="D162" s="13" t="s">
        <v>144</v>
      </c>
      <c r="E162" s="14" t="s">
        <v>37</v>
      </c>
      <c r="F162" s="14" t="str">
        <f>IFERROR(IF(B162="","",VLOOKUP(B162,المستفيدين!$B:$F,5,FALSE)),"")</f>
        <v>مدرسة إرادة وتمكين لمتلازمة داون (نجد)</v>
      </c>
      <c r="G162">
        <f>COUNTIF($B$2:B162,B162)</f>
        <v>2</v>
      </c>
    </row>
    <row r="163" spans="1:7" x14ac:dyDescent="0.2">
      <c r="A163" s="11">
        <v>162</v>
      </c>
      <c r="B163" s="12">
        <v>1285427152</v>
      </c>
      <c r="C163" s="8" t="str">
        <f>IFERROR(IF(B163="","",VLOOKUP(B163,المستفيدين!$B:$C,2,FALSE)),"")</f>
        <v>مستفيد66</v>
      </c>
      <c r="D163" s="15" t="s">
        <v>140</v>
      </c>
      <c r="E163" s="16" t="s">
        <v>34</v>
      </c>
      <c r="F163" s="14" t="str">
        <f>IFERROR(IF(B163="","",VLOOKUP(B163,المستفيدين!$B:$F,5,FALSE)),"")</f>
        <v>مدرسة إرادة وتمكين لمتلازمة داون (نجد)</v>
      </c>
      <c r="G163">
        <f>COUNTIF($B$2:B163,B163)</f>
        <v>3</v>
      </c>
    </row>
    <row r="164" spans="1:7" x14ac:dyDescent="0.2">
      <c r="A164" s="9">
        <v>163</v>
      </c>
      <c r="B164" s="10">
        <v>1241445275</v>
      </c>
      <c r="C164" s="8" t="str">
        <f>IFERROR(IF(B164="","",VLOOKUP(B164,المستفيدين!$B:$C,2,FALSE)),"")</f>
        <v>مستفيد67</v>
      </c>
      <c r="D164" s="13" t="s">
        <v>64</v>
      </c>
      <c r="E164" s="14" t="s">
        <v>34</v>
      </c>
      <c r="F164" s="14" t="str">
        <f>IFERROR(IF(B164="","",VLOOKUP(B164,المستفيدين!$B:$F,5,FALSE)),"")</f>
        <v>مركز إرادة وتمكين للرعاية النهارية (القدس)</v>
      </c>
      <c r="G164">
        <f>COUNTIF($B$2:B164,B164)</f>
        <v>1</v>
      </c>
    </row>
    <row r="165" spans="1:7" x14ac:dyDescent="0.2">
      <c r="A165" s="11">
        <v>164</v>
      </c>
      <c r="B165" s="12">
        <v>1241445275</v>
      </c>
      <c r="C165" s="8" t="str">
        <f>IFERROR(IF(B165="","",VLOOKUP(B165,المستفيدين!$B:$C,2,FALSE)),"")</f>
        <v>مستفيد67</v>
      </c>
      <c r="D165" s="15" t="s">
        <v>368</v>
      </c>
      <c r="E165" s="16" t="s">
        <v>36</v>
      </c>
      <c r="F165" s="14" t="str">
        <f>IFERROR(IF(B165="","",VLOOKUP(B165,المستفيدين!$B:$F,5,FALSE)),"")</f>
        <v>مركز إرادة وتمكين للرعاية النهارية (القدس)</v>
      </c>
      <c r="G165">
        <f>COUNTIF($B$2:B165,B165)</f>
        <v>2</v>
      </c>
    </row>
    <row r="166" spans="1:7" x14ac:dyDescent="0.2">
      <c r="A166" s="9">
        <v>165</v>
      </c>
      <c r="B166" s="10">
        <v>1772511961</v>
      </c>
      <c r="C166" s="8" t="str">
        <f>IFERROR(IF(B166="","",VLOOKUP(B166,المستفيدين!$B:$C,2,FALSE)),"")</f>
        <v>مستفيد68</v>
      </c>
      <c r="D166" s="13" t="s">
        <v>134</v>
      </c>
      <c r="E166" s="14" t="s">
        <v>34</v>
      </c>
      <c r="F166" s="14" t="str">
        <f>IFERROR(IF(B166="","",VLOOKUP(B166,المستفيدين!$B:$F,5,FALSE)),"")</f>
        <v>مدرسة إرادة للتعليم (مكة)</v>
      </c>
      <c r="G166">
        <f>COUNTIF($B$2:B166,B166)</f>
        <v>1</v>
      </c>
    </row>
    <row r="167" spans="1:7" x14ac:dyDescent="0.2">
      <c r="A167" s="11">
        <v>166</v>
      </c>
      <c r="B167" s="12">
        <v>1772511961</v>
      </c>
      <c r="C167" s="8" t="str">
        <f>IFERROR(IF(B167="","",VLOOKUP(B167,المستفيدين!$B:$C,2,FALSE)),"")</f>
        <v>مستفيد68</v>
      </c>
      <c r="D167" s="15" t="s">
        <v>136</v>
      </c>
      <c r="E167" s="16" t="s">
        <v>34</v>
      </c>
      <c r="F167" s="14" t="str">
        <f>IFERROR(IF(B167="","",VLOOKUP(B167,المستفيدين!$B:$F,5,FALSE)),"")</f>
        <v>مدرسة إرادة للتعليم (مكة)</v>
      </c>
      <c r="G167">
        <f>COUNTIF($B$2:B167,B167)</f>
        <v>2</v>
      </c>
    </row>
    <row r="168" spans="1:7" x14ac:dyDescent="0.2">
      <c r="A168" s="9">
        <v>167</v>
      </c>
      <c r="B168" s="10">
        <v>1772511961</v>
      </c>
      <c r="C168" s="8" t="str">
        <f>IFERROR(IF(B168="","",VLOOKUP(B168,المستفيدين!$B:$C,2,FALSE)),"")</f>
        <v>مستفيد68</v>
      </c>
      <c r="D168" s="13" t="s">
        <v>141</v>
      </c>
      <c r="E168" s="14" t="s">
        <v>34</v>
      </c>
      <c r="F168" s="14" t="str">
        <f>IFERROR(IF(B168="","",VLOOKUP(B168,المستفيدين!$B:$F,5,FALSE)),"")</f>
        <v>مدرسة إرادة للتعليم (مكة)</v>
      </c>
      <c r="G168">
        <f>COUNTIF($B$2:B168,B168)</f>
        <v>3</v>
      </c>
    </row>
    <row r="169" spans="1:7" x14ac:dyDescent="0.2">
      <c r="A169" s="11">
        <v>168</v>
      </c>
      <c r="B169" s="12">
        <v>1480462141</v>
      </c>
      <c r="C169" s="8" t="str">
        <f>IFERROR(IF(B169="","",VLOOKUP(B169,المستفيدين!$B:$C,2,FALSE)),"")</f>
        <v>مستفيد69</v>
      </c>
      <c r="D169" s="15" t="s">
        <v>134</v>
      </c>
      <c r="E169" s="16" t="s">
        <v>34</v>
      </c>
      <c r="F169" s="14" t="str">
        <f>IFERROR(IF(B169="","",VLOOKUP(B169,المستفيدين!$B:$F,5,FALSE)),"")</f>
        <v>مركز إرادة وتمكين لمتلازمة داون (نجد)</v>
      </c>
      <c r="G169">
        <f>COUNTIF($B$2:B169,B169)</f>
        <v>1</v>
      </c>
    </row>
    <row r="170" spans="1:7" x14ac:dyDescent="0.2">
      <c r="A170" s="9">
        <v>169</v>
      </c>
      <c r="B170" s="10">
        <v>1410729757</v>
      </c>
      <c r="C170" s="8" t="str">
        <f>IFERROR(IF(B170="","",VLOOKUP(B170,المستفيدين!$B:$C,2,FALSE)),"")</f>
        <v>مستفيد70</v>
      </c>
      <c r="D170" s="13" t="s">
        <v>135</v>
      </c>
      <c r="E170" s="14" t="s">
        <v>37</v>
      </c>
      <c r="F170" s="14" t="str">
        <f>IFERROR(IF(B170="","",VLOOKUP(B170,المستفيدين!$B:$F,5,FALSE)),"")</f>
        <v>مركز إرادة وتمكين لمتلازمة داون (نجد)</v>
      </c>
      <c r="G170">
        <f>COUNTIF($B$2:B170,B170)</f>
        <v>1</v>
      </c>
    </row>
    <row r="171" spans="1:7" x14ac:dyDescent="0.2">
      <c r="A171" s="11">
        <v>170</v>
      </c>
      <c r="B171" s="12">
        <v>1062866233</v>
      </c>
      <c r="C171" s="8" t="str">
        <f>IFERROR(IF(B171="","",VLOOKUP(B171,المستفيدين!$B:$C,2,FALSE)),"")</f>
        <v>مستفيد71</v>
      </c>
      <c r="D171" s="15" t="s">
        <v>138</v>
      </c>
      <c r="E171" s="16" t="s">
        <v>34</v>
      </c>
      <c r="F171" s="14" t="str">
        <f>IFERROR(IF(B171="","",VLOOKUP(B171,المستفيدين!$B:$F,5,FALSE)),"")</f>
        <v>مركز إرادة وتمكين لرعاية ذوي الاحتياجات الخاصة (جلمودة)</v>
      </c>
      <c r="G171">
        <f>COUNTIF($B$2:B171,B171)</f>
        <v>1</v>
      </c>
    </row>
    <row r="172" spans="1:7" x14ac:dyDescent="0.2">
      <c r="A172" s="9">
        <v>171</v>
      </c>
      <c r="B172" s="10">
        <v>1983951447</v>
      </c>
      <c r="C172" s="8" t="str">
        <f>IFERROR(IF(B172="","",VLOOKUP(B172,المستفيدين!$B:$C,2,FALSE)),"")</f>
        <v>مستفيد72</v>
      </c>
      <c r="D172" s="13" t="s">
        <v>137</v>
      </c>
      <c r="E172" s="14" t="s">
        <v>36</v>
      </c>
      <c r="F172" s="14" t="str">
        <f>IFERROR(IF(B172="","",VLOOKUP(B172,المستفيدين!$B:$F,5,FALSE)),"")</f>
        <v>مركز إرادة وتمكين لرعاية ذوي الاحتياجات الخاصة (جلمودة)</v>
      </c>
      <c r="G172">
        <f>COUNTIF($B$2:B172,B172)</f>
        <v>1</v>
      </c>
    </row>
    <row r="173" spans="1:7" x14ac:dyDescent="0.2">
      <c r="A173" s="11">
        <v>172</v>
      </c>
      <c r="B173" s="12">
        <v>1983951447</v>
      </c>
      <c r="C173" s="8" t="str">
        <f>IFERROR(IF(B173="","",VLOOKUP(B173,المستفيدين!$B:$C,2,FALSE)),"")</f>
        <v>مستفيد72</v>
      </c>
      <c r="D173" s="15" t="s">
        <v>134</v>
      </c>
      <c r="E173" s="16" t="s">
        <v>36</v>
      </c>
      <c r="F173" s="14" t="str">
        <f>IFERROR(IF(B173="","",VLOOKUP(B173,المستفيدين!$B:$F,5,FALSE)),"")</f>
        <v>مركز إرادة وتمكين لرعاية ذوي الاحتياجات الخاصة (جلمودة)</v>
      </c>
      <c r="G173">
        <f>COUNTIF($B$2:B173,B173)</f>
        <v>2</v>
      </c>
    </row>
    <row r="174" spans="1:7" x14ac:dyDescent="0.2">
      <c r="A174" s="9">
        <v>173</v>
      </c>
      <c r="B174" s="10">
        <v>1491276005</v>
      </c>
      <c r="C174" s="8" t="str">
        <f>IFERROR(IF(B174="","",VLOOKUP(B174,المستفيدين!$B:$C,2,FALSE)),"")</f>
        <v>مستفيد73</v>
      </c>
      <c r="D174" s="13" t="s">
        <v>142</v>
      </c>
      <c r="E174" s="14" t="s">
        <v>34</v>
      </c>
      <c r="F174" s="14" t="str">
        <f>IFERROR(IF(B174="","",VLOOKUP(B174,المستفيدين!$B:$F,5,FALSE)),"")</f>
        <v>مدرسة إرادة للتعليم (مكة)</v>
      </c>
      <c r="G174">
        <f>COUNTIF($B$2:B174,B174)</f>
        <v>1</v>
      </c>
    </row>
    <row r="175" spans="1:7" x14ac:dyDescent="0.2">
      <c r="A175" s="11">
        <v>174</v>
      </c>
      <c r="B175" s="12">
        <v>1519714037</v>
      </c>
      <c r="C175" s="8" t="str">
        <f>IFERROR(IF(B175="","",VLOOKUP(B175,المستفيدين!$B:$C,2,FALSE)),"")</f>
        <v>مستفيد74</v>
      </c>
      <c r="D175" s="15" t="s">
        <v>144</v>
      </c>
      <c r="E175" s="16" t="s">
        <v>37</v>
      </c>
      <c r="F175" s="14" t="str">
        <f>IFERROR(IF(B175="","",VLOOKUP(B175,المستفيدين!$B:$F,5,FALSE)),"")</f>
        <v>مركز إرادة وتمكين لرعاية ذوي الاحتياجات الخاصة (جلمودة)</v>
      </c>
      <c r="G175">
        <f>COUNTIF($B$2:B175,B175)</f>
        <v>1</v>
      </c>
    </row>
    <row r="176" spans="1:7" x14ac:dyDescent="0.2">
      <c r="A176" s="9">
        <v>175</v>
      </c>
      <c r="B176" s="10">
        <v>1519714037</v>
      </c>
      <c r="C176" s="8" t="str">
        <f>IFERROR(IF(B176="","",VLOOKUP(B176,المستفيدين!$B:$C,2,FALSE)),"")</f>
        <v>مستفيد74</v>
      </c>
      <c r="D176" s="13" t="s">
        <v>370</v>
      </c>
      <c r="E176" s="14" t="s">
        <v>34</v>
      </c>
      <c r="F176" s="14" t="str">
        <f>IFERROR(IF(B176="","",VLOOKUP(B176,المستفيدين!$B:$F,5,FALSE)),"")</f>
        <v>مركز إرادة وتمكين لرعاية ذوي الاحتياجات الخاصة (جلمودة)</v>
      </c>
      <c r="G176">
        <f>COUNTIF($B$2:B176,B176)</f>
        <v>2</v>
      </c>
    </row>
    <row r="177" spans="1:7" x14ac:dyDescent="0.2">
      <c r="A177" s="11">
        <v>176</v>
      </c>
      <c r="B177" s="12">
        <v>1519714037</v>
      </c>
      <c r="C177" s="8" t="str">
        <f>IFERROR(IF(B177="","",VLOOKUP(B177,المستفيدين!$B:$C,2,FALSE)),"")</f>
        <v>مستفيد74</v>
      </c>
      <c r="D177" s="15" t="s">
        <v>145</v>
      </c>
      <c r="E177" s="16" t="s">
        <v>36</v>
      </c>
      <c r="F177" s="14" t="str">
        <f>IFERROR(IF(B177="","",VLOOKUP(B177,المستفيدين!$B:$F,5,FALSE)),"")</f>
        <v>مركز إرادة وتمكين لرعاية ذوي الاحتياجات الخاصة (جلمودة)</v>
      </c>
      <c r="G177">
        <f>COUNTIF($B$2:B177,B177)</f>
        <v>3</v>
      </c>
    </row>
    <row r="178" spans="1:7" x14ac:dyDescent="0.2">
      <c r="A178" s="9">
        <v>177</v>
      </c>
      <c r="B178" s="10">
        <v>1648599431</v>
      </c>
      <c r="C178" s="8" t="str">
        <f>IFERROR(IF(B178="","",VLOOKUP(B178,المستفيدين!$B:$C,2,FALSE)),"")</f>
        <v>مستفيد75</v>
      </c>
      <c r="D178" s="13" t="s">
        <v>370</v>
      </c>
      <c r="E178" s="14" t="s">
        <v>34</v>
      </c>
      <c r="F178" s="14" t="str">
        <f>IFERROR(IF(B178="","",VLOOKUP(B178,المستفيدين!$B:$F,5,FALSE)),"")</f>
        <v>مدرسة إرادة وتمكين لمتلازمة داون (نجد)</v>
      </c>
      <c r="G178">
        <f>COUNTIF($B$2:B178,B178)</f>
        <v>1</v>
      </c>
    </row>
    <row r="179" spans="1:7" x14ac:dyDescent="0.2">
      <c r="A179" s="11">
        <v>178</v>
      </c>
      <c r="B179" s="12">
        <v>1648599431</v>
      </c>
      <c r="C179" s="8" t="str">
        <f>IFERROR(IF(B179="","",VLOOKUP(B179,المستفيدين!$B:$C,2,FALSE)),"")</f>
        <v>مستفيد75</v>
      </c>
      <c r="D179" s="15" t="s">
        <v>134</v>
      </c>
      <c r="E179" s="16" t="s">
        <v>36</v>
      </c>
      <c r="F179" s="14" t="str">
        <f>IFERROR(IF(B179="","",VLOOKUP(B179,المستفيدين!$B:$F,5,FALSE)),"")</f>
        <v>مدرسة إرادة وتمكين لمتلازمة داون (نجد)</v>
      </c>
      <c r="G179">
        <f>COUNTIF($B$2:B179,B179)</f>
        <v>2</v>
      </c>
    </row>
    <row r="180" spans="1:7" x14ac:dyDescent="0.2">
      <c r="A180" s="9">
        <v>179</v>
      </c>
      <c r="B180" s="10">
        <v>1149256102</v>
      </c>
      <c r="C180" s="8" t="str">
        <f>IFERROR(IF(B180="","",VLOOKUP(B180,المستفيدين!$B:$C,2,FALSE)),"")</f>
        <v>مستفيد76</v>
      </c>
      <c r="D180" s="13" t="s">
        <v>145</v>
      </c>
      <c r="E180" s="14" t="s">
        <v>36</v>
      </c>
      <c r="F180" s="14" t="str">
        <f>IFERROR(IF(B180="","",VLOOKUP(B180,المستفيدين!$B:$F,5,FALSE)),"")</f>
        <v>مدرسة إرادة وتمكين لمتلازمة داون (نجد)</v>
      </c>
      <c r="G180">
        <f>COUNTIF($B$2:B180,B180)</f>
        <v>1</v>
      </c>
    </row>
    <row r="181" spans="1:7" x14ac:dyDescent="0.2">
      <c r="A181" s="11">
        <v>180</v>
      </c>
      <c r="B181" s="12">
        <v>1104352550</v>
      </c>
      <c r="C181" s="8" t="str">
        <f>IFERROR(IF(B181="","",VLOOKUP(B181,المستفيدين!$B:$C,2,FALSE)),"")</f>
        <v>مستفيد77</v>
      </c>
      <c r="D181" s="15" t="s">
        <v>136</v>
      </c>
      <c r="E181" s="16" t="s">
        <v>34</v>
      </c>
      <c r="F181" s="14" t="str">
        <f>IFERROR(IF(B181="","",VLOOKUP(B181,المستفيدين!$B:$F,5,FALSE)),"")</f>
        <v>مدرسة إرادة وتمكين لمتلازمة داون (نجد)</v>
      </c>
      <c r="G181">
        <f>COUNTIF($B$2:B181,B181)</f>
        <v>1</v>
      </c>
    </row>
    <row r="182" spans="1:7" x14ac:dyDescent="0.2">
      <c r="A182" s="9">
        <v>181</v>
      </c>
      <c r="B182" s="10">
        <v>1104352550</v>
      </c>
      <c r="C182" s="8" t="str">
        <f>IFERROR(IF(B182="","",VLOOKUP(B182,المستفيدين!$B:$C,2,FALSE)),"")</f>
        <v>مستفيد77</v>
      </c>
      <c r="D182" s="13" t="s">
        <v>145</v>
      </c>
      <c r="E182" s="14" t="s">
        <v>36</v>
      </c>
      <c r="F182" s="14" t="str">
        <f>IFERROR(IF(B182="","",VLOOKUP(B182,المستفيدين!$B:$F,5,FALSE)),"")</f>
        <v>مدرسة إرادة وتمكين لمتلازمة داون (نجد)</v>
      </c>
      <c r="G182">
        <f>COUNTIF($B$2:B182,B182)</f>
        <v>2</v>
      </c>
    </row>
    <row r="183" spans="1:7" x14ac:dyDescent="0.2">
      <c r="A183" s="11">
        <v>182</v>
      </c>
      <c r="B183" s="12">
        <v>1104352550</v>
      </c>
      <c r="C183" s="8" t="str">
        <f>IFERROR(IF(B183="","",VLOOKUP(B183,المستفيدين!$B:$C,2,FALSE)),"")</f>
        <v>مستفيد77</v>
      </c>
      <c r="D183" s="15" t="s">
        <v>137</v>
      </c>
      <c r="E183" s="16" t="s">
        <v>37</v>
      </c>
      <c r="F183" s="14" t="str">
        <f>IFERROR(IF(B183="","",VLOOKUP(B183,المستفيدين!$B:$F,5,FALSE)),"")</f>
        <v>مدرسة إرادة وتمكين لمتلازمة داون (نجد)</v>
      </c>
      <c r="G183">
        <f>COUNTIF($B$2:B183,B183)</f>
        <v>3</v>
      </c>
    </row>
    <row r="184" spans="1:7" x14ac:dyDescent="0.2">
      <c r="A184" s="9">
        <v>183</v>
      </c>
      <c r="B184" s="10">
        <v>1104352550</v>
      </c>
      <c r="C184" s="8" t="str">
        <f>IFERROR(IF(B184="","",VLOOKUP(B184,المستفيدين!$B:$C,2,FALSE)),"")</f>
        <v>مستفيد77</v>
      </c>
      <c r="D184" s="13" t="s">
        <v>146</v>
      </c>
      <c r="E184" s="14" t="s">
        <v>37</v>
      </c>
      <c r="F184" s="14" t="str">
        <f>IFERROR(IF(B184="","",VLOOKUP(B184,المستفيدين!$B:$F,5,FALSE)),"")</f>
        <v>مدرسة إرادة وتمكين لمتلازمة داون (نجد)</v>
      </c>
      <c r="G184">
        <f>COUNTIF($B$2:B184,B184)</f>
        <v>4</v>
      </c>
    </row>
    <row r="185" spans="1:7" x14ac:dyDescent="0.2">
      <c r="A185" s="11">
        <v>184</v>
      </c>
      <c r="B185" s="12">
        <v>1379794895</v>
      </c>
      <c r="C185" s="8" t="str">
        <f>IFERROR(IF(B185="","",VLOOKUP(B185,المستفيدين!$B:$C,2,FALSE)),"")</f>
        <v>مستفيد78</v>
      </c>
      <c r="D185" s="15" t="s">
        <v>139</v>
      </c>
      <c r="E185" s="16" t="s">
        <v>34</v>
      </c>
      <c r="F185" s="14" t="str">
        <f>IFERROR(IF(B185="","",VLOOKUP(B185,المستفيدين!$B:$F,5,FALSE)),"")</f>
        <v>مركز إرادة وتمكين للرعاية النهارية (القدس)</v>
      </c>
      <c r="G185">
        <f>COUNTIF($B$2:B185,B185)</f>
        <v>1</v>
      </c>
    </row>
    <row r="186" spans="1:7" x14ac:dyDescent="0.2">
      <c r="A186" s="9">
        <v>185</v>
      </c>
      <c r="B186" s="10">
        <v>1379794895</v>
      </c>
      <c r="C186" s="8" t="str">
        <f>IFERROR(IF(B186="","",VLOOKUP(B186,المستفيدين!$B:$C,2,FALSE)),"")</f>
        <v>مستفيد78</v>
      </c>
      <c r="D186" s="13" t="s">
        <v>137</v>
      </c>
      <c r="E186" s="14" t="s">
        <v>37</v>
      </c>
      <c r="F186" s="14" t="str">
        <f>IFERROR(IF(B186="","",VLOOKUP(B186,المستفيدين!$B:$F,5,FALSE)),"")</f>
        <v>مركز إرادة وتمكين للرعاية النهارية (القدس)</v>
      </c>
      <c r="G186">
        <f>COUNTIF($B$2:B186,B186)</f>
        <v>2</v>
      </c>
    </row>
    <row r="187" spans="1:7" x14ac:dyDescent="0.2">
      <c r="A187" s="11">
        <v>186</v>
      </c>
      <c r="B187" s="12">
        <v>1379794895</v>
      </c>
      <c r="C187" s="8" t="str">
        <f>IFERROR(IF(B187="","",VLOOKUP(B187,المستفيدين!$B:$C,2,FALSE)),"")</f>
        <v>مستفيد78</v>
      </c>
      <c r="D187" s="15" t="s">
        <v>368</v>
      </c>
      <c r="E187" s="16" t="s">
        <v>36</v>
      </c>
      <c r="F187" s="14" t="str">
        <f>IFERROR(IF(B187="","",VLOOKUP(B187,المستفيدين!$B:$F,5,FALSE)),"")</f>
        <v>مركز إرادة وتمكين للرعاية النهارية (القدس)</v>
      </c>
      <c r="G187">
        <f>COUNTIF($B$2:B187,B187)</f>
        <v>3</v>
      </c>
    </row>
    <row r="188" spans="1:7" x14ac:dyDescent="0.2">
      <c r="A188" s="9">
        <v>187</v>
      </c>
      <c r="B188" s="10">
        <v>1379794895</v>
      </c>
      <c r="C188" s="8" t="str">
        <f>IFERROR(IF(B188="","",VLOOKUP(B188,المستفيدين!$B:$C,2,FALSE)),"")</f>
        <v>مستفيد78</v>
      </c>
      <c r="D188" s="13" t="s">
        <v>369</v>
      </c>
      <c r="E188" s="14" t="s">
        <v>36</v>
      </c>
      <c r="F188" s="14" t="str">
        <f>IFERROR(IF(B188="","",VLOOKUP(B188,المستفيدين!$B:$F,5,FALSE)),"")</f>
        <v>مركز إرادة وتمكين للرعاية النهارية (القدس)</v>
      </c>
      <c r="G188">
        <f>COUNTIF($B$2:B188,B188)</f>
        <v>4</v>
      </c>
    </row>
    <row r="189" spans="1:7" x14ac:dyDescent="0.2">
      <c r="A189" s="11">
        <v>188</v>
      </c>
      <c r="B189" s="12">
        <v>1533996899</v>
      </c>
      <c r="C189" s="8" t="str">
        <f>IFERROR(IF(B189="","",VLOOKUP(B189,المستفيدين!$B:$C,2,FALSE)),"")</f>
        <v>مستفيد79</v>
      </c>
      <c r="D189" s="15" t="s">
        <v>370</v>
      </c>
      <c r="E189" s="16" t="s">
        <v>34</v>
      </c>
      <c r="F189" s="14" t="str">
        <f>IFERROR(IF(B189="","",VLOOKUP(B189,المستفيدين!$B:$F,5,FALSE)),"")</f>
        <v>مركز إرادة وتمكين لرعاية ذوي الاحتياجات الخاصة (جلمودة)</v>
      </c>
      <c r="G189">
        <f>COUNTIF($B$2:B189,B189)</f>
        <v>1</v>
      </c>
    </row>
    <row r="190" spans="1:7" x14ac:dyDescent="0.2">
      <c r="A190" s="9">
        <v>189</v>
      </c>
      <c r="B190" s="10">
        <v>1533996899</v>
      </c>
      <c r="C190" s="8" t="str">
        <f>IFERROR(IF(B190="","",VLOOKUP(B190,المستفيدين!$B:$C,2,FALSE)),"")</f>
        <v>مستفيد79</v>
      </c>
      <c r="D190" s="13" t="s">
        <v>140</v>
      </c>
      <c r="E190" s="14" t="s">
        <v>36</v>
      </c>
      <c r="F190" s="14" t="str">
        <f>IFERROR(IF(B190="","",VLOOKUP(B190,المستفيدين!$B:$F,5,FALSE)),"")</f>
        <v>مركز إرادة وتمكين لرعاية ذوي الاحتياجات الخاصة (جلمودة)</v>
      </c>
      <c r="G190">
        <f>COUNTIF($B$2:B190,B190)</f>
        <v>2</v>
      </c>
    </row>
    <row r="191" spans="1:7" x14ac:dyDescent="0.2">
      <c r="A191" s="11">
        <v>190</v>
      </c>
      <c r="B191" s="12">
        <v>1533996899</v>
      </c>
      <c r="C191" s="8" t="str">
        <f>IFERROR(IF(B191="","",VLOOKUP(B191,المستفيدين!$B:$C,2,FALSE)),"")</f>
        <v>مستفيد79</v>
      </c>
      <c r="D191" s="15" t="s">
        <v>135</v>
      </c>
      <c r="E191" s="16" t="s">
        <v>34</v>
      </c>
      <c r="F191" s="14" t="str">
        <f>IFERROR(IF(B191="","",VLOOKUP(B191,المستفيدين!$B:$F,5,FALSE)),"")</f>
        <v>مركز إرادة وتمكين لرعاية ذوي الاحتياجات الخاصة (جلمودة)</v>
      </c>
      <c r="G191">
        <f>COUNTIF($B$2:B191,B191)</f>
        <v>3</v>
      </c>
    </row>
    <row r="192" spans="1:7" x14ac:dyDescent="0.2">
      <c r="A192" s="9">
        <v>191</v>
      </c>
      <c r="B192" s="10">
        <v>1533996899</v>
      </c>
      <c r="C192" s="8" t="str">
        <f>IFERROR(IF(B192="","",VLOOKUP(B192,المستفيدين!$B:$C,2,FALSE)),"")</f>
        <v>مستفيد79</v>
      </c>
      <c r="D192" s="13" t="s">
        <v>64</v>
      </c>
      <c r="E192" s="14" t="s">
        <v>36</v>
      </c>
      <c r="F192" s="14" t="str">
        <f>IFERROR(IF(B192="","",VLOOKUP(B192,المستفيدين!$B:$F,5,FALSE)),"")</f>
        <v>مركز إرادة وتمكين لرعاية ذوي الاحتياجات الخاصة (جلمودة)</v>
      </c>
      <c r="G192">
        <f>COUNTIF($B$2:B192,B192)</f>
        <v>4</v>
      </c>
    </row>
    <row r="193" spans="1:7" x14ac:dyDescent="0.2">
      <c r="A193" s="11">
        <v>192</v>
      </c>
      <c r="B193" s="12">
        <v>1670614837</v>
      </c>
      <c r="C193" s="8" t="str">
        <f>IFERROR(IF(B193="","",VLOOKUP(B193,المستفيدين!$B:$C,2,FALSE)),"")</f>
        <v>مستفيد80</v>
      </c>
      <c r="D193" s="15" t="s">
        <v>369</v>
      </c>
      <c r="E193" s="16" t="s">
        <v>37</v>
      </c>
      <c r="F193" s="14" t="str">
        <f>IFERROR(IF(B193="","",VLOOKUP(B193,المستفيدين!$B:$F,5,FALSE)),"")</f>
        <v>مدرسة إرادة للتعليم (مكة)</v>
      </c>
      <c r="G193">
        <f>COUNTIF($B$2:B193,B193)</f>
        <v>1</v>
      </c>
    </row>
    <row r="194" spans="1:7" x14ac:dyDescent="0.2">
      <c r="A194" s="9">
        <v>193</v>
      </c>
      <c r="B194" s="10">
        <v>1670614837</v>
      </c>
      <c r="C194" s="8" t="str">
        <f>IFERROR(IF(B194="","",VLOOKUP(B194,المستفيدين!$B:$C,2,FALSE)),"")</f>
        <v>مستفيد80</v>
      </c>
      <c r="D194" s="13" t="s">
        <v>141</v>
      </c>
      <c r="E194" s="14" t="s">
        <v>34</v>
      </c>
      <c r="F194" s="14" t="str">
        <f>IFERROR(IF(B194="","",VLOOKUP(B194,المستفيدين!$B:$F,5,FALSE)),"")</f>
        <v>مدرسة إرادة للتعليم (مكة)</v>
      </c>
      <c r="G194">
        <f>COUNTIF($B$2:B194,B194)</f>
        <v>2</v>
      </c>
    </row>
    <row r="195" spans="1:7" x14ac:dyDescent="0.2">
      <c r="A195" s="11">
        <v>194</v>
      </c>
      <c r="B195" s="12">
        <v>1752444255</v>
      </c>
      <c r="C195" s="8" t="str">
        <f>IFERROR(IF(B195="","",VLOOKUP(B195,المستفيدين!$B:$C,2,FALSE)),"")</f>
        <v>مستفيد81</v>
      </c>
      <c r="D195" s="15" t="s">
        <v>140</v>
      </c>
      <c r="E195" s="16" t="s">
        <v>36</v>
      </c>
      <c r="F195" s="14" t="str">
        <f>IFERROR(IF(B195="","",VLOOKUP(B195,المستفيدين!$B:$F,5,FALSE)),"")</f>
        <v>مركز إرادة وتمكين لرعاية ذوي الاحتياجات الخاصة (جلمودة)</v>
      </c>
      <c r="G195">
        <f>COUNTIF($B$2:B195,B195)</f>
        <v>1</v>
      </c>
    </row>
    <row r="196" spans="1:7" x14ac:dyDescent="0.2">
      <c r="A196" s="9">
        <v>195</v>
      </c>
      <c r="B196" s="10">
        <v>1752444255</v>
      </c>
      <c r="C196" s="8" t="str">
        <f>IFERROR(IF(B196="","",VLOOKUP(B196,المستفيدين!$B:$C,2,FALSE)),"")</f>
        <v>مستفيد81</v>
      </c>
      <c r="D196" s="13" t="s">
        <v>64</v>
      </c>
      <c r="E196" s="14" t="s">
        <v>34</v>
      </c>
      <c r="F196" s="14" t="str">
        <f>IFERROR(IF(B196="","",VLOOKUP(B196,المستفيدين!$B:$F,5,FALSE)),"")</f>
        <v>مركز إرادة وتمكين لرعاية ذوي الاحتياجات الخاصة (جلمودة)</v>
      </c>
      <c r="G196">
        <f>COUNTIF($B$2:B196,B196)</f>
        <v>2</v>
      </c>
    </row>
    <row r="197" spans="1:7" x14ac:dyDescent="0.2">
      <c r="A197" s="11">
        <v>196</v>
      </c>
      <c r="B197" s="12">
        <v>1752444255</v>
      </c>
      <c r="C197" s="8" t="str">
        <f>IFERROR(IF(B197="","",VLOOKUP(B197,المستفيدين!$B:$C,2,FALSE)),"")</f>
        <v>مستفيد81</v>
      </c>
      <c r="D197" s="15" t="s">
        <v>145</v>
      </c>
      <c r="E197" s="16" t="s">
        <v>36</v>
      </c>
      <c r="F197" s="14" t="str">
        <f>IFERROR(IF(B197="","",VLOOKUP(B197,المستفيدين!$B:$F,5,FALSE)),"")</f>
        <v>مركز إرادة وتمكين لرعاية ذوي الاحتياجات الخاصة (جلمودة)</v>
      </c>
      <c r="G197">
        <f>COUNTIF($B$2:B197,B197)</f>
        <v>3</v>
      </c>
    </row>
    <row r="198" spans="1:7" x14ac:dyDescent="0.2">
      <c r="A198" s="9">
        <v>197</v>
      </c>
      <c r="B198" s="10">
        <v>1752444255</v>
      </c>
      <c r="C198" s="8" t="str">
        <f>IFERROR(IF(B198="","",VLOOKUP(B198,المستفيدين!$B:$C,2,FALSE)),"")</f>
        <v>مستفيد81</v>
      </c>
      <c r="D198" s="13" t="s">
        <v>369</v>
      </c>
      <c r="E198" s="14" t="s">
        <v>36</v>
      </c>
      <c r="F198" s="14" t="str">
        <f>IFERROR(IF(B198="","",VLOOKUP(B198,المستفيدين!$B:$F,5,FALSE)),"")</f>
        <v>مركز إرادة وتمكين لرعاية ذوي الاحتياجات الخاصة (جلمودة)</v>
      </c>
      <c r="G198">
        <f>COUNTIF($B$2:B198,B198)</f>
        <v>4</v>
      </c>
    </row>
    <row r="199" spans="1:7" x14ac:dyDescent="0.2">
      <c r="A199" s="11">
        <v>198</v>
      </c>
      <c r="B199" s="12">
        <v>1580476879</v>
      </c>
      <c r="C199" s="8" t="str">
        <f>IFERROR(IF(B199="","",VLOOKUP(B199,المستفيدين!$B:$C,2,FALSE)),"")</f>
        <v>مستفيد82</v>
      </c>
      <c r="D199" s="15" t="s">
        <v>137</v>
      </c>
      <c r="E199" s="16" t="s">
        <v>34</v>
      </c>
      <c r="F199" s="14" t="str">
        <f>IFERROR(IF(B199="","",VLOOKUP(B199,المستفيدين!$B:$F,5,FALSE)),"")</f>
        <v>مدرسة إرادة للتعليم (مكة)</v>
      </c>
      <c r="G199">
        <f>COUNTIF($B$2:B199,B199)</f>
        <v>1</v>
      </c>
    </row>
    <row r="200" spans="1:7" x14ac:dyDescent="0.2">
      <c r="A200" s="9">
        <v>199</v>
      </c>
      <c r="B200" s="10">
        <v>1580476879</v>
      </c>
      <c r="C200" s="8" t="str">
        <f>IFERROR(IF(B200="","",VLOOKUP(B200,المستفيدين!$B:$C,2,FALSE)),"")</f>
        <v>مستفيد82</v>
      </c>
      <c r="D200" s="13" t="s">
        <v>136</v>
      </c>
      <c r="E200" s="14" t="s">
        <v>37</v>
      </c>
      <c r="F200" s="14" t="str">
        <f>IFERROR(IF(B200="","",VLOOKUP(B200,المستفيدين!$B:$F,5,FALSE)),"")</f>
        <v>مدرسة إرادة للتعليم (مكة)</v>
      </c>
      <c r="G200">
        <f>COUNTIF($B$2:B200,B200)</f>
        <v>2</v>
      </c>
    </row>
    <row r="201" spans="1:7" x14ac:dyDescent="0.2">
      <c r="A201" s="11">
        <v>200</v>
      </c>
      <c r="B201" s="12">
        <v>1580476879</v>
      </c>
      <c r="C201" s="8" t="str">
        <f>IFERROR(IF(B201="","",VLOOKUP(B201,المستفيدين!$B:$C,2,FALSE)),"")</f>
        <v>مستفيد82</v>
      </c>
      <c r="D201" s="15" t="s">
        <v>144</v>
      </c>
      <c r="E201" s="16" t="s">
        <v>34</v>
      </c>
      <c r="F201" s="14" t="str">
        <f>IFERROR(IF(B201="","",VLOOKUP(B201,المستفيدين!$B:$F,5,FALSE)),"")</f>
        <v>مدرسة إرادة للتعليم (مكة)</v>
      </c>
      <c r="G201">
        <f>COUNTIF($B$2:B201,B201)</f>
        <v>3</v>
      </c>
    </row>
    <row r="202" spans="1:7" x14ac:dyDescent="0.2">
      <c r="A202" s="9">
        <v>201</v>
      </c>
      <c r="B202" s="10">
        <v>1580476879</v>
      </c>
      <c r="C202" s="8" t="str">
        <f>IFERROR(IF(B202="","",VLOOKUP(B202,المستفيدين!$B:$C,2,FALSE)),"")</f>
        <v>مستفيد82</v>
      </c>
      <c r="D202" s="13" t="s">
        <v>64</v>
      </c>
      <c r="E202" s="14" t="s">
        <v>36</v>
      </c>
      <c r="F202" s="14" t="str">
        <f>IFERROR(IF(B202="","",VLOOKUP(B202,المستفيدين!$B:$F,5,FALSE)),"")</f>
        <v>مدرسة إرادة للتعليم (مكة)</v>
      </c>
      <c r="G202">
        <f>COUNTIF($B$2:B202,B202)</f>
        <v>4</v>
      </c>
    </row>
    <row r="203" spans="1:7" x14ac:dyDescent="0.2">
      <c r="A203" s="11">
        <v>202</v>
      </c>
      <c r="B203" s="12">
        <v>1067325708</v>
      </c>
      <c r="C203" s="8" t="str">
        <f>IFERROR(IF(B203="","",VLOOKUP(B203,المستفيدين!$B:$C,2,FALSE)),"")</f>
        <v>مستفيد83</v>
      </c>
      <c r="D203" s="15" t="s">
        <v>139</v>
      </c>
      <c r="E203" s="16" t="s">
        <v>36</v>
      </c>
      <c r="F203" s="14" t="str">
        <f>IFERROR(IF(B203="","",VLOOKUP(B203,المستفيدين!$B:$F,5,FALSE)),"")</f>
        <v>مدرسة إرادة وتمكين لمتلازمة داون (نجد)</v>
      </c>
      <c r="G203">
        <f>COUNTIF($B$2:B203,B203)</f>
        <v>1</v>
      </c>
    </row>
    <row r="204" spans="1:7" x14ac:dyDescent="0.2">
      <c r="A204" s="9">
        <v>203</v>
      </c>
      <c r="B204" s="10">
        <v>1680947465</v>
      </c>
      <c r="C204" s="8" t="str">
        <f>IFERROR(IF(B204="","",VLOOKUP(B204,المستفيدين!$B:$C,2,FALSE)),"")</f>
        <v>مستفيد84</v>
      </c>
      <c r="D204" s="13" t="s">
        <v>137</v>
      </c>
      <c r="E204" s="14" t="s">
        <v>34</v>
      </c>
      <c r="F204" s="14" t="str">
        <f>IFERROR(IF(B204="","",VLOOKUP(B204,المستفيدين!$B:$F,5,FALSE)),"")</f>
        <v>مركز إرادة وتمكين لمتلازمة داون (نجد)</v>
      </c>
      <c r="G204">
        <f>COUNTIF($B$2:B204,B204)</f>
        <v>1</v>
      </c>
    </row>
    <row r="205" spans="1:7" x14ac:dyDescent="0.2">
      <c r="A205" s="11">
        <v>204</v>
      </c>
      <c r="B205" s="12">
        <v>1680947465</v>
      </c>
      <c r="C205" s="8" t="str">
        <f>IFERROR(IF(B205="","",VLOOKUP(B205,المستفيدين!$B:$C,2,FALSE)),"")</f>
        <v>مستفيد84</v>
      </c>
      <c r="D205" s="15" t="s">
        <v>142</v>
      </c>
      <c r="E205" s="16" t="s">
        <v>36</v>
      </c>
      <c r="F205" s="14" t="str">
        <f>IFERROR(IF(B205="","",VLOOKUP(B205,المستفيدين!$B:$F,5,FALSE)),"")</f>
        <v>مركز إرادة وتمكين لمتلازمة داون (نجد)</v>
      </c>
      <c r="G205">
        <f>COUNTIF($B$2:B205,B205)</f>
        <v>2</v>
      </c>
    </row>
    <row r="206" spans="1:7" x14ac:dyDescent="0.2">
      <c r="A206" s="9">
        <v>205</v>
      </c>
      <c r="B206" s="10">
        <v>1764520131</v>
      </c>
      <c r="C206" s="8" t="str">
        <f>IFERROR(IF(B206="","",VLOOKUP(B206,المستفيدين!$B:$C,2,FALSE)),"")</f>
        <v>مستفيد85</v>
      </c>
      <c r="D206" s="13" t="s">
        <v>135</v>
      </c>
      <c r="E206" s="14" t="s">
        <v>34</v>
      </c>
      <c r="F206" s="14" t="str">
        <f>IFERROR(IF(B206="","",VLOOKUP(B206,المستفيدين!$B:$F,5,FALSE)),"")</f>
        <v>مركز إرادة وتمكين لمتلازمة داون (نجد)</v>
      </c>
      <c r="G206">
        <f>COUNTIF($B$2:B206,B206)</f>
        <v>1</v>
      </c>
    </row>
    <row r="207" spans="1:7" x14ac:dyDescent="0.2">
      <c r="A207" s="11">
        <v>206</v>
      </c>
      <c r="B207" s="12">
        <v>1764520131</v>
      </c>
      <c r="C207" s="8" t="str">
        <f>IFERROR(IF(B207="","",VLOOKUP(B207,المستفيدين!$B:$C,2,FALSE)),"")</f>
        <v>مستفيد85</v>
      </c>
      <c r="D207" s="15" t="s">
        <v>134</v>
      </c>
      <c r="E207" s="16" t="s">
        <v>34</v>
      </c>
      <c r="F207" s="14" t="str">
        <f>IFERROR(IF(B207="","",VLOOKUP(B207,المستفيدين!$B:$F,5,FALSE)),"")</f>
        <v>مركز إرادة وتمكين لمتلازمة داون (نجد)</v>
      </c>
      <c r="G207">
        <f>COUNTIF($B$2:B207,B207)</f>
        <v>2</v>
      </c>
    </row>
    <row r="208" spans="1:7" x14ac:dyDescent="0.2">
      <c r="A208" s="9">
        <v>207</v>
      </c>
      <c r="B208" s="10">
        <v>1463642752</v>
      </c>
      <c r="C208" s="8" t="str">
        <f>IFERROR(IF(B208="","",VLOOKUP(B208,المستفيدين!$B:$C,2,FALSE)),"")</f>
        <v>مستفيد86</v>
      </c>
      <c r="D208" s="13" t="s">
        <v>134</v>
      </c>
      <c r="E208" s="14" t="s">
        <v>36</v>
      </c>
      <c r="F208" s="14" t="str">
        <f>IFERROR(IF(B208="","",VLOOKUP(B208,المستفيدين!$B:$F,5,FALSE)),"")</f>
        <v>مدرسة إرادة وتمكين لمتلازمة داون (نجد)</v>
      </c>
      <c r="G208">
        <f>COUNTIF($B$2:B208,B208)</f>
        <v>1</v>
      </c>
    </row>
    <row r="209" spans="1:7" x14ac:dyDescent="0.2">
      <c r="A209" s="11">
        <v>208</v>
      </c>
      <c r="B209" s="12">
        <v>1463642752</v>
      </c>
      <c r="C209" s="8" t="str">
        <f>IFERROR(IF(B209="","",VLOOKUP(B209,المستفيدين!$B:$C,2,FALSE)),"")</f>
        <v>مستفيد86</v>
      </c>
      <c r="D209" s="15" t="s">
        <v>145</v>
      </c>
      <c r="E209" s="16" t="s">
        <v>37</v>
      </c>
      <c r="F209" s="14" t="str">
        <f>IFERROR(IF(B209="","",VLOOKUP(B209,المستفيدين!$B:$F,5,FALSE)),"")</f>
        <v>مدرسة إرادة وتمكين لمتلازمة داون (نجد)</v>
      </c>
      <c r="G209">
        <f>COUNTIF($B$2:B209,B209)</f>
        <v>2</v>
      </c>
    </row>
    <row r="210" spans="1:7" x14ac:dyDescent="0.2">
      <c r="A210" s="9">
        <v>209</v>
      </c>
      <c r="B210" s="10">
        <v>1463642752</v>
      </c>
      <c r="C210" s="8" t="str">
        <f>IFERROR(IF(B210="","",VLOOKUP(B210,المستفيدين!$B:$C,2,FALSE)),"")</f>
        <v>مستفيد86</v>
      </c>
      <c r="D210" s="13" t="s">
        <v>368</v>
      </c>
      <c r="E210" s="14" t="s">
        <v>36</v>
      </c>
      <c r="F210" s="14" t="str">
        <f>IFERROR(IF(B210="","",VLOOKUP(B210,المستفيدين!$B:$F,5,FALSE)),"")</f>
        <v>مدرسة إرادة وتمكين لمتلازمة داون (نجد)</v>
      </c>
      <c r="G210">
        <f>COUNTIF($B$2:B210,B210)</f>
        <v>3</v>
      </c>
    </row>
    <row r="211" spans="1:7" x14ac:dyDescent="0.2">
      <c r="A211" s="11">
        <v>210</v>
      </c>
      <c r="B211" s="12">
        <v>1463642752</v>
      </c>
      <c r="C211" s="8" t="str">
        <f>IFERROR(IF(B211="","",VLOOKUP(B211,المستفيدين!$B:$C,2,FALSE)),"")</f>
        <v>مستفيد86</v>
      </c>
      <c r="D211" s="15" t="s">
        <v>135</v>
      </c>
      <c r="E211" s="16" t="s">
        <v>34</v>
      </c>
      <c r="F211" s="14" t="str">
        <f>IFERROR(IF(B211="","",VLOOKUP(B211,المستفيدين!$B:$F,5,FALSE)),"")</f>
        <v>مدرسة إرادة وتمكين لمتلازمة داون (نجد)</v>
      </c>
      <c r="G211">
        <f>COUNTIF($B$2:B211,B211)</f>
        <v>4</v>
      </c>
    </row>
    <row r="212" spans="1:7" x14ac:dyDescent="0.2">
      <c r="A212" s="9">
        <v>211</v>
      </c>
      <c r="B212" s="10">
        <v>1239970649</v>
      </c>
      <c r="C212" s="8" t="str">
        <f>IFERROR(IF(B212="","",VLOOKUP(B212,المستفيدين!$B:$C,2,FALSE)),"")</f>
        <v>مستفيد87</v>
      </c>
      <c r="D212" s="13" t="s">
        <v>136</v>
      </c>
      <c r="E212" s="14" t="s">
        <v>34</v>
      </c>
      <c r="F212" s="14" t="str">
        <f>IFERROR(IF(B212="","",VLOOKUP(B212,المستفيدين!$B:$F,5,FALSE)),"")</f>
        <v>مدرسة إرادة للتعليم (مكة)</v>
      </c>
      <c r="G212">
        <f>COUNTIF($B$2:B212,B212)</f>
        <v>1</v>
      </c>
    </row>
    <row r="213" spans="1:7" x14ac:dyDescent="0.2">
      <c r="A213" s="11">
        <v>212</v>
      </c>
      <c r="B213" s="12">
        <v>1239970649</v>
      </c>
      <c r="C213" s="8" t="str">
        <f>IFERROR(IF(B213="","",VLOOKUP(B213,المستفيدين!$B:$C,2,FALSE)),"")</f>
        <v>مستفيد87</v>
      </c>
      <c r="D213" s="15" t="s">
        <v>138</v>
      </c>
      <c r="E213" s="16" t="s">
        <v>34</v>
      </c>
      <c r="F213" s="14" t="str">
        <f>IFERROR(IF(B213="","",VLOOKUP(B213,المستفيدين!$B:$F,5,FALSE)),"")</f>
        <v>مدرسة إرادة للتعليم (مكة)</v>
      </c>
      <c r="G213">
        <f>COUNTIF($B$2:B213,B213)</f>
        <v>2</v>
      </c>
    </row>
    <row r="214" spans="1:7" x14ac:dyDescent="0.2">
      <c r="A214" s="9">
        <v>213</v>
      </c>
      <c r="B214" s="10">
        <v>1239970649</v>
      </c>
      <c r="C214" s="8" t="str">
        <f>IFERROR(IF(B214="","",VLOOKUP(B214,المستفيدين!$B:$C,2,FALSE)),"")</f>
        <v>مستفيد87</v>
      </c>
      <c r="D214" s="13" t="s">
        <v>141</v>
      </c>
      <c r="E214" s="14" t="s">
        <v>37</v>
      </c>
      <c r="F214" s="14" t="str">
        <f>IFERROR(IF(B214="","",VLOOKUP(B214,المستفيدين!$B:$F,5,FALSE)),"")</f>
        <v>مدرسة إرادة للتعليم (مكة)</v>
      </c>
      <c r="G214">
        <f>COUNTIF($B$2:B214,B214)</f>
        <v>3</v>
      </c>
    </row>
    <row r="215" spans="1:7" x14ac:dyDescent="0.2">
      <c r="A215" s="11">
        <v>214</v>
      </c>
      <c r="B215" s="12">
        <v>1065080091</v>
      </c>
      <c r="C215" s="8" t="str">
        <f>IFERROR(IF(B215="","",VLOOKUP(B215,المستفيدين!$B:$C,2,FALSE)),"")</f>
        <v>مستفيد88</v>
      </c>
      <c r="D215" s="15" t="s">
        <v>368</v>
      </c>
      <c r="E215" s="16" t="s">
        <v>36</v>
      </c>
      <c r="F215" s="14" t="str">
        <f>IFERROR(IF(B215="","",VLOOKUP(B215,المستفيدين!$B:$F,5,FALSE)),"")</f>
        <v>مركز إرادة وتمكين للرعاية النهارية (القدس)</v>
      </c>
      <c r="G215">
        <f>COUNTIF($B$2:B215,B215)</f>
        <v>1</v>
      </c>
    </row>
    <row r="216" spans="1:7" x14ac:dyDescent="0.2">
      <c r="A216" s="9">
        <v>215</v>
      </c>
      <c r="B216" s="10">
        <v>1065080091</v>
      </c>
      <c r="C216" s="8" t="str">
        <f>IFERROR(IF(B216="","",VLOOKUP(B216,المستفيدين!$B:$C,2,FALSE)),"")</f>
        <v>مستفيد88</v>
      </c>
      <c r="D216" s="13" t="s">
        <v>370</v>
      </c>
      <c r="E216" s="14" t="s">
        <v>34</v>
      </c>
      <c r="F216" s="14" t="str">
        <f>IFERROR(IF(B216="","",VLOOKUP(B216,المستفيدين!$B:$F,5,FALSE)),"")</f>
        <v>مركز إرادة وتمكين للرعاية النهارية (القدس)</v>
      </c>
      <c r="G216">
        <f>COUNTIF($B$2:B216,B216)</f>
        <v>2</v>
      </c>
    </row>
    <row r="217" spans="1:7" x14ac:dyDescent="0.2">
      <c r="A217" s="11">
        <v>216</v>
      </c>
      <c r="B217" s="12">
        <v>1065080091</v>
      </c>
      <c r="C217" s="8" t="str">
        <f>IFERROR(IF(B217="","",VLOOKUP(B217,المستفيدين!$B:$C,2,FALSE)),"")</f>
        <v>مستفيد88</v>
      </c>
      <c r="D217" s="15" t="s">
        <v>144</v>
      </c>
      <c r="E217" s="16" t="s">
        <v>36</v>
      </c>
      <c r="F217" s="14" t="str">
        <f>IFERROR(IF(B217="","",VLOOKUP(B217,المستفيدين!$B:$F,5,FALSE)),"")</f>
        <v>مركز إرادة وتمكين للرعاية النهارية (القدس)</v>
      </c>
      <c r="G217">
        <f>COUNTIF($B$2:B217,B217)</f>
        <v>3</v>
      </c>
    </row>
    <row r="218" spans="1:7" x14ac:dyDescent="0.2">
      <c r="A218" s="9">
        <v>217</v>
      </c>
      <c r="B218" s="10">
        <v>1247447562</v>
      </c>
      <c r="C218" s="8" t="str">
        <f>IFERROR(IF(B218="","",VLOOKUP(B218,المستفيدين!$B:$C,2,FALSE)),"")</f>
        <v>مستفيد89</v>
      </c>
      <c r="D218" s="13" t="s">
        <v>145</v>
      </c>
      <c r="E218" s="14" t="s">
        <v>36</v>
      </c>
      <c r="F218" s="14" t="str">
        <f>IFERROR(IF(B218="","",VLOOKUP(B218,المستفيدين!$B:$F,5,FALSE)),"")</f>
        <v>مدرسة إرادة للتعليم (مكة)</v>
      </c>
      <c r="G218">
        <f>COUNTIF($B$2:B218,B218)</f>
        <v>1</v>
      </c>
    </row>
    <row r="219" spans="1:7" x14ac:dyDescent="0.2">
      <c r="A219" s="11">
        <v>218</v>
      </c>
      <c r="B219" s="12">
        <v>1917178608</v>
      </c>
      <c r="C219" s="8" t="str">
        <f>IFERROR(IF(B219="","",VLOOKUP(B219,المستفيدين!$B:$C,2,FALSE)),"")</f>
        <v>مستفيد90</v>
      </c>
      <c r="D219" s="15" t="s">
        <v>134</v>
      </c>
      <c r="E219" s="16" t="s">
        <v>37</v>
      </c>
      <c r="F219" s="14" t="str">
        <f>IFERROR(IF(B219="","",VLOOKUP(B219,المستفيدين!$B:$F,5,FALSE)),"")</f>
        <v>مركز إرادة وتمكين للرعاية النهارية (القدس)</v>
      </c>
      <c r="G219">
        <f>COUNTIF($B$2:B219,B219)</f>
        <v>1</v>
      </c>
    </row>
    <row r="220" spans="1:7" x14ac:dyDescent="0.2">
      <c r="A220" s="9">
        <v>219</v>
      </c>
      <c r="B220" s="10">
        <v>1371671971</v>
      </c>
      <c r="C220" s="8" t="str">
        <f>IFERROR(IF(B220="","",VLOOKUP(B220,المستفيدين!$B:$C,2,FALSE)),"")</f>
        <v>مستفيد91</v>
      </c>
      <c r="D220" s="13" t="s">
        <v>144</v>
      </c>
      <c r="E220" s="14" t="s">
        <v>36</v>
      </c>
      <c r="F220" s="14" t="str">
        <f>IFERROR(IF(B220="","",VLOOKUP(B220,المستفيدين!$B:$F,5,FALSE)),"")</f>
        <v>مركز إرادة وتمكين لرعاية ذوي الاحتياجات الخاصة (جلمودة)</v>
      </c>
      <c r="G220">
        <f>COUNTIF($B$2:B220,B220)</f>
        <v>1</v>
      </c>
    </row>
    <row r="221" spans="1:7" x14ac:dyDescent="0.2">
      <c r="A221" s="11">
        <v>220</v>
      </c>
      <c r="B221" s="12">
        <v>1076683920</v>
      </c>
      <c r="C221" s="8" t="str">
        <f>IFERROR(IF(B221="","",VLOOKUP(B221,المستفيدين!$B:$C,2,FALSE)),"")</f>
        <v>مستفيد92</v>
      </c>
      <c r="D221" s="15" t="s">
        <v>136</v>
      </c>
      <c r="E221" s="16" t="s">
        <v>34</v>
      </c>
      <c r="F221" s="14" t="str">
        <f>IFERROR(IF(B221="","",VLOOKUP(B221,المستفيدين!$B:$F,5,FALSE)),"")</f>
        <v>مركز إرادة وتمكين للرعاية النهارية (القدس)</v>
      </c>
      <c r="G221">
        <f>COUNTIF($B$2:B221,B221)</f>
        <v>1</v>
      </c>
    </row>
    <row r="222" spans="1:7" x14ac:dyDescent="0.2">
      <c r="A222" s="9">
        <v>221</v>
      </c>
      <c r="B222" s="10">
        <v>1076683920</v>
      </c>
      <c r="C222" s="8" t="str">
        <f>IFERROR(IF(B222="","",VLOOKUP(B222,المستفيدين!$B:$C,2,FALSE)),"")</f>
        <v>مستفيد92</v>
      </c>
      <c r="D222" s="13" t="s">
        <v>134</v>
      </c>
      <c r="E222" s="14" t="s">
        <v>37</v>
      </c>
      <c r="F222" s="14" t="str">
        <f>IFERROR(IF(B222="","",VLOOKUP(B222,المستفيدين!$B:$F,5,FALSE)),"")</f>
        <v>مركز إرادة وتمكين للرعاية النهارية (القدس)</v>
      </c>
      <c r="G222">
        <f>COUNTIF($B$2:B222,B222)</f>
        <v>2</v>
      </c>
    </row>
    <row r="223" spans="1:7" x14ac:dyDescent="0.2">
      <c r="A223" s="11">
        <v>222</v>
      </c>
      <c r="B223" s="12">
        <v>1076683920</v>
      </c>
      <c r="C223" s="8" t="str">
        <f>IFERROR(IF(B223="","",VLOOKUP(B223,المستفيدين!$B:$C,2,FALSE)),"")</f>
        <v>مستفيد92</v>
      </c>
      <c r="D223" s="15" t="s">
        <v>140</v>
      </c>
      <c r="E223" s="16" t="s">
        <v>37</v>
      </c>
      <c r="F223" s="14" t="str">
        <f>IFERROR(IF(B223="","",VLOOKUP(B223,المستفيدين!$B:$F,5,FALSE)),"")</f>
        <v>مركز إرادة وتمكين للرعاية النهارية (القدس)</v>
      </c>
      <c r="G223">
        <f>COUNTIF($B$2:B223,B223)</f>
        <v>3</v>
      </c>
    </row>
    <row r="224" spans="1:7" x14ac:dyDescent="0.2">
      <c r="A224" s="9">
        <v>223</v>
      </c>
      <c r="B224" s="10">
        <v>1532697741</v>
      </c>
      <c r="C224" s="8" t="str">
        <f>IFERROR(IF(B224="","",VLOOKUP(B224,المستفيدين!$B:$C,2,FALSE)),"")</f>
        <v>مستفيد93</v>
      </c>
      <c r="D224" s="13" t="s">
        <v>145</v>
      </c>
      <c r="E224" s="14" t="s">
        <v>34</v>
      </c>
      <c r="F224" s="14" t="str">
        <f>IFERROR(IF(B224="","",VLOOKUP(B224,المستفيدين!$B:$F,5,FALSE)),"")</f>
        <v>مركز إرادة وتمكين للرعاية النهارية (القدس)</v>
      </c>
      <c r="G224">
        <f>COUNTIF($B$2:B224,B224)</f>
        <v>1</v>
      </c>
    </row>
    <row r="225" spans="1:7" x14ac:dyDescent="0.2">
      <c r="A225" s="11">
        <v>224</v>
      </c>
      <c r="B225" s="12">
        <v>1692678303</v>
      </c>
      <c r="C225" s="8" t="str">
        <f>IFERROR(IF(B225="","",VLOOKUP(B225,المستفيدين!$B:$C,2,FALSE)),"")</f>
        <v>مستفيد94</v>
      </c>
      <c r="D225" s="15" t="s">
        <v>368</v>
      </c>
      <c r="E225" s="16" t="s">
        <v>36</v>
      </c>
      <c r="F225" s="14" t="str">
        <f>IFERROR(IF(B225="","",VLOOKUP(B225,المستفيدين!$B:$F,5,FALSE)),"")</f>
        <v>مدرسة إرادة للتعليم (مكة)</v>
      </c>
      <c r="G225">
        <f>COUNTIF($B$2:B225,B225)</f>
        <v>1</v>
      </c>
    </row>
    <row r="226" spans="1:7" x14ac:dyDescent="0.2">
      <c r="A226" s="9">
        <v>225</v>
      </c>
      <c r="B226" s="10">
        <v>1692678303</v>
      </c>
      <c r="C226" s="8" t="str">
        <f>IFERROR(IF(B226="","",VLOOKUP(B226,المستفيدين!$B:$C,2,FALSE)),"")</f>
        <v>مستفيد94</v>
      </c>
      <c r="D226" s="13" t="s">
        <v>134</v>
      </c>
      <c r="E226" s="14" t="s">
        <v>36</v>
      </c>
      <c r="F226" s="14" t="str">
        <f>IFERROR(IF(B226="","",VLOOKUP(B226,المستفيدين!$B:$F,5,FALSE)),"")</f>
        <v>مدرسة إرادة للتعليم (مكة)</v>
      </c>
      <c r="G226">
        <f>COUNTIF($B$2:B226,B226)</f>
        <v>2</v>
      </c>
    </row>
    <row r="227" spans="1:7" x14ac:dyDescent="0.2">
      <c r="A227" s="11">
        <v>226</v>
      </c>
      <c r="B227" s="12">
        <v>1643206666</v>
      </c>
      <c r="C227" s="8" t="str">
        <f>IFERROR(IF(B227="","",VLOOKUP(B227,المستفيدين!$B:$C,2,FALSE)),"")</f>
        <v>مستفيد95</v>
      </c>
      <c r="D227" s="15" t="s">
        <v>134</v>
      </c>
      <c r="E227" s="16" t="s">
        <v>36</v>
      </c>
      <c r="F227" s="14" t="str">
        <f>IFERROR(IF(B227="","",VLOOKUP(B227,المستفيدين!$B:$F,5,FALSE)),"")</f>
        <v>مركز إرادة وتمكين لمتلازمة داون (نجد)</v>
      </c>
      <c r="G227">
        <f>COUNTIF($B$2:B227,B227)</f>
        <v>1</v>
      </c>
    </row>
    <row r="228" spans="1:7" x14ac:dyDescent="0.2">
      <c r="A228" s="9">
        <v>227</v>
      </c>
      <c r="B228" s="10">
        <v>1643206666</v>
      </c>
      <c r="C228" s="8" t="str">
        <f>IFERROR(IF(B228="","",VLOOKUP(B228,المستفيدين!$B:$C,2,FALSE)),"")</f>
        <v>مستفيد95</v>
      </c>
      <c r="D228" s="13" t="s">
        <v>136</v>
      </c>
      <c r="E228" s="14" t="s">
        <v>34</v>
      </c>
      <c r="F228" s="14" t="str">
        <f>IFERROR(IF(B228="","",VLOOKUP(B228,المستفيدين!$B:$F,5,FALSE)),"")</f>
        <v>مركز إرادة وتمكين لمتلازمة داون (نجد)</v>
      </c>
      <c r="G228">
        <f>COUNTIF($B$2:B228,B228)</f>
        <v>2</v>
      </c>
    </row>
    <row r="229" spans="1:7" x14ac:dyDescent="0.2">
      <c r="A229" s="11">
        <v>228</v>
      </c>
      <c r="B229" s="12">
        <v>1643206666</v>
      </c>
      <c r="C229" s="8" t="str">
        <f>IFERROR(IF(B229="","",VLOOKUP(B229,المستفيدين!$B:$C,2,FALSE)),"")</f>
        <v>مستفيد95</v>
      </c>
      <c r="D229" s="15" t="s">
        <v>139</v>
      </c>
      <c r="E229" s="16" t="s">
        <v>34</v>
      </c>
      <c r="F229" s="14" t="str">
        <f>IFERROR(IF(B229="","",VLOOKUP(B229,المستفيدين!$B:$F,5,FALSE)),"")</f>
        <v>مركز إرادة وتمكين لمتلازمة داون (نجد)</v>
      </c>
      <c r="G229">
        <f>COUNTIF($B$2:B229,B229)</f>
        <v>3</v>
      </c>
    </row>
    <row r="230" spans="1:7" x14ac:dyDescent="0.2">
      <c r="A230" s="9">
        <v>229</v>
      </c>
      <c r="B230" s="10">
        <v>1441451242</v>
      </c>
      <c r="C230" s="8" t="str">
        <f>IFERROR(IF(B230="","",VLOOKUP(B230,المستفيدين!$B:$C,2,FALSE)),"")</f>
        <v>مستفيد96</v>
      </c>
      <c r="D230" s="13" t="s">
        <v>369</v>
      </c>
      <c r="E230" s="14" t="s">
        <v>36</v>
      </c>
      <c r="F230" s="14" t="str">
        <f>IFERROR(IF(B230="","",VLOOKUP(B230,المستفيدين!$B:$F,5,FALSE)),"")</f>
        <v>مدرسة إرادة للتعليم (مكة)</v>
      </c>
      <c r="G230">
        <f>COUNTIF($B$2:B230,B230)</f>
        <v>1</v>
      </c>
    </row>
    <row r="231" spans="1:7" x14ac:dyDescent="0.2">
      <c r="A231" s="11">
        <v>230</v>
      </c>
      <c r="B231" s="12">
        <v>1700680764</v>
      </c>
      <c r="C231" s="8" t="str">
        <f>IFERROR(IF(B231="","",VLOOKUP(B231,المستفيدين!$B:$C,2,FALSE)),"")</f>
        <v>مستفيد97</v>
      </c>
      <c r="D231" s="15" t="s">
        <v>137</v>
      </c>
      <c r="E231" s="16" t="s">
        <v>34</v>
      </c>
      <c r="F231" s="14" t="str">
        <f>IFERROR(IF(B231="","",VLOOKUP(B231,المستفيدين!$B:$F,5,FALSE)),"")</f>
        <v>مركز إرادة وتمكين لرعاية ذوي الاحتياجات الخاصة (جلمودة)</v>
      </c>
      <c r="G231">
        <f>COUNTIF($B$2:B231,B231)</f>
        <v>1</v>
      </c>
    </row>
    <row r="232" spans="1:7" x14ac:dyDescent="0.2">
      <c r="A232" s="9">
        <v>231</v>
      </c>
      <c r="B232" s="10">
        <v>1700680764</v>
      </c>
      <c r="C232" s="8" t="str">
        <f>IFERROR(IF(B232="","",VLOOKUP(B232,المستفيدين!$B:$C,2,FALSE)),"")</f>
        <v>مستفيد97</v>
      </c>
      <c r="D232" s="13" t="s">
        <v>144</v>
      </c>
      <c r="E232" s="14" t="s">
        <v>37</v>
      </c>
      <c r="F232" s="14" t="str">
        <f>IFERROR(IF(B232="","",VLOOKUP(B232,المستفيدين!$B:$F,5,FALSE)),"")</f>
        <v>مركز إرادة وتمكين لرعاية ذوي الاحتياجات الخاصة (جلمودة)</v>
      </c>
      <c r="G232">
        <f>COUNTIF($B$2:B232,B232)</f>
        <v>2</v>
      </c>
    </row>
    <row r="233" spans="1:7" x14ac:dyDescent="0.2">
      <c r="A233" s="11">
        <v>232</v>
      </c>
      <c r="B233" s="12">
        <v>1700680764</v>
      </c>
      <c r="C233" s="8" t="str">
        <f>IFERROR(IF(B233="","",VLOOKUP(B233,المستفيدين!$B:$C,2,FALSE)),"")</f>
        <v>مستفيد97</v>
      </c>
      <c r="D233" s="15" t="s">
        <v>135</v>
      </c>
      <c r="E233" s="16" t="s">
        <v>37</v>
      </c>
      <c r="F233" s="14" t="str">
        <f>IFERROR(IF(B233="","",VLOOKUP(B233,المستفيدين!$B:$F,5,FALSE)),"")</f>
        <v>مركز إرادة وتمكين لرعاية ذوي الاحتياجات الخاصة (جلمودة)</v>
      </c>
      <c r="G233">
        <f>COUNTIF($B$2:B233,B233)</f>
        <v>3</v>
      </c>
    </row>
    <row r="234" spans="1:7" x14ac:dyDescent="0.2">
      <c r="A234" s="9">
        <v>233</v>
      </c>
      <c r="B234" s="10">
        <v>1700680764</v>
      </c>
      <c r="C234" s="8" t="str">
        <f>IFERROR(IF(B234="","",VLOOKUP(B234,المستفيدين!$B:$C,2,FALSE)),"")</f>
        <v>مستفيد97</v>
      </c>
      <c r="D234" s="13" t="s">
        <v>142</v>
      </c>
      <c r="E234" s="14" t="s">
        <v>36</v>
      </c>
      <c r="F234" s="14" t="str">
        <f>IFERROR(IF(B234="","",VLOOKUP(B234,المستفيدين!$B:$F,5,FALSE)),"")</f>
        <v>مركز إرادة وتمكين لرعاية ذوي الاحتياجات الخاصة (جلمودة)</v>
      </c>
      <c r="G234">
        <f>COUNTIF($B$2:B234,B234)</f>
        <v>4</v>
      </c>
    </row>
    <row r="235" spans="1:7" x14ac:dyDescent="0.2">
      <c r="A235" s="11">
        <v>234</v>
      </c>
      <c r="B235" s="12">
        <v>1635473065</v>
      </c>
      <c r="C235" s="8" t="str">
        <f>IFERROR(IF(B235="","",VLOOKUP(B235,المستفيدين!$B:$C,2,FALSE)),"")</f>
        <v>مستفيد98</v>
      </c>
      <c r="D235" s="15" t="s">
        <v>145</v>
      </c>
      <c r="E235" s="16" t="s">
        <v>37</v>
      </c>
      <c r="F235" s="14" t="str">
        <f>IFERROR(IF(B235="","",VLOOKUP(B235,المستفيدين!$B:$F,5,FALSE)),"")</f>
        <v>مدرسة إرادة وتمكين لمتلازمة داون (نجد)</v>
      </c>
      <c r="G235">
        <f>COUNTIF($B$2:B235,B235)</f>
        <v>1</v>
      </c>
    </row>
    <row r="236" spans="1:7" x14ac:dyDescent="0.2">
      <c r="A236" s="9">
        <v>235</v>
      </c>
      <c r="B236" s="10">
        <v>1635473065</v>
      </c>
      <c r="C236" s="8" t="str">
        <f>IFERROR(IF(B236="","",VLOOKUP(B236,المستفيدين!$B:$C,2,FALSE)),"")</f>
        <v>مستفيد98</v>
      </c>
      <c r="D236" s="13" t="s">
        <v>137</v>
      </c>
      <c r="E236" s="14" t="s">
        <v>34</v>
      </c>
      <c r="F236" s="14" t="str">
        <f>IFERROR(IF(B236="","",VLOOKUP(B236,المستفيدين!$B:$F,5,FALSE)),"")</f>
        <v>مدرسة إرادة وتمكين لمتلازمة داون (نجد)</v>
      </c>
      <c r="G236">
        <f>COUNTIF($B$2:B236,B236)</f>
        <v>2</v>
      </c>
    </row>
    <row r="237" spans="1:7" x14ac:dyDescent="0.2">
      <c r="A237" s="11">
        <v>236</v>
      </c>
      <c r="B237" s="12">
        <v>1635473065</v>
      </c>
      <c r="C237" s="8" t="str">
        <f>IFERROR(IF(B237="","",VLOOKUP(B237,المستفيدين!$B:$C,2,FALSE)),"")</f>
        <v>مستفيد98</v>
      </c>
      <c r="D237" s="15" t="s">
        <v>142</v>
      </c>
      <c r="E237" s="16" t="s">
        <v>34</v>
      </c>
      <c r="F237" s="14" t="str">
        <f>IFERROR(IF(B237="","",VLOOKUP(B237,المستفيدين!$B:$F,5,FALSE)),"")</f>
        <v>مدرسة إرادة وتمكين لمتلازمة داون (نجد)</v>
      </c>
      <c r="G237">
        <f>COUNTIF($B$2:B237,B237)</f>
        <v>3</v>
      </c>
    </row>
    <row r="238" spans="1:7" x14ac:dyDescent="0.2">
      <c r="A238" s="9">
        <v>237</v>
      </c>
      <c r="B238" s="10">
        <v>1635473065</v>
      </c>
      <c r="C238" s="8" t="str">
        <f>IFERROR(IF(B238="","",VLOOKUP(B238,المستفيدين!$B:$C,2,FALSE)),"")</f>
        <v>مستفيد98</v>
      </c>
      <c r="D238" s="13" t="s">
        <v>64</v>
      </c>
      <c r="E238" s="14" t="s">
        <v>36</v>
      </c>
      <c r="F238" s="14" t="str">
        <f>IFERROR(IF(B238="","",VLOOKUP(B238,المستفيدين!$B:$F,5,FALSE)),"")</f>
        <v>مدرسة إرادة وتمكين لمتلازمة داون (نجد)</v>
      </c>
      <c r="G238">
        <f>COUNTIF($B$2:B238,B238)</f>
        <v>4</v>
      </c>
    </row>
    <row r="239" spans="1:7" x14ac:dyDescent="0.2">
      <c r="A239" s="11">
        <v>238</v>
      </c>
      <c r="B239" s="12">
        <v>1653450224</v>
      </c>
      <c r="C239" s="8" t="str">
        <f>IFERROR(IF(B239="","",VLOOKUP(B239,المستفيدين!$B:$C,2,FALSE)),"")</f>
        <v>مستفيد99</v>
      </c>
      <c r="D239" s="15" t="s">
        <v>138</v>
      </c>
      <c r="E239" s="16" t="s">
        <v>36</v>
      </c>
      <c r="F239" s="14" t="str">
        <f>IFERROR(IF(B239="","",VLOOKUP(B239,المستفيدين!$B:$F,5,FALSE)),"")</f>
        <v>مركز إرادة وتمكين لمتلازمة داون (نجد)</v>
      </c>
      <c r="G239">
        <f>COUNTIF($B$2:B239,B239)</f>
        <v>1</v>
      </c>
    </row>
    <row r="240" spans="1:7" x14ac:dyDescent="0.2">
      <c r="A240" s="9">
        <v>239</v>
      </c>
      <c r="B240" s="10">
        <v>1653450224</v>
      </c>
      <c r="C240" s="8" t="str">
        <f>IFERROR(IF(B240="","",VLOOKUP(B240,المستفيدين!$B:$C,2,FALSE)),"")</f>
        <v>مستفيد99</v>
      </c>
      <c r="D240" s="13" t="s">
        <v>143</v>
      </c>
      <c r="E240" s="14" t="s">
        <v>36</v>
      </c>
      <c r="F240" s="14" t="str">
        <f>IFERROR(IF(B240="","",VLOOKUP(B240,المستفيدين!$B:$F,5,FALSE)),"")</f>
        <v>مركز إرادة وتمكين لمتلازمة داون (نجد)</v>
      </c>
      <c r="G240">
        <f>COUNTIF($B$2:B240,B240)</f>
        <v>2</v>
      </c>
    </row>
    <row r="241" spans="1:7" x14ac:dyDescent="0.2">
      <c r="A241" s="11">
        <v>240</v>
      </c>
      <c r="B241" s="12">
        <v>1812303672</v>
      </c>
      <c r="C241" s="8" t="str">
        <f>IFERROR(IF(B241="","",VLOOKUP(B241,المستفيدين!$B:$C,2,FALSE)),"")</f>
        <v>مستفيد100</v>
      </c>
      <c r="D241" s="15" t="s">
        <v>145</v>
      </c>
      <c r="E241" s="16" t="s">
        <v>34</v>
      </c>
      <c r="F241" s="14" t="str">
        <f>IFERROR(IF(B241="","",VLOOKUP(B241,المستفيدين!$B:$F,5,FALSE)),"")</f>
        <v>مدرسة إرادة للتعليم (مكة)</v>
      </c>
      <c r="G241">
        <f>COUNTIF($B$2:B241,B241)</f>
        <v>1</v>
      </c>
    </row>
    <row r="242" spans="1:7" x14ac:dyDescent="0.2">
      <c r="A242" s="9">
        <v>241</v>
      </c>
      <c r="B242" s="10">
        <v>1812303672</v>
      </c>
      <c r="C242" s="8" t="str">
        <f>IFERROR(IF(B242="","",VLOOKUP(B242,المستفيدين!$B:$C,2,FALSE)),"")</f>
        <v>مستفيد100</v>
      </c>
      <c r="D242" s="13" t="s">
        <v>138</v>
      </c>
      <c r="E242" s="14" t="s">
        <v>34</v>
      </c>
      <c r="F242" s="14" t="str">
        <f>IFERROR(IF(B242="","",VLOOKUP(B242,المستفيدين!$B:$F,5,FALSE)),"")</f>
        <v>مدرسة إرادة للتعليم (مكة)</v>
      </c>
      <c r="G242">
        <f>COUNTIF($B$2:B242,B242)</f>
        <v>2</v>
      </c>
    </row>
    <row r="243" spans="1:7" x14ac:dyDescent="0.2">
      <c r="A243" s="11">
        <v>242</v>
      </c>
      <c r="B243" s="12">
        <v>1739588802</v>
      </c>
      <c r="C243" s="8" t="str">
        <f>IFERROR(IF(B243="","",VLOOKUP(B243,المستفيدين!$B:$C,2,FALSE)),"")</f>
        <v>مستفيد101</v>
      </c>
      <c r="D243" s="15" t="s">
        <v>142</v>
      </c>
      <c r="E243" s="16" t="s">
        <v>37</v>
      </c>
      <c r="F243" s="14" t="str">
        <f>IFERROR(IF(B243="","",VLOOKUP(B243,المستفيدين!$B:$F,5,FALSE)),"")</f>
        <v>مدرسة إرادة للتعليم (مكة)</v>
      </c>
      <c r="G243">
        <f>COUNTIF($B$2:B243,B243)</f>
        <v>1</v>
      </c>
    </row>
    <row r="244" spans="1:7" x14ac:dyDescent="0.2">
      <c r="A244" s="9">
        <v>243</v>
      </c>
      <c r="B244" s="10">
        <v>1739588802</v>
      </c>
      <c r="C244" s="8" t="str">
        <f>IFERROR(IF(B244="","",VLOOKUP(B244,المستفيدين!$B:$C,2,FALSE)),"")</f>
        <v>مستفيد101</v>
      </c>
      <c r="D244" s="13" t="s">
        <v>370</v>
      </c>
      <c r="E244" s="14" t="s">
        <v>36</v>
      </c>
      <c r="F244" s="14" t="str">
        <f>IFERROR(IF(B244="","",VLOOKUP(B244,المستفيدين!$B:$F,5,FALSE)),"")</f>
        <v>مدرسة إرادة للتعليم (مكة)</v>
      </c>
      <c r="G244">
        <f>COUNTIF($B$2:B244,B244)</f>
        <v>2</v>
      </c>
    </row>
    <row r="245" spans="1:7" x14ac:dyDescent="0.2">
      <c r="A245" s="11">
        <v>244</v>
      </c>
      <c r="B245" s="12">
        <v>1739588802</v>
      </c>
      <c r="C245" s="8" t="str">
        <f>IFERROR(IF(B245="","",VLOOKUP(B245,المستفيدين!$B:$C,2,FALSE)),"")</f>
        <v>مستفيد101</v>
      </c>
      <c r="D245" s="15" t="s">
        <v>135</v>
      </c>
      <c r="E245" s="16" t="s">
        <v>36</v>
      </c>
      <c r="F245" s="14" t="str">
        <f>IFERROR(IF(B245="","",VLOOKUP(B245,المستفيدين!$B:$F,5,FALSE)),"")</f>
        <v>مدرسة إرادة للتعليم (مكة)</v>
      </c>
      <c r="G245">
        <f>COUNTIF($B$2:B245,B245)</f>
        <v>3</v>
      </c>
    </row>
    <row r="246" spans="1:7" x14ac:dyDescent="0.2">
      <c r="A246" s="9">
        <v>245</v>
      </c>
      <c r="B246" s="10">
        <v>1715340689</v>
      </c>
      <c r="C246" s="8" t="str">
        <f>IFERROR(IF(B246="","",VLOOKUP(B246,المستفيدين!$B:$C,2,FALSE)),"")</f>
        <v>مستفيد102</v>
      </c>
      <c r="D246" s="13" t="s">
        <v>141</v>
      </c>
      <c r="E246" s="14" t="s">
        <v>36</v>
      </c>
      <c r="F246" s="14" t="str">
        <f>IFERROR(IF(B246="","",VLOOKUP(B246,المستفيدين!$B:$F,5,FALSE)),"")</f>
        <v>مدرسة إرادة للتعليم (مكة)</v>
      </c>
      <c r="G246">
        <f>COUNTIF($B$2:B246,B246)</f>
        <v>1</v>
      </c>
    </row>
    <row r="247" spans="1:7" x14ac:dyDescent="0.2">
      <c r="A247" s="11">
        <v>246</v>
      </c>
      <c r="B247" s="12">
        <v>1715340689</v>
      </c>
      <c r="C247" s="8" t="str">
        <f>IFERROR(IF(B247="","",VLOOKUP(B247,المستفيدين!$B:$C,2,FALSE)),"")</f>
        <v>مستفيد102</v>
      </c>
      <c r="D247" s="15" t="s">
        <v>368</v>
      </c>
      <c r="E247" s="16" t="s">
        <v>36</v>
      </c>
      <c r="F247" s="14" t="str">
        <f>IFERROR(IF(B247="","",VLOOKUP(B247,المستفيدين!$B:$F,5,FALSE)),"")</f>
        <v>مدرسة إرادة للتعليم (مكة)</v>
      </c>
      <c r="G247">
        <f>COUNTIF($B$2:B247,B247)</f>
        <v>2</v>
      </c>
    </row>
    <row r="248" spans="1:7" x14ac:dyDescent="0.2">
      <c r="A248" s="9">
        <v>247</v>
      </c>
      <c r="B248" s="10">
        <v>1130166119</v>
      </c>
      <c r="C248" s="8" t="str">
        <f>IFERROR(IF(B248="","",VLOOKUP(B248,المستفيدين!$B:$C,2,FALSE)),"")</f>
        <v>مستفيد103</v>
      </c>
      <c r="D248" s="13" t="s">
        <v>140</v>
      </c>
      <c r="E248" s="14" t="s">
        <v>37</v>
      </c>
      <c r="F248" s="14" t="str">
        <f>IFERROR(IF(B248="","",VLOOKUP(B248,المستفيدين!$B:$F,5,FALSE)),"")</f>
        <v>مركز إرادة وتمكين لمتلازمة داون (نجد)</v>
      </c>
      <c r="G248">
        <f>COUNTIF($B$2:B248,B248)</f>
        <v>1</v>
      </c>
    </row>
    <row r="249" spans="1:7" x14ac:dyDescent="0.2">
      <c r="A249" s="11">
        <v>248</v>
      </c>
      <c r="B249" s="12">
        <v>1130166119</v>
      </c>
      <c r="C249" s="8" t="str">
        <f>IFERROR(IF(B249="","",VLOOKUP(B249,المستفيدين!$B:$C,2,FALSE)),"")</f>
        <v>مستفيد103</v>
      </c>
      <c r="D249" s="15" t="s">
        <v>370</v>
      </c>
      <c r="E249" s="16" t="s">
        <v>34</v>
      </c>
      <c r="F249" s="14" t="str">
        <f>IFERROR(IF(B249="","",VLOOKUP(B249,المستفيدين!$B:$F,5,FALSE)),"")</f>
        <v>مركز إرادة وتمكين لمتلازمة داون (نجد)</v>
      </c>
      <c r="G249">
        <f>COUNTIF($B$2:B249,B249)</f>
        <v>2</v>
      </c>
    </row>
    <row r="250" spans="1:7" x14ac:dyDescent="0.2">
      <c r="A250" s="9">
        <v>249</v>
      </c>
      <c r="B250" s="10">
        <v>1114109506</v>
      </c>
      <c r="C250" s="8" t="str">
        <f>IFERROR(IF(B250="","",VLOOKUP(B250,المستفيدين!$B:$C,2,FALSE)),"")</f>
        <v>مستفيد104</v>
      </c>
      <c r="D250" s="13" t="s">
        <v>137</v>
      </c>
      <c r="E250" s="14" t="s">
        <v>34</v>
      </c>
      <c r="F250" s="14" t="str">
        <f>IFERROR(IF(B250="","",VLOOKUP(B250,المستفيدين!$B:$F,5,FALSE)),"")</f>
        <v>مركز إرادة وتمكين لمتلازمة داون (نجد)</v>
      </c>
      <c r="G250">
        <f>COUNTIF($B$2:B250,B250)</f>
        <v>1</v>
      </c>
    </row>
    <row r="251" spans="1:7" x14ac:dyDescent="0.2">
      <c r="A251" s="11">
        <v>250</v>
      </c>
      <c r="B251" s="12">
        <v>1715681493</v>
      </c>
      <c r="C251" s="8" t="str">
        <f>IFERROR(IF(B251="","",VLOOKUP(B251,المستفيدين!$B:$C,2,FALSE)),"")</f>
        <v>مستفيد105</v>
      </c>
      <c r="D251" s="15" t="s">
        <v>141</v>
      </c>
      <c r="E251" s="16" t="s">
        <v>34</v>
      </c>
      <c r="F251" s="14" t="str">
        <f>IFERROR(IF(B251="","",VLOOKUP(B251,المستفيدين!$B:$F,5,FALSE)),"")</f>
        <v>مركز إرادة وتمكين لمتلازمة داون (نجد)</v>
      </c>
      <c r="G251">
        <f>COUNTIF($B$2:B251,B251)</f>
        <v>1</v>
      </c>
    </row>
    <row r="252" spans="1:7" x14ac:dyDescent="0.2">
      <c r="A252" s="9">
        <v>251</v>
      </c>
      <c r="B252" s="10">
        <v>1715681493</v>
      </c>
      <c r="C252" s="8" t="str">
        <f>IFERROR(IF(B252="","",VLOOKUP(B252,المستفيدين!$B:$C,2,FALSE)),"")</f>
        <v>مستفيد105</v>
      </c>
      <c r="D252" s="13" t="s">
        <v>143</v>
      </c>
      <c r="E252" s="14" t="s">
        <v>36</v>
      </c>
      <c r="F252" s="14" t="str">
        <f>IFERROR(IF(B252="","",VLOOKUP(B252,المستفيدين!$B:$F,5,FALSE)),"")</f>
        <v>مركز إرادة وتمكين لمتلازمة داون (نجد)</v>
      </c>
      <c r="G252">
        <f>COUNTIF($B$2:B252,B252)</f>
        <v>2</v>
      </c>
    </row>
    <row r="253" spans="1:7" x14ac:dyDescent="0.2">
      <c r="A253" s="11">
        <v>252</v>
      </c>
      <c r="B253" s="12">
        <v>1715681493</v>
      </c>
      <c r="C253" s="8" t="str">
        <f>IFERROR(IF(B253="","",VLOOKUP(B253,المستفيدين!$B:$C,2,FALSE)),"")</f>
        <v>مستفيد105</v>
      </c>
      <c r="D253" s="15" t="s">
        <v>146</v>
      </c>
      <c r="E253" s="16" t="s">
        <v>34</v>
      </c>
      <c r="F253" s="14" t="str">
        <f>IFERROR(IF(B253="","",VLOOKUP(B253,المستفيدين!$B:$F,5,FALSE)),"")</f>
        <v>مركز إرادة وتمكين لمتلازمة داون (نجد)</v>
      </c>
      <c r="G253">
        <f>COUNTIF($B$2:B253,B253)</f>
        <v>3</v>
      </c>
    </row>
    <row r="254" spans="1:7" x14ac:dyDescent="0.2">
      <c r="A254" s="9">
        <v>253</v>
      </c>
      <c r="B254" s="10">
        <v>1135186222</v>
      </c>
      <c r="C254" s="8" t="str">
        <f>IFERROR(IF(B254="","",VLOOKUP(B254,المستفيدين!$B:$C,2,FALSE)),"")</f>
        <v>مستفيد106</v>
      </c>
      <c r="D254" s="13" t="s">
        <v>138</v>
      </c>
      <c r="E254" s="14" t="s">
        <v>36</v>
      </c>
      <c r="F254" s="14" t="str">
        <f>IFERROR(IF(B254="","",VLOOKUP(B254,المستفيدين!$B:$F,5,FALSE)),"")</f>
        <v>مدرسة إرادة وتمكين لمتلازمة داون (نجد)</v>
      </c>
      <c r="G254">
        <f>COUNTIF($B$2:B254,B254)</f>
        <v>1</v>
      </c>
    </row>
    <row r="255" spans="1:7" x14ac:dyDescent="0.2">
      <c r="A255" s="11">
        <v>254</v>
      </c>
      <c r="B255" s="12">
        <v>1135186222</v>
      </c>
      <c r="C255" s="8" t="str">
        <f>IFERROR(IF(B255="","",VLOOKUP(B255,المستفيدين!$B:$C,2,FALSE)),"")</f>
        <v>مستفيد106</v>
      </c>
      <c r="D255" s="15" t="s">
        <v>368</v>
      </c>
      <c r="E255" s="16" t="s">
        <v>34</v>
      </c>
      <c r="F255" s="14" t="str">
        <f>IFERROR(IF(B255="","",VLOOKUP(B255,المستفيدين!$B:$F,5,FALSE)),"")</f>
        <v>مدرسة إرادة وتمكين لمتلازمة داون (نجد)</v>
      </c>
      <c r="G255">
        <f>COUNTIF($B$2:B255,B255)</f>
        <v>2</v>
      </c>
    </row>
    <row r="256" spans="1:7" x14ac:dyDescent="0.2">
      <c r="A256" s="9">
        <v>255</v>
      </c>
      <c r="B256" s="10">
        <v>1135186222</v>
      </c>
      <c r="C256" s="8" t="str">
        <f>IFERROR(IF(B256="","",VLOOKUP(B256,المستفيدين!$B:$C,2,FALSE)),"")</f>
        <v>مستفيد106</v>
      </c>
      <c r="D256" s="13" t="s">
        <v>146</v>
      </c>
      <c r="E256" s="14" t="s">
        <v>37</v>
      </c>
      <c r="F256" s="14" t="str">
        <f>IFERROR(IF(B256="","",VLOOKUP(B256,المستفيدين!$B:$F,5,FALSE)),"")</f>
        <v>مدرسة إرادة وتمكين لمتلازمة داون (نجد)</v>
      </c>
      <c r="G256">
        <f>COUNTIF($B$2:B256,B256)</f>
        <v>3</v>
      </c>
    </row>
    <row r="257" spans="1:7" x14ac:dyDescent="0.2">
      <c r="A257" s="11">
        <v>256</v>
      </c>
      <c r="B257" s="12">
        <v>1135186222</v>
      </c>
      <c r="C257" s="8" t="str">
        <f>IFERROR(IF(B257="","",VLOOKUP(B257,المستفيدين!$B:$C,2,FALSE)),"")</f>
        <v>مستفيد106</v>
      </c>
      <c r="D257" s="15" t="s">
        <v>144</v>
      </c>
      <c r="E257" s="16" t="s">
        <v>34</v>
      </c>
      <c r="F257" s="14" t="str">
        <f>IFERROR(IF(B257="","",VLOOKUP(B257,المستفيدين!$B:$F,5,FALSE)),"")</f>
        <v>مدرسة إرادة وتمكين لمتلازمة داون (نجد)</v>
      </c>
      <c r="G257">
        <f>COUNTIF($B$2:B257,B257)</f>
        <v>4</v>
      </c>
    </row>
    <row r="258" spans="1:7" x14ac:dyDescent="0.2">
      <c r="A258" s="9">
        <v>257</v>
      </c>
      <c r="B258" s="10">
        <v>1704919362</v>
      </c>
      <c r="C258" s="8" t="str">
        <f>IFERROR(IF(B258="","",VLOOKUP(B258,المستفيدين!$B:$C,2,FALSE)),"")</f>
        <v>مستفيد107</v>
      </c>
      <c r="D258" s="13" t="s">
        <v>369</v>
      </c>
      <c r="E258" s="14" t="s">
        <v>36</v>
      </c>
      <c r="F258" s="14" t="str">
        <f>IFERROR(IF(B258="","",VLOOKUP(B258,المستفيدين!$B:$F,5,FALSE)),"")</f>
        <v>مركز إرادة وتمكين للرعاية النهارية (القدس)</v>
      </c>
      <c r="G258">
        <f>COUNTIF($B$2:B258,B258)</f>
        <v>1</v>
      </c>
    </row>
    <row r="259" spans="1:7" x14ac:dyDescent="0.2">
      <c r="A259" s="11">
        <v>258</v>
      </c>
      <c r="B259" s="12">
        <v>1704919362</v>
      </c>
      <c r="C259" s="8" t="str">
        <f>IFERROR(IF(B259="","",VLOOKUP(B259,المستفيدين!$B:$C,2,FALSE)),"")</f>
        <v>مستفيد107</v>
      </c>
      <c r="D259" s="15" t="s">
        <v>142</v>
      </c>
      <c r="E259" s="16" t="s">
        <v>36</v>
      </c>
      <c r="F259" s="14" t="str">
        <f>IFERROR(IF(B259="","",VLOOKUP(B259,المستفيدين!$B:$F,5,FALSE)),"")</f>
        <v>مركز إرادة وتمكين للرعاية النهارية (القدس)</v>
      </c>
      <c r="G259">
        <f>COUNTIF($B$2:B259,B259)</f>
        <v>2</v>
      </c>
    </row>
    <row r="260" spans="1:7" x14ac:dyDescent="0.2">
      <c r="A260" s="9">
        <v>259</v>
      </c>
      <c r="B260" s="10">
        <v>1087747431</v>
      </c>
      <c r="C260" s="8" t="str">
        <f>IFERROR(IF(B260="","",VLOOKUP(B260,المستفيدين!$B:$C,2,FALSE)),"")</f>
        <v>مستفيد108</v>
      </c>
      <c r="D260" s="13" t="s">
        <v>146</v>
      </c>
      <c r="E260" s="14" t="s">
        <v>34</v>
      </c>
      <c r="F260" s="14" t="str">
        <f>IFERROR(IF(B260="","",VLOOKUP(B260,المستفيدين!$B:$F,5,FALSE)),"")</f>
        <v>مركز إرادة وتمكين لمتلازمة داون (نجد)</v>
      </c>
      <c r="G260">
        <f>COUNTIF($B$2:B260,B260)</f>
        <v>1</v>
      </c>
    </row>
    <row r="261" spans="1:7" x14ac:dyDescent="0.2">
      <c r="A261" s="11">
        <v>260</v>
      </c>
      <c r="B261" s="12">
        <v>1087747431</v>
      </c>
      <c r="C261" s="8" t="str">
        <f>IFERROR(IF(B261="","",VLOOKUP(B261,المستفيدين!$B:$C,2,FALSE)),"")</f>
        <v>مستفيد108</v>
      </c>
      <c r="D261" s="15" t="s">
        <v>142</v>
      </c>
      <c r="E261" s="16" t="s">
        <v>34</v>
      </c>
      <c r="F261" s="14" t="str">
        <f>IFERROR(IF(B261="","",VLOOKUP(B261,المستفيدين!$B:$F,5,FALSE)),"")</f>
        <v>مركز إرادة وتمكين لمتلازمة داون (نجد)</v>
      </c>
      <c r="G261">
        <f>COUNTIF($B$2:B261,B261)</f>
        <v>2</v>
      </c>
    </row>
    <row r="262" spans="1:7" x14ac:dyDescent="0.2">
      <c r="A262" s="9">
        <v>261</v>
      </c>
      <c r="B262" s="10">
        <v>1087747431</v>
      </c>
      <c r="C262" s="8" t="str">
        <f>IFERROR(IF(B262="","",VLOOKUP(B262,المستفيدين!$B:$C,2,FALSE)),"")</f>
        <v>مستفيد108</v>
      </c>
      <c r="D262" s="13" t="s">
        <v>137</v>
      </c>
      <c r="E262" s="14" t="s">
        <v>36</v>
      </c>
      <c r="F262" s="14" t="str">
        <f>IFERROR(IF(B262="","",VLOOKUP(B262,المستفيدين!$B:$F,5,FALSE)),"")</f>
        <v>مركز إرادة وتمكين لمتلازمة داون (نجد)</v>
      </c>
      <c r="G262">
        <f>COUNTIF($B$2:B262,B262)</f>
        <v>3</v>
      </c>
    </row>
    <row r="263" spans="1:7" x14ac:dyDescent="0.2">
      <c r="A263" s="11">
        <v>262</v>
      </c>
      <c r="B263" s="12">
        <v>1742902647</v>
      </c>
      <c r="C263" s="8" t="str">
        <f>IFERROR(IF(B263="","",VLOOKUP(B263,المستفيدين!$B:$C,2,FALSE)),"")</f>
        <v>مستفيد109</v>
      </c>
      <c r="D263" s="15" t="s">
        <v>144</v>
      </c>
      <c r="E263" s="16" t="s">
        <v>36</v>
      </c>
      <c r="F263" s="14" t="str">
        <f>IFERROR(IF(B263="","",VLOOKUP(B263,المستفيدين!$B:$F,5,FALSE)),"")</f>
        <v>مركز إرادة وتمكين لرعاية ذوي الاحتياجات الخاصة (جلمودة)</v>
      </c>
      <c r="G263">
        <f>COUNTIF($B$2:B263,B263)</f>
        <v>1</v>
      </c>
    </row>
    <row r="264" spans="1:7" x14ac:dyDescent="0.2">
      <c r="A264" s="9">
        <v>263</v>
      </c>
      <c r="B264" s="10">
        <v>1742902647</v>
      </c>
      <c r="C264" s="8" t="str">
        <f>IFERROR(IF(B264="","",VLOOKUP(B264,المستفيدين!$B:$C,2,FALSE)),"")</f>
        <v>مستفيد109</v>
      </c>
      <c r="D264" s="13" t="s">
        <v>134</v>
      </c>
      <c r="E264" s="14" t="s">
        <v>34</v>
      </c>
      <c r="F264" s="14" t="str">
        <f>IFERROR(IF(B264="","",VLOOKUP(B264,المستفيدين!$B:$F,5,FALSE)),"")</f>
        <v>مركز إرادة وتمكين لرعاية ذوي الاحتياجات الخاصة (جلمودة)</v>
      </c>
      <c r="G264">
        <f>COUNTIF($B$2:B264,B264)</f>
        <v>2</v>
      </c>
    </row>
    <row r="265" spans="1:7" x14ac:dyDescent="0.2">
      <c r="A265" s="11">
        <v>264</v>
      </c>
      <c r="B265" s="12">
        <v>1742902647</v>
      </c>
      <c r="C265" s="8" t="str">
        <f>IFERROR(IF(B265="","",VLOOKUP(B265,المستفيدين!$B:$C,2,FALSE)),"")</f>
        <v>مستفيد109</v>
      </c>
      <c r="D265" s="15" t="s">
        <v>143</v>
      </c>
      <c r="E265" s="16" t="s">
        <v>34</v>
      </c>
      <c r="F265" s="14" t="str">
        <f>IFERROR(IF(B265="","",VLOOKUP(B265,المستفيدين!$B:$F,5,FALSE)),"")</f>
        <v>مركز إرادة وتمكين لرعاية ذوي الاحتياجات الخاصة (جلمودة)</v>
      </c>
      <c r="G265">
        <f>COUNTIF($B$2:B265,B265)</f>
        <v>3</v>
      </c>
    </row>
    <row r="266" spans="1:7" x14ac:dyDescent="0.2">
      <c r="A266" s="9">
        <v>265</v>
      </c>
      <c r="B266" s="10">
        <v>1742902647</v>
      </c>
      <c r="C266" s="8" t="str">
        <f>IFERROR(IF(B266="","",VLOOKUP(B266,المستفيدين!$B:$C,2,FALSE)),"")</f>
        <v>مستفيد109</v>
      </c>
      <c r="D266" s="13" t="s">
        <v>368</v>
      </c>
      <c r="E266" s="14" t="s">
        <v>34</v>
      </c>
      <c r="F266" s="14" t="str">
        <f>IFERROR(IF(B266="","",VLOOKUP(B266,المستفيدين!$B:$F,5,FALSE)),"")</f>
        <v>مركز إرادة وتمكين لرعاية ذوي الاحتياجات الخاصة (جلمودة)</v>
      </c>
      <c r="G266">
        <f>COUNTIF($B$2:B266,B266)</f>
        <v>4</v>
      </c>
    </row>
    <row r="267" spans="1:7" x14ac:dyDescent="0.2">
      <c r="A267" s="11">
        <v>266</v>
      </c>
      <c r="B267" s="12">
        <v>1417717432</v>
      </c>
      <c r="C267" s="8" t="str">
        <f>IFERROR(IF(B267="","",VLOOKUP(B267,المستفيدين!$B:$C,2,FALSE)),"")</f>
        <v>مستفيد110</v>
      </c>
      <c r="D267" s="15" t="s">
        <v>146</v>
      </c>
      <c r="E267" s="16" t="s">
        <v>34</v>
      </c>
      <c r="F267" s="14" t="str">
        <f>IFERROR(IF(B267="","",VLOOKUP(B267,المستفيدين!$B:$F,5,FALSE)),"")</f>
        <v>مدرسة إرادة وتمكين لمتلازمة داون (نجد)</v>
      </c>
      <c r="G267">
        <f>COUNTIF($B$2:B267,B267)</f>
        <v>1</v>
      </c>
    </row>
    <row r="268" spans="1:7" x14ac:dyDescent="0.2">
      <c r="A268" s="9">
        <v>267</v>
      </c>
      <c r="B268" s="10">
        <v>1417717432</v>
      </c>
      <c r="C268" s="8" t="str">
        <f>IFERROR(IF(B268="","",VLOOKUP(B268,المستفيدين!$B:$C,2,FALSE)),"")</f>
        <v>مستفيد110</v>
      </c>
      <c r="D268" s="13" t="s">
        <v>368</v>
      </c>
      <c r="E268" s="14" t="s">
        <v>34</v>
      </c>
      <c r="F268" s="14" t="str">
        <f>IFERROR(IF(B268="","",VLOOKUP(B268,المستفيدين!$B:$F,5,FALSE)),"")</f>
        <v>مدرسة إرادة وتمكين لمتلازمة داون (نجد)</v>
      </c>
      <c r="G268">
        <f>COUNTIF($B$2:B268,B268)</f>
        <v>2</v>
      </c>
    </row>
    <row r="269" spans="1:7" x14ac:dyDescent="0.2">
      <c r="A269" s="11">
        <v>268</v>
      </c>
      <c r="B269" s="12">
        <v>1417717432</v>
      </c>
      <c r="C269" s="8" t="str">
        <f>IFERROR(IF(B269="","",VLOOKUP(B269,المستفيدين!$B:$C,2,FALSE)),"")</f>
        <v>مستفيد110</v>
      </c>
      <c r="D269" s="15" t="s">
        <v>137</v>
      </c>
      <c r="E269" s="16" t="s">
        <v>36</v>
      </c>
      <c r="F269" s="14" t="str">
        <f>IFERROR(IF(B269="","",VLOOKUP(B269,المستفيدين!$B:$F,5,FALSE)),"")</f>
        <v>مدرسة إرادة وتمكين لمتلازمة داون (نجد)</v>
      </c>
      <c r="G269">
        <f>COUNTIF($B$2:B269,B269)</f>
        <v>3</v>
      </c>
    </row>
    <row r="270" spans="1:7" x14ac:dyDescent="0.2">
      <c r="A270" s="9">
        <v>269</v>
      </c>
      <c r="B270" s="10">
        <v>1508168375</v>
      </c>
      <c r="C270" s="8" t="str">
        <f>IFERROR(IF(B270="","",VLOOKUP(B270,المستفيدين!$B:$C,2,FALSE)),"")</f>
        <v>مستفيد111</v>
      </c>
      <c r="D270" s="13" t="s">
        <v>140</v>
      </c>
      <c r="E270" s="14" t="s">
        <v>36</v>
      </c>
      <c r="F270" s="14" t="str">
        <f>IFERROR(IF(B270="","",VLOOKUP(B270,المستفيدين!$B:$F,5,FALSE)),"")</f>
        <v>مركز إرادة وتمكين لمتلازمة داون (نجد)</v>
      </c>
      <c r="G270">
        <f>COUNTIF($B$2:B270,B270)</f>
        <v>1</v>
      </c>
    </row>
    <row r="271" spans="1:7" x14ac:dyDescent="0.2">
      <c r="A271" s="11">
        <v>270</v>
      </c>
      <c r="B271" s="12">
        <v>1508168375</v>
      </c>
      <c r="C271" s="8" t="str">
        <f>IFERROR(IF(B271="","",VLOOKUP(B271,المستفيدين!$B:$C,2,FALSE)),"")</f>
        <v>مستفيد111</v>
      </c>
      <c r="D271" s="15" t="s">
        <v>369</v>
      </c>
      <c r="E271" s="16" t="s">
        <v>36</v>
      </c>
      <c r="F271" s="14" t="str">
        <f>IFERROR(IF(B271="","",VLOOKUP(B271,المستفيدين!$B:$F,5,FALSE)),"")</f>
        <v>مركز إرادة وتمكين لمتلازمة داون (نجد)</v>
      </c>
      <c r="G271">
        <f>COUNTIF($B$2:B271,B271)</f>
        <v>2</v>
      </c>
    </row>
    <row r="272" spans="1:7" x14ac:dyDescent="0.2">
      <c r="A272" s="9">
        <v>271</v>
      </c>
      <c r="B272" s="10">
        <v>1508168375</v>
      </c>
      <c r="C272" s="8" t="str">
        <f>IFERROR(IF(B272="","",VLOOKUP(B272,المستفيدين!$B:$C,2,FALSE)),"")</f>
        <v>مستفيد111</v>
      </c>
      <c r="D272" s="13" t="s">
        <v>134</v>
      </c>
      <c r="E272" s="14" t="s">
        <v>36</v>
      </c>
      <c r="F272" s="14" t="str">
        <f>IFERROR(IF(B272="","",VLOOKUP(B272,المستفيدين!$B:$F,5,FALSE)),"")</f>
        <v>مركز إرادة وتمكين لمتلازمة داون (نجد)</v>
      </c>
      <c r="G272">
        <f>COUNTIF($B$2:B272,B272)</f>
        <v>3</v>
      </c>
    </row>
    <row r="273" spans="1:7" x14ac:dyDescent="0.2">
      <c r="A273" s="11">
        <v>272</v>
      </c>
      <c r="B273" s="12">
        <v>1508168375</v>
      </c>
      <c r="C273" s="8" t="str">
        <f>IFERROR(IF(B273="","",VLOOKUP(B273,المستفيدين!$B:$C,2,FALSE)),"")</f>
        <v>مستفيد111</v>
      </c>
      <c r="D273" s="15" t="s">
        <v>135</v>
      </c>
      <c r="E273" s="16" t="s">
        <v>37</v>
      </c>
      <c r="F273" s="14" t="str">
        <f>IFERROR(IF(B273="","",VLOOKUP(B273,المستفيدين!$B:$F,5,FALSE)),"")</f>
        <v>مركز إرادة وتمكين لمتلازمة داون (نجد)</v>
      </c>
      <c r="G273">
        <f>COUNTIF($B$2:B273,B273)</f>
        <v>4</v>
      </c>
    </row>
    <row r="274" spans="1:7" x14ac:dyDescent="0.2">
      <c r="A274" s="9">
        <v>273</v>
      </c>
      <c r="B274" s="10">
        <v>1176757752</v>
      </c>
      <c r="C274" s="8" t="str">
        <f>IFERROR(IF(B274="","",VLOOKUP(B274,المستفيدين!$B:$C,2,FALSE)),"")</f>
        <v>مستفيد112</v>
      </c>
      <c r="D274" s="13" t="s">
        <v>137</v>
      </c>
      <c r="E274" s="14" t="s">
        <v>34</v>
      </c>
      <c r="F274" s="14" t="str">
        <f>IFERROR(IF(B274="","",VLOOKUP(B274,المستفيدين!$B:$F,5,FALSE)),"")</f>
        <v>مدرسة إرادة وتمكين لمتلازمة داون (نجد)</v>
      </c>
      <c r="G274">
        <f>COUNTIF($B$2:B274,B274)</f>
        <v>1</v>
      </c>
    </row>
    <row r="275" spans="1:7" x14ac:dyDescent="0.2">
      <c r="A275" s="11">
        <v>274</v>
      </c>
      <c r="B275" s="12">
        <v>1176757752</v>
      </c>
      <c r="C275" s="8" t="str">
        <f>IFERROR(IF(B275="","",VLOOKUP(B275,المستفيدين!$B:$C,2,FALSE)),"")</f>
        <v>مستفيد112</v>
      </c>
      <c r="D275" s="15" t="s">
        <v>136</v>
      </c>
      <c r="E275" s="16" t="s">
        <v>37</v>
      </c>
      <c r="F275" s="14" t="str">
        <f>IFERROR(IF(B275="","",VLOOKUP(B275,المستفيدين!$B:$F,5,FALSE)),"")</f>
        <v>مدرسة إرادة وتمكين لمتلازمة داون (نجد)</v>
      </c>
      <c r="G275">
        <f>COUNTIF($B$2:B275,B275)</f>
        <v>2</v>
      </c>
    </row>
    <row r="276" spans="1:7" x14ac:dyDescent="0.2">
      <c r="A276" s="9">
        <v>275</v>
      </c>
      <c r="B276" s="10">
        <v>1176757752</v>
      </c>
      <c r="C276" s="8" t="str">
        <f>IFERROR(IF(B276="","",VLOOKUP(B276,المستفيدين!$B:$C,2,FALSE)),"")</f>
        <v>مستفيد112</v>
      </c>
      <c r="D276" s="13" t="s">
        <v>134</v>
      </c>
      <c r="E276" s="14" t="s">
        <v>34</v>
      </c>
      <c r="F276" s="14" t="str">
        <f>IFERROR(IF(B276="","",VLOOKUP(B276,المستفيدين!$B:$F,5,FALSE)),"")</f>
        <v>مدرسة إرادة وتمكين لمتلازمة داون (نجد)</v>
      </c>
      <c r="G276">
        <f>COUNTIF($B$2:B276,B276)</f>
        <v>3</v>
      </c>
    </row>
    <row r="277" spans="1:7" x14ac:dyDescent="0.2">
      <c r="A277" s="11">
        <v>276</v>
      </c>
      <c r="B277" s="12">
        <v>1176757752</v>
      </c>
      <c r="C277" s="8" t="str">
        <f>IFERROR(IF(B277="","",VLOOKUP(B277,المستفيدين!$B:$C,2,FALSE)),"")</f>
        <v>مستفيد112</v>
      </c>
      <c r="D277" s="15" t="s">
        <v>369</v>
      </c>
      <c r="E277" s="16" t="s">
        <v>37</v>
      </c>
      <c r="F277" s="14" t="str">
        <f>IFERROR(IF(B277="","",VLOOKUP(B277,المستفيدين!$B:$F,5,FALSE)),"")</f>
        <v>مدرسة إرادة وتمكين لمتلازمة داون (نجد)</v>
      </c>
      <c r="G277">
        <f>COUNTIF($B$2:B277,B277)</f>
        <v>4</v>
      </c>
    </row>
    <row r="278" spans="1:7" x14ac:dyDescent="0.2">
      <c r="A278" s="9">
        <v>277</v>
      </c>
      <c r="B278" s="10">
        <v>1362300746</v>
      </c>
      <c r="C278" s="8" t="str">
        <f>IFERROR(IF(B278="","",VLOOKUP(B278,المستفيدين!$B:$C,2,FALSE)),"")</f>
        <v>مستفيد113</v>
      </c>
      <c r="D278" s="13" t="s">
        <v>140</v>
      </c>
      <c r="E278" s="14" t="s">
        <v>34</v>
      </c>
      <c r="F278" s="14" t="str">
        <f>IFERROR(IF(B278="","",VLOOKUP(B278,المستفيدين!$B:$F,5,FALSE)),"")</f>
        <v>مركز إرادة وتمكين لمتلازمة داون (نجد)</v>
      </c>
      <c r="G278">
        <f>COUNTIF($B$2:B278,B278)</f>
        <v>1</v>
      </c>
    </row>
    <row r="279" spans="1:7" x14ac:dyDescent="0.2">
      <c r="A279" s="11">
        <v>278</v>
      </c>
      <c r="B279" s="12">
        <v>1362300746</v>
      </c>
      <c r="C279" s="8" t="str">
        <f>IFERROR(IF(B279="","",VLOOKUP(B279,المستفيدين!$B:$C,2,FALSE)),"")</f>
        <v>مستفيد113</v>
      </c>
      <c r="D279" s="15" t="s">
        <v>370</v>
      </c>
      <c r="E279" s="16" t="s">
        <v>36</v>
      </c>
      <c r="F279" s="14" t="str">
        <f>IFERROR(IF(B279="","",VLOOKUP(B279,المستفيدين!$B:$F,5,FALSE)),"")</f>
        <v>مركز إرادة وتمكين لمتلازمة داون (نجد)</v>
      </c>
      <c r="G279">
        <f>COUNTIF($B$2:B279,B279)</f>
        <v>2</v>
      </c>
    </row>
    <row r="280" spans="1:7" x14ac:dyDescent="0.2">
      <c r="A280" s="9">
        <v>279</v>
      </c>
      <c r="B280" s="10">
        <v>1362300746</v>
      </c>
      <c r="C280" s="8" t="str">
        <f>IFERROR(IF(B280="","",VLOOKUP(B280,المستفيدين!$B:$C,2,FALSE)),"")</f>
        <v>مستفيد113</v>
      </c>
      <c r="D280" s="13" t="s">
        <v>145</v>
      </c>
      <c r="E280" s="14" t="s">
        <v>37</v>
      </c>
      <c r="F280" s="14" t="str">
        <f>IFERROR(IF(B280="","",VLOOKUP(B280,المستفيدين!$B:$F,5,FALSE)),"")</f>
        <v>مركز إرادة وتمكين لمتلازمة داون (نجد)</v>
      </c>
      <c r="G280">
        <f>COUNTIF($B$2:B280,B280)</f>
        <v>3</v>
      </c>
    </row>
    <row r="281" spans="1:7" x14ac:dyDescent="0.2">
      <c r="A281" s="11">
        <v>280</v>
      </c>
      <c r="B281" s="12">
        <v>1614242749</v>
      </c>
      <c r="C281" s="8" t="str">
        <f>IFERROR(IF(B281="","",VLOOKUP(B281,المستفيدين!$B:$C,2,FALSE)),"")</f>
        <v>مستفيد114</v>
      </c>
      <c r="D281" s="15" t="s">
        <v>141</v>
      </c>
      <c r="E281" s="16" t="s">
        <v>36</v>
      </c>
      <c r="F281" s="14" t="str">
        <f>IFERROR(IF(B281="","",VLOOKUP(B281,المستفيدين!$B:$F,5,FALSE)),"")</f>
        <v>مدرسة إرادة للتعليم (مكة)</v>
      </c>
      <c r="G281">
        <f>COUNTIF($B$2:B281,B281)</f>
        <v>1</v>
      </c>
    </row>
    <row r="282" spans="1:7" x14ac:dyDescent="0.2">
      <c r="A282" s="9">
        <v>281</v>
      </c>
      <c r="B282" s="10">
        <v>1614242749</v>
      </c>
      <c r="C282" s="8" t="str">
        <f>IFERROR(IF(B282="","",VLOOKUP(B282,المستفيدين!$B:$C,2,FALSE)),"")</f>
        <v>مستفيد114</v>
      </c>
      <c r="D282" s="13" t="s">
        <v>139</v>
      </c>
      <c r="E282" s="14" t="s">
        <v>36</v>
      </c>
      <c r="F282" s="14" t="str">
        <f>IFERROR(IF(B282="","",VLOOKUP(B282,المستفيدين!$B:$F,5,FALSE)),"")</f>
        <v>مدرسة إرادة للتعليم (مكة)</v>
      </c>
      <c r="G282">
        <f>COUNTIF($B$2:B282,B282)</f>
        <v>2</v>
      </c>
    </row>
    <row r="283" spans="1:7" x14ac:dyDescent="0.2">
      <c r="A283" s="11">
        <v>282</v>
      </c>
      <c r="B283" s="12">
        <v>1614242749</v>
      </c>
      <c r="C283" s="8" t="str">
        <f>IFERROR(IF(B283="","",VLOOKUP(B283,المستفيدين!$B:$C,2,FALSE)),"")</f>
        <v>مستفيد114</v>
      </c>
      <c r="D283" s="15" t="s">
        <v>138</v>
      </c>
      <c r="E283" s="16" t="s">
        <v>36</v>
      </c>
      <c r="F283" s="14" t="str">
        <f>IFERROR(IF(B283="","",VLOOKUP(B283,المستفيدين!$B:$F,5,FALSE)),"")</f>
        <v>مدرسة إرادة للتعليم (مكة)</v>
      </c>
      <c r="G283">
        <f>COUNTIF($B$2:B283,B283)</f>
        <v>3</v>
      </c>
    </row>
    <row r="284" spans="1:7" x14ac:dyDescent="0.2">
      <c r="A284" s="9">
        <v>283</v>
      </c>
      <c r="B284" s="10">
        <v>1707584852</v>
      </c>
      <c r="C284" s="8" t="str">
        <f>IFERROR(IF(B284="","",VLOOKUP(B284,المستفيدين!$B:$C,2,FALSE)),"")</f>
        <v>مستفيد115</v>
      </c>
      <c r="D284" s="13" t="s">
        <v>143</v>
      </c>
      <c r="E284" s="14" t="s">
        <v>36</v>
      </c>
      <c r="F284" s="14" t="str">
        <f>IFERROR(IF(B284="","",VLOOKUP(B284,المستفيدين!$B:$F,5,FALSE)),"")</f>
        <v>مدرسة إرادة للتعليم (مكة)</v>
      </c>
      <c r="G284">
        <f>COUNTIF($B$2:B284,B284)</f>
        <v>1</v>
      </c>
    </row>
    <row r="285" spans="1:7" x14ac:dyDescent="0.2">
      <c r="A285" s="11">
        <v>284</v>
      </c>
      <c r="B285" s="12">
        <v>1707584852</v>
      </c>
      <c r="C285" s="8" t="str">
        <f>IFERROR(IF(B285="","",VLOOKUP(B285,المستفيدين!$B:$C,2,FALSE)),"")</f>
        <v>مستفيد115</v>
      </c>
      <c r="D285" s="15" t="s">
        <v>369</v>
      </c>
      <c r="E285" s="16" t="s">
        <v>36</v>
      </c>
      <c r="F285" s="14" t="str">
        <f>IFERROR(IF(B285="","",VLOOKUP(B285,المستفيدين!$B:$F,5,FALSE)),"")</f>
        <v>مدرسة إرادة للتعليم (مكة)</v>
      </c>
      <c r="G285">
        <f>COUNTIF($B$2:B285,B285)</f>
        <v>2</v>
      </c>
    </row>
    <row r="286" spans="1:7" x14ac:dyDescent="0.2">
      <c r="A286" s="9">
        <v>285</v>
      </c>
      <c r="B286" s="10">
        <v>1707584852</v>
      </c>
      <c r="C286" s="8" t="str">
        <f>IFERROR(IF(B286="","",VLOOKUP(B286,المستفيدين!$B:$C,2,FALSE)),"")</f>
        <v>مستفيد115</v>
      </c>
      <c r="D286" s="13" t="s">
        <v>368</v>
      </c>
      <c r="E286" s="14" t="s">
        <v>36</v>
      </c>
      <c r="F286" s="14" t="str">
        <f>IFERROR(IF(B286="","",VLOOKUP(B286,المستفيدين!$B:$F,5,FALSE)),"")</f>
        <v>مدرسة إرادة للتعليم (مكة)</v>
      </c>
      <c r="G286">
        <f>COUNTIF($B$2:B286,B286)</f>
        <v>3</v>
      </c>
    </row>
    <row r="287" spans="1:7" x14ac:dyDescent="0.2">
      <c r="A287" s="11">
        <v>286</v>
      </c>
      <c r="B287" s="12">
        <v>1707584852</v>
      </c>
      <c r="C287" s="8" t="str">
        <f>IFERROR(IF(B287="","",VLOOKUP(B287,المستفيدين!$B:$C,2,FALSE)),"")</f>
        <v>مستفيد115</v>
      </c>
      <c r="D287" s="15" t="s">
        <v>140</v>
      </c>
      <c r="E287" s="16" t="s">
        <v>37</v>
      </c>
      <c r="F287" s="14" t="str">
        <f>IFERROR(IF(B287="","",VLOOKUP(B287,المستفيدين!$B:$F,5,FALSE)),"")</f>
        <v>مدرسة إرادة للتعليم (مكة)</v>
      </c>
      <c r="G287">
        <f>COUNTIF($B$2:B287,B287)</f>
        <v>4</v>
      </c>
    </row>
    <row r="288" spans="1:7" x14ac:dyDescent="0.2">
      <c r="A288" s="9">
        <v>287</v>
      </c>
      <c r="B288" s="10">
        <v>1699191393</v>
      </c>
      <c r="C288" s="8" t="str">
        <f>IFERROR(IF(B288="","",VLOOKUP(B288,المستفيدين!$B:$C,2,FALSE)),"")</f>
        <v>مستفيد116</v>
      </c>
      <c r="D288" s="13" t="s">
        <v>136</v>
      </c>
      <c r="E288" s="14" t="s">
        <v>34</v>
      </c>
      <c r="F288" s="14" t="str">
        <f>IFERROR(IF(B288="","",VLOOKUP(B288,المستفيدين!$B:$F,5,FALSE)),"")</f>
        <v>مركز إرادة وتمكين لرعاية ذوي الاحتياجات الخاصة (جلمودة)</v>
      </c>
      <c r="G288">
        <f>COUNTIF($B$2:B288,B288)</f>
        <v>1</v>
      </c>
    </row>
    <row r="289" spans="1:7" x14ac:dyDescent="0.2">
      <c r="A289" s="11">
        <v>288</v>
      </c>
      <c r="B289" s="12">
        <v>1699191393</v>
      </c>
      <c r="C289" s="8" t="str">
        <f>IFERROR(IF(B289="","",VLOOKUP(B289,المستفيدين!$B:$C,2,FALSE)),"")</f>
        <v>مستفيد116</v>
      </c>
      <c r="D289" s="15" t="s">
        <v>134</v>
      </c>
      <c r="E289" s="16" t="s">
        <v>34</v>
      </c>
      <c r="F289" s="14" t="str">
        <f>IFERROR(IF(B289="","",VLOOKUP(B289,المستفيدين!$B:$F,5,FALSE)),"")</f>
        <v>مركز إرادة وتمكين لرعاية ذوي الاحتياجات الخاصة (جلمودة)</v>
      </c>
      <c r="G289">
        <f>COUNTIF($B$2:B289,B289)</f>
        <v>2</v>
      </c>
    </row>
    <row r="290" spans="1:7" x14ac:dyDescent="0.2">
      <c r="A290" s="9">
        <v>289</v>
      </c>
      <c r="B290" s="10">
        <v>1699191393</v>
      </c>
      <c r="C290" s="8" t="str">
        <f>IFERROR(IF(B290="","",VLOOKUP(B290,المستفيدين!$B:$C,2,FALSE)),"")</f>
        <v>مستفيد116</v>
      </c>
      <c r="D290" s="13" t="s">
        <v>137</v>
      </c>
      <c r="E290" s="14" t="s">
        <v>34</v>
      </c>
      <c r="F290" s="14" t="str">
        <f>IFERROR(IF(B290="","",VLOOKUP(B290,المستفيدين!$B:$F,5,FALSE)),"")</f>
        <v>مركز إرادة وتمكين لرعاية ذوي الاحتياجات الخاصة (جلمودة)</v>
      </c>
      <c r="G290">
        <f>COUNTIF($B$2:B290,B290)</f>
        <v>3</v>
      </c>
    </row>
    <row r="291" spans="1:7" x14ac:dyDescent="0.2">
      <c r="A291" s="11">
        <v>290</v>
      </c>
      <c r="B291" s="12">
        <v>1699191393</v>
      </c>
      <c r="C291" s="8" t="str">
        <f>IFERROR(IF(B291="","",VLOOKUP(B291,المستفيدين!$B:$C,2,FALSE)),"")</f>
        <v>مستفيد116</v>
      </c>
      <c r="D291" s="15" t="s">
        <v>138</v>
      </c>
      <c r="E291" s="16" t="s">
        <v>36</v>
      </c>
      <c r="F291" s="14" t="str">
        <f>IFERROR(IF(B291="","",VLOOKUP(B291,المستفيدين!$B:$F,5,FALSE)),"")</f>
        <v>مركز إرادة وتمكين لرعاية ذوي الاحتياجات الخاصة (جلمودة)</v>
      </c>
      <c r="G291">
        <f>COUNTIF($B$2:B291,B291)</f>
        <v>4</v>
      </c>
    </row>
    <row r="292" spans="1:7" x14ac:dyDescent="0.2">
      <c r="A292" s="9">
        <v>291</v>
      </c>
      <c r="B292" s="10">
        <v>1801782233</v>
      </c>
      <c r="C292" s="8" t="str">
        <f>IFERROR(IF(B292="","",VLOOKUP(B292,المستفيدين!$B:$C,2,FALSE)),"")</f>
        <v>مستفيد117</v>
      </c>
      <c r="D292" s="13" t="s">
        <v>136</v>
      </c>
      <c r="E292" s="14" t="s">
        <v>34</v>
      </c>
      <c r="F292" s="14" t="str">
        <f>IFERROR(IF(B292="","",VLOOKUP(B292,المستفيدين!$B:$F,5,FALSE)),"")</f>
        <v>مركز إرادة وتمكين للرعاية النهارية (القدس)</v>
      </c>
      <c r="G292">
        <f>COUNTIF($B$2:B292,B292)</f>
        <v>1</v>
      </c>
    </row>
    <row r="293" spans="1:7" x14ac:dyDescent="0.2">
      <c r="A293" s="11">
        <v>292</v>
      </c>
      <c r="B293" s="12">
        <v>1801782233</v>
      </c>
      <c r="C293" s="8" t="str">
        <f>IFERROR(IF(B293="","",VLOOKUP(B293,المستفيدين!$B:$C,2,FALSE)),"")</f>
        <v>مستفيد117</v>
      </c>
      <c r="D293" s="15" t="s">
        <v>145</v>
      </c>
      <c r="E293" s="16" t="s">
        <v>36</v>
      </c>
      <c r="F293" s="14" t="str">
        <f>IFERROR(IF(B293="","",VLOOKUP(B293,المستفيدين!$B:$F,5,FALSE)),"")</f>
        <v>مركز إرادة وتمكين للرعاية النهارية (القدس)</v>
      </c>
      <c r="G293">
        <f>COUNTIF($B$2:B293,B293)</f>
        <v>2</v>
      </c>
    </row>
    <row r="294" spans="1:7" x14ac:dyDescent="0.2">
      <c r="A294" s="9">
        <v>293</v>
      </c>
      <c r="B294" s="10">
        <v>1976051713</v>
      </c>
      <c r="C294" s="8" t="str">
        <f>IFERROR(IF(B294="","",VLOOKUP(B294,المستفيدين!$B:$C,2,FALSE)),"")</f>
        <v>مستفيد118</v>
      </c>
      <c r="D294" s="13" t="s">
        <v>138</v>
      </c>
      <c r="E294" s="14" t="s">
        <v>34</v>
      </c>
      <c r="F294" s="14" t="str">
        <f>IFERROR(IF(B294="","",VLOOKUP(B294,المستفيدين!$B:$F,5,FALSE)),"")</f>
        <v>مدرسة إرادة وتمكين لمتلازمة داون (نجد)</v>
      </c>
      <c r="G294">
        <f>COUNTIF($B$2:B294,B294)</f>
        <v>1</v>
      </c>
    </row>
    <row r="295" spans="1:7" x14ac:dyDescent="0.2">
      <c r="A295" s="11">
        <v>294</v>
      </c>
      <c r="B295" s="12">
        <v>1976051713</v>
      </c>
      <c r="C295" s="8" t="str">
        <f>IFERROR(IF(B295="","",VLOOKUP(B295,المستفيدين!$B:$C,2,FALSE)),"")</f>
        <v>مستفيد118</v>
      </c>
      <c r="D295" s="15" t="s">
        <v>64</v>
      </c>
      <c r="E295" s="16" t="s">
        <v>36</v>
      </c>
      <c r="F295" s="14" t="str">
        <f>IFERROR(IF(B295="","",VLOOKUP(B295,المستفيدين!$B:$F,5,FALSE)),"")</f>
        <v>مدرسة إرادة وتمكين لمتلازمة داون (نجد)</v>
      </c>
      <c r="G295">
        <f>COUNTIF($B$2:B295,B295)</f>
        <v>2</v>
      </c>
    </row>
    <row r="296" spans="1:7" x14ac:dyDescent="0.2">
      <c r="A296" s="9">
        <v>295</v>
      </c>
      <c r="B296" s="10">
        <v>1976051713</v>
      </c>
      <c r="C296" s="8" t="str">
        <f>IFERROR(IF(B296="","",VLOOKUP(B296,المستفيدين!$B:$C,2,FALSE)),"")</f>
        <v>مستفيد118</v>
      </c>
      <c r="D296" s="13" t="s">
        <v>136</v>
      </c>
      <c r="E296" s="14" t="s">
        <v>36</v>
      </c>
      <c r="F296" s="14" t="str">
        <f>IFERROR(IF(B296="","",VLOOKUP(B296,المستفيدين!$B:$F,5,FALSE)),"")</f>
        <v>مدرسة إرادة وتمكين لمتلازمة داون (نجد)</v>
      </c>
      <c r="G296">
        <f>COUNTIF($B$2:B296,B296)</f>
        <v>3</v>
      </c>
    </row>
    <row r="297" spans="1:7" x14ac:dyDescent="0.2">
      <c r="A297" s="11">
        <v>296</v>
      </c>
      <c r="B297" s="12">
        <v>1291395270</v>
      </c>
      <c r="C297" s="8" t="str">
        <f>IFERROR(IF(B297="","",VLOOKUP(B297,المستفيدين!$B:$C,2,FALSE)),"")</f>
        <v>مستفيد119</v>
      </c>
      <c r="D297" s="15" t="s">
        <v>135</v>
      </c>
      <c r="E297" s="16" t="s">
        <v>34</v>
      </c>
      <c r="F297" s="14" t="str">
        <f>IFERROR(IF(B297="","",VLOOKUP(B297,المستفيدين!$B:$F,5,FALSE)),"")</f>
        <v>مركز إرادة وتمكين لمتلازمة داون (نجد)</v>
      </c>
      <c r="G297">
        <f>COUNTIF($B$2:B297,B297)</f>
        <v>1</v>
      </c>
    </row>
    <row r="298" spans="1:7" x14ac:dyDescent="0.2">
      <c r="A298" s="9">
        <v>297</v>
      </c>
      <c r="B298" s="10">
        <v>1291395270</v>
      </c>
      <c r="C298" s="8" t="str">
        <f>IFERROR(IF(B298="","",VLOOKUP(B298,المستفيدين!$B:$C,2,FALSE)),"")</f>
        <v>مستفيد119</v>
      </c>
      <c r="D298" s="13" t="s">
        <v>137</v>
      </c>
      <c r="E298" s="14" t="s">
        <v>34</v>
      </c>
      <c r="F298" s="14" t="str">
        <f>IFERROR(IF(B298="","",VLOOKUP(B298,المستفيدين!$B:$F,5,FALSE)),"")</f>
        <v>مركز إرادة وتمكين لمتلازمة داون (نجد)</v>
      </c>
      <c r="G298">
        <f>COUNTIF($B$2:B298,B298)</f>
        <v>2</v>
      </c>
    </row>
    <row r="299" spans="1:7" x14ac:dyDescent="0.2">
      <c r="A299" s="11">
        <v>298</v>
      </c>
      <c r="B299" s="12">
        <v>1098673354</v>
      </c>
      <c r="C299" s="8" t="str">
        <f>IFERROR(IF(B299="","",VLOOKUP(B299,المستفيدين!$B:$C,2,FALSE)),"")</f>
        <v>مستفيد120</v>
      </c>
      <c r="D299" s="15" t="s">
        <v>370</v>
      </c>
      <c r="E299" s="16" t="s">
        <v>36</v>
      </c>
      <c r="F299" s="14" t="str">
        <f>IFERROR(IF(B299="","",VLOOKUP(B299,المستفيدين!$B:$F,5,FALSE)),"")</f>
        <v>مدرسة إرادة وتمكين لمتلازمة داون (نجد)</v>
      </c>
      <c r="G299">
        <f>COUNTIF($B$2:B299,B299)</f>
        <v>1</v>
      </c>
    </row>
    <row r="300" spans="1:7" x14ac:dyDescent="0.2">
      <c r="A300" s="9">
        <v>299</v>
      </c>
      <c r="B300" s="10">
        <v>1098673354</v>
      </c>
      <c r="C300" s="8" t="str">
        <f>IFERROR(IF(B300="","",VLOOKUP(B300,المستفيدين!$B:$C,2,FALSE)),"")</f>
        <v>مستفيد120</v>
      </c>
      <c r="D300" s="13" t="s">
        <v>143</v>
      </c>
      <c r="E300" s="14" t="s">
        <v>34</v>
      </c>
      <c r="F300" s="14" t="str">
        <f>IFERROR(IF(B300="","",VLOOKUP(B300,المستفيدين!$B:$F,5,FALSE)),"")</f>
        <v>مدرسة إرادة وتمكين لمتلازمة داون (نجد)</v>
      </c>
      <c r="G300">
        <f>COUNTIF($B$2:B300,B300)</f>
        <v>2</v>
      </c>
    </row>
    <row r="301" spans="1:7" x14ac:dyDescent="0.2">
      <c r="A301" s="11">
        <v>300</v>
      </c>
      <c r="B301" s="12">
        <v>1054240869</v>
      </c>
      <c r="C301" s="8" t="str">
        <f>IFERROR(IF(B301="","",VLOOKUP(B301,المستفيدين!$B:$C,2,FALSE)),"")</f>
        <v>مستفيد121</v>
      </c>
      <c r="D301" s="15" t="s">
        <v>370</v>
      </c>
      <c r="E301" s="16" t="s">
        <v>34</v>
      </c>
      <c r="F301" s="14" t="str">
        <f>IFERROR(IF(B301="","",VLOOKUP(B301,المستفيدين!$B:$F,5,FALSE)),"")</f>
        <v>مركز إرادة وتمكين لمتلازمة داون (نجد)</v>
      </c>
      <c r="G301">
        <f>COUNTIF($B$2:B301,B301)</f>
        <v>1</v>
      </c>
    </row>
    <row r="302" spans="1:7" x14ac:dyDescent="0.2">
      <c r="A302" s="9">
        <v>301</v>
      </c>
      <c r="B302" s="10">
        <v>1054240869</v>
      </c>
      <c r="C302" s="8" t="str">
        <f>IFERROR(IF(B302="","",VLOOKUP(B302,المستفيدين!$B:$C,2,FALSE)),"")</f>
        <v>مستفيد121</v>
      </c>
      <c r="D302" s="13" t="s">
        <v>139</v>
      </c>
      <c r="E302" s="14" t="s">
        <v>34</v>
      </c>
      <c r="F302" s="14" t="str">
        <f>IFERROR(IF(B302="","",VLOOKUP(B302,المستفيدين!$B:$F,5,FALSE)),"")</f>
        <v>مركز إرادة وتمكين لمتلازمة داون (نجد)</v>
      </c>
      <c r="G302">
        <f>COUNTIF($B$2:B302,B302)</f>
        <v>2</v>
      </c>
    </row>
    <row r="303" spans="1:7" x14ac:dyDescent="0.2">
      <c r="A303" s="11">
        <v>302</v>
      </c>
      <c r="B303" s="12">
        <v>1054240869</v>
      </c>
      <c r="C303" s="8" t="str">
        <f>IFERROR(IF(B303="","",VLOOKUP(B303,المستفيدين!$B:$C,2,FALSE)),"")</f>
        <v>مستفيد121</v>
      </c>
      <c r="D303" s="15" t="s">
        <v>146</v>
      </c>
      <c r="E303" s="16" t="s">
        <v>36</v>
      </c>
      <c r="F303" s="14" t="str">
        <f>IFERROR(IF(B303="","",VLOOKUP(B303,المستفيدين!$B:$F,5,FALSE)),"")</f>
        <v>مركز إرادة وتمكين لمتلازمة داون (نجد)</v>
      </c>
      <c r="G303">
        <f>COUNTIF($B$2:B303,B303)</f>
        <v>3</v>
      </c>
    </row>
    <row r="304" spans="1:7" x14ac:dyDescent="0.2">
      <c r="A304" s="9">
        <v>303</v>
      </c>
      <c r="B304" s="10">
        <v>1054240869</v>
      </c>
      <c r="C304" s="8" t="str">
        <f>IFERROR(IF(B304="","",VLOOKUP(B304,المستفيدين!$B:$C,2,FALSE)),"")</f>
        <v>مستفيد121</v>
      </c>
      <c r="D304" s="13" t="s">
        <v>64</v>
      </c>
      <c r="E304" s="14" t="s">
        <v>37</v>
      </c>
      <c r="F304" s="14" t="str">
        <f>IFERROR(IF(B304="","",VLOOKUP(B304,المستفيدين!$B:$F,5,FALSE)),"")</f>
        <v>مركز إرادة وتمكين لمتلازمة داون (نجد)</v>
      </c>
      <c r="G304">
        <f>COUNTIF($B$2:B304,B304)</f>
        <v>4</v>
      </c>
    </row>
    <row r="305" spans="1:7" x14ac:dyDescent="0.2">
      <c r="A305" s="11">
        <v>304</v>
      </c>
      <c r="B305" s="12">
        <v>1994984803</v>
      </c>
      <c r="C305" s="8" t="str">
        <f>IFERROR(IF(B305="","",VLOOKUP(B305,المستفيدين!$B:$C,2,FALSE)),"")</f>
        <v>مستفيد122</v>
      </c>
      <c r="D305" s="15" t="s">
        <v>138</v>
      </c>
      <c r="E305" s="16" t="s">
        <v>34</v>
      </c>
      <c r="F305" s="14" t="str">
        <f>IFERROR(IF(B305="","",VLOOKUP(B305,المستفيدين!$B:$F,5,FALSE)),"")</f>
        <v>مركز إرادة وتمكين للرعاية النهارية (القدس)</v>
      </c>
      <c r="G305">
        <f>COUNTIF($B$2:B305,B305)</f>
        <v>1</v>
      </c>
    </row>
    <row r="306" spans="1:7" x14ac:dyDescent="0.2">
      <c r="A306" s="9">
        <v>305</v>
      </c>
      <c r="B306" s="10">
        <v>1994984803</v>
      </c>
      <c r="C306" s="8" t="str">
        <f>IFERROR(IF(B306="","",VLOOKUP(B306,المستفيدين!$B:$C,2,FALSE)),"")</f>
        <v>مستفيد122</v>
      </c>
      <c r="D306" s="13" t="s">
        <v>141</v>
      </c>
      <c r="E306" s="14" t="s">
        <v>34</v>
      </c>
      <c r="F306" s="14" t="str">
        <f>IFERROR(IF(B306="","",VLOOKUP(B306,المستفيدين!$B:$F,5,FALSE)),"")</f>
        <v>مركز إرادة وتمكين للرعاية النهارية (القدس)</v>
      </c>
      <c r="G306">
        <f>COUNTIF($B$2:B306,B306)</f>
        <v>2</v>
      </c>
    </row>
    <row r="307" spans="1:7" x14ac:dyDescent="0.2">
      <c r="A307" s="11">
        <v>306</v>
      </c>
      <c r="B307" s="12">
        <v>1994984803</v>
      </c>
      <c r="C307" s="8" t="str">
        <f>IFERROR(IF(B307="","",VLOOKUP(B307,المستفيدين!$B:$C,2,FALSE)),"")</f>
        <v>مستفيد122</v>
      </c>
      <c r="D307" s="15" t="s">
        <v>134</v>
      </c>
      <c r="E307" s="16" t="s">
        <v>37</v>
      </c>
      <c r="F307" s="14" t="str">
        <f>IFERROR(IF(B307="","",VLOOKUP(B307,المستفيدين!$B:$F,5,FALSE)),"")</f>
        <v>مركز إرادة وتمكين للرعاية النهارية (القدس)</v>
      </c>
      <c r="G307">
        <f>COUNTIF($B$2:B307,B307)</f>
        <v>3</v>
      </c>
    </row>
    <row r="308" spans="1:7" x14ac:dyDescent="0.2">
      <c r="A308" s="9">
        <v>307</v>
      </c>
      <c r="B308" s="10">
        <v>1994984803</v>
      </c>
      <c r="C308" s="8" t="str">
        <f>IFERROR(IF(B308="","",VLOOKUP(B308,المستفيدين!$B:$C,2,FALSE)),"")</f>
        <v>مستفيد122</v>
      </c>
      <c r="D308" s="13" t="s">
        <v>143</v>
      </c>
      <c r="E308" s="14" t="s">
        <v>34</v>
      </c>
      <c r="F308" s="14" t="str">
        <f>IFERROR(IF(B308="","",VLOOKUP(B308,المستفيدين!$B:$F,5,FALSE)),"")</f>
        <v>مركز إرادة وتمكين للرعاية النهارية (القدس)</v>
      </c>
      <c r="G308">
        <f>COUNTIF($B$2:B308,B308)</f>
        <v>4</v>
      </c>
    </row>
    <row r="309" spans="1:7" x14ac:dyDescent="0.2">
      <c r="A309" s="11">
        <v>308</v>
      </c>
      <c r="B309" s="12">
        <v>1590142031</v>
      </c>
      <c r="C309" s="8" t="str">
        <f>IFERROR(IF(B309="","",VLOOKUP(B309,المستفيدين!$B:$C,2,FALSE)),"")</f>
        <v>مستفيد123</v>
      </c>
      <c r="D309" s="15" t="s">
        <v>134</v>
      </c>
      <c r="E309" s="16" t="s">
        <v>36</v>
      </c>
      <c r="F309" s="14" t="str">
        <f>IFERROR(IF(B309="","",VLOOKUP(B309,المستفيدين!$B:$F,5,FALSE)),"")</f>
        <v>مركز إرادة وتمكين لرعاية ذوي الاحتياجات الخاصة (جلمودة)</v>
      </c>
      <c r="G309">
        <f>COUNTIF($B$2:B309,B309)</f>
        <v>1</v>
      </c>
    </row>
    <row r="310" spans="1:7" x14ac:dyDescent="0.2">
      <c r="A310" s="9">
        <v>309</v>
      </c>
      <c r="B310" s="10">
        <v>1345489113</v>
      </c>
      <c r="C310" s="8" t="str">
        <f>IFERROR(IF(B310="","",VLOOKUP(B310,المستفيدين!$B:$C,2,FALSE)),"")</f>
        <v>مستفيد124</v>
      </c>
      <c r="D310" s="13" t="s">
        <v>370</v>
      </c>
      <c r="E310" s="14" t="s">
        <v>36</v>
      </c>
      <c r="F310" s="14" t="str">
        <f>IFERROR(IF(B310="","",VLOOKUP(B310,المستفيدين!$B:$F,5,FALSE)),"")</f>
        <v>مركز إرادة وتمكين لرعاية ذوي الاحتياجات الخاصة (جلمودة)</v>
      </c>
      <c r="G310">
        <f>COUNTIF($B$2:B310,B310)</f>
        <v>1</v>
      </c>
    </row>
    <row r="311" spans="1:7" x14ac:dyDescent="0.2">
      <c r="A311" s="11">
        <v>310</v>
      </c>
      <c r="B311" s="12">
        <v>1345489113</v>
      </c>
      <c r="C311" s="8" t="str">
        <f>IFERROR(IF(B311="","",VLOOKUP(B311,المستفيدين!$B:$C,2,FALSE)),"")</f>
        <v>مستفيد124</v>
      </c>
      <c r="D311" s="15" t="s">
        <v>142</v>
      </c>
      <c r="E311" s="16" t="s">
        <v>36</v>
      </c>
      <c r="F311" s="14" t="str">
        <f>IFERROR(IF(B311="","",VLOOKUP(B311,المستفيدين!$B:$F,5,FALSE)),"")</f>
        <v>مركز إرادة وتمكين لرعاية ذوي الاحتياجات الخاصة (جلمودة)</v>
      </c>
      <c r="G311">
        <f>COUNTIF($B$2:B311,B311)</f>
        <v>2</v>
      </c>
    </row>
    <row r="312" spans="1:7" x14ac:dyDescent="0.2">
      <c r="A312" s="9">
        <v>311</v>
      </c>
      <c r="B312" s="10">
        <v>1222363290</v>
      </c>
      <c r="C312" s="8" t="str">
        <f>IFERROR(IF(B312="","",VLOOKUP(B312,المستفيدين!$B:$C,2,FALSE)),"")</f>
        <v>مستفيد125</v>
      </c>
      <c r="D312" s="13" t="s">
        <v>137</v>
      </c>
      <c r="E312" s="14" t="s">
        <v>34</v>
      </c>
      <c r="F312" s="14" t="str">
        <f>IFERROR(IF(B312="","",VLOOKUP(B312,المستفيدين!$B:$F,5,FALSE)),"")</f>
        <v>مركز إرادة وتمكين لرعاية ذوي الاحتياجات الخاصة (جلمودة)</v>
      </c>
      <c r="G312">
        <f>COUNTIF($B$2:B312,B312)</f>
        <v>1</v>
      </c>
    </row>
    <row r="313" spans="1:7" x14ac:dyDescent="0.2">
      <c r="A313" s="11">
        <v>312</v>
      </c>
      <c r="B313" s="12">
        <v>1484076714</v>
      </c>
      <c r="C313" s="8" t="str">
        <f>IFERROR(IF(B313="","",VLOOKUP(B313,المستفيدين!$B:$C,2,FALSE)),"")</f>
        <v>مستفيد126</v>
      </c>
      <c r="D313" s="15" t="s">
        <v>144</v>
      </c>
      <c r="E313" s="16" t="s">
        <v>34</v>
      </c>
      <c r="F313" s="14" t="str">
        <f>IFERROR(IF(B313="","",VLOOKUP(B313,المستفيدين!$B:$F,5,FALSE)),"")</f>
        <v>مركز إرادة وتمكين للرعاية النهارية (القدس)</v>
      </c>
      <c r="G313">
        <f>COUNTIF($B$2:B313,B313)</f>
        <v>1</v>
      </c>
    </row>
    <row r="314" spans="1:7" x14ac:dyDescent="0.2">
      <c r="A314" s="9">
        <v>313</v>
      </c>
      <c r="B314" s="10">
        <v>1633482052</v>
      </c>
      <c r="C314" s="8" t="str">
        <f>IFERROR(IF(B314="","",VLOOKUP(B314,المستفيدين!$B:$C,2,FALSE)),"")</f>
        <v>مستفيد127</v>
      </c>
      <c r="D314" s="13" t="s">
        <v>136</v>
      </c>
      <c r="E314" s="14" t="s">
        <v>37</v>
      </c>
      <c r="F314" s="14" t="str">
        <f>IFERROR(IF(B314="","",VLOOKUP(B314,المستفيدين!$B:$F,5,FALSE)),"")</f>
        <v>مدرسة إرادة وتمكين لمتلازمة داون (نجد)</v>
      </c>
      <c r="G314">
        <f>COUNTIF($B$2:B314,B314)</f>
        <v>1</v>
      </c>
    </row>
    <row r="315" spans="1:7" x14ac:dyDescent="0.2">
      <c r="A315" s="11">
        <v>314</v>
      </c>
      <c r="B315" s="12">
        <v>1633482052</v>
      </c>
      <c r="C315" s="8" t="str">
        <f>IFERROR(IF(B315="","",VLOOKUP(B315,المستفيدين!$B:$C,2,FALSE)),"")</f>
        <v>مستفيد127</v>
      </c>
      <c r="D315" s="15" t="s">
        <v>143</v>
      </c>
      <c r="E315" s="16" t="s">
        <v>37</v>
      </c>
      <c r="F315" s="14" t="str">
        <f>IFERROR(IF(B315="","",VLOOKUP(B315,المستفيدين!$B:$F,5,FALSE)),"")</f>
        <v>مدرسة إرادة وتمكين لمتلازمة داون (نجد)</v>
      </c>
      <c r="G315">
        <f>COUNTIF($B$2:B315,B315)</f>
        <v>2</v>
      </c>
    </row>
    <row r="316" spans="1:7" x14ac:dyDescent="0.2">
      <c r="A316" s="9">
        <v>315</v>
      </c>
      <c r="B316" s="10">
        <v>1633482052</v>
      </c>
      <c r="C316" s="8" t="str">
        <f>IFERROR(IF(B316="","",VLOOKUP(B316,المستفيدين!$B:$C,2,FALSE)),"")</f>
        <v>مستفيد127</v>
      </c>
      <c r="D316" s="13" t="s">
        <v>144</v>
      </c>
      <c r="E316" s="14" t="s">
        <v>36</v>
      </c>
      <c r="F316" s="14" t="str">
        <f>IFERROR(IF(B316="","",VLOOKUP(B316,المستفيدين!$B:$F,5,FALSE)),"")</f>
        <v>مدرسة إرادة وتمكين لمتلازمة داون (نجد)</v>
      </c>
      <c r="G316">
        <f>COUNTIF($B$2:B316,B316)</f>
        <v>3</v>
      </c>
    </row>
    <row r="317" spans="1:7" x14ac:dyDescent="0.2">
      <c r="A317" s="11">
        <v>316</v>
      </c>
      <c r="B317" s="12">
        <v>1633482052</v>
      </c>
      <c r="C317" s="8" t="str">
        <f>IFERROR(IF(B317="","",VLOOKUP(B317,المستفيدين!$B:$C,2,FALSE)),"")</f>
        <v>مستفيد127</v>
      </c>
      <c r="D317" s="15" t="s">
        <v>369</v>
      </c>
      <c r="E317" s="16" t="s">
        <v>37</v>
      </c>
      <c r="F317" s="14" t="str">
        <f>IFERROR(IF(B317="","",VLOOKUP(B317,المستفيدين!$B:$F,5,FALSE)),"")</f>
        <v>مدرسة إرادة وتمكين لمتلازمة داون (نجد)</v>
      </c>
      <c r="G317">
        <f>COUNTIF($B$2:B317,B317)</f>
        <v>4</v>
      </c>
    </row>
    <row r="318" spans="1:7" x14ac:dyDescent="0.2">
      <c r="A318" s="9">
        <v>317</v>
      </c>
      <c r="B318" s="10">
        <v>1181928548</v>
      </c>
      <c r="C318" s="8" t="str">
        <f>IFERROR(IF(B318="","",VLOOKUP(B318,المستفيدين!$B:$C,2,FALSE)),"")</f>
        <v>مستفيد128</v>
      </c>
      <c r="D318" s="13" t="s">
        <v>369</v>
      </c>
      <c r="E318" s="14" t="s">
        <v>34</v>
      </c>
      <c r="F318" s="14" t="str">
        <f>IFERROR(IF(B318="","",VLOOKUP(B318,المستفيدين!$B:$F,5,FALSE)),"")</f>
        <v>مدرسة إرادة للتعليم (مكة)</v>
      </c>
      <c r="G318">
        <f>COUNTIF($B$2:B318,B318)</f>
        <v>1</v>
      </c>
    </row>
    <row r="319" spans="1:7" x14ac:dyDescent="0.2">
      <c r="A319" s="11">
        <v>318</v>
      </c>
      <c r="B319" s="12">
        <v>1181928548</v>
      </c>
      <c r="C319" s="8" t="str">
        <f>IFERROR(IF(B319="","",VLOOKUP(B319,المستفيدين!$B:$C,2,FALSE)),"")</f>
        <v>مستفيد128</v>
      </c>
      <c r="D319" s="15" t="s">
        <v>137</v>
      </c>
      <c r="E319" s="16" t="s">
        <v>37</v>
      </c>
      <c r="F319" s="14" t="str">
        <f>IFERROR(IF(B319="","",VLOOKUP(B319,المستفيدين!$B:$F,5,FALSE)),"")</f>
        <v>مدرسة إرادة للتعليم (مكة)</v>
      </c>
      <c r="G319">
        <f>COUNTIF($B$2:B319,B319)</f>
        <v>2</v>
      </c>
    </row>
    <row r="320" spans="1:7" x14ac:dyDescent="0.2">
      <c r="A320" s="9">
        <v>319</v>
      </c>
      <c r="B320" s="10">
        <v>1181928548</v>
      </c>
      <c r="C320" s="8" t="str">
        <f>IFERROR(IF(B320="","",VLOOKUP(B320,المستفيدين!$B:$C,2,FALSE)),"")</f>
        <v>مستفيد128</v>
      </c>
      <c r="D320" s="13" t="s">
        <v>146</v>
      </c>
      <c r="E320" s="14" t="s">
        <v>34</v>
      </c>
      <c r="F320" s="14" t="str">
        <f>IFERROR(IF(B320="","",VLOOKUP(B320,المستفيدين!$B:$F,5,FALSE)),"")</f>
        <v>مدرسة إرادة للتعليم (مكة)</v>
      </c>
      <c r="G320">
        <f>COUNTIF($B$2:B320,B320)</f>
        <v>3</v>
      </c>
    </row>
    <row r="321" spans="1:7" x14ac:dyDescent="0.2">
      <c r="A321" s="11">
        <v>320</v>
      </c>
      <c r="B321" s="12">
        <v>1508553395</v>
      </c>
      <c r="C321" s="8" t="str">
        <f>IFERROR(IF(B321="","",VLOOKUP(B321,المستفيدين!$B:$C,2,FALSE)),"")</f>
        <v>مستفيد129</v>
      </c>
      <c r="D321" s="15" t="s">
        <v>64</v>
      </c>
      <c r="E321" s="16" t="s">
        <v>34</v>
      </c>
      <c r="F321" s="14" t="str">
        <f>IFERROR(IF(B321="","",VLOOKUP(B321,المستفيدين!$B:$F,5,FALSE)),"")</f>
        <v>مدرسة إرادة وتمكين لمتلازمة داون (نجد)</v>
      </c>
      <c r="G321">
        <f>COUNTIF($B$2:B321,B321)</f>
        <v>1</v>
      </c>
    </row>
    <row r="322" spans="1:7" x14ac:dyDescent="0.2">
      <c r="A322" s="9">
        <v>321</v>
      </c>
      <c r="B322" s="10">
        <v>1648463946</v>
      </c>
      <c r="C322" s="8" t="str">
        <f>IFERROR(IF(B322="","",VLOOKUP(B322,المستفيدين!$B:$C,2,FALSE)),"")</f>
        <v>مستفيد130</v>
      </c>
      <c r="D322" s="13" t="s">
        <v>64</v>
      </c>
      <c r="E322" s="14" t="s">
        <v>34</v>
      </c>
      <c r="F322" s="14" t="str">
        <f>IFERROR(IF(B322="","",VLOOKUP(B322,المستفيدين!$B:$F,5,FALSE)),"")</f>
        <v>مركز إرادة وتمكين لمتلازمة داون (نجد)</v>
      </c>
      <c r="G322">
        <f>COUNTIF($B$2:B322,B322)</f>
        <v>1</v>
      </c>
    </row>
    <row r="323" spans="1:7" x14ac:dyDescent="0.2">
      <c r="A323" s="11">
        <v>322</v>
      </c>
      <c r="B323" s="12">
        <v>1751252727</v>
      </c>
      <c r="C323" s="8" t="str">
        <f>IFERROR(IF(B323="","",VLOOKUP(B323,المستفيدين!$B:$C,2,FALSE)),"")</f>
        <v>مستفيد131</v>
      </c>
      <c r="D323" s="15" t="s">
        <v>137</v>
      </c>
      <c r="E323" s="16" t="s">
        <v>37</v>
      </c>
      <c r="F323" s="14" t="str">
        <f>IFERROR(IF(B323="","",VLOOKUP(B323,المستفيدين!$B:$F,5,FALSE)),"")</f>
        <v>مركز إرادة وتمكين للرعاية النهارية (القدس)</v>
      </c>
      <c r="G323">
        <f>COUNTIF($B$2:B323,B323)</f>
        <v>1</v>
      </c>
    </row>
    <row r="324" spans="1:7" x14ac:dyDescent="0.2">
      <c r="A324" s="9">
        <v>323</v>
      </c>
      <c r="B324" s="10">
        <v>1751252727</v>
      </c>
      <c r="C324" s="8" t="str">
        <f>IFERROR(IF(B324="","",VLOOKUP(B324,المستفيدين!$B:$C,2,FALSE)),"")</f>
        <v>مستفيد131</v>
      </c>
      <c r="D324" s="13" t="s">
        <v>136</v>
      </c>
      <c r="E324" s="14" t="s">
        <v>37</v>
      </c>
      <c r="F324" s="14" t="str">
        <f>IFERROR(IF(B324="","",VLOOKUP(B324,المستفيدين!$B:$F,5,FALSE)),"")</f>
        <v>مركز إرادة وتمكين للرعاية النهارية (القدس)</v>
      </c>
      <c r="G324">
        <f>COUNTIF($B$2:B324,B324)</f>
        <v>2</v>
      </c>
    </row>
    <row r="325" spans="1:7" x14ac:dyDescent="0.2">
      <c r="A325" s="11">
        <v>324</v>
      </c>
      <c r="B325" s="12">
        <v>1543372068</v>
      </c>
      <c r="C325" s="8" t="str">
        <f>IFERROR(IF(B325="","",VLOOKUP(B325,المستفيدين!$B:$C,2,FALSE)),"")</f>
        <v>مستفيد132</v>
      </c>
      <c r="D325" s="15" t="s">
        <v>369</v>
      </c>
      <c r="E325" s="16" t="s">
        <v>36</v>
      </c>
      <c r="F325" s="14" t="str">
        <f>IFERROR(IF(B325="","",VLOOKUP(B325,المستفيدين!$B:$F,5,FALSE)),"")</f>
        <v>مركز إرادة وتمكين للرعاية النهارية (القدس)</v>
      </c>
      <c r="G325">
        <f>COUNTIF($B$2:B325,B325)</f>
        <v>1</v>
      </c>
    </row>
    <row r="326" spans="1:7" x14ac:dyDescent="0.2">
      <c r="A326" s="9">
        <v>325</v>
      </c>
      <c r="B326" s="10">
        <v>1543372068</v>
      </c>
      <c r="C326" s="8" t="str">
        <f>IFERROR(IF(B326="","",VLOOKUP(B326,المستفيدين!$B:$C,2,FALSE)),"")</f>
        <v>مستفيد132</v>
      </c>
      <c r="D326" s="13" t="s">
        <v>64</v>
      </c>
      <c r="E326" s="14" t="s">
        <v>34</v>
      </c>
      <c r="F326" s="14" t="str">
        <f>IFERROR(IF(B326="","",VLOOKUP(B326,المستفيدين!$B:$F,5,FALSE)),"")</f>
        <v>مركز إرادة وتمكين للرعاية النهارية (القدس)</v>
      </c>
      <c r="G326">
        <f>COUNTIF($B$2:B326,B326)</f>
        <v>2</v>
      </c>
    </row>
    <row r="327" spans="1:7" x14ac:dyDescent="0.2">
      <c r="A327" s="11">
        <v>326</v>
      </c>
      <c r="B327" s="12">
        <v>1049921311</v>
      </c>
      <c r="C327" s="8" t="str">
        <f>IFERROR(IF(B327="","",VLOOKUP(B327,المستفيدين!$B:$C,2,FALSE)),"")</f>
        <v>مستفيد133</v>
      </c>
      <c r="D327" s="15" t="s">
        <v>370</v>
      </c>
      <c r="E327" s="16" t="s">
        <v>36</v>
      </c>
      <c r="F327" s="14" t="str">
        <f>IFERROR(IF(B327="","",VLOOKUP(B327,المستفيدين!$B:$F,5,FALSE)),"")</f>
        <v>مدرسة إرادة للتعليم (مكة)</v>
      </c>
      <c r="G327">
        <f>COUNTIF($B$2:B327,B327)</f>
        <v>1</v>
      </c>
    </row>
    <row r="328" spans="1:7" x14ac:dyDescent="0.2">
      <c r="A328" s="9">
        <v>327</v>
      </c>
      <c r="B328" s="10">
        <v>1049921311</v>
      </c>
      <c r="C328" s="8" t="str">
        <f>IFERROR(IF(B328="","",VLOOKUP(B328,المستفيدين!$B:$C,2,FALSE)),"")</f>
        <v>مستفيد133</v>
      </c>
      <c r="D328" s="13" t="s">
        <v>135</v>
      </c>
      <c r="E328" s="14" t="s">
        <v>34</v>
      </c>
      <c r="F328" s="14" t="str">
        <f>IFERROR(IF(B328="","",VLOOKUP(B328,المستفيدين!$B:$F,5,FALSE)),"")</f>
        <v>مدرسة إرادة للتعليم (مكة)</v>
      </c>
      <c r="G328">
        <f>COUNTIF($B$2:B328,B328)</f>
        <v>2</v>
      </c>
    </row>
    <row r="329" spans="1:7" x14ac:dyDescent="0.2">
      <c r="A329" s="11">
        <v>328</v>
      </c>
      <c r="B329" s="12">
        <v>1049921311</v>
      </c>
      <c r="C329" s="8" t="str">
        <f>IFERROR(IF(B329="","",VLOOKUP(B329,المستفيدين!$B:$C,2,FALSE)),"")</f>
        <v>مستفيد133</v>
      </c>
      <c r="D329" s="15" t="s">
        <v>146</v>
      </c>
      <c r="E329" s="16" t="s">
        <v>36</v>
      </c>
      <c r="F329" s="14" t="str">
        <f>IFERROR(IF(B329="","",VLOOKUP(B329,المستفيدين!$B:$F,5,FALSE)),"")</f>
        <v>مدرسة إرادة للتعليم (مكة)</v>
      </c>
      <c r="G329">
        <f>COUNTIF($B$2:B329,B329)</f>
        <v>3</v>
      </c>
    </row>
    <row r="330" spans="1:7" x14ac:dyDescent="0.2">
      <c r="A330" s="9">
        <v>329</v>
      </c>
      <c r="B330" s="10">
        <v>1049921311</v>
      </c>
      <c r="C330" s="8" t="str">
        <f>IFERROR(IF(B330="","",VLOOKUP(B330,المستفيدين!$B:$C,2,FALSE)),"")</f>
        <v>مستفيد133</v>
      </c>
      <c r="D330" s="13" t="s">
        <v>141</v>
      </c>
      <c r="E330" s="14" t="s">
        <v>36</v>
      </c>
      <c r="F330" s="14" t="str">
        <f>IFERROR(IF(B330="","",VLOOKUP(B330,المستفيدين!$B:$F,5,FALSE)),"")</f>
        <v>مدرسة إرادة للتعليم (مكة)</v>
      </c>
      <c r="G330">
        <f>COUNTIF($B$2:B330,B330)</f>
        <v>4</v>
      </c>
    </row>
    <row r="331" spans="1:7" x14ac:dyDescent="0.2">
      <c r="A331" s="11">
        <v>330</v>
      </c>
      <c r="B331" s="12">
        <v>1055787167</v>
      </c>
      <c r="C331" s="8" t="str">
        <f>IFERROR(IF(B331="","",VLOOKUP(B331,المستفيدين!$B:$C,2,FALSE)),"")</f>
        <v>مستفيد134</v>
      </c>
      <c r="D331" s="15" t="s">
        <v>144</v>
      </c>
      <c r="E331" s="16" t="s">
        <v>37</v>
      </c>
      <c r="F331" s="14" t="str">
        <f>IFERROR(IF(B331="","",VLOOKUP(B331,المستفيدين!$B:$F,5,FALSE)),"")</f>
        <v>مركز إرادة وتمكين لرعاية ذوي الاحتياجات الخاصة (جلمودة)</v>
      </c>
      <c r="G331">
        <f>COUNTIF($B$2:B331,B331)</f>
        <v>1</v>
      </c>
    </row>
    <row r="332" spans="1:7" x14ac:dyDescent="0.2">
      <c r="A332" s="9">
        <v>331</v>
      </c>
      <c r="B332" s="10">
        <v>1055787167</v>
      </c>
      <c r="C332" s="8" t="str">
        <f>IFERROR(IF(B332="","",VLOOKUP(B332,المستفيدين!$B:$C,2,FALSE)),"")</f>
        <v>مستفيد134</v>
      </c>
      <c r="D332" s="13" t="s">
        <v>137</v>
      </c>
      <c r="E332" s="14" t="s">
        <v>34</v>
      </c>
      <c r="F332" s="14" t="str">
        <f>IFERROR(IF(B332="","",VLOOKUP(B332,المستفيدين!$B:$F,5,FALSE)),"")</f>
        <v>مركز إرادة وتمكين لرعاية ذوي الاحتياجات الخاصة (جلمودة)</v>
      </c>
      <c r="G332">
        <f>COUNTIF($B$2:B332,B332)</f>
        <v>2</v>
      </c>
    </row>
    <row r="333" spans="1:7" x14ac:dyDescent="0.2">
      <c r="A333" s="11">
        <v>332</v>
      </c>
      <c r="B333" s="12">
        <v>1055787167</v>
      </c>
      <c r="C333" s="8" t="str">
        <f>IFERROR(IF(B333="","",VLOOKUP(B333,المستفيدين!$B:$C,2,FALSE)),"")</f>
        <v>مستفيد134</v>
      </c>
      <c r="D333" s="15" t="s">
        <v>142</v>
      </c>
      <c r="E333" s="16" t="s">
        <v>36</v>
      </c>
      <c r="F333" s="14" t="str">
        <f>IFERROR(IF(B333="","",VLOOKUP(B333,المستفيدين!$B:$F,5,FALSE)),"")</f>
        <v>مركز إرادة وتمكين لرعاية ذوي الاحتياجات الخاصة (جلمودة)</v>
      </c>
      <c r="G333">
        <f>COUNTIF($B$2:B333,B333)</f>
        <v>3</v>
      </c>
    </row>
    <row r="334" spans="1:7" x14ac:dyDescent="0.2">
      <c r="A334" s="9">
        <v>333</v>
      </c>
      <c r="B334" s="10">
        <v>1090991477</v>
      </c>
      <c r="C334" s="8" t="str">
        <f>IFERROR(IF(B334="","",VLOOKUP(B334,المستفيدين!$B:$C,2,FALSE)),"")</f>
        <v>مستفيد135</v>
      </c>
      <c r="D334" s="13" t="s">
        <v>138</v>
      </c>
      <c r="E334" s="14" t="s">
        <v>34</v>
      </c>
      <c r="F334" s="14" t="str">
        <f>IFERROR(IF(B334="","",VLOOKUP(B334,المستفيدين!$B:$F,5,FALSE)),"")</f>
        <v>مركز إرادة وتمكين للرعاية النهارية (القدس)</v>
      </c>
      <c r="G334">
        <f>COUNTIF($B$2:B334,B334)</f>
        <v>1</v>
      </c>
    </row>
    <row r="335" spans="1:7" x14ac:dyDescent="0.2">
      <c r="A335" s="11">
        <v>334</v>
      </c>
      <c r="B335" s="12">
        <v>1090991477</v>
      </c>
      <c r="C335" s="8" t="str">
        <f>IFERROR(IF(B335="","",VLOOKUP(B335,المستفيدين!$B:$C,2,FALSE)),"")</f>
        <v>مستفيد135</v>
      </c>
      <c r="D335" s="15" t="s">
        <v>134</v>
      </c>
      <c r="E335" s="16" t="s">
        <v>34</v>
      </c>
      <c r="F335" s="14" t="str">
        <f>IFERROR(IF(B335="","",VLOOKUP(B335,المستفيدين!$B:$F,5,FALSE)),"")</f>
        <v>مركز إرادة وتمكين للرعاية النهارية (القدس)</v>
      </c>
      <c r="G335">
        <f>COUNTIF($B$2:B335,B335)</f>
        <v>2</v>
      </c>
    </row>
    <row r="336" spans="1:7" x14ac:dyDescent="0.2">
      <c r="A336" s="9">
        <v>335</v>
      </c>
      <c r="B336" s="10">
        <v>1090991477</v>
      </c>
      <c r="C336" s="8" t="str">
        <f>IFERROR(IF(B336="","",VLOOKUP(B336,المستفيدين!$B:$C,2,FALSE)),"")</f>
        <v>مستفيد135</v>
      </c>
      <c r="D336" s="13" t="s">
        <v>146</v>
      </c>
      <c r="E336" s="14" t="s">
        <v>37</v>
      </c>
      <c r="F336" s="14" t="str">
        <f>IFERROR(IF(B336="","",VLOOKUP(B336,المستفيدين!$B:$F,5,FALSE)),"")</f>
        <v>مركز إرادة وتمكين للرعاية النهارية (القدس)</v>
      </c>
      <c r="G336">
        <f>COUNTIF($B$2:B336,B336)</f>
        <v>3</v>
      </c>
    </row>
    <row r="337" spans="1:7" x14ac:dyDescent="0.2">
      <c r="A337" s="11">
        <v>336</v>
      </c>
      <c r="B337" s="12">
        <v>1090991477</v>
      </c>
      <c r="C337" s="8" t="str">
        <f>IFERROR(IF(B337="","",VLOOKUP(B337,المستفيدين!$B:$C,2,FALSE)),"")</f>
        <v>مستفيد135</v>
      </c>
      <c r="D337" s="15" t="s">
        <v>141</v>
      </c>
      <c r="E337" s="16" t="s">
        <v>36</v>
      </c>
      <c r="F337" s="14" t="str">
        <f>IFERROR(IF(B337="","",VLOOKUP(B337,المستفيدين!$B:$F,5,FALSE)),"")</f>
        <v>مركز إرادة وتمكين للرعاية النهارية (القدس)</v>
      </c>
      <c r="G337">
        <f>COUNTIF($B$2:B337,B337)</f>
        <v>4</v>
      </c>
    </row>
    <row r="338" spans="1:7" x14ac:dyDescent="0.2">
      <c r="A338" s="9">
        <v>337</v>
      </c>
      <c r="B338" s="10">
        <v>1234479307</v>
      </c>
      <c r="C338" s="8" t="str">
        <f>IFERROR(IF(B338="","",VLOOKUP(B338,المستفيدين!$B:$C,2,FALSE)),"")</f>
        <v>مستفيد136</v>
      </c>
      <c r="D338" s="13" t="s">
        <v>136</v>
      </c>
      <c r="E338" s="14" t="s">
        <v>36</v>
      </c>
      <c r="F338" s="14" t="str">
        <f>IFERROR(IF(B338="","",VLOOKUP(B338,المستفيدين!$B:$F,5,FALSE)),"")</f>
        <v>مركز إرادة وتمكين لمتلازمة داون (نجد)</v>
      </c>
      <c r="G338">
        <f>COUNTIF($B$2:B338,B338)</f>
        <v>1</v>
      </c>
    </row>
    <row r="339" spans="1:7" x14ac:dyDescent="0.2">
      <c r="A339" s="11">
        <v>338</v>
      </c>
      <c r="B339" s="12">
        <v>1234479307</v>
      </c>
      <c r="C339" s="8" t="str">
        <f>IFERROR(IF(B339="","",VLOOKUP(B339,المستفيدين!$B:$C,2,FALSE)),"")</f>
        <v>مستفيد136</v>
      </c>
      <c r="D339" s="15" t="s">
        <v>369</v>
      </c>
      <c r="E339" s="16" t="s">
        <v>36</v>
      </c>
      <c r="F339" s="14" t="str">
        <f>IFERROR(IF(B339="","",VLOOKUP(B339,المستفيدين!$B:$F,5,FALSE)),"")</f>
        <v>مركز إرادة وتمكين لمتلازمة داون (نجد)</v>
      </c>
      <c r="G339">
        <f>COUNTIF($B$2:B339,B339)</f>
        <v>2</v>
      </c>
    </row>
    <row r="340" spans="1:7" x14ac:dyDescent="0.2">
      <c r="A340" s="9">
        <v>339</v>
      </c>
      <c r="B340" s="10">
        <v>1181831202</v>
      </c>
      <c r="C340" s="8" t="str">
        <f>IFERROR(IF(B340="","",VLOOKUP(B340,المستفيدين!$B:$C,2,FALSE)),"")</f>
        <v>مستفيد137</v>
      </c>
      <c r="D340" s="13" t="s">
        <v>64</v>
      </c>
      <c r="E340" s="14" t="s">
        <v>36</v>
      </c>
      <c r="F340" s="14" t="str">
        <f>IFERROR(IF(B340="","",VLOOKUP(B340,المستفيدين!$B:$F,5,FALSE)),"")</f>
        <v>مركز إرادة وتمكين للرعاية النهارية (القدس)</v>
      </c>
      <c r="G340">
        <f>COUNTIF($B$2:B340,B340)</f>
        <v>1</v>
      </c>
    </row>
    <row r="341" spans="1:7" x14ac:dyDescent="0.2">
      <c r="A341" s="11">
        <v>340</v>
      </c>
      <c r="B341" s="12">
        <v>1181831202</v>
      </c>
      <c r="C341" s="8" t="str">
        <f>IFERROR(IF(B341="","",VLOOKUP(B341,المستفيدين!$B:$C,2,FALSE)),"")</f>
        <v>مستفيد137</v>
      </c>
      <c r="D341" s="15" t="s">
        <v>369</v>
      </c>
      <c r="E341" s="16" t="s">
        <v>36</v>
      </c>
      <c r="F341" s="14" t="str">
        <f>IFERROR(IF(B341="","",VLOOKUP(B341,المستفيدين!$B:$F,5,FALSE)),"")</f>
        <v>مركز إرادة وتمكين للرعاية النهارية (القدس)</v>
      </c>
      <c r="G341">
        <f>COUNTIF($B$2:B341,B341)</f>
        <v>2</v>
      </c>
    </row>
    <row r="342" spans="1:7" x14ac:dyDescent="0.2">
      <c r="A342" s="9">
        <v>341</v>
      </c>
      <c r="B342" s="10">
        <v>1181831202</v>
      </c>
      <c r="C342" s="8" t="str">
        <f>IFERROR(IF(B342="","",VLOOKUP(B342,المستفيدين!$B:$C,2,FALSE)),"")</f>
        <v>مستفيد137</v>
      </c>
      <c r="D342" s="13" t="s">
        <v>368</v>
      </c>
      <c r="E342" s="14" t="s">
        <v>34</v>
      </c>
      <c r="F342" s="14" t="str">
        <f>IFERROR(IF(B342="","",VLOOKUP(B342,المستفيدين!$B:$F,5,FALSE)),"")</f>
        <v>مركز إرادة وتمكين للرعاية النهارية (القدس)</v>
      </c>
      <c r="G342">
        <f>COUNTIF($B$2:B342,B342)</f>
        <v>3</v>
      </c>
    </row>
    <row r="343" spans="1:7" x14ac:dyDescent="0.2">
      <c r="A343" s="11">
        <v>342</v>
      </c>
      <c r="B343" s="12">
        <v>1762847665</v>
      </c>
      <c r="C343" s="8" t="str">
        <f>IFERROR(IF(B343="","",VLOOKUP(B343,المستفيدين!$B:$C,2,FALSE)),"")</f>
        <v>مستفيد138</v>
      </c>
      <c r="D343" s="15" t="s">
        <v>370</v>
      </c>
      <c r="E343" s="16" t="s">
        <v>34</v>
      </c>
      <c r="F343" s="14" t="str">
        <f>IFERROR(IF(B343="","",VLOOKUP(B343,المستفيدين!$B:$F,5,FALSE)),"")</f>
        <v>مدرسة إرادة وتمكين لمتلازمة داون (نجد)</v>
      </c>
      <c r="G343">
        <f>COUNTIF($B$2:B343,B343)</f>
        <v>1</v>
      </c>
    </row>
    <row r="344" spans="1:7" x14ac:dyDescent="0.2">
      <c r="A344" s="9">
        <v>343</v>
      </c>
      <c r="B344" s="10">
        <v>1883810977</v>
      </c>
      <c r="C344" s="8" t="str">
        <f>IFERROR(IF(B344="","",VLOOKUP(B344,المستفيدين!$B:$C,2,FALSE)),"")</f>
        <v>مستفيد139</v>
      </c>
      <c r="D344" s="13" t="s">
        <v>136</v>
      </c>
      <c r="E344" s="14" t="s">
        <v>34</v>
      </c>
      <c r="F344" s="14" t="str">
        <f>IFERROR(IF(B344="","",VLOOKUP(B344,المستفيدين!$B:$F,5,FALSE)),"")</f>
        <v>مدرسة إرادة وتمكين لمتلازمة داون (نجد)</v>
      </c>
      <c r="G344">
        <f>COUNTIF($B$2:B344,B344)</f>
        <v>1</v>
      </c>
    </row>
    <row r="345" spans="1:7" x14ac:dyDescent="0.2">
      <c r="A345" s="11">
        <v>344</v>
      </c>
      <c r="B345" s="12">
        <v>1883810977</v>
      </c>
      <c r="C345" s="8" t="str">
        <f>IFERROR(IF(B345="","",VLOOKUP(B345,المستفيدين!$B:$C,2,FALSE)),"")</f>
        <v>مستفيد139</v>
      </c>
      <c r="D345" s="15" t="s">
        <v>139</v>
      </c>
      <c r="E345" s="16" t="s">
        <v>37</v>
      </c>
      <c r="F345" s="14" t="str">
        <f>IFERROR(IF(B345="","",VLOOKUP(B345,المستفيدين!$B:$F,5,FALSE)),"")</f>
        <v>مدرسة إرادة وتمكين لمتلازمة داون (نجد)</v>
      </c>
      <c r="G345">
        <f>COUNTIF($B$2:B345,B345)</f>
        <v>2</v>
      </c>
    </row>
    <row r="346" spans="1:7" x14ac:dyDescent="0.2">
      <c r="A346" s="9">
        <v>345</v>
      </c>
      <c r="B346" s="10">
        <v>1098792726</v>
      </c>
      <c r="C346" s="8" t="str">
        <f>IFERROR(IF(B346="","",VLOOKUP(B346,المستفيدين!$B:$C,2,FALSE)),"")</f>
        <v>مستفيد140</v>
      </c>
      <c r="D346" s="13" t="s">
        <v>370</v>
      </c>
      <c r="E346" s="14" t="s">
        <v>36</v>
      </c>
      <c r="F346" s="14" t="str">
        <f>IFERROR(IF(B346="","",VLOOKUP(B346,المستفيدين!$B:$F,5,FALSE)),"")</f>
        <v>مدرسة إرادة وتمكين لمتلازمة داون (نجد)</v>
      </c>
      <c r="G346">
        <f>COUNTIF($B$2:B346,B346)</f>
        <v>1</v>
      </c>
    </row>
    <row r="347" spans="1:7" x14ac:dyDescent="0.2">
      <c r="A347" s="11">
        <v>346</v>
      </c>
      <c r="B347" s="12">
        <v>1098792726</v>
      </c>
      <c r="C347" s="8" t="str">
        <f>IFERROR(IF(B347="","",VLOOKUP(B347,المستفيدين!$B:$C,2,FALSE)),"")</f>
        <v>مستفيد140</v>
      </c>
      <c r="D347" s="15" t="s">
        <v>369</v>
      </c>
      <c r="E347" s="16" t="s">
        <v>36</v>
      </c>
      <c r="F347" s="14" t="str">
        <f>IFERROR(IF(B347="","",VLOOKUP(B347,المستفيدين!$B:$F,5,FALSE)),"")</f>
        <v>مدرسة إرادة وتمكين لمتلازمة داون (نجد)</v>
      </c>
      <c r="G347">
        <f>COUNTIF($B$2:B347,B347)</f>
        <v>2</v>
      </c>
    </row>
    <row r="348" spans="1:7" x14ac:dyDescent="0.2">
      <c r="A348" s="9">
        <v>347</v>
      </c>
      <c r="B348" s="10">
        <v>1098792726</v>
      </c>
      <c r="C348" s="8" t="str">
        <f>IFERROR(IF(B348="","",VLOOKUP(B348,المستفيدين!$B:$C,2,FALSE)),"")</f>
        <v>مستفيد140</v>
      </c>
      <c r="D348" s="13" t="s">
        <v>138</v>
      </c>
      <c r="E348" s="14" t="s">
        <v>36</v>
      </c>
      <c r="F348" s="14" t="str">
        <f>IFERROR(IF(B348="","",VLOOKUP(B348,المستفيدين!$B:$F,5,FALSE)),"")</f>
        <v>مدرسة إرادة وتمكين لمتلازمة داون (نجد)</v>
      </c>
      <c r="G348">
        <f>COUNTIF($B$2:B348,B348)</f>
        <v>3</v>
      </c>
    </row>
    <row r="349" spans="1:7" x14ac:dyDescent="0.2">
      <c r="A349" s="11">
        <v>348</v>
      </c>
      <c r="B349" s="12">
        <v>1098792726</v>
      </c>
      <c r="C349" s="8" t="str">
        <f>IFERROR(IF(B349="","",VLOOKUP(B349,المستفيدين!$B:$C,2,FALSE)),"")</f>
        <v>مستفيد140</v>
      </c>
      <c r="D349" s="15" t="s">
        <v>140</v>
      </c>
      <c r="E349" s="16" t="s">
        <v>36</v>
      </c>
      <c r="F349" s="14" t="str">
        <f>IFERROR(IF(B349="","",VLOOKUP(B349,المستفيدين!$B:$F,5,FALSE)),"")</f>
        <v>مدرسة إرادة وتمكين لمتلازمة داون (نجد)</v>
      </c>
      <c r="G349">
        <f>COUNTIF($B$2:B349,B349)</f>
        <v>4</v>
      </c>
    </row>
    <row r="350" spans="1:7" x14ac:dyDescent="0.2">
      <c r="A350" s="9">
        <v>349</v>
      </c>
      <c r="B350" s="10">
        <v>1690864686</v>
      </c>
      <c r="C350" s="8" t="str">
        <f>IFERROR(IF(B350="","",VLOOKUP(B350,المستفيدين!$B:$C,2,FALSE)),"")</f>
        <v>مستفيد141</v>
      </c>
      <c r="D350" s="13" t="s">
        <v>145</v>
      </c>
      <c r="E350" s="14" t="s">
        <v>36</v>
      </c>
      <c r="F350" s="14" t="str">
        <f>IFERROR(IF(B350="","",VLOOKUP(B350,المستفيدين!$B:$F,5,FALSE)),"")</f>
        <v>مدرسة إرادة وتمكين لمتلازمة داون (نجد)</v>
      </c>
      <c r="G350">
        <f>COUNTIF($B$2:B350,B350)</f>
        <v>1</v>
      </c>
    </row>
    <row r="351" spans="1:7" x14ac:dyDescent="0.2">
      <c r="A351" s="11">
        <v>350</v>
      </c>
      <c r="B351" s="12">
        <v>1690864686</v>
      </c>
      <c r="C351" s="8" t="str">
        <f>IFERROR(IF(B351="","",VLOOKUP(B351,المستفيدين!$B:$C,2,FALSE)),"")</f>
        <v>مستفيد141</v>
      </c>
      <c r="D351" s="15" t="s">
        <v>64</v>
      </c>
      <c r="E351" s="16" t="s">
        <v>36</v>
      </c>
      <c r="F351" s="14" t="str">
        <f>IFERROR(IF(B351="","",VLOOKUP(B351,المستفيدين!$B:$F,5,FALSE)),"")</f>
        <v>مدرسة إرادة وتمكين لمتلازمة داون (نجد)</v>
      </c>
      <c r="G351">
        <f>COUNTIF($B$2:B351,B351)</f>
        <v>2</v>
      </c>
    </row>
    <row r="352" spans="1:7" x14ac:dyDescent="0.2">
      <c r="A352" s="9">
        <v>351</v>
      </c>
      <c r="B352" s="10">
        <v>1777729908</v>
      </c>
      <c r="C352" s="8" t="str">
        <f>IFERROR(IF(B352="","",VLOOKUP(B352,المستفيدين!$B:$C,2,FALSE)),"")</f>
        <v>مستفيد142</v>
      </c>
      <c r="D352" s="13" t="s">
        <v>134</v>
      </c>
      <c r="E352" s="14" t="s">
        <v>36</v>
      </c>
      <c r="F352" s="14" t="str">
        <f>IFERROR(IF(B352="","",VLOOKUP(B352,المستفيدين!$B:$F,5,FALSE)),"")</f>
        <v>مركز إرادة وتمكين لرعاية ذوي الاحتياجات الخاصة (جلمودة)</v>
      </c>
      <c r="G352">
        <f>COUNTIF($B$2:B352,B352)</f>
        <v>1</v>
      </c>
    </row>
    <row r="353" spans="1:7" x14ac:dyDescent="0.2">
      <c r="A353" s="11">
        <v>352</v>
      </c>
      <c r="B353" s="12">
        <v>1672405739</v>
      </c>
      <c r="C353" s="8" t="str">
        <f>IFERROR(IF(B353="","",VLOOKUP(B353,المستفيدين!$B:$C,2,FALSE)),"")</f>
        <v>مستفيد143</v>
      </c>
      <c r="D353" s="15" t="s">
        <v>369</v>
      </c>
      <c r="E353" s="16" t="s">
        <v>36</v>
      </c>
      <c r="F353" s="14" t="str">
        <f>IFERROR(IF(B353="","",VLOOKUP(B353,المستفيدين!$B:$F,5,FALSE)),"")</f>
        <v>مدرسة إرادة وتمكين لمتلازمة داون (نجد)</v>
      </c>
      <c r="G353">
        <f>COUNTIF($B$2:B353,B353)</f>
        <v>1</v>
      </c>
    </row>
    <row r="354" spans="1:7" x14ac:dyDescent="0.2">
      <c r="A354" s="9">
        <v>353</v>
      </c>
      <c r="B354" s="10">
        <v>1672405739</v>
      </c>
      <c r="C354" s="8" t="str">
        <f>IFERROR(IF(B354="","",VLOOKUP(B354,المستفيدين!$B:$C,2,FALSE)),"")</f>
        <v>مستفيد143</v>
      </c>
      <c r="D354" s="13" t="s">
        <v>136</v>
      </c>
      <c r="E354" s="14" t="s">
        <v>36</v>
      </c>
      <c r="F354" s="14" t="str">
        <f>IFERROR(IF(B354="","",VLOOKUP(B354,المستفيدين!$B:$F,5,FALSE)),"")</f>
        <v>مدرسة إرادة وتمكين لمتلازمة داون (نجد)</v>
      </c>
      <c r="G354">
        <f>COUNTIF($B$2:B354,B354)</f>
        <v>2</v>
      </c>
    </row>
    <row r="355" spans="1:7" x14ac:dyDescent="0.2">
      <c r="A355" s="11">
        <v>354</v>
      </c>
      <c r="B355" s="12">
        <v>1079496892</v>
      </c>
      <c r="C355" s="8" t="str">
        <f>IFERROR(IF(B355="","",VLOOKUP(B355,المستفيدين!$B:$C,2,FALSE)),"")</f>
        <v>مستفيد144</v>
      </c>
      <c r="D355" s="15" t="s">
        <v>142</v>
      </c>
      <c r="E355" s="16" t="s">
        <v>34</v>
      </c>
      <c r="F355" s="14" t="str">
        <f>IFERROR(IF(B355="","",VLOOKUP(B355,المستفيدين!$B:$F,5,FALSE)),"")</f>
        <v>مدرسة إرادة وتمكين لمتلازمة داون (نجد)</v>
      </c>
      <c r="G355">
        <f>COUNTIF($B$2:B355,B355)</f>
        <v>1</v>
      </c>
    </row>
    <row r="356" spans="1:7" x14ac:dyDescent="0.2">
      <c r="A356" s="9">
        <v>355</v>
      </c>
      <c r="B356" s="10">
        <v>1079496892</v>
      </c>
      <c r="C356" s="8" t="str">
        <f>IFERROR(IF(B356="","",VLOOKUP(B356,المستفيدين!$B:$C,2,FALSE)),"")</f>
        <v>مستفيد144</v>
      </c>
      <c r="D356" s="13" t="s">
        <v>139</v>
      </c>
      <c r="E356" s="14" t="s">
        <v>36</v>
      </c>
      <c r="F356" s="14" t="str">
        <f>IFERROR(IF(B356="","",VLOOKUP(B356,المستفيدين!$B:$F,5,FALSE)),"")</f>
        <v>مدرسة إرادة وتمكين لمتلازمة داون (نجد)</v>
      </c>
      <c r="G356">
        <f>COUNTIF($B$2:B356,B356)</f>
        <v>2</v>
      </c>
    </row>
    <row r="357" spans="1:7" x14ac:dyDescent="0.2">
      <c r="A357" s="11">
        <v>356</v>
      </c>
      <c r="B357" s="12">
        <v>1079496892</v>
      </c>
      <c r="C357" s="8" t="str">
        <f>IFERROR(IF(B357="","",VLOOKUP(B357,المستفيدين!$B:$C,2,FALSE)),"")</f>
        <v>مستفيد144</v>
      </c>
      <c r="D357" s="15" t="s">
        <v>134</v>
      </c>
      <c r="E357" s="16" t="s">
        <v>34</v>
      </c>
      <c r="F357" s="14" t="str">
        <f>IFERROR(IF(B357="","",VLOOKUP(B357,المستفيدين!$B:$F,5,FALSE)),"")</f>
        <v>مدرسة إرادة وتمكين لمتلازمة داون (نجد)</v>
      </c>
      <c r="G357">
        <f>COUNTIF($B$2:B357,B357)</f>
        <v>3</v>
      </c>
    </row>
    <row r="358" spans="1:7" x14ac:dyDescent="0.2">
      <c r="A358" s="9">
        <v>357</v>
      </c>
      <c r="B358" s="10">
        <v>1750266812</v>
      </c>
      <c r="C358" s="8" t="str">
        <f>IFERROR(IF(B358="","",VLOOKUP(B358,المستفيدين!$B:$C,2,FALSE)),"")</f>
        <v>مستفيد145</v>
      </c>
      <c r="D358" s="13" t="s">
        <v>369</v>
      </c>
      <c r="E358" s="14" t="s">
        <v>34</v>
      </c>
      <c r="F358" s="14" t="str">
        <f>IFERROR(IF(B358="","",VLOOKUP(B358,المستفيدين!$B:$F,5,FALSE)),"")</f>
        <v>مدرسة إرادة وتمكين لمتلازمة داون (نجد)</v>
      </c>
      <c r="G358">
        <f>COUNTIF($B$2:B358,B358)</f>
        <v>1</v>
      </c>
    </row>
    <row r="359" spans="1:7" x14ac:dyDescent="0.2">
      <c r="A359" s="11">
        <v>358</v>
      </c>
      <c r="B359" s="12">
        <v>1144287415</v>
      </c>
      <c r="C359" s="8" t="str">
        <f>IFERROR(IF(B359="","",VLOOKUP(B359,المستفيدين!$B:$C,2,FALSE)),"")</f>
        <v>مستفيد146</v>
      </c>
      <c r="D359" s="15" t="s">
        <v>139</v>
      </c>
      <c r="E359" s="16" t="s">
        <v>34</v>
      </c>
      <c r="F359" s="14" t="str">
        <f>IFERROR(IF(B359="","",VLOOKUP(B359,المستفيدين!$B:$F,5,FALSE)),"")</f>
        <v>مركز إرادة وتمكين لرعاية ذوي الاحتياجات الخاصة (جلمودة)</v>
      </c>
      <c r="G359">
        <f>COUNTIF($B$2:B359,B359)</f>
        <v>1</v>
      </c>
    </row>
    <row r="360" spans="1:7" x14ac:dyDescent="0.2">
      <c r="A360" s="9">
        <v>359</v>
      </c>
      <c r="B360" s="10">
        <v>1368977349</v>
      </c>
      <c r="C360" s="8" t="str">
        <f>IFERROR(IF(B360="","",VLOOKUP(B360,المستفيدين!$B:$C,2,FALSE)),"")</f>
        <v>مستفيد147</v>
      </c>
      <c r="D360" s="13" t="s">
        <v>370</v>
      </c>
      <c r="E360" s="14" t="s">
        <v>37</v>
      </c>
      <c r="F360" s="14" t="str">
        <f>IFERROR(IF(B360="","",VLOOKUP(B360,المستفيدين!$B:$F,5,FALSE)),"")</f>
        <v>مركز إرادة وتمكين للرعاية النهارية (القدس)</v>
      </c>
      <c r="G360">
        <f>COUNTIF($B$2:B360,B360)</f>
        <v>1</v>
      </c>
    </row>
    <row r="361" spans="1:7" x14ac:dyDescent="0.2">
      <c r="A361" s="11">
        <v>360</v>
      </c>
      <c r="B361" s="12">
        <v>1368977349</v>
      </c>
      <c r="C361" s="8" t="str">
        <f>IFERROR(IF(B361="","",VLOOKUP(B361,المستفيدين!$B:$C,2,FALSE)),"")</f>
        <v>مستفيد147</v>
      </c>
      <c r="D361" s="15" t="s">
        <v>368</v>
      </c>
      <c r="E361" s="16" t="s">
        <v>34</v>
      </c>
      <c r="F361" s="14" t="str">
        <f>IFERROR(IF(B361="","",VLOOKUP(B361,المستفيدين!$B:$F,5,FALSE)),"")</f>
        <v>مركز إرادة وتمكين للرعاية النهارية (القدس)</v>
      </c>
      <c r="G361">
        <f>COUNTIF($B$2:B361,B361)</f>
        <v>2</v>
      </c>
    </row>
    <row r="362" spans="1:7" x14ac:dyDescent="0.2">
      <c r="A362" s="9">
        <v>361</v>
      </c>
      <c r="B362" s="10">
        <v>1368977349</v>
      </c>
      <c r="C362" s="8" t="str">
        <f>IFERROR(IF(B362="","",VLOOKUP(B362,المستفيدين!$B:$C,2,FALSE)),"")</f>
        <v>مستفيد147</v>
      </c>
      <c r="D362" s="13" t="s">
        <v>137</v>
      </c>
      <c r="E362" s="14" t="s">
        <v>36</v>
      </c>
      <c r="F362" s="14" t="str">
        <f>IFERROR(IF(B362="","",VLOOKUP(B362,المستفيدين!$B:$F,5,FALSE)),"")</f>
        <v>مركز إرادة وتمكين للرعاية النهارية (القدس)</v>
      </c>
      <c r="G362">
        <f>COUNTIF($B$2:B362,B362)</f>
        <v>3</v>
      </c>
    </row>
    <row r="363" spans="1:7" x14ac:dyDescent="0.2">
      <c r="A363" s="11">
        <v>362</v>
      </c>
      <c r="B363" s="12">
        <v>1368977349</v>
      </c>
      <c r="C363" s="8" t="str">
        <f>IFERROR(IF(B363="","",VLOOKUP(B363,المستفيدين!$B:$C,2,FALSE)),"")</f>
        <v>مستفيد147</v>
      </c>
      <c r="D363" s="15" t="s">
        <v>146</v>
      </c>
      <c r="E363" s="16" t="s">
        <v>34</v>
      </c>
      <c r="F363" s="14" t="str">
        <f>IFERROR(IF(B363="","",VLOOKUP(B363,المستفيدين!$B:$F,5,FALSE)),"")</f>
        <v>مركز إرادة وتمكين للرعاية النهارية (القدس)</v>
      </c>
      <c r="G363">
        <f>COUNTIF($B$2:B363,B363)</f>
        <v>4</v>
      </c>
    </row>
    <row r="364" spans="1:7" x14ac:dyDescent="0.2">
      <c r="A364" s="9">
        <v>363</v>
      </c>
      <c r="B364" s="10">
        <v>1672893974</v>
      </c>
      <c r="C364" s="8" t="str">
        <f>IFERROR(IF(B364="","",VLOOKUP(B364,المستفيدين!$B:$C,2,FALSE)),"")</f>
        <v>مستفيد148</v>
      </c>
      <c r="D364" s="13" t="s">
        <v>139</v>
      </c>
      <c r="E364" s="14" t="s">
        <v>34</v>
      </c>
      <c r="F364" s="14" t="str">
        <f>IFERROR(IF(B364="","",VLOOKUP(B364,المستفيدين!$B:$F,5,FALSE)),"")</f>
        <v>مركز إرادة وتمكين لمتلازمة داون (نجد)</v>
      </c>
      <c r="G364">
        <f>COUNTIF($B$2:B364,B364)</f>
        <v>1</v>
      </c>
    </row>
    <row r="365" spans="1:7" x14ac:dyDescent="0.2">
      <c r="A365" s="11">
        <v>364</v>
      </c>
      <c r="B365" s="12">
        <v>1672893974</v>
      </c>
      <c r="C365" s="8" t="str">
        <f>IFERROR(IF(B365="","",VLOOKUP(B365,المستفيدين!$B:$C,2,FALSE)),"")</f>
        <v>مستفيد148</v>
      </c>
      <c r="D365" s="15" t="s">
        <v>142</v>
      </c>
      <c r="E365" s="16" t="s">
        <v>36</v>
      </c>
      <c r="F365" s="14" t="str">
        <f>IFERROR(IF(B365="","",VLOOKUP(B365,المستفيدين!$B:$F,5,FALSE)),"")</f>
        <v>مركز إرادة وتمكين لمتلازمة داون (نجد)</v>
      </c>
      <c r="G365">
        <f>COUNTIF($B$2:B365,B365)</f>
        <v>2</v>
      </c>
    </row>
    <row r="366" spans="1:7" x14ac:dyDescent="0.2">
      <c r="A366" s="9">
        <v>365</v>
      </c>
      <c r="B366" s="10">
        <v>1672893974</v>
      </c>
      <c r="C366" s="8" t="str">
        <f>IFERROR(IF(B366="","",VLOOKUP(B366,المستفيدين!$B:$C,2,FALSE)),"")</f>
        <v>مستفيد148</v>
      </c>
      <c r="D366" s="13" t="s">
        <v>146</v>
      </c>
      <c r="E366" s="14" t="s">
        <v>34</v>
      </c>
      <c r="F366" s="14" t="str">
        <f>IFERROR(IF(B366="","",VLOOKUP(B366,المستفيدين!$B:$F,5,FALSE)),"")</f>
        <v>مركز إرادة وتمكين لمتلازمة داون (نجد)</v>
      </c>
      <c r="G366">
        <f>COUNTIF($B$2:B366,B366)</f>
        <v>3</v>
      </c>
    </row>
    <row r="367" spans="1:7" x14ac:dyDescent="0.2">
      <c r="A367" s="11">
        <v>366</v>
      </c>
      <c r="B367" s="12">
        <v>1614390911</v>
      </c>
      <c r="C367" s="8" t="str">
        <f>IFERROR(IF(B367="","",VLOOKUP(B367,المستفيدين!$B:$C,2,FALSE)),"")</f>
        <v>مستفيد149</v>
      </c>
      <c r="D367" s="15" t="s">
        <v>143</v>
      </c>
      <c r="E367" s="16" t="s">
        <v>36</v>
      </c>
      <c r="F367" s="14" t="str">
        <f>IFERROR(IF(B367="","",VLOOKUP(B367,المستفيدين!$B:$F,5,FALSE)),"")</f>
        <v>مدرسة إرادة للتعليم (مكة)</v>
      </c>
      <c r="G367">
        <f>COUNTIF($B$2:B367,B367)</f>
        <v>1</v>
      </c>
    </row>
    <row r="368" spans="1:7" x14ac:dyDescent="0.2">
      <c r="A368" s="9">
        <v>367</v>
      </c>
      <c r="B368" s="10">
        <v>1614390911</v>
      </c>
      <c r="C368" s="8" t="str">
        <f>IFERROR(IF(B368="","",VLOOKUP(B368,المستفيدين!$B:$C,2,FALSE)),"")</f>
        <v>مستفيد149</v>
      </c>
      <c r="D368" s="13" t="s">
        <v>134</v>
      </c>
      <c r="E368" s="14" t="s">
        <v>34</v>
      </c>
      <c r="F368" s="14" t="str">
        <f>IFERROR(IF(B368="","",VLOOKUP(B368,المستفيدين!$B:$F,5,FALSE)),"")</f>
        <v>مدرسة إرادة للتعليم (مكة)</v>
      </c>
      <c r="G368">
        <f>COUNTIF($B$2:B368,B368)</f>
        <v>2</v>
      </c>
    </row>
    <row r="369" spans="1:7" x14ac:dyDescent="0.2">
      <c r="A369" s="11">
        <v>368</v>
      </c>
      <c r="B369" s="12">
        <v>1614390911</v>
      </c>
      <c r="C369" s="8" t="str">
        <f>IFERROR(IF(B369="","",VLOOKUP(B369,المستفيدين!$B:$C,2,FALSE)),"")</f>
        <v>مستفيد149</v>
      </c>
      <c r="D369" s="15" t="s">
        <v>368</v>
      </c>
      <c r="E369" s="16" t="s">
        <v>34</v>
      </c>
      <c r="F369" s="14" t="str">
        <f>IFERROR(IF(B369="","",VLOOKUP(B369,المستفيدين!$B:$F,5,FALSE)),"")</f>
        <v>مدرسة إرادة للتعليم (مكة)</v>
      </c>
      <c r="G369">
        <f>COUNTIF($B$2:B369,B369)</f>
        <v>3</v>
      </c>
    </row>
    <row r="370" spans="1:7" x14ac:dyDescent="0.2">
      <c r="A370" s="9">
        <v>369</v>
      </c>
      <c r="B370" s="10">
        <v>1614390911</v>
      </c>
      <c r="C370" s="8" t="str">
        <f>IFERROR(IF(B370="","",VLOOKUP(B370,المستفيدين!$B:$C,2,FALSE)),"")</f>
        <v>مستفيد149</v>
      </c>
      <c r="D370" s="13" t="s">
        <v>146</v>
      </c>
      <c r="E370" s="14" t="s">
        <v>34</v>
      </c>
      <c r="F370" s="14" t="str">
        <f>IFERROR(IF(B370="","",VLOOKUP(B370,المستفيدين!$B:$F,5,FALSE)),"")</f>
        <v>مدرسة إرادة للتعليم (مكة)</v>
      </c>
      <c r="G370">
        <f>COUNTIF($B$2:B370,B370)</f>
        <v>4</v>
      </c>
    </row>
    <row r="371" spans="1:7" x14ac:dyDescent="0.2">
      <c r="A371" s="11">
        <v>370</v>
      </c>
      <c r="B371" s="12">
        <v>1224071000</v>
      </c>
      <c r="C371" s="8" t="str">
        <f>IFERROR(IF(B371="","",VLOOKUP(B371,المستفيدين!$B:$C,2,FALSE)),"")</f>
        <v>مستفيد150</v>
      </c>
      <c r="D371" s="15" t="s">
        <v>136</v>
      </c>
      <c r="E371" s="16" t="s">
        <v>37</v>
      </c>
      <c r="F371" s="14" t="str">
        <f>IFERROR(IF(B371="","",VLOOKUP(B371,المستفيدين!$B:$F,5,FALSE)),"")</f>
        <v>مركز إرادة وتمكين لمتلازمة داون (نجد)</v>
      </c>
      <c r="G371">
        <f>COUNTIF($B$2:B371,B371)</f>
        <v>1</v>
      </c>
    </row>
    <row r="372" spans="1:7" x14ac:dyDescent="0.2">
      <c r="A372" s="9">
        <v>371</v>
      </c>
      <c r="B372" s="10">
        <v>1224071000</v>
      </c>
      <c r="C372" s="8" t="str">
        <f>IFERROR(IF(B372="","",VLOOKUP(B372,المستفيدين!$B:$C,2,FALSE)),"")</f>
        <v>مستفيد150</v>
      </c>
      <c r="D372" s="13" t="s">
        <v>140</v>
      </c>
      <c r="E372" s="14" t="s">
        <v>36</v>
      </c>
      <c r="F372" s="14" t="str">
        <f>IFERROR(IF(B372="","",VLOOKUP(B372,المستفيدين!$B:$F,5,FALSE)),"")</f>
        <v>مركز إرادة وتمكين لمتلازمة داون (نجد)</v>
      </c>
      <c r="G372">
        <f>COUNTIF($B$2:B372,B372)</f>
        <v>2</v>
      </c>
    </row>
    <row r="373" spans="1:7" x14ac:dyDescent="0.2">
      <c r="A373" s="11">
        <v>372</v>
      </c>
      <c r="B373" s="12">
        <v>1714015460</v>
      </c>
      <c r="C373" s="8" t="str">
        <f>IFERROR(IF(B373="","",VLOOKUP(B373,المستفيدين!$B:$C,2,FALSE)),"")</f>
        <v>مستفيد151</v>
      </c>
      <c r="D373" s="15" t="s">
        <v>143</v>
      </c>
      <c r="E373" s="16" t="s">
        <v>34</v>
      </c>
      <c r="F373" s="14" t="str">
        <f>IFERROR(IF(B373="","",VLOOKUP(B373,المستفيدين!$B:$F,5,FALSE)),"")</f>
        <v>مركز إرادة وتمكين للرعاية النهارية (القدس)</v>
      </c>
      <c r="G373">
        <f>COUNTIF($B$2:B373,B373)</f>
        <v>1</v>
      </c>
    </row>
    <row r="374" spans="1:7" x14ac:dyDescent="0.2">
      <c r="A374" s="9">
        <v>373</v>
      </c>
      <c r="B374" s="10">
        <v>1714015460</v>
      </c>
      <c r="C374" s="8" t="str">
        <f>IFERROR(IF(B374="","",VLOOKUP(B374,المستفيدين!$B:$C,2,FALSE)),"")</f>
        <v>مستفيد151</v>
      </c>
      <c r="D374" s="13" t="s">
        <v>144</v>
      </c>
      <c r="E374" s="14" t="s">
        <v>34</v>
      </c>
      <c r="F374" s="14" t="str">
        <f>IFERROR(IF(B374="","",VLOOKUP(B374,المستفيدين!$B:$F,5,FALSE)),"")</f>
        <v>مركز إرادة وتمكين للرعاية النهارية (القدس)</v>
      </c>
      <c r="G374">
        <f>COUNTIF($B$2:B374,B374)</f>
        <v>2</v>
      </c>
    </row>
    <row r="375" spans="1:7" x14ac:dyDescent="0.2">
      <c r="A375" s="11">
        <v>374</v>
      </c>
      <c r="B375" s="12">
        <v>1723683973</v>
      </c>
      <c r="C375" s="8" t="str">
        <f>IFERROR(IF(B375="","",VLOOKUP(B375,المستفيدين!$B:$C,2,FALSE)),"")</f>
        <v>مستفيد152</v>
      </c>
      <c r="D375" s="15" t="s">
        <v>136</v>
      </c>
      <c r="E375" s="16" t="s">
        <v>36</v>
      </c>
      <c r="F375" s="14" t="str">
        <f>IFERROR(IF(B375="","",VLOOKUP(B375,المستفيدين!$B:$F,5,FALSE)),"")</f>
        <v>مركز إرادة وتمكين لمتلازمة داون (نجد)</v>
      </c>
      <c r="G375">
        <f>COUNTIF($B$2:B375,B375)</f>
        <v>1</v>
      </c>
    </row>
    <row r="376" spans="1:7" x14ac:dyDescent="0.2">
      <c r="A376" s="9">
        <v>375</v>
      </c>
      <c r="B376" s="10">
        <v>1723683973</v>
      </c>
      <c r="C376" s="8" t="str">
        <f>IFERROR(IF(B376="","",VLOOKUP(B376,المستفيدين!$B:$C,2,FALSE)),"")</f>
        <v>مستفيد152</v>
      </c>
      <c r="D376" s="13" t="s">
        <v>370</v>
      </c>
      <c r="E376" s="14" t="s">
        <v>34</v>
      </c>
      <c r="F376" s="14" t="str">
        <f>IFERROR(IF(B376="","",VLOOKUP(B376,المستفيدين!$B:$F,5,FALSE)),"")</f>
        <v>مركز إرادة وتمكين لمتلازمة داون (نجد)</v>
      </c>
      <c r="G376">
        <f>COUNTIF($B$2:B376,B376)</f>
        <v>2</v>
      </c>
    </row>
    <row r="377" spans="1:7" x14ac:dyDescent="0.2">
      <c r="A377" s="11">
        <v>376</v>
      </c>
      <c r="B377" s="12">
        <v>1723683973</v>
      </c>
      <c r="C377" s="8" t="str">
        <f>IFERROR(IF(B377="","",VLOOKUP(B377,المستفيدين!$B:$C,2,FALSE)),"")</f>
        <v>مستفيد152</v>
      </c>
      <c r="D377" s="15" t="s">
        <v>138</v>
      </c>
      <c r="E377" s="16" t="s">
        <v>34</v>
      </c>
      <c r="F377" s="14" t="str">
        <f>IFERROR(IF(B377="","",VLOOKUP(B377,المستفيدين!$B:$F,5,FALSE)),"")</f>
        <v>مركز إرادة وتمكين لمتلازمة داون (نجد)</v>
      </c>
      <c r="G377">
        <f>COUNTIF($B$2:B377,B377)</f>
        <v>3</v>
      </c>
    </row>
    <row r="378" spans="1:7" x14ac:dyDescent="0.2">
      <c r="A378" s="9">
        <v>377</v>
      </c>
      <c r="B378" s="10">
        <v>1744297633</v>
      </c>
      <c r="C378" s="8" t="str">
        <f>IFERROR(IF(B378="","",VLOOKUP(B378,المستفيدين!$B:$C,2,FALSE)),"")</f>
        <v>مستفيد153</v>
      </c>
      <c r="D378" s="13" t="s">
        <v>136</v>
      </c>
      <c r="E378" s="14" t="s">
        <v>36</v>
      </c>
      <c r="F378" s="14" t="str">
        <f>IFERROR(IF(B378="","",VLOOKUP(B378,المستفيدين!$B:$F,5,FALSE)),"")</f>
        <v>مدرسة إرادة للتعليم (مكة)</v>
      </c>
      <c r="G378">
        <f>COUNTIF($B$2:B378,B378)</f>
        <v>1</v>
      </c>
    </row>
    <row r="379" spans="1:7" x14ac:dyDescent="0.2">
      <c r="A379" s="11">
        <v>378</v>
      </c>
      <c r="B379" s="12">
        <v>1687244119</v>
      </c>
      <c r="C379" s="8" t="str">
        <f>IFERROR(IF(B379="","",VLOOKUP(B379,المستفيدين!$B:$C,2,FALSE)),"")</f>
        <v>مستفيد154</v>
      </c>
      <c r="D379" s="15" t="s">
        <v>64</v>
      </c>
      <c r="E379" s="16" t="s">
        <v>34</v>
      </c>
      <c r="F379" s="14" t="str">
        <f>IFERROR(IF(B379="","",VLOOKUP(B379,المستفيدين!$B:$F,5,FALSE)),"")</f>
        <v>مركز إرادة وتمكين للرعاية النهارية (القدس)</v>
      </c>
      <c r="G379">
        <f>COUNTIF($B$2:B379,B379)</f>
        <v>1</v>
      </c>
    </row>
    <row r="380" spans="1:7" x14ac:dyDescent="0.2">
      <c r="A380" s="9">
        <v>379</v>
      </c>
      <c r="B380" s="10">
        <v>1687244119</v>
      </c>
      <c r="C380" s="8" t="str">
        <f>IFERROR(IF(B380="","",VLOOKUP(B380,المستفيدين!$B:$C,2,FALSE)),"")</f>
        <v>مستفيد154</v>
      </c>
      <c r="D380" s="13" t="s">
        <v>140</v>
      </c>
      <c r="E380" s="14" t="s">
        <v>36</v>
      </c>
      <c r="F380" s="14" t="str">
        <f>IFERROR(IF(B380="","",VLOOKUP(B380,المستفيدين!$B:$F,5,FALSE)),"")</f>
        <v>مركز إرادة وتمكين للرعاية النهارية (القدس)</v>
      </c>
      <c r="G380">
        <f>COUNTIF($B$2:B380,B380)</f>
        <v>2</v>
      </c>
    </row>
    <row r="381" spans="1:7" x14ac:dyDescent="0.2">
      <c r="A381" s="11">
        <v>380</v>
      </c>
      <c r="B381" s="12">
        <v>1687244119</v>
      </c>
      <c r="C381" s="8" t="str">
        <f>IFERROR(IF(B381="","",VLOOKUP(B381,المستفيدين!$B:$C,2,FALSE)),"")</f>
        <v>مستفيد154</v>
      </c>
      <c r="D381" s="15" t="s">
        <v>370</v>
      </c>
      <c r="E381" s="16" t="s">
        <v>34</v>
      </c>
      <c r="F381" s="14" t="str">
        <f>IFERROR(IF(B381="","",VLOOKUP(B381,المستفيدين!$B:$F,5,FALSE)),"")</f>
        <v>مركز إرادة وتمكين للرعاية النهارية (القدس)</v>
      </c>
      <c r="G381">
        <f>COUNTIF($B$2:B381,B381)</f>
        <v>3</v>
      </c>
    </row>
    <row r="382" spans="1:7" x14ac:dyDescent="0.2">
      <c r="A382" s="9">
        <v>381</v>
      </c>
      <c r="B382" s="10">
        <v>1905329493</v>
      </c>
      <c r="C382" s="8" t="str">
        <f>IFERROR(IF(B382="","",VLOOKUP(B382,المستفيدين!$B:$C,2,FALSE)),"")</f>
        <v>مستفيد155</v>
      </c>
      <c r="D382" s="13" t="s">
        <v>134</v>
      </c>
      <c r="E382" s="14" t="s">
        <v>34</v>
      </c>
      <c r="F382" s="14" t="str">
        <f>IFERROR(IF(B382="","",VLOOKUP(B382,المستفيدين!$B:$F,5,FALSE)),"")</f>
        <v>مركز إرادة وتمكين للرعاية النهارية (القدس)</v>
      </c>
      <c r="G382">
        <f>COUNTIF($B$2:B382,B382)</f>
        <v>1</v>
      </c>
    </row>
    <row r="383" spans="1:7" x14ac:dyDescent="0.2">
      <c r="A383" s="11">
        <v>382</v>
      </c>
      <c r="B383" s="12">
        <v>1905329493</v>
      </c>
      <c r="C383" s="8" t="str">
        <f>IFERROR(IF(B383="","",VLOOKUP(B383,المستفيدين!$B:$C,2,FALSE)),"")</f>
        <v>مستفيد155</v>
      </c>
      <c r="D383" s="15" t="s">
        <v>368</v>
      </c>
      <c r="E383" s="16" t="s">
        <v>36</v>
      </c>
      <c r="F383" s="14" t="str">
        <f>IFERROR(IF(B383="","",VLOOKUP(B383,المستفيدين!$B:$F,5,FALSE)),"")</f>
        <v>مركز إرادة وتمكين للرعاية النهارية (القدس)</v>
      </c>
      <c r="G383">
        <f>COUNTIF($B$2:B383,B383)</f>
        <v>2</v>
      </c>
    </row>
    <row r="384" spans="1:7" x14ac:dyDescent="0.2">
      <c r="A384" s="9">
        <v>383</v>
      </c>
      <c r="B384" s="10">
        <v>1905329493</v>
      </c>
      <c r="C384" s="8" t="str">
        <f>IFERROR(IF(B384="","",VLOOKUP(B384,المستفيدين!$B:$C,2,FALSE)),"")</f>
        <v>مستفيد155</v>
      </c>
      <c r="D384" s="13" t="s">
        <v>146</v>
      </c>
      <c r="E384" s="14" t="s">
        <v>36</v>
      </c>
      <c r="F384" s="14" t="str">
        <f>IFERROR(IF(B384="","",VLOOKUP(B384,المستفيدين!$B:$F,5,FALSE)),"")</f>
        <v>مركز إرادة وتمكين للرعاية النهارية (القدس)</v>
      </c>
      <c r="G384">
        <f>COUNTIF($B$2:B384,B384)</f>
        <v>3</v>
      </c>
    </row>
    <row r="385" spans="1:7" x14ac:dyDescent="0.2">
      <c r="A385" s="11">
        <v>384</v>
      </c>
      <c r="B385" s="12">
        <v>1296378535</v>
      </c>
      <c r="C385" s="8" t="str">
        <f>IFERROR(IF(B385="","",VLOOKUP(B385,المستفيدين!$B:$C,2,FALSE)),"")</f>
        <v>مستفيد156</v>
      </c>
      <c r="D385" s="15" t="s">
        <v>137</v>
      </c>
      <c r="E385" s="16" t="s">
        <v>36</v>
      </c>
      <c r="F385" s="14" t="str">
        <f>IFERROR(IF(B385="","",VLOOKUP(B385,المستفيدين!$B:$F,5,FALSE)),"")</f>
        <v>مركز إرادة وتمكين لمتلازمة داون (نجد)</v>
      </c>
      <c r="G385">
        <f>COUNTIF($B$2:B385,B385)</f>
        <v>1</v>
      </c>
    </row>
    <row r="386" spans="1:7" x14ac:dyDescent="0.2">
      <c r="A386" s="9">
        <v>385</v>
      </c>
      <c r="B386" s="10">
        <v>1296378535</v>
      </c>
      <c r="C386" s="8" t="str">
        <f>IFERROR(IF(B386="","",VLOOKUP(B386,المستفيدين!$B:$C,2,FALSE)),"")</f>
        <v>مستفيد156</v>
      </c>
      <c r="D386" s="13" t="s">
        <v>135</v>
      </c>
      <c r="E386" s="14" t="s">
        <v>37</v>
      </c>
      <c r="F386" s="14" t="str">
        <f>IFERROR(IF(B386="","",VLOOKUP(B386,المستفيدين!$B:$F,5,FALSE)),"")</f>
        <v>مركز إرادة وتمكين لمتلازمة داون (نجد)</v>
      </c>
      <c r="G386">
        <f>COUNTIF($B$2:B386,B386)</f>
        <v>2</v>
      </c>
    </row>
    <row r="387" spans="1:7" x14ac:dyDescent="0.2">
      <c r="A387" s="11">
        <v>386</v>
      </c>
      <c r="B387" s="12">
        <v>1296378535</v>
      </c>
      <c r="C387" s="8" t="str">
        <f>IFERROR(IF(B387="","",VLOOKUP(B387,المستفيدين!$B:$C,2,FALSE)),"")</f>
        <v>مستفيد156</v>
      </c>
      <c r="D387" s="15" t="s">
        <v>140</v>
      </c>
      <c r="E387" s="16" t="s">
        <v>34</v>
      </c>
      <c r="F387" s="14" t="str">
        <f>IFERROR(IF(B387="","",VLOOKUP(B387,المستفيدين!$B:$F,5,FALSE)),"")</f>
        <v>مركز إرادة وتمكين لمتلازمة داون (نجد)</v>
      </c>
      <c r="G387">
        <f>COUNTIF($B$2:B387,B387)</f>
        <v>3</v>
      </c>
    </row>
    <row r="388" spans="1:7" x14ac:dyDescent="0.2">
      <c r="A388" s="9">
        <v>387</v>
      </c>
      <c r="B388" s="10">
        <v>1296378535</v>
      </c>
      <c r="C388" s="8" t="str">
        <f>IFERROR(IF(B388="","",VLOOKUP(B388,المستفيدين!$B:$C,2,FALSE)),"")</f>
        <v>مستفيد156</v>
      </c>
      <c r="D388" s="13" t="s">
        <v>145</v>
      </c>
      <c r="E388" s="14" t="s">
        <v>34</v>
      </c>
      <c r="F388" s="14" t="str">
        <f>IFERROR(IF(B388="","",VLOOKUP(B388,المستفيدين!$B:$F,5,FALSE)),"")</f>
        <v>مركز إرادة وتمكين لمتلازمة داون (نجد)</v>
      </c>
      <c r="G388">
        <f>COUNTIF($B$2:B388,B388)</f>
        <v>4</v>
      </c>
    </row>
    <row r="389" spans="1:7" x14ac:dyDescent="0.2">
      <c r="A389" s="11">
        <v>388</v>
      </c>
      <c r="B389" s="12">
        <v>1265180355</v>
      </c>
      <c r="C389" s="8" t="str">
        <f>IFERROR(IF(B389="","",VLOOKUP(B389,المستفيدين!$B:$C,2,FALSE)),"")</f>
        <v>مستفيد157</v>
      </c>
      <c r="D389" s="15" t="s">
        <v>369</v>
      </c>
      <c r="E389" s="16" t="s">
        <v>36</v>
      </c>
      <c r="F389" s="14" t="str">
        <f>IFERROR(IF(B389="","",VLOOKUP(B389,المستفيدين!$B:$F,5,FALSE)),"")</f>
        <v>مدرسة إرادة للتعليم (مكة)</v>
      </c>
      <c r="G389">
        <f>COUNTIF($B$2:B389,B389)</f>
        <v>1</v>
      </c>
    </row>
    <row r="390" spans="1:7" x14ac:dyDescent="0.2">
      <c r="A390" s="9">
        <v>389</v>
      </c>
      <c r="B390" s="10">
        <v>1265180355</v>
      </c>
      <c r="C390" s="8" t="str">
        <f>IFERROR(IF(B390="","",VLOOKUP(B390,المستفيدين!$B:$C,2,FALSE)),"")</f>
        <v>مستفيد157</v>
      </c>
      <c r="D390" s="13" t="s">
        <v>139</v>
      </c>
      <c r="E390" s="14" t="s">
        <v>37</v>
      </c>
      <c r="F390" s="14" t="str">
        <f>IFERROR(IF(B390="","",VLOOKUP(B390,المستفيدين!$B:$F,5,FALSE)),"")</f>
        <v>مدرسة إرادة للتعليم (مكة)</v>
      </c>
      <c r="G390">
        <f>COUNTIF($B$2:B390,B390)</f>
        <v>2</v>
      </c>
    </row>
    <row r="391" spans="1:7" x14ac:dyDescent="0.2">
      <c r="A391" s="11">
        <v>390</v>
      </c>
      <c r="B391" s="12">
        <v>1265180355</v>
      </c>
      <c r="C391" s="8" t="str">
        <f>IFERROR(IF(B391="","",VLOOKUP(B391,المستفيدين!$B:$C,2,FALSE)),"")</f>
        <v>مستفيد157</v>
      </c>
      <c r="D391" s="15" t="s">
        <v>140</v>
      </c>
      <c r="E391" s="16" t="s">
        <v>34</v>
      </c>
      <c r="F391" s="14" t="str">
        <f>IFERROR(IF(B391="","",VLOOKUP(B391,المستفيدين!$B:$F,5,FALSE)),"")</f>
        <v>مدرسة إرادة للتعليم (مكة)</v>
      </c>
      <c r="G391">
        <f>COUNTIF($B$2:B391,B391)</f>
        <v>3</v>
      </c>
    </row>
    <row r="392" spans="1:7" x14ac:dyDescent="0.2">
      <c r="A392" s="9">
        <v>391</v>
      </c>
      <c r="B392" s="10">
        <v>1612775609</v>
      </c>
      <c r="C392" s="8" t="str">
        <f>IFERROR(IF(B392="","",VLOOKUP(B392,المستفيدين!$B:$C,2,FALSE)),"")</f>
        <v>مستفيد158</v>
      </c>
      <c r="D392" s="13" t="s">
        <v>134</v>
      </c>
      <c r="E392" s="14" t="s">
        <v>34</v>
      </c>
      <c r="F392" s="14" t="str">
        <f>IFERROR(IF(B392="","",VLOOKUP(B392,المستفيدين!$B:$F,5,FALSE)),"")</f>
        <v>مركز إرادة وتمكين لمتلازمة داون (نجد)</v>
      </c>
      <c r="G392">
        <f>COUNTIF($B$2:B392,B392)</f>
        <v>1</v>
      </c>
    </row>
    <row r="393" spans="1:7" x14ac:dyDescent="0.2">
      <c r="A393" s="11">
        <v>392</v>
      </c>
      <c r="B393" s="12">
        <v>1612775609</v>
      </c>
      <c r="C393" s="8" t="str">
        <f>IFERROR(IF(B393="","",VLOOKUP(B393,المستفيدين!$B:$C,2,FALSE)),"")</f>
        <v>مستفيد158</v>
      </c>
      <c r="D393" s="15" t="s">
        <v>144</v>
      </c>
      <c r="E393" s="16" t="s">
        <v>34</v>
      </c>
      <c r="F393" s="14" t="str">
        <f>IFERROR(IF(B393="","",VLOOKUP(B393,المستفيدين!$B:$F,5,FALSE)),"")</f>
        <v>مركز إرادة وتمكين لمتلازمة داون (نجد)</v>
      </c>
      <c r="G393">
        <f>COUNTIF($B$2:B393,B393)</f>
        <v>2</v>
      </c>
    </row>
    <row r="394" spans="1:7" x14ac:dyDescent="0.2">
      <c r="A394" s="9">
        <v>393</v>
      </c>
      <c r="B394" s="10">
        <v>1612775609</v>
      </c>
      <c r="C394" s="8" t="str">
        <f>IFERROR(IF(B394="","",VLOOKUP(B394,المستفيدين!$B:$C,2,FALSE)),"")</f>
        <v>مستفيد158</v>
      </c>
      <c r="D394" s="13" t="s">
        <v>136</v>
      </c>
      <c r="E394" s="14" t="s">
        <v>37</v>
      </c>
      <c r="F394" s="14" t="str">
        <f>IFERROR(IF(B394="","",VLOOKUP(B394,المستفيدين!$B:$F,5,FALSE)),"")</f>
        <v>مركز إرادة وتمكين لمتلازمة داون (نجد)</v>
      </c>
      <c r="G394">
        <f>COUNTIF($B$2:B394,B394)</f>
        <v>3</v>
      </c>
    </row>
    <row r="395" spans="1:7" x14ac:dyDescent="0.2">
      <c r="A395" s="11">
        <v>394</v>
      </c>
      <c r="B395" s="12">
        <v>1612775609</v>
      </c>
      <c r="C395" s="8" t="str">
        <f>IFERROR(IF(B395="","",VLOOKUP(B395,المستفيدين!$B:$C,2,FALSE)),"")</f>
        <v>مستفيد158</v>
      </c>
      <c r="D395" s="15" t="s">
        <v>139</v>
      </c>
      <c r="E395" s="16" t="s">
        <v>34</v>
      </c>
      <c r="F395" s="14" t="str">
        <f>IFERROR(IF(B395="","",VLOOKUP(B395,المستفيدين!$B:$F,5,FALSE)),"")</f>
        <v>مركز إرادة وتمكين لمتلازمة داون (نجد)</v>
      </c>
      <c r="G395">
        <f>COUNTIF($B$2:B395,B395)</f>
        <v>4</v>
      </c>
    </row>
    <row r="396" spans="1:7" x14ac:dyDescent="0.2">
      <c r="A396" s="9">
        <v>395</v>
      </c>
      <c r="B396" s="10">
        <v>1093177984</v>
      </c>
      <c r="C396" s="8" t="str">
        <f>IFERROR(IF(B396="","",VLOOKUP(B396,المستفيدين!$B:$C,2,FALSE)),"")</f>
        <v>مستفيد159</v>
      </c>
      <c r="D396" s="13" t="s">
        <v>139</v>
      </c>
      <c r="E396" s="14" t="s">
        <v>34</v>
      </c>
      <c r="F396" s="14" t="str">
        <f>IFERROR(IF(B396="","",VLOOKUP(B396,المستفيدين!$B:$F,5,FALSE)),"")</f>
        <v>مدرسة إرادة وتمكين لمتلازمة داون (نجد)</v>
      </c>
      <c r="G396">
        <f>COUNTIF($B$2:B396,B396)</f>
        <v>1</v>
      </c>
    </row>
    <row r="397" spans="1:7" x14ac:dyDescent="0.2">
      <c r="A397" s="11">
        <v>396</v>
      </c>
      <c r="B397" s="12">
        <v>1093177984</v>
      </c>
      <c r="C397" s="8" t="str">
        <f>IFERROR(IF(B397="","",VLOOKUP(B397,المستفيدين!$B:$C,2,FALSE)),"")</f>
        <v>مستفيد159</v>
      </c>
      <c r="D397" s="15" t="s">
        <v>136</v>
      </c>
      <c r="E397" s="16" t="s">
        <v>34</v>
      </c>
      <c r="F397" s="14" t="str">
        <f>IFERROR(IF(B397="","",VLOOKUP(B397,المستفيدين!$B:$F,5,FALSE)),"")</f>
        <v>مدرسة إرادة وتمكين لمتلازمة داون (نجد)</v>
      </c>
      <c r="G397">
        <f>COUNTIF($B$2:B397,B397)</f>
        <v>2</v>
      </c>
    </row>
    <row r="398" spans="1:7" x14ac:dyDescent="0.2">
      <c r="A398" s="9">
        <v>397</v>
      </c>
      <c r="B398" s="10">
        <v>1423056836</v>
      </c>
      <c r="C398" s="8" t="str">
        <f>IFERROR(IF(B398="","",VLOOKUP(B398,المستفيدين!$B:$C,2,FALSE)),"")</f>
        <v>مستفيد160</v>
      </c>
      <c r="D398" s="13" t="s">
        <v>135</v>
      </c>
      <c r="E398" s="14" t="s">
        <v>34</v>
      </c>
      <c r="F398" s="14" t="str">
        <f>IFERROR(IF(B398="","",VLOOKUP(B398,المستفيدين!$B:$F,5,FALSE)),"")</f>
        <v>مدرسة إرادة وتمكين لمتلازمة داون (نجد)</v>
      </c>
      <c r="G398">
        <f>COUNTIF($B$2:B398,B398)</f>
        <v>1</v>
      </c>
    </row>
    <row r="399" spans="1:7" x14ac:dyDescent="0.2">
      <c r="A399" s="11">
        <v>398</v>
      </c>
      <c r="B399" s="12">
        <v>1423056836</v>
      </c>
      <c r="C399" s="8" t="str">
        <f>IFERROR(IF(B399="","",VLOOKUP(B399,المستفيدين!$B:$C,2,FALSE)),"")</f>
        <v>مستفيد160</v>
      </c>
      <c r="D399" s="15" t="s">
        <v>136</v>
      </c>
      <c r="E399" s="16" t="s">
        <v>36</v>
      </c>
      <c r="F399" s="14" t="str">
        <f>IFERROR(IF(B399="","",VLOOKUP(B399,المستفيدين!$B:$F,5,FALSE)),"")</f>
        <v>مدرسة إرادة وتمكين لمتلازمة داون (نجد)</v>
      </c>
      <c r="G399">
        <f>COUNTIF($B$2:B399,B399)</f>
        <v>2</v>
      </c>
    </row>
    <row r="400" spans="1:7" x14ac:dyDescent="0.2">
      <c r="A400" s="9">
        <v>399</v>
      </c>
      <c r="B400" s="10">
        <v>1423056836</v>
      </c>
      <c r="C400" s="8" t="str">
        <f>IFERROR(IF(B400="","",VLOOKUP(B400,المستفيدين!$B:$C,2,FALSE)),"")</f>
        <v>مستفيد160</v>
      </c>
      <c r="D400" s="13" t="s">
        <v>137</v>
      </c>
      <c r="E400" s="14" t="s">
        <v>37</v>
      </c>
      <c r="F400" s="14" t="str">
        <f>IFERROR(IF(B400="","",VLOOKUP(B400,المستفيدين!$B:$F,5,FALSE)),"")</f>
        <v>مدرسة إرادة وتمكين لمتلازمة داون (نجد)</v>
      </c>
      <c r="G400">
        <f>COUNTIF($B$2:B400,B400)</f>
        <v>3</v>
      </c>
    </row>
    <row r="401" spans="1:7" x14ac:dyDescent="0.2">
      <c r="A401" s="11">
        <v>400</v>
      </c>
      <c r="B401" s="12">
        <v>1423056836</v>
      </c>
      <c r="C401" s="8" t="str">
        <f>IFERROR(IF(B401="","",VLOOKUP(B401,المستفيدين!$B:$C,2,FALSE)),"")</f>
        <v>مستفيد160</v>
      </c>
      <c r="D401" s="15" t="s">
        <v>141</v>
      </c>
      <c r="E401" s="16" t="s">
        <v>34</v>
      </c>
      <c r="F401" s="14" t="str">
        <f>IFERROR(IF(B401="","",VLOOKUP(B401,المستفيدين!$B:$F,5,FALSE)),"")</f>
        <v>مدرسة إرادة وتمكين لمتلازمة داون (نجد)</v>
      </c>
      <c r="G401">
        <f>COUNTIF($B$2:B401,B401)</f>
        <v>4</v>
      </c>
    </row>
    <row r="402" spans="1:7" x14ac:dyDescent="0.2">
      <c r="A402" s="9">
        <v>401</v>
      </c>
      <c r="B402" s="10">
        <v>1773160728</v>
      </c>
      <c r="C402" s="8" t="str">
        <f>IFERROR(IF(B402="","",VLOOKUP(B402,المستفيدين!$B:$C,2,FALSE)),"")</f>
        <v>مستفيد161</v>
      </c>
      <c r="D402" s="13" t="s">
        <v>141</v>
      </c>
      <c r="E402" s="14" t="s">
        <v>37</v>
      </c>
      <c r="F402" s="14" t="str">
        <f>IFERROR(IF(B402="","",VLOOKUP(B402,المستفيدين!$B:$F,5,FALSE)),"")</f>
        <v>مركز إرادة وتمكين لمتلازمة داون (نجد)</v>
      </c>
      <c r="G402">
        <f>COUNTIF($B$2:B402,B402)</f>
        <v>1</v>
      </c>
    </row>
    <row r="403" spans="1:7" x14ac:dyDescent="0.2">
      <c r="A403" s="11">
        <v>402</v>
      </c>
      <c r="B403" s="12">
        <v>1773160728</v>
      </c>
      <c r="C403" s="8" t="str">
        <f>IFERROR(IF(B403="","",VLOOKUP(B403,المستفيدين!$B:$C,2,FALSE)),"")</f>
        <v>مستفيد161</v>
      </c>
      <c r="D403" s="15" t="s">
        <v>134</v>
      </c>
      <c r="E403" s="16" t="s">
        <v>36</v>
      </c>
      <c r="F403" s="14" t="str">
        <f>IFERROR(IF(B403="","",VLOOKUP(B403,المستفيدين!$B:$F,5,FALSE)),"")</f>
        <v>مركز إرادة وتمكين لمتلازمة داون (نجد)</v>
      </c>
      <c r="G403">
        <f>COUNTIF($B$2:B403,B403)</f>
        <v>2</v>
      </c>
    </row>
    <row r="404" spans="1:7" x14ac:dyDescent="0.2">
      <c r="A404" s="9">
        <v>403</v>
      </c>
      <c r="B404" s="10">
        <v>1773160728</v>
      </c>
      <c r="C404" s="8" t="str">
        <f>IFERROR(IF(B404="","",VLOOKUP(B404,المستفيدين!$B:$C,2,FALSE)),"")</f>
        <v>مستفيد161</v>
      </c>
      <c r="D404" s="13" t="s">
        <v>368</v>
      </c>
      <c r="E404" s="14" t="s">
        <v>36</v>
      </c>
      <c r="F404" s="14" t="str">
        <f>IFERROR(IF(B404="","",VLOOKUP(B404,المستفيدين!$B:$F,5,FALSE)),"")</f>
        <v>مركز إرادة وتمكين لمتلازمة داون (نجد)</v>
      </c>
      <c r="G404">
        <f>COUNTIF($B$2:B404,B404)</f>
        <v>3</v>
      </c>
    </row>
    <row r="405" spans="1:7" x14ac:dyDescent="0.2">
      <c r="A405" s="11">
        <v>404</v>
      </c>
      <c r="B405" s="12">
        <v>1773160728</v>
      </c>
      <c r="C405" s="8" t="str">
        <f>IFERROR(IF(B405="","",VLOOKUP(B405,المستفيدين!$B:$C,2,FALSE)),"")</f>
        <v>مستفيد161</v>
      </c>
      <c r="D405" s="15" t="s">
        <v>136</v>
      </c>
      <c r="E405" s="16" t="s">
        <v>36</v>
      </c>
      <c r="F405" s="14" t="str">
        <f>IFERROR(IF(B405="","",VLOOKUP(B405,المستفيدين!$B:$F,5,FALSE)),"")</f>
        <v>مركز إرادة وتمكين لمتلازمة داون (نجد)</v>
      </c>
      <c r="G405">
        <f>COUNTIF($B$2:B405,B405)</f>
        <v>4</v>
      </c>
    </row>
    <row r="406" spans="1:7" x14ac:dyDescent="0.2">
      <c r="A406" s="9">
        <v>405</v>
      </c>
      <c r="B406" s="10">
        <v>1183545493</v>
      </c>
      <c r="C406" s="8" t="str">
        <f>IFERROR(IF(B406="","",VLOOKUP(B406,المستفيدين!$B:$C,2,FALSE)),"")</f>
        <v>مستفيد162</v>
      </c>
      <c r="D406" s="13" t="s">
        <v>141</v>
      </c>
      <c r="E406" s="14" t="s">
        <v>37</v>
      </c>
      <c r="F406" s="14" t="str">
        <f>IFERROR(IF(B406="","",VLOOKUP(B406,المستفيدين!$B:$F,5,FALSE)),"")</f>
        <v>مركز إرادة وتمكين لرعاية ذوي الاحتياجات الخاصة (جلمودة)</v>
      </c>
      <c r="G406">
        <f>COUNTIF($B$2:B406,B406)</f>
        <v>1</v>
      </c>
    </row>
    <row r="407" spans="1:7" x14ac:dyDescent="0.2">
      <c r="A407" s="11">
        <v>406</v>
      </c>
      <c r="B407" s="12">
        <v>1183545493</v>
      </c>
      <c r="C407" s="8" t="str">
        <f>IFERROR(IF(B407="","",VLOOKUP(B407,المستفيدين!$B:$C,2,FALSE)),"")</f>
        <v>مستفيد162</v>
      </c>
      <c r="D407" s="15" t="s">
        <v>143</v>
      </c>
      <c r="E407" s="16" t="s">
        <v>34</v>
      </c>
      <c r="F407" s="14" t="str">
        <f>IFERROR(IF(B407="","",VLOOKUP(B407,المستفيدين!$B:$F,5,FALSE)),"")</f>
        <v>مركز إرادة وتمكين لرعاية ذوي الاحتياجات الخاصة (جلمودة)</v>
      </c>
      <c r="G407">
        <f>COUNTIF($B$2:B407,B407)</f>
        <v>2</v>
      </c>
    </row>
    <row r="408" spans="1:7" x14ac:dyDescent="0.2">
      <c r="A408" s="9">
        <v>407</v>
      </c>
      <c r="B408" s="10">
        <v>1647278696</v>
      </c>
      <c r="C408" s="8" t="str">
        <f>IFERROR(IF(B408="","",VLOOKUP(B408,المستفيدين!$B:$C,2,FALSE)),"")</f>
        <v>مستفيد163</v>
      </c>
      <c r="D408" s="13" t="s">
        <v>137</v>
      </c>
      <c r="E408" s="14" t="s">
        <v>37</v>
      </c>
      <c r="F408" s="14" t="str">
        <f>IFERROR(IF(B408="","",VLOOKUP(B408,المستفيدين!$B:$F,5,FALSE)),"")</f>
        <v>مدرسة إرادة للتعليم (مكة)</v>
      </c>
      <c r="G408">
        <f>COUNTIF($B$2:B408,B408)</f>
        <v>1</v>
      </c>
    </row>
    <row r="409" spans="1:7" x14ac:dyDescent="0.2">
      <c r="A409" s="11">
        <v>408</v>
      </c>
      <c r="B409" s="12">
        <v>1647278696</v>
      </c>
      <c r="C409" s="8" t="str">
        <f>IFERROR(IF(B409="","",VLOOKUP(B409,المستفيدين!$B:$C,2,FALSE)),"")</f>
        <v>مستفيد163</v>
      </c>
      <c r="D409" s="15" t="s">
        <v>138</v>
      </c>
      <c r="E409" s="16" t="s">
        <v>34</v>
      </c>
      <c r="F409" s="14" t="str">
        <f>IFERROR(IF(B409="","",VLOOKUP(B409,المستفيدين!$B:$F,5,FALSE)),"")</f>
        <v>مدرسة إرادة للتعليم (مكة)</v>
      </c>
      <c r="G409">
        <f>COUNTIF($B$2:B409,B409)</f>
        <v>2</v>
      </c>
    </row>
    <row r="410" spans="1:7" x14ac:dyDescent="0.2">
      <c r="A410" s="9">
        <v>409</v>
      </c>
      <c r="B410" s="10">
        <v>1356048067</v>
      </c>
      <c r="C410" s="8" t="str">
        <f>IFERROR(IF(B410="","",VLOOKUP(B410,المستفيدين!$B:$C,2,FALSE)),"")</f>
        <v>مستفيد164</v>
      </c>
      <c r="D410" s="13" t="s">
        <v>134</v>
      </c>
      <c r="E410" s="14" t="s">
        <v>36</v>
      </c>
      <c r="F410" s="14" t="str">
        <f>IFERROR(IF(B410="","",VLOOKUP(B410,المستفيدين!$B:$F,5,FALSE)),"")</f>
        <v>مركز إرادة وتمكين لمتلازمة داون (نجد)</v>
      </c>
      <c r="G410">
        <f>COUNTIF($B$2:B410,B410)</f>
        <v>1</v>
      </c>
    </row>
    <row r="411" spans="1:7" x14ac:dyDescent="0.2">
      <c r="A411" s="11">
        <v>410</v>
      </c>
      <c r="B411" s="12">
        <v>1147655592</v>
      </c>
      <c r="C411" s="8" t="str">
        <f>IFERROR(IF(B411="","",VLOOKUP(B411,المستفيدين!$B:$C,2,FALSE)),"")</f>
        <v>مستفيد165</v>
      </c>
      <c r="D411" s="15" t="s">
        <v>139</v>
      </c>
      <c r="E411" s="16" t="s">
        <v>34</v>
      </c>
      <c r="F411" s="14" t="str">
        <f>IFERROR(IF(B411="","",VLOOKUP(B411,المستفيدين!$B:$F,5,FALSE)),"")</f>
        <v>مركز إرادة وتمكين لرعاية ذوي الاحتياجات الخاصة (جلمودة)</v>
      </c>
      <c r="G411">
        <f>COUNTIF($B$2:B411,B411)</f>
        <v>1</v>
      </c>
    </row>
    <row r="412" spans="1:7" x14ac:dyDescent="0.2">
      <c r="A412" s="9">
        <v>411</v>
      </c>
      <c r="B412" s="10">
        <v>1147655592</v>
      </c>
      <c r="C412" s="8" t="str">
        <f>IFERROR(IF(B412="","",VLOOKUP(B412,المستفيدين!$B:$C,2,FALSE)),"")</f>
        <v>مستفيد165</v>
      </c>
      <c r="D412" s="13" t="s">
        <v>370</v>
      </c>
      <c r="E412" s="14" t="s">
        <v>36</v>
      </c>
      <c r="F412" s="14" t="str">
        <f>IFERROR(IF(B412="","",VLOOKUP(B412,المستفيدين!$B:$F,5,FALSE)),"")</f>
        <v>مركز إرادة وتمكين لرعاية ذوي الاحتياجات الخاصة (جلمودة)</v>
      </c>
      <c r="G412">
        <f>COUNTIF($B$2:B412,B412)</f>
        <v>2</v>
      </c>
    </row>
    <row r="413" spans="1:7" x14ac:dyDescent="0.2">
      <c r="A413" s="11">
        <v>412</v>
      </c>
      <c r="B413" s="12">
        <v>1026299883</v>
      </c>
      <c r="C413" s="8" t="str">
        <f>IFERROR(IF(B413="","",VLOOKUP(B413,المستفيدين!$B:$C,2,FALSE)),"")</f>
        <v>مستفيد166</v>
      </c>
      <c r="D413" s="15" t="s">
        <v>143</v>
      </c>
      <c r="E413" s="16" t="s">
        <v>34</v>
      </c>
      <c r="F413" s="14" t="str">
        <f>IFERROR(IF(B413="","",VLOOKUP(B413,المستفيدين!$B:$F,5,FALSE)),"")</f>
        <v>مركز إرادة وتمكين للرعاية النهارية (القدس)</v>
      </c>
      <c r="G413">
        <f>COUNTIF($B$2:B413,B413)</f>
        <v>1</v>
      </c>
    </row>
    <row r="414" spans="1:7" x14ac:dyDescent="0.2">
      <c r="A414" s="9">
        <v>413</v>
      </c>
      <c r="B414" s="10">
        <v>1026299883</v>
      </c>
      <c r="C414" s="8" t="str">
        <f>IFERROR(IF(B414="","",VLOOKUP(B414,المستفيدين!$B:$C,2,FALSE)),"")</f>
        <v>مستفيد166</v>
      </c>
      <c r="D414" s="13" t="s">
        <v>137</v>
      </c>
      <c r="E414" s="14" t="s">
        <v>34</v>
      </c>
      <c r="F414" s="14" t="str">
        <f>IFERROR(IF(B414="","",VLOOKUP(B414,المستفيدين!$B:$F,5,FALSE)),"")</f>
        <v>مركز إرادة وتمكين للرعاية النهارية (القدس)</v>
      </c>
      <c r="G414">
        <f>COUNTIF($B$2:B414,B414)</f>
        <v>2</v>
      </c>
    </row>
    <row r="415" spans="1:7" x14ac:dyDescent="0.2">
      <c r="A415" s="11">
        <v>414</v>
      </c>
      <c r="B415" s="12">
        <v>1026299883</v>
      </c>
      <c r="C415" s="8" t="str">
        <f>IFERROR(IF(B415="","",VLOOKUP(B415,المستفيدين!$B:$C,2,FALSE)),"")</f>
        <v>مستفيد166</v>
      </c>
      <c r="D415" s="15" t="s">
        <v>145</v>
      </c>
      <c r="E415" s="16" t="s">
        <v>34</v>
      </c>
      <c r="F415" s="14" t="str">
        <f>IFERROR(IF(B415="","",VLOOKUP(B415,المستفيدين!$B:$F,5,FALSE)),"")</f>
        <v>مركز إرادة وتمكين للرعاية النهارية (القدس)</v>
      </c>
      <c r="G415">
        <f>COUNTIF($B$2:B415,B415)</f>
        <v>3</v>
      </c>
    </row>
    <row r="416" spans="1:7" x14ac:dyDescent="0.2">
      <c r="A416" s="9">
        <v>415</v>
      </c>
      <c r="B416" s="10">
        <v>1026299883</v>
      </c>
      <c r="C416" s="8" t="str">
        <f>IFERROR(IF(B416="","",VLOOKUP(B416,المستفيدين!$B:$C,2,FALSE)),"")</f>
        <v>مستفيد166</v>
      </c>
      <c r="D416" s="13" t="s">
        <v>135</v>
      </c>
      <c r="E416" s="14" t="s">
        <v>36</v>
      </c>
      <c r="F416" s="14" t="str">
        <f>IFERROR(IF(B416="","",VLOOKUP(B416,المستفيدين!$B:$F,5,FALSE)),"")</f>
        <v>مركز إرادة وتمكين للرعاية النهارية (القدس)</v>
      </c>
      <c r="G416">
        <f>COUNTIF($B$2:B416,B416)</f>
        <v>4</v>
      </c>
    </row>
    <row r="417" spans="1:7" x14ac:dyDescent="0.2">
      <c r="A417" s="11">
        <v>416</v>
      </c>
      <c r="B417" s="12">
        <v>1932054889</v>
      </c>
      <c r="C417" s="8" t="str">
        <f>IFERROR(IF(B417="","",VLOOKUP(B417,المستفيدين!$B:$C,2,FALSE)),"")</f>
        <v>مستفيد167</v>
      </c>
      <c r="D417" s="15" t="s">
        <v>145</v>
      </c>
      <c r="E417" s="16" t="s">
        <v>34</v>
      </c>
      <c r="F417" s="14" t="str">
        <f>IFERROR(IF(B417="","",VLOOKUP(B417,المستفيدين!$B:$F,5,FALSE)),"")</f>
        <v>مركز إرادة وتمكين للرعاية النهارية (القدس)</v>
      </c>
      <c r="G417">
        <f>COUNTIF($B$2:B417,B417)</f>
        <v>1</v>
      </c>
    </row>
    <row r="418" spans="1:7" x14ac:dyDescent="0.2">
      <c r="A418" s="9">
        <v>417</v>
      </c>
      <c r="B418" s="10">
        <v>1932054889</v>
      </c>
      <c r="C418" s="8" t="str">
        <f>IFERROR(IF(B418="","",VLOOKUP(B418,المستفيدين!$B:$C,2,FALSE)),"")</f>
        <v>مستفيد167</v>
      </c>
      <c r="D418" s="13" t="s">
        <v>370</v>
      </c>
      <c r="E418" s="14" t="s">
        <v>36</v>
      </c>
      <c r="F418" s="14" t="str">
        <f>IFERROR(IF(B418="","",VLOOKUP(B418,المستفيدين!$B:$F,5,FALSE)),"")</f>
        <v>مركز إرادة وتمكين للرعاية النهارية (القدس)</v>
      </c>
      <c r="G418">
        <f>COUNTIF($B$2:B418,B418)</f>
        <v>2</v>
      </c>
    </row>
    <row r="419" spans="1:7" x14ac:dyDescent="0.2">
      <c r="A419" s="11">
        <v>418</v>
      </c>
      <c r="B419" s="12">
        <v>1932054889</v>
      </c>
      <c r="C419" s="8" t="str">
        <f>IFERROR(IF(B419="","",VLOOKUP(B419,المستفيدين!$B:$C,2,FALSE)),"")</f>
        <v>مستفيد167</v>
      </c>
      <c r="D419" s="15" t="s">
        <v>137</v>
      </c>
      <c r="E419" s="16" t="s">
        <v>34</v>
      </c>
      <c r="F419" s="14" t="str">
        <f>IFERROR(IF(B419="","",VLOOKUP(B419,المستفيدين!$B:$F,5,FALSE)),"")</f>
        <v>مركز إرادة وتمكين للرعاية النهارية (القدس)</v>
      </c>
      <c r="G419">
        <f>COUNTIF($B$2:B419,B419)</f>
        <v>3</v>
      </c>
    </row>
    <row r="420" spans="1:7" x14ac:dyDescent="0.2">
      <c r="A420" s="9">
        <v>419</v>
      </c>
      <c r="B420" s="10">
        <v>1932054889</v>
      </c>
      <c r="C420" s="8" t="str">
        <f>IFERROR(IF(B420="","",VLOOKUP(B420,المستفيدين!$B:$C,2,FALSE)),"")</f>
        <v>مستفيد167</v>
      </c>
      <c r="D420" s="13" t="s">
        <v>136</v>
      </c>
      <c r="E420" s="14" t="s">
        <v>36</v>
      </c>
      <c r="F420" s="14" t="str">
        <f>IFERROR(IF(B420="","",VLOOKUP(B420,المستفيدين!$B:$F,5,FALSE)),"")</f>
        <v>مركز إرادة وتمكين للرعاية النهارية (القدس)</v>
      </c>
      <c r="G420">
        <f>COUNTIF($B$2:B420,B420)</f>
        <v>4</v>
      </c>
    </row>
    <row r="421" spans="1:7" x14ac:dyDescent="0.2">
      <c r="A421" s="11">
        <v>420</v>
      </c>
      <c r="B421" s="12">
        <v>1369201926</v>
      </c>
      <c r="C421" s="8" t="str">
        <f>IFERROR(IF(B421="","",VLOOKUP(B421,المستفيدين!$B:$C,2,FALSE)),"")</f>
        <v>مستفيد168</v>
      </c>
      <c r="D421" s="15" t="s">
        <v>143</v>
      </c>
      <c r="E421" s="16" t="s">
        <v>36</v>
      </c>
      <c r="F421" s="14" t="str">
        <f>IFERROR(IF(B421="","",VLOOKUP(B421,المستفيدين!$B:$F,5,FALSE)),"")</f>
        <v>مركز إرادة وتمكين لمتلازمة داون (نجد)</v>
      </c>
      <c r="G421">
        <f>COUNTIF($B$2:B421,B421)</f>
        <v>1</v>
      </c>
    </row>
    <row r="422" spans="1:7" x14ac:dyDescent="0.2">
      <c r="A422" s="9">
        <v>421</v>
      </c>
      <c r="B422" s="10">
        <v>1369201926</v>
      </c>
      <c r="C422" s="8" t="str">
        <f>IFERROR(IF(B422="","",VLOOKUP(B422,المستفيدين!$B:$C,2,FALSE)),"")</f>
        <v>مستفيد168</v>
      </c>
      <c r="D422" s="13" t="s">
        <v>136</v>
      </c>
      <c r="E422" s="14" t="s">
        <v>34</v>
      </c>
      <c r="F422" s="14" t="str">
        <f>IFERROR(IF(B422="","",VLOOKUP(B422,المستفيدين!$B:$F,5,FALSE)),"")</f>
        <v>مركز إرادة وتمكين لمتلازمة داون (نجد)</v>
      </c>
      <c r="G422">
        <f>COUNTIF($B$2:B422,B422)</f>
        <v>2</v>
      </c>
    </row>
    <row r="423" spans="1:7" x14ac:dyDescent="0.2">
      <c r="A423" s="11">
        <v>422</v>
      </c>
      <c r="B423" s="12">
        <v>1369201926</v>
      </c>
      <c r="C423" s="8" t="str">
        <f>IFERROR(IF(B423="","",VLOOKUP(B423,المستفيدين!$B:$C,2,FALSE)),"")</f>
        <v>مستفيد168</v>
      </c>
      <c r="D423" s="15" t="s">
        <v>146</v>
      </c>
      <c r="E423" s="16" t="s">
        <v>36</v>
      </c>
      <c r="F423" s="14" t="str">
        <f>IFERROR(IF(B423="","",VLOOKUP(B423,المستفيدين!$B:$F,5,FALSE)),"")</f>
        <v>مركز إرادة وتمكين لمتلازمة داون (نجد)</v>
      </c>
      <c r="G423">
        <f>COUNTIF($B$2:B423,B423)</f>
        <v>3</v>
      </c>
    </row>
    <row r="424" spans="1:7" x14ac:dyDescent="0.2">
      <c r="A424" s="9">
        <v>423</v>
      </c>
      <c r="B424" s="10">
        <v>1120965748</v>
      </c>
      <c r="C424" s="8" t="str">
        <f>IFERROR(IF(B424="","",VLOOKUP(B424,المستفيدين!$B:$C,2,FALSE)),"")</f>
        <v>مستفيد169</v>
      </c>
      <c r="D424" s="13" t="s">
        <v>142</v>
      </c>
      <c r="E424" s="14" t="s">
        <v>37</v>
      </c>
      <c r="F424" s="14" t="str">
        <f>IFERROR(IF(B424="","",VLOOKUP(B424,المستفيدين!$B:$F,5,FALSE)),"")</f>
        <v>مركز إرادة وتمكين لمتلازمة داون (نجد)</v>
      </c>
      <c r="G424">
        <f>COUNTIF($B$2:B424,B424)</f>
        <v>1</v>
      </c>
    </row>
    <row r="425" spans="1:7" x14ac:dyDescent="0.2">
      <c r="A425" s="11">
        <v>424</v>
      </c>
      <c r="B425" s="12">
        <v>1120965748</v>
      </c>
      <c r="C425" s="8" t="str">
        <f>IFERROR(IF(B425="","",VLOOKUP(B425,المستفيدين!$B:$C,2,FALSE)),"")</f>
        <v>مستفيد169</v>
      </c>
      <c r="D425" s="15" t="s">
        <v>145</v>
      </c>
      <c r="E425" s="16" t="s">
        <v>37</v>
      </c>
      <c r="F425" s="14" t="str">
        <f>IFERROR(IF(B425="","",VLOOKUP(B425,المستفيدين!$B:$F,5,FALSE)),"")</f>
        <v>مركز إرادة وتمكين لمتلازمة داون (نجد)</v>
      </c>
      <c r="G425">
        <f>COUNTIF($B$2:B425,B425)</f>
        <v>2</v>
      </c>
    </row>
    <row r="426" spans="1:7" x14ac:dyDescent="0.2">
      <c r="A426" s="9">
        <v>425</v>
      </c>
      <c r="B426" s="10">
        <v>1120965748</v>
      </c>
      <c r="C426" s="8" t="str">
        <f>IFERROR(IF(B426="","",VLOOKUP(B426,المستفيدين!$B:$C,2,FALSE)),"")</f>
        <v>مستفيد169</v>
      </c>
      <c r="D426" s="13" t="s">
        <v>370</v>
      </c>
      <c r="E426" s="14" t="s">
        <v>34</v>
      </c>
      <c r="F426" s="14" t="str">
        <f>IFERROR(IF(B426="","",VLOOKUP(B426,المستفيدين!$B:$F,5,FALSE)),"")</f>
        <v>مركز إرادة وتمكين لمتلازمة داون (نجد)</v>
      </c>
      <c r="G426">
        <f>COUNTIF($B$2:B426,B426)</f>
        <v>3</v>
      </c>
    </row>
    <row r="427" spans="1:7" x14ac:dyDescent="0.2">
      <c r="A427" s="11">
        <v>426</v>
      </c>
      <c r="B427" s="12">
        <v>1919727514</v>
      </c>
      <c r="C427" s="8" t="str">
        <f>IFERROR(IF(B427="","",VLOOKUP(B427,المستفيدين!$B:$C,2,FALSE)),"")</f>
        <v>مستفيد170</v>
      </c>
      <c r="D427" s="15" t="s">
        <v>135</v>
      </c>
      <c r="E427" s="16" t="s">
        <v>36</v>
      </c>
      <c r="F427" s="14" t="str">
        <f>IFERROR(IF(B427="","",VLOOKUP(B427,المستفيدين!$B:$F,5,FALSE)),"")</f>
        <v>مركز إرادة وتمكين لمتلازمة داون (نجد)</v>
      </c>
      <c r="G427">
        <f>COUNTIF($B$2:B427,B427)</f>
        <v>1</v>
      </c>
    </row>
    <row r="428" spans="1:7" x14ac:dyDescent="0.2">
      <c r="A428" s="9">
        <v>427</v>
      </c>
      <c r="B428" s="10">
        <v>1919727514</v>
      </c>
      <c r="C428" s="8" t="str">
        <f>IFERROR(IF(B428="","",VLOOKUP(B428,المستفيدين!$B:$C,2,FALSE)),"")</f>
        <v>مستفيد170</v>
      </c>
      <c r="D428" s="13" t="s">
        <v>369</v>
      </c>
      <c r="E428" s="14" t="s">
        <v>36</v>
      </c>
      <c r="F428" s="14" t="str">
        <f>IFERROR(IF(B428="","",VLOOKUP(B428,المستفيدين!$B:$F,5,FALSE)),"")</f>
        <v>مركز إرادة وتمكين لمتلازمة داون (نجد)</v>
      </c>
      <c r="G428">
        <f>COUNTIF($B$2:B428,B428)</f>
        <v>2</v>
      </c>
    </row>
    <row r="429" spans="1:7" x14ac:dyDescent="0.2">
      <c r="A429" s="11">
        <v>428</v>
      </c>
      <c r="B429" s="12">
        <v>1919727514</v>
      </c>
      <c r="C429" s="8" t="str">
        <f>IFERROR(IF(B429="","",VLOOKUP(B429,المستفيدين!$B:$C,2,FALSE)),"")</f>
        <v>مستفيد170</v>
      </c>
      <c r="D429" s="15" t="s">
        <v>141</v>
      </c>
      <c r="E429" s="16" t="s">
        <v>37</v>
      </c>
      <c r="F429" s="14" t="str">
        <f>IFERROR(IF(B429="","",VLOOKUP(B429,المستفيدين!$B:$F,5,FALSE)),"")</f>
        <v>مركز إرادة وتمكين لمتلازمة داون (نجد)</v>
      </c>
      <c r="G429">
        <f>COUNTIF($B$2:B429,B429)</f>
        <v>3</v>
      </c>
    </row>
    <row r="430" spans="1:7" x14ac:dyDescent="0.2">
      <c r="A430" s="9">
        <v>429</v>
      </c>
      <c r="B430" s="10">
        <v>1885244360</v>
      </c>
      <c r="C430" s="8" t="str">
        <f>IFERROR(IF(B430="","",VLOOKUP(B430,المستفيدين!$B:$C,2,FALSE)),"")</f>
        <v>مستفيد171</v>
      </c>
      <c r="D430" s="13" t="s">
        <v>144</v>
      </c>
      <c r="E430" s="14" t="s">
        <v>36</v>
      </c>
      <c r="F430" s="14" t="str">
        <f>IFERROR(IF(B430="","",VLOOKUP(B430,المستفيدين!$B:$F,5,FALSE)),"")</f>
        <v>مركز إرادة وتمكين لمتلازمة داون (نجد)</v>
      </c>
      <c r="G430">
        <f>COUNTIF($B$2:B430,B430)</f>
        <v>1</v>
      </c>
    </row>
    <row r="431" spans="1:7" x14ac:dyDescent="0.2">
      <c r="A431" s="11">
        <v>430</v>
      </c>
      <c r="B431" s="12">
        <v>1489760898</v>
      </c>
      <c r="C431" s="8" t="str">
        <f>IFERROR(IF(B431="","",VLOOKUP(B431,المستفيدين!$B:$C,2,FALSE)),"")</f>
        <v>مستفيد172</v>
      </c>
      <c r="D431" s="15" t="s">
        <v>138</v>
      </c>
      <c r="E431" s="16" t="s">
        <v>34</v>
      </c>
      <c r="F431" s="14" t="str">
        <f>IFERROR(IF(B431="","",VLOOKUP(B431,المستفيدين!$B:$F,5,FALSE)),"")</f>
        <v>مدرسة إرادة وتمكين لمتلازمة داون (نجد)</v>
      </c>
      <c r="G431">
        <f>COUNTIF($B$2:B431,B431)</f>
        <v>1</v>
      </c>
    </row>
    <row r="432" spans="1:7" x14ac:dyDescent="0.2">
      <c r="A432" s="9">
        <v>431</v>
      </c>
      <c r="B432" s="10">
        <v>1640872800</v>
      </c>
      <c r="C432" s="8" t="str">
        <f>IFERROR(IF(B432="","",VLOOKUP(B432,المستفيدين!$B:$C,2,FALSE)),"")</f>
        <v>مستفيد173</v>
      </c>
      <c r="D432" s="13" t="s">
        <v>369</v>
      </c>
      <c r="E432" s="14" t="s">
        <v>34</v>
      </c>
      <c r="F432" s="14" t="str">
        <f>IFERROR(IF(B432="","",VLOOKUP(B432,المستفيدين!$B:$F,5,FALSE)),"")</f>
        <v>مركز إرادة وتمكين لرعاية ذوي الاحتياجات الخاصة (جلمودة)</v>
      </c>
      <c r="G432">
        <f>COUNTIF($B$2:B432,B432)</f>
        <v>1</v>
      </c>
    </row>
    <row r="433" spans="1:7" x14ac:dyDescent="0.2">
      <c r="A433" s="11">
        <v>432</v>
      </c>
      <c r="B433" s="12">
        <v>1640872800</v>
      </c>
      <c r="C433" s="8" t="str">
        <f>IFERROR(IF(B433="","",VLOOKUP(B433,المستفيدين!$B:$C,2,FALSE)),"")</f>
        <v>مستفيد173</v>
      </c>
      <c r="D433" s="15" t="s">
        <v>142</v>
      </c>
      <c r="E433" s="16" t="s">
        <v>36</v>
      </c>
      <c r="F433" s="14" t="str">
        <f>IFERROR(IF(B433="","",VLOOKUP(B433,المستفيدين!$B:$F,5,FALSE)),"")</f>
        <v>مركز إرادة وتمكين لرعاية ذوي الاحتياجات الخاصة (جلمودة)</v>
      </c>
      <c r="G433">
        <f>COUNTIF($B$2:B433,B433)</f>
        <v>2</v>
      </c>
    </row>
    <row r="434" spans="1:7" x14ac:dyDescent="0.2">
      <c r="A434" s="9">
        <v>433</v>
      </c>
      <c r="B434" s="10">
        <v>1914106815</v>
      </c>
      <c r="C434" s="8" t="str">
        <f>IFERROR(IF(B434="","",VLOOKUP(B434,المستفيدين!$B:$C,2,FALSE)),"")</f>
        <v>مستفيد174</v>
      </c>
      <c r="D434" s="13" t="s">
        <v>137</v>
      </c>
      <c r="E434" s="14" t="s">
        <v>34</v>
      </c>
      <c r="F434" s="14" t="str">
        <f>IFERROR(IF(B434="","",VLOOKUP(B434,المستفيدين!$B:$F,5,FALSE)),"")</f>
        <v>مدرسة إرادة للتعليم (مكة)</v>
      </c>
      <c r="G434">
        <f>COUNTIF($B$2:B434,B434)</f>
        <v>1</v>
      </c>
    </row>
    <row r="435" spans="1:7" x14ac:dyDescent="0.2">
      <c r="A435" s="11">
        <v>434</v>
      </c>
      <c r="B435" s="12">
        <v>1914106815</v>
      </c>
      <c r="C435" s="8" t="str">
        <f>IFERROR(IF(B435="","",VLOOKUP(B435,المستفيدين!$B:$C,2,FALSE)),"")</f>
        <v>مستفيد174</v>
      </c>
      <c r="D435" s="15" t="s">
        <v>141</v>
      </c>
      <c r="E435" s="16" t="s">
        <v>36</v>
      </c>
      <c r="F435" s="14" t="str">
        <f>IFERROR(IF(B435="","",VLOOKUP(B435,المستفيدين!$B:$F,5,FALSE)),"")</f>
        <v>مدرسة إرادة للتعليم (مكة)</v>
      </c>
      <c r="G435">
        <f>COUNTIF($B$2:B435,B435)</f>
        <v>2</v>
      </c>
    </row>
    <row r="436" spans="1:7" x14ac:dyDescent="0.2">
      <c r="A436" s="9">
        <v>435</v>
      </c>
      <c r="B436" s="10">
        <v>1914106815</v>
      </c>
      <c r="C436" s="8" t="str">
        <f>IFERROR(IF(B436="","",VLOOKUP(B436,المستفيدين!$B:$C,2,FALSE)),"")</f>
        <v>مستفيد174</v>
      </c>
      <c r="D436" s="13" t="s">
        <v>146</v>
      </c>
      <c r="E436" s="14" t="s">
        <v>36</v>
      </c>
      <c r="F436" s="14" t="str">
        <f>IFERROR(IF(B436="","",VLOOKUP(B436,المستفيدين!$B:$F,5,FALSE)),"")</f>
        <v>مدرسة إرادة للتعليم (مكة)</v>
      </c>
      <c r="G436">
        <f>COUNTIF($B$2:B436,B436)</f>
        <v>3</v>
      </c>
    </row>
    <row r="437" spans="1:7" x14ac:dyDescent="0.2">
      <c r="A437" s="11">
        <v>436</v>
      </c>
      <c r="B437" s="12">
        <v>1696333011</v>
      </c>
      <c r="C437" s="8" t="str">
        <f>IFERROR(IF(B437="","",VLOOKUP(B437,المستفيدين!$B:$C,2,FALSE)),"")</f>
        <v>مستفيد175</v>
      </c>
      <c r="D437" s="15" t="s">
        <v>370</v>
      </c>
      <c r="E437" s="16" t="s">
        <v>37</v>
      </c>
      <c r="F437" s="14" t="str">
        <f>IFERROR(IF(B437="","",VLOOKUP(B437,المستفيدين!$B:$F,5,FALSE)),"")</f>
        <v>مركز إرادة وتمكين للرعاية النهارية (القدس)</v>
      </c>
      <c r="G437">
        <f>COUNTIF($B$2:B437,B437)</f>
        <v>1</v>
      </c>
    </row>
    <row r="438" spans="1:7" x14ac:dyDescent="0.2">
      <c r="A438" s="9">
        <v>437</v>
      </c>
      <c r="B438" s="10">
        <v>1216832990</v>
      </c>
      <c r="C438" s="8" t="str">
        <f>IFERROR(IF(B438="","",VLOOKUP(B438,المستفيدين!$B:$C,2,FALSE)),"")</f>
        <v>مستفيد176</v>
      </c>
      <c r="D438" s="13" t="s">
        <v>135</v>
      </c>
      <c r="E438" s="14" t="s">
        <v>34</v>
      </c>
      <c r="F438" s="14" t="str">
        <f>IFERROR(IF(B438="","",VLOOKUP(B438,المستفيدين!$B:$F,5,FALSE)),"")</f>
        <v>مركز إرادة وتمكين للرعاية النهارية (القدس)</v>
      </c>
      <c r="G438">
        <f>COUNTIF($B$2:B438,B438)</f>
        <v>1</v>
      </c>
    </row>
    <row r="439" spans="1:7" x14ac:dyDescent="0.2">
      <c r="A439" s="11">
        <v>438</v>
      </c>
      <c r="B439" s="12">
        <v>1216832990</v>
      </c>
      <c r="C439" s="8" t="str">
        <f>IFERROR(IF(B439="","",VLOOKUP(B439,المستفيدين!$B:$C,2,FALSE)),"")</f>
        <v>مستفيد176</v>
      </c>
      <c r="D439" s="15" t="s">
        <v>139</v>
      </c>
      <c r="E439" s="16" t="s">
        <v>37</v>
      </c>
      <c r="F439" s="14" t="str">
        <f>IFERROR(IF(B439="","",VLOOKUP(B439,المستفيدين!$B:$F,5,FALSE)),"")</f>
        <v>مركز إرادة وتمكين للرعاية النهارية (القدس)</v>
      </c>
      <c r="G439">
        <f>COUNTIF($B$2:B439,B439)</f>
        <v>2</v>
      </c>
    </row>
    <row r="440" spans="1:7" x14ac:dyDescent="0.2">
      <c r="A440" s="9">
        <v>439</v>
      </c>
      <c r="B440" s="10">
        <v>1817449144</v>
      </c>
      <c r="C440" s="8" t="str">
        <f>IFERROR(IF(B440="","",VLOOKUP(B440,المستفيدين!$B:$C,2,FALSE)),"")</f>
        <v>مستفيد177</v>
      </c>
      <c r="D440" s="13" t="s">
        <v>370</v>
      </c>
      <c r="E440" s="14" t="s">
        <v>34</v>
      </c>
      <c r="F440" s="14" t="str">
        <f>IFERROR(IF(B440="","",VLOOKUP(B440,المستفيدين!$B:$F,5,FALSE)),"")</f>
        <v>مركز إرادة وتمكين لرعاية ذوي الاحتياجات الخاصة (جلمودة)</v>
      </c>
      <c r="G440">
        <f>COUNTIF($B$2:B440,B440)</f>
        <v>1</v>
      </c>
    </row>
    <row r="441" spans="1:7" x14ac:dyDescent="0.2">
      <c r="A441" s="11">
        <v>440</v>
      </c>
      <c r="B441" s="12">
        <v>1548238329</v>
      </c>
      <c r="C441" s="8" t="str">
        <f>IFERROR(IF(B441="","",VLOOKUP(B441,المستفيدين!$B:$C,2,FALSE)),"")</f>
        <v>مستفيد178</v>
      </c>
      <c r="D441" s="15" t="s">
        <v>369</v>
      </c>
      <c r="E441" s="16" t="s">
        <v>37</v>
      </c>
      <c r="F441" s="14" t="str">
        <f>IFERROR(IF(B441="","",VLOOKUP(B441,المستفيدين!$B:$F,5,FALSE)),"")</f>
        <v>مركز إرادة وتمكين لمتلازمة داون (نجد)</v>
      </c>
      <c r="G441">
        <f>COUNTIF($B$2:B441,B441)</f>
        <v>1</v>
      </c>
    </row>
    <row r="442" spans="1:7" x14ac:dyDescent="0.2">
      <c r="A442" s="9">
        <v>441</v>
      </c>
      <c r="B442" s="10">
        <v>1548238329</v>
      </c>
      <c r="C442" s="8" t="str">
        <f>IFERROR(IF(B442="","",VLOOKUP(B442,المستفيدين!$B:$C,2,FALSE)),"")</f>
        <v>مستفيد178</v>
      </c>
      <c r="D442" s="13" t="s">
        <v>144</v>
      </c>
      <c r="E442" s="14" t="s">
        <v>37</v>
      </c>
      <c r="F442" s="14" t="str">
        <f>IFERROR(IF(B442="","",VLOOKUP(B442,المستفيدين!$B:$F,5,FALSE)),"")</f>
        <v>مركز إرادة وتمكين لمتلازمة داون (نجد)</v>
      </c>
      <c r="G442">
        <f>COUNTIF($B$2:B442,B442)</f>
        <v>2</v>
      </c>
    </row>
    <row r="443" spans="1:7" x14ac:dyDescent="0.2">
      <c r="A443" s="11">
        <v>442</v>
      </c>
      <c r="B443" s="12">
        <v>1548238329</v>
      </c>
      <c r="C443" s="8" t="str">
        <f>IFERROR(IF(B443="","",VLOOKUP(B443,المستفيدين!$B:$C,2,FALSE)),"")</f>
        <v>مستفيد178</v>
      </c>
      <c r="D443" s="15" t="s">
        <v>145</v>
      </c>
      <c r="E443" s="16" t="s">
        <v>36</v>
      </c>
      <c r="F443" s="14" t="str">
        <f>IFERROR(IF(B443="","",VLOOKUP(B443,المستفيدين!$B:$F,5,FALSE)),"")</f>
        <v>مركز إرادة وتمكين لمتلازمة داون (نجد)</v>
      </c>
      <c r="G443">
        <f>COUNTIF($B$2:B443,B443)</f>
        <v>3</v>
      </c>
    </row>
    <row r="444" spans="1:7" x14ac:dyDescent="0.2">
      <c r="A444" s="9">
        <v>443</v>
      </c>
      <c r="B444" s="10">
        <v>1548238329</v>
      </c>
      <c r="C444" s="8" t="str">
        <f>IFERROR(IF(B444="","",VLOOKUP(B444,المستفيدين!$B:$C,2,FALSE)),"")</f>
        <v>مستفيد178</v>
      </c>
      <c r="D444" s="13" t="s">
        <v>368</v>
      </c>
      <c r="E444" s="14" t="s">
        <v>36</v>
      </c>
      <c r="F444" s="14" t="str">
        <f>IFERROR(IF(B444="","",VLOOKUP(B444,المستفيدين!$B:$F,5,FALSE)),"")</f>
        <v>مركز إرادة وتمكين لمتلازمة داون (نجد)</v>
      </c>
      <c r="G444">
        <f>COUNTIF($B$2:B444,B444)</f>
        <v>4</v>
      </c>
    </row>
    <row r="445" spans="1:7" x14ac:dyDescent="0.2">
      <c r="A445" s="11">
        <v>444</v>
      </c>
      <c r="B445" s="12">
        <v>1392511676</v>
      </c>
      <c r="C445" s="8" t="str">
        <f>IFERROR(IF(B445="","",VLOOKUP(B445,المستفيدين!$B:$C,2,FALSE)),"")</f>
        <v>مستفيد179</v>
      </c>
      <c r="D445" s="15" t="s">
        <v>143</v>
      </c>
      <c r="E445" s="16" t="s">
        <v>37</v>
      </c>
      <c r="F445" s="14" t="str">
        <f>IFERROR(IF(B445="","",VLOOKUP(B445,المستفيدين!$B:$F,5,FALSE)),"")</f>
        <v>مركز إرادة وتمكين للرعاية النهارية (القدس)</v>
      </c>
      <c r="G445">
        <f>COUNTIF($B$2:B445,B445)</f>
        <v>1</v>
      </c>
    </row>
    <row r="446" spans="1:7" x14ac:dyDescent="0.2">
      <c r="A446" s="9">
        <v>445</v>
      </c>
      <c r="B446" s="10">
        <v>1392511676</v>
      </c>
      <c r="C446" s="8" t="str">
        <f>IFERROR(IF(B446="","",VLOOKUP(B446,المستفيدين!$B:$C,2,FALSE)),"")</f>
        <v>مستفيد179</v>
      </c>
      <c r="D446" s="13" t="s">
        <v>370</v>
      </c>
      <c r="E446" s="14" t="s">
        <v>37</v>
      </c>
      <c r="F446" s="14" t="str">
        <f>IFERROR(IF(B446="","",VLOOKUP(B446,المستفيدين!$B:$F,5,FALSE)),"")</f>
        <v>مركز إرادة وتمكين للرعاية النهارية (القدس)</v>
      </c>
      <c r="G446">
        <f>COUNTIF($B$2:B446,B446)</f>
        <v>2</v>
      </c>
    </row>
    <row r="447" spans="1:7" x14ac:dyDescent="0.2">
      <c r="A447" s="11">
        <v>446</v>
      </c>
      <c r="B447" s="12">
        <v>1502704604</v>
      </c>
      <c r="C447" s="8" t="str">
        <f>IFERROR(IF(B447="","",VLOOKUP(B447,المستفيدين!$B:$C,2,FALSE)),"")</f>
        <v>مستفيد180</v>
      </c>
      <c r="D447" s="15" t="s">
        <v>369</v>
      </c>
      <c r="E447" s="16" t="s">
        <v>37</v>
      </c>
      <c r="F447" s="14" t="str">
        <f>IFERROR(IF(B447="","",VLOOKUP(B447,المستفيدين!$B:$F,5,FALSE)),"")</f>
        <v>مدرسة إرادة وتمكين لمتلازمة داون (نجد)</v>
      </c>
      <c r="G447">
        <f>COUNTIF($B$2:B447,B447)</f>
        <v>1</v>
      </c>
    </row>
    <row r="448" spans="1:7" x14ac:dyDescent="0.2">
      <c r="A448" s="9">
        <v>447</v>
      </c>
      <c r="B448" s="10">
        <v>1502704604</v>
      </c>
      <c r="C448" s="8" t="str">
        <f>IFERROR(IF(B448="","",VLOOKUP(B448,المستفيدين!$B:$C,2,FALSE)),"")</f>
        <v>مستفيد180</v>
      </c>
      <c r="D448" s="13" t="s">
        <v>370</v>
      </c>
      <c r="E448" s="14" t="s">
        <v>36</v>
      </c>
      <c r="F448" s="14" t="str">
        <f>IFERROR(IF(B448="","",VLOOKUP(B448,المستفيدين!$B:$F,5,FALSE)),"")</f>
        <v>مدرسة إرادة وتمكين لمتلازمة داون (نجد)</v>
      </c>
      <c r="G448">
        <f>COUNTIF($B$2:B448,B448)</f>
        <v>2</v>
      </c>
    </row>
    <row r="449" spans="1:7" x14ac:dyDescent="0.2">
      <c r="A449" s="11">
        <v>448</v>
      </c>
      <c r="B449" s="12">
        <v>1502704604</v>
      </c>
      <c r="C449" s="8" t="str">
        <f>IFERROR(IF(B449="","",VLOOKUP(B449,المستفيدين!$B:$C,2,FALSE)),"")</f>
        <v>مستفيد180</v>
      </c>
      <c r="D449" s="15" t="s">
        <v>140</v>
      </c>
      <c r="E449" s="16" t="s">
        <v>34</v>
      </c>
      <c r="F449" s="14" t="str">
        <f>IFERROR(IF(B449="","",VLOOKUP(B449,المستفيدين!$B:$F,5,FALSE)),"")</f>
        <v>مدرسة إرادة وتمكين لمتلازمة داون (نجد)</v>
      </c>
      <c r="G449">
        <f>COUNTIF($B$2:B449,B449)</f>
        <v>3</v>
      </c>
    </row>
    <row r="450" spans="1:7" x14ac:dyDescent="0.2">
      <c r="A450" s="9">
        <v>449</v>
      </c>
      <c r="B450" s="10">
        <v>1502704604</v>
      </c>
      <c r="C450" s="8" t="str">
        <f>IFERROR(IF(B450="","",VLOOKUP(B450,المستفيدين!$B:$C,2,FALSE)),"")</f>
        <v>مستفيد180</v>
      </c>
      <c r="D450" s="13" t="s">
        <v>64</v>
      </c>
      <c r="E450" s="14" t="s">
        <v>34</v>
      </c>
      <c r="F450" s="14" t="str">
        <f>IFERROR(IF(B450="","",VLOOKUP(B450,المستفيدين!$B:$F,5,FALSE)),"")</f>
        <v>مدرسة إرادة وتمكين لمتلازمة داون (نجد)</v>
      </c>
      <c r="G450">
        <f>COUNTIF($B$2:B450,B450)</f>
        <v>4</v>
      </c>
    </row>
    <row r="451" spans="1:7" x14ac:dyDescent="0.2">
      <c r="A451" s="11">
        <v>450</v>
      </c>
      <c r="B451" s="12">
        <v>1506829260</v>
      </c>
      <c r="C451" s="8" t="str">
        <f>IFERROR(IF(B451="","",VLOOKUP(B451,المستفيدين!$B:$C,2,FALSE)),"")</f>
        <v>مستفيد181</v>
      </c>
      <c r="D451" s="15" t="s">
        <v>141</v>
      </c>
      <c r="E451" s="16" t="s">
        <v>36</v>
      </c>
      <c r="F451" s="14" t="str">
        <f>IFERROR(IF(B451="","",VLOOKUP(B451,المستفيدين!$B:$F,5,FALSE)),"")</f>
        <v>مركز إرادة وتمكين للرعاية النهارية (القدس)</v>
      </c>
      <c r="G451">
        <f>COUNTIF($B$2:B451,B451)</f>
        <v>1</v>
      </c>
    </row>
    <row r="452" spans="1:7" x14ac:dyDescent="0.2">
      <c r="A452" s="9">
        <v>451</v>
      </c>
      <c r="B452" s="10">
        <v>1506829260</v>
      </c>
      <c r="C452" s="8" t="str">
        <f>IFERROR(IF(B452="","",VLOOKUP(B452,المستفيدين!$B:$C,2,FALSE)),"")</f>
        <v>مستفيد181</v>
      </c>
      <c r="D452" s="13" t="s">
        <v>64</v>
      </c>
      <c r="E452" s="14" t="s">
        <v>36</v>
      </c>
      <c r="F452" s="14" t="str">
        <f>IFERROR(IF(B452="","",VLOOKUP(B452,المستفيدين!$B:$F,5,FALSE)),"")</f>
        <v>مركز إرادة وتمكين للرعاية النهارية (القدس)</v>
      </c>
      <c r="G452">
        <f>COUNTIF($B$2:B452,B452)</f>
        <v>2</v>
      </c>
    </row>
    <row r="453" spans="1:7" x14ac:dyDescent="0.2">
      <c r="A453" s="11">
        <v>452</v>
      </c>
      <c r="B453" s="12">
        <v>1207180707</v>
      </c>
      <c r="C453" s="8" t="str">
        <f>IFERROR(IF(B453="","",VLOOKUP(B453,المستفيدين!$B:$C,2,FALSE)),"")</f>
        <v>مستفيد182</v>
      </c>
      <c r="D453" s="15" t="s">
        <v>141</v>
      </c>
      <c r="E453" s="16" t="s">
        <v>34</v>
      </c>
      <c r="F453" s="14" t="str">
        <f>IFERROR(IF(B453="","",VLOOKUP(B453,المستفيدين!$B:$F,5,FALSE)),"")</f>
        <v>مدرسة إرادة للتعليم (مكة)</v>
      </c>
      <c r="G453">
        <f>COUNTIF($B$2:B453,B453)</f>
        <v>1</v>
      </c>
    </row>
    <row r="454" spans="1:7" x14ac:dyDescent="0.2">
      <c r="A454" s="9">
        <v>453</v>
      </c>
      <c r="B454" s="10">
        <v>1207180707</v>
      </c>
      <c r="C454" s="8" t="str">
        <f>IFERROR(IF(B454="","",VLOOKUP(B454,المستفيدين!$B:$C,2,FALSE)),"")</f>
        <v>مستفيد182</v>
      </c>
      <c r="D454" s="13" t="s">
        <v>369</v>
      </c>
      <c r="E454" s="14" t="s">
        <v>36</v>
      </c>
      <c r="F454" s="14" t="str">
        <f>IFERROR(IF(B454="","",VLOOKUP(B454,المستفيدين!$B:$F,5,FALSE)),"")</f>
        <v>مدرسة إرادة للتعليم (مكة)</v>
      </c>
      <c r="G454">
        <f>COUNTIF($B$2:B454,B454)</f>
        <v>2</v>
      </c>
    </row>
    <row r="455" spans="1:7" x14ac:dyDescent="0.2">
      <c r="A455" s="11">
        <v>454</v>
      </c>
      <c r="B455" s="12">
        <v>1069215057</v>
      </c>
      <c r="C455" s="8" t="str">
        <f>IFERROR(IF(B455="","",VLOOKUP(B455,المستفيدين!$B:$C,2,FALSE)),"")</f>
        <v>مستفيد183</v>
      </c>
      <c r="D455" s="15" t="s">
        <v>138</v>
      </c>
      <c r="E455" s="16" t="s">
        <v>34</v>
      </c>
      <c r="F455" s="14" t="str">
        <f>IFERROR(IF(B455="","",VLOOKUP(B455,المستفيدين!$B:$F,5,FALSE)),"")</f>
        <v>مركز إرادة وتمكين لرعاية ذوي الاحتياجات الخاصة (جلمودة)</v>
      </c>
      <c r="G455">
        <f>COUNTIF($B$2:B455,B455)</f>
        <v>1</v>
      </c>
    </row>
    <row r="456" spans="1:7" x14ac:dyDescent="0.2">
      <c r="A456" s="9">
        <v>455</v>
      </c>
      <c r="B456" s="10">
        <v>1273952500</v>
      </c>
      <c r="C456" s="8" t="str">
        <f>IFERROR(IF(B456="","",VLOOKUP(B456,المستفيدين!$B:$C,2,FALSE)),"")</f>
        <v>مستفيد184</v>
      </c>
      <c r="D456" s="13" t="s">
        <v>368</v>
      </c>
      <c r="E456" s="14" t="s">
        <v>37</v>
      </c>
      <c r="F456" s="14" t="str">
        <f>IFERROR(IF(B456="","",VLOOKUP(B456,المستفيدين!$B:$F,5,FALSE)),"")</f>
        <v>مركز إرادة وتمكين لرعاية ذوي الاحتياجات الخاصة (جلمودة)</v>
      </c>
      <c r="G456">
        <f>COUNTIF($B$2:B456,B456)</f>
        <v>1</v>
      </c>
    </row>
    <row r="457" spans="1:7" x14ac:dyDescent="0.2">
      <c r="A457" s="11">
        <v>456</v>
      </c>
      <c r="B457" s="12">
        <v>1273952500</v>
      </c>
      <c r="C457" s="8" t="str">
        <f>IFERROR(IF(B457="","",VLOOKUP(B457,المستفيدين!$B:$C,2,FALSE)),"")</f>
        <v>مستفيد184</v>
      </c>
      <c r="D457" s="15" t="s">
        <v>369</v>
      </c>
      <c r="E457" s="16" t="s">
        <v>34</v>
      </c>
      <c r="F457" s="14" t="str">
        <f>IFERROR(IF(B457="","",VLOOKUP(B457,المستفيدين!$B:$F,5,FALSE)),"")</f>
        <v>مركز إرادة وتمكين لرعاية ذوي الاحتياجات الخاصة (جلمودة)</v>
      </c>
      <c r="G457">
        <f>COUNTIF($B$2:B457,B457)</f>
        <v>2</v>
      </c>
    </row>
    <row r="458" spans="1:7" x14ac:dyDescent="0.2">
      <c r="A458" s="9">
        <v>457</v>
      </c>
      <c r="B458" s="10">
        <v>1923240565</v>
      </c>
      <c r="C458" s="8" t="str">
        <f>IFERROR(IF(B458="","",VLOOKUP(B458,المستفيدين!$B:$C,2,FALSE)),"")</f>
        <v>مستفيد185</v>
      </c>
      <c r="D458" s="13" t="s">
        <v>136</v>
      </c>
      <c r="E458" s="14" t="s">
        <v>34</v>
      </c>
      <c r="F458" s="14" t="str">
        <f>IFERROR(IF(B458="","",VLOOKUP(B458,المستفيدين!$B:$F,5,FALSE)),"")</f>
        <v>مدرسة إرادة وتمكين لمتلازمة داون (نجد)</v>
      </c>
      <c r="G458">
        <f>COUNTIF($B$2:B458,B458)</f>
        <v>1</v>
      </c>
    </row>
    <row r="459" spans="1:7" x14ac:dyDescent="0.2">
      <c r="A459" s="11">
        <v>458</v>
      </c>
      <c r="B459" s="12">
        <v>1923240565</v>
      </c>
      <c r="C459" s="8" t="str">
        <f>IFERROR(IF(B459="","",VLOOKUP(B459,المستفيدين!$B:$C,2,FALSE)),"")</f>
        <v>مستفيد185</v>
      </c>
      <c r="D459" s="15" t="s">
        <v>141</v>
      </c>
      <c r="E459" s="16" t="s">
        <v>34</v>
      </c>
      <c r="F459" s="14" t="str">
        <f>IFERROR(IF(B459="","",VLOOKUP(B459,المستفيدين!$B:$F,5,FALSE)),"")</f>
        <v>مدرسة إرادة وتمكين لمتلازمة داون (نجد)</v>
      </c>
      <c r="G459">
        <f>COUNTIF($B$2:B459,B459)</f>
        <v>2</v>
      </c>
    </row>
    <row r="460" spans="1:7" x14ac:dyDescent="0.2">
      <c r="A460" s="9">
        <v>459</v>
      </c>
      <c r="B460" s="10">
        <v>1113590304</v>
      </c>
      <c r="C460" s="8" t="str">
        <f>IFERROR(IF(B460="","",VLOOKUP(B460,المستفيدين!$B:$C,2,FALSE)),"")</f>
        <v>مستفيد186</v>
      </c>
      <c r="D460" s="13" t="s">
        <v>143</v>
      </c>
      <c r="E460" s="14" t="s">
        <v>37</v>
      </c>
      <c r="F460" s="14" t="str">
        <f>IFERROR(IF(B460="","",VLOOKUP(B460,المستفيدين!$B:$F,5,FALSE)),"")</f>
        <v>مركز إرادة وتمكين لمتلازمة داون (نجد)</v>
      </c>
      <c r="G460">
        <f>COUNTIF($B$2:B460,B460)</f>
        <v>1</v>
      </c>
    </row>
    <row r="461" spans="1:7" x14ac:dyDescent="0.2">
      <c r="A461" s="11">
        <v>460</v>
      </c>
      <c r="B461" s="12">
        <v>1113590304</v>
      </c>
      <c r="C461" s="8" t="str">
        <f>IFERROR(IF(B461="","",VLOOKUP(B461,المستفيدين!$B:$C,2,FALSE)),"")</f>
        <v>مستفيد186</v>
      </c>
      <c r="D461" s="15" t="s">
        <v>137</v>
      </c>
      <c r="E461" s="16" t="s">
        <v>36</v>
      </c>
      <c r="F461" s="14" t="str">
        <f>IFERROR(IF(B461="","",VLOOKUP(B461,المستفيدين!$B:$F,5,FALSE)),"")</f>
        <v>مركز إرادة وتمكين لمتلازمة داون (نجد)</v>
      </c>
      <c r="G461">
        <f>COUNTIF($B$2:B461,B461)</f>
        <v>2</v>
      </c>
    </row>
    <row r="462" spans="1:7" x14ac:dyDescent="0.2">
      <c r="A462" s="9">
        <v>461</v>
      </c>
      <c r="B462" s="10">
        <v>1113590304</v>
      </c>
      <c r="C462" s="8" t="str">
        <f>IFERROR(IF(B462="","",VLOOKUP(B462,المستفيدين!$B:$C,2,FALSE)),"")</f>
        <v>مستفيد186</v>
      </c>
      <c r="D462" s="13" t="s">
        <v>139</v>
      </c>
      <c r="E462" s="14" t="s">
        <v>37</v>
      </c>
      <c r="F462" s="14" t="str">
        <f>IFERROR(IF(B462="","",VLOOKUP(B462,المستفيدين!$B:$F,5,FALSE)),"")</f>
        <v>مركز إرادة وتمكين لمتلازمة داون (نجد)</v>
      </c>
      <c r="G462">
        <f>COUNTIF($B$2:B462,B462)</f>
        <v>3</v>
      </c>
    </row>
    <row r="463" spans="1:7" x14ac:dyDescent="0.2">
      <c r="A463" s="11">
        <v>462</v>
      </c>
      <c r="B463" s="12">
        <v>1113590304</v>
      </c>
      <c r="C463" s="8" t="str">
        <f>IFERROR(IF(B463="","",VLOOKUP(B463,المستفيدين!$B:$C,2,FALSE)),"")</f>
        <v>مستفيد186</v>
      </c>
      <c r="D463" s="15" t="s">
        <v>145</v>
      </c>
      <c r="E463" s="16" t="s">
        <v>34</v>
      </c>
      <c r="F463" s="14" t="str">
        <f>IFERROR(IF(B463="","",VLOOKUP(B463,المستفيدين!$B:$F,5,FALSE)),"")</f>
        <v>مركز إرادة وتمكين لمتلازمة داون (نجد)</v>
      </c>
      <c r="G463">
        <f>COUNTIF($B$2:B463,B463)</f>
        <v>4</v>
      </c>
    </row>
    <row r="464" spans="1:7" x14ac:dyDescent="0.2">
      <c r="A464" s="9">
        <v>463</v>
      </c>
      <c r="B464" s="10">
        <v>1525548329</v>
      </c>
      <c r="C464" s="8" t="str">
        <f>IFERROR(IF(B464="","",VLOOKUP(B464,المستفيدين!$B:$C,2,FALSE)),"")</f>
        <v>مستفيد187</v>
      </c>
      <c r="D464" s="13" t="s">
        <v>64</v>
      </c>
      <c r="E464" s="14" t="s">
        <v>34</v>
      </c>
      <c r="F464" s="14" t="str">
        <f>IFERROR(IF(B464="","",VLOOKUP(B464,المستفيدين!$B:$F,5,FALSE)),"")</f>
        <v>مركز إرادة وتمكين لرعاية ذوي الاحتياجات الخاصة (جلمودة)</v>
      </c>
      <c r="G464">
        <f>COUNTIF($B$2:B464,B464)</f>
        <v>1</v>
      </c>
    </row>
    <row r="465" spans="1:7" x14ac:dyDescent="0.2">
      <c r="A465" s="11">
        <v>464</v>
      </c>
      <c r="B465" s="12">
        <v>1525548329</v>
      </c>
      <c r="C465" s="8" t="str">
        <f>IFERROR(IF(B465="","",VLOOKUP(B465,المستفيدين!$B:$C,2,FALSE)),"")</f>
        <v>مستفيد187</v>
      </c>
      <c r="D465" s="15" t="s">
        <v>369</v>
      </c>
      <c r="E465" s="16" t="s">
        <v>37</v>
      </c>
      <c r="F465" s="14" t="str">
        <f>IFERROR(IF(B465="","",VLOOKUP(B465,المستفيدين!$B:$F,5,FALSE)),"")</f>
        <v>مركز إرادة وتمكين لرعاية ذوي الاحتياجات الخاصة (جلمودة)</v>
      </c>
      <c r="G465">
        <f>COUNTIF($B$2:B465,B465)</f>
        <v>2</v>
      </c>
    </row>
    <row r="466" spans="1:7" x14ac:dyDescent="0.2">
      <c r="A466" s="9">
        <v>465</v>
      </c>
      <c r="B466" s="10">
        <v>1285596817</v>
      </c>
      <c r="C466" s="8" t="str">
        <f>IFERROR(IF(B466="","",VLOOKUP(B466,المستفيدين!$B:$C,2,FALSE)),"")</f>
        <v>مستفيد188</v>
      </c>
      <c r="D466" s="13" t="s">
        <v>370</v>
      </c>
      <c r="E466" s="14" t="s">
        <v>36</v>
      </c>
      <c r="F466" s="14" t="str">
        <f>IFERROR(IF(B466="","",VLOOKUP(B466,المستفيدين!$B:$F,5,FALSE)),"")</f>
        <v>مركز إرادة وتمكين لمتلازمة داون (نجد)</v>
      </c>
      <c r="G466">
        <f>COUNTIF($B$2:B466,B466)</f>
        <v>1</v>
      </c>
    </row>
    <row r="467" spans="1:7" x14ac:dyDescent="0.2">
      <c r="A467" s="11">
        <v>466</v>
      </c>
      <c r="B467" s="12">
        <v>1980725694</v>
      </c>
      <c r="C467" s="8" t="str">
        <f>IFERROR(IF(B467="","",VLOOKUP(B467,المستفيدين!$B:$C,2,FALSE)),"")</f>
        <v>مستفيد189</v>
      </c>
      <c r="D467" s="15" t="s">
        <v>139</v>
      </c>
      <c r="E467" s="16" t="s">
        <v>36</v>
      </c>
      <c r="F467" s="14" t="str">
        <f>IFERROR(IF(B467="","",VLOOKUP(B467,المستفيدين!$B:$F,5,FALSE)),"")</f>
        <v>مدرسة إرادة للتعليم (مكة)</v>
      </c>
      <c r="G467">
        <f>COUNTIF($B$2:B467,B467)</f>
        <v>1</v>
      </c>
    </row>
    <row r="468" spans="1:7" x14ac:dyDescent="0.2">
      <c r="A468" s="9">
        <v>467</v>
      </c>
      <c r="B468" s="10">
        <v>1980725694</v>
      </c>
      <c r="C468" s="8" t="str">
        <f>IFERROR(IF(B468="","",VLOOKUP(B468,المستفيدين!$B:$C,2,FALSE)),"")</f>
        <v>مستفيد189</v>
      </c>
      <c r="D468" s="13" t="s">
        <v>141</v>
      </c>
      <c r="E468" s="14" t="s">
        <v>34</v>
      </c>
      <c r="F468" s="14" t="str">
        <f>IFERROR(IF(B468="","",VLOOKUP(B468,المستفيدين!$B:$F,5,FALSE)),"")</f>
        <v>مدرسة إرادة للتعليم (مكة)</v>
      </c>
      <c r="G468">
        <f>COUNTIF($B$2:B468,B468)</f>
        <v>2</v>
      </c>
    </row>
    <row r="469" spans="1:7" x14ac:dyDescent="0.2">
      <c r="A469" s="11">
        <v>468</v>
      </c>
      <c r="B469" s="12">
        <v>1374392968</v>
      </c>
      <c r="C469" s="8" t="str">
        <f>IFERROR(IF(B469="","",VLOOKUP(B469,المستفيدين!$B:$C,2,FALSE)),"")</f>
        <v>مستفيد190</v>
      </c>
      <c r="D469" s="15" t="s">
        <v>137</v>
      </c>
      <c r="E469" s="16" t="s">
        <v>34</v>
      </c>
      <c r="F469" s="14" t="str">
        <f>IFERROR(IF(B469="","",VLOOKUP(B469,المستفيدين!$B:$F,5,FALSE)),"")</f>
        <v>مدرسة إرادة وتمكين لمتلازمة داون (نجد)</v>
      </c>
      <c r="G469">
        <f>COUNTIF($B$2:B469,B469)</f>
        <v>1</v>
      </c>
    </row>
    <row r="470" spans="1:7" x14ac:dyDescent="0.2">
      <c r="A470" s="9">
        <v>469</v>
      </c>
      <c r="B470" s="10">
        <v>1374392968</v>
      </c>
      <c r="C470" s="8" t="str">
        <f>IFERROR(IF(B470="","",VLOOKUP(B470,المستفيدين!$B:$C,2,FALSE)),"")</f>
        <v>مستفيد190</v>
      </c>
      <c r="D470" s="13" t="s">
        <v>143</v>
      </c>
      <c r="E470" s="14" t="s">
        <v>34</v>
      </c>
      <c r="F470" s="14" t="str">
        <f>IFERROR(IF(B470="","",VLOOKUP(B470,المستفيدين!$B:$F,5,FALSE)),"")</f>
        <v>مدرسة إرادة وتمكين لمتلازمة داون (نجد)</v>
      </c>
      <c r="G470">
        <f>COUNTIF($B$2:B470,B470)</f>
        <v>2</v>
      </c>
    </row>
    <row r="471" spans="1:7" x14ac:dyDescent="0.2">
      <c r="A471" s="11">
        <v>470</v>
      </c>
      <c r="B471" s="12">
        <v>1225270924</v>
      </c>
      <c r="C471" s="8" t="str">
        <f>IFERROR(IF(B471="","",VLOOKUP(B471,المستفيدين!$B:$C,2,FALSE)),"")</f>
        <v>مستفيد191</v>
      </c>
      <c r="D471" s="15" t="s">
        <v>145</v>
      </c>
      <c r="E471" s="16" t="s">
        <v>34</v>
      </c>
      <c r="F471" s="14" t="str">
        <f>IFERROR(IF(B471="","",VLOOKUP(B471,المستفيدين!$B:$F,5,FALSE)),"")</f>
        <v>مدرسة إرادة وتمكين لمتلازمة داون (نجد)</v>
      </c>
      <c r="G471">
        <f>COUNTIF($B$2:B471,B471)</f>
        <v>1</v>
      </c>
    </row>
    <row r="472" spans="1:7" x14ac:dyDescent="0.2">
      <c r="A472" s="9">
        <v>471</v>
      </c>
      <c r="B472" s="10">
        <v>1845701828</v>
      </c>
      <c r="C472" s="8" t="str">
        <f>IFERROR(IF(B472="","",VLOOKUP(B472,المستفيدين!$B:$C,2,FALSE)),"")</f>
        <v>مستفيد192</v>
      </c>
      <c r="D472" s="13" t="s">
        <v>139</v>
      </c>
      <c r="E472" s="14" t="s">
        <v>37</v>
      </c>
      <c r="F472" s="14" t="str">
        <f>IFERROR(IF(B472="","",VLOOKUP(B472,المستفيدين!$B:$F,5,FALSE)),"")</f>
        <v>مركز إرادة وتمكين للرعاية النهارية (القدس)</v>
      </c>
      <c r="G472">
        <f>COUNTIF($B$2:B472,B472)</f>
        <v>1</v>
      </c>
    </row>
    <row r="473" spans="1:7" x14ac:dyDescent="0.2">
      <c r="A473" s="11">
        <v>472</v>
      </c>
      <c r="B473" s="12">
        <v>1845701828</v>
      </c>
      <c r="C473" s="8" t="str">
        <f>IFERROR(IF(B473="","",VLOOKUP(B473,المستفيدين!$B:$C,2,FALSE)),"")</f>
        <v>مستفيد192</v>
      </c>
      <c r="D473" s="15" t="s">
        <v>144</v>
      </c>
      <c r="E473" s="16" t="s">
        <v>37</v>
      </c>
      <c r="F473" s="14" t="str">
        <f>IFERROR(IF(B473="","",VLOOKUP(B473,المستفيدين!$B:$F,5,FALSE)),"")</f>
        <v>مركز إرادة وتمكين للرعاية النهارية (القدس)</v>
      </c>
      <c r="G473">
        <f>COUNTIF($B$2:B473,B473)</f>
        <v>2</v>
      </c>
    </row>
    <row r="474" spans="1:7" x14ac:dyDescent="0.2">
      <c r="A474" s="9">
        <v>473</v>
      </c>
      <c r="B474" s="10">
        <v>1845701828</v>
      </c>
      <c r="C474" s="8" t="str">
        <f>IFERROR(IF(B474="","",VLOOKUP(B474,المستفيدين!$B:$C,2,FALSE)),"")</f>
        <v>مستفيد192</v>
      </c>
      <c r="D474" s="13" t="s">
        <v>145</v>
      </c>
      <c r="E474" s="14" t="s">
        <v>36</v>
      </c>
      <c r="F474" s="14" t="str">
        <f>IFERROR(IF(B474="","",VLOOKUP(B474,المستفيدين!$B:$F,5,FALSE)),"")</f>
        <v>مركز إرادة وتمكين للرعاية النهارية (القدس)</v>
      </c>
      <c r="G474">
        <f>COUNTIF($B$2:B474,B474)</f>
        <v>3</v>
      </c>
    </row>
    <row r="475" spans="1:7" x14ac:dyDescent="0.2">
      <c r="A475" s="11">
        <v>474</v>
      </c>
      <c r="B475" s="12">
        <v>1337638473</v>
      </c>
      <c r="C475" s="8" t="str">
        <f>IFERROR(IF(B475="","",VLOOKUP(B475,المستفيدين!$B:$C,2,FALSE)),"")</f>
        <v>مستفيد193</v>
      </c>
      <c r="D475" s="15" t="s">
        <v>140</v>
      </c>
      <c r="E475" s="16" t="s">
        <v>36</v>
      </c>
      <c r="F475" s="14" t="str">
        <f>IFERROR(IF(B475="","",VLOOKUP(B475,المستفيدين!$B:$F,5,FALSE)),"")</f>
        <v>مركز إرادة وتمكين للرعاية النهارية (القدس)</v>
      </c>
      <c r="G475">
        <f>COUNTIF($B$2:B475,B475)</f>
        <v>1</v>
      </c>
    </row>
    <row r="476" spans="1:7" x14ac:dyDescent="0.2">
      <c r="A476" s="9">
        <v>475</v>
      </c>
      <c r="B476" s="10">
        <v>1205178191</v>
      </c>
      <c r="C476" s="8" t="str">
        <f>IFERROR(IF(B476="","",VLOOKUP(B476,المستفيدين!$B:$C,2,FALSE)),"")</f>
        <v>مستفيد194</v>
      </c>
      <c r="D476" s="13" t="s">
        <v>136</v>
      </c>
      <c r="E476" s="14" t="s">
        <v>34</v>
      </c>
      <c r="F476" s="14" t="str">
        <f>IFERROR(IF(B476="","",VLOOKUP(B476,المستفيدين!$B:$F,5,FALSE)),"")</f>
        <v>مدرسة إرادة للتعليم (مكة)</v>
      </c>
      <c r="G476">
        <f>COUNTIF($B$2:B476,B476)</f>
        <v>1</v>
      </c>
    </row>
    <row r="477" spans="1:7" x14ac:dyDescent="0.2">
      <c r="A477" s="11">
        <v>476</v>
      </c>
      <c r="B477" s="12">
        <v>1205178191</v>
      </c>
      <c r="C477" s="8" t="str">
        <f>IFERROR(IF(B477="","",VLOOKUP(B477,المستفيدين!$B:$C,2,FALSE)),"")</f>
        <v>مستفيد194</v>
      </c>
      <c r="D477" s="15" t="s">
        <v>134</v>
      </c>
      <c r="E477" s="16" t="s">
        <v>36</v>
      </c>
      <c r="F477" s="14" t="str">
        <f>IFERROR(IF(B477="","",VLOOKUP(B477,المستفيدين!$B:$F,5,FALSE)),"")</f>
        <v>مدرسة إرادة للتعليم (مكة)</v>
      </c>
      <c r="G477">
        <f>COUNTIF($B$2:B477,B477)</f>
        <v>2</v>
      </c>
    </row>
    <row r="478" spans="1:7" x14ac:dyDescent="0.2">
      <c r="A478" s="9">
        <v>477</v>
      </c>
      <c r="B478" s="10">
        <v>1205178191</v>
      </c>
      <c r="C478" s="8" t="str">
        <f>IFERROR(IF(B478="","",VLOOKUP(B478,المستفيدين!$B:$C,2,FALSE)),"")</f>
        <v>مستفيد194</v>
      </c>
      <c r="D478" s="13" t="s">
        <v>143</v>
      </c>
      <c r="E478" s="14" t="s">
        <v>34</v>
      </c>
      <c r="F478" s="14" t="str">
        <f>IFERROR(IF(B478="","",VLOOKUP(B478,المستفيدين!$B:$F,5,FALSE)),"")</f>
        <v>مدرسة إرادة للتعليم (مكة)</v>
      </c>
      <c r="G478">
        <f>COUNTIF($B$2:B478,B478)</f>
        <v>3</v>
      </c>
    </row>
    <row r="479" spans="1:7" x14ac:dyDescent="0.2">
      <c r="A479" s="11">
        <v>478</v>
      </c>
      <c r="B479" s="12">
        <v>1909062660</v>
      </c>
      <c r="C479" s="8" t="str">
        <f>IFERROR(IF(B479="","",VLOOKUP(B479,المستفيدين!$B:$C,2,FALSE)),"")</f>
        <v>مستفيد195</v>
      </c>
      <c r="D479" s="15" t="s">
        <v>137</v>
      </c>
      <c r="E479" s="16" t="s">
        <v>36</v>
      </c>
      <c r="F479" s="14" t="str">
        <f>IFERROR(IF(B479="","",VLOOKUP(B479,المستفيدين!$B:$F,5,FALSE)),"")</f>
        <v>مدرسة إرادة للتعليم (مكة)</v>
      </c>
      <c r="G479">
        <f>COUNTIF($B$2:B479,B479)</f>
        <v>1</v>
      </c>
    </row>
    <row r="480" spans="1:7" x14ac:dyDescent="0.2">
      <c r="A480" s="9">
        <v>479</v>
      </c>
      <c r="B480" s="10">
        <v>1909062660</v>
      </c>
      <c r="C480" s="8" t="str">
        <f>IFERROR(IF(B480="","",VLOOKUP(B480,المستفيدين!$B:$C,2,FALSE)),"")</f>
        <v>مستفيد195</v>
      </c>
      <c r="D480" s="13" t="s">
        <v>146</v>
      </c>
      <c r="E480" s="14" t="s">
        <v>36</v>
      </c>
      <c r="F480" s="14" t="str">
        <f>IFERROR(IF(B480="","",VLOOKUP(B480,المستفيدين!$B:$F,5,FALSE)),"")</f>
        <v>مدرسة إرادة للتعليم (مكة)</v>
      </c>
      <c r="G480">
        <f>COUNTIF($B$2:B480,B480)</f>
        <v>2</v>
      </c>
    </row>
    <row r="481" spans="1:7" x14ac:dyDescent="0.2">
      <c r="A481" s="11">
        <v>480</v>
      </c>
      <c r="B481" s="12">
        <v>1866489709</v>
      </c>
      <c r="C481" s="8" t="str">
        <f>IFERROR(IF(B481="","",VLOOKUP(B481,المستفيدين!$B:$C,2,FALSE)),"")</f>
        <v>مستفيد196</v>
      </c>
      <c r="D481" s="15" t="s">
        <v>368</v>
      </c>
      <c r="E481" s="16" t="s">
        <v>36</v>
      </c>
      <c r="F481" s="14" t="str">
        <f>IFERROR(IF(B481="","",VLOOKUP(B481,المستفيدين!$B:$F,5,FALSE)),"")</f>
        <v>مركز إرادة وتمكين للرعاية النهارية (القدس)</v>
      </c>
      <c r="G481">
        <f>COUNTIF($B$2:B481,B481)</f>
        <v>1</v>
      </c>
    </row>
    <row r="482" spans="1:7" x14ac:dyDescent="0.2">
      <c r="A482" s="9">
        <v>481</v>
      </c>
      <c r="B482" s="10">
        <v>1866489709</v>
      </c>
      <c r="C482" s="8" t="str">
        <f>IFERROR(IF(B482="","",VLOOKUP(B482,المستفيدين!$B:$C,2,FALSE)),"")</f>
        <v>مستفيد196</v>
      </c>
      <c r="D482" s="13" t="s">
        <v>139</v>
      </c>
      <c r="E482" s="14" t="s">
        <v>36</v>
      </c>
      <c r="F482" s="14" t="str">
        <f>IFERROR(IF(B482="","",VLOOKUP(B482,المستفيدين!$B:$F,5,FALSE)),"")</f>
        <v>مركز إرادة وتمكين للرعاية النهارية (القدس)</v>
      </c>
      <c r="G482">
        <f>COUNTIF($B$2:B482,B482)</f>
        <v>2</v>
      </c>
    </row>
    <row r="483" spans="1:7" x14ac:dyDescent="0.2">
      <c r="A483" s="11">
        <v>482</v>
      </c>
      <c r="B483" s="12">
        <v>1526290370</v>
      </c>
      <c r="C483" s="8" t="str">
        <f>IFERROR(IF(B483="","",VLOOKUP(B483,المستفيدين!$B:$C,2,FALSE)),"")</f>
        <v>مستفيد197</v>
      </c>
      <c r="D483" s="15" t="s">
        <v>134</v>
      </c>
      <c r="E483" s="16" t="s">
        <v>37</v>
      </c>
      <c r="F483" s="14" t="str">
        <f>IFERROR(IF(B483="","",VLOOKUP(B483,المستفيدين!$B:$F,5,FALSE)),"")</f>
        <v>مدرسة إرادة وتمكين لمتلازمة داون (نجد)</v>
      </c>
      <c r="G483">
        <f>COUNTIF($B$2:B483,B483)</f>
        <v>1</v>
      </c>
    </row>
    <row r="484" spans="1:7" x14ac:dyDescent="0.2">
      <c r="A484" s="9">
        <v>483</v>
      </c>
      <c r="B484" s="10">
        <v>1526290370</v>
      </c>
      <c r="C484" s="8" t="str">
        <f>IFERROR(IF(B484="","",VLOOKUP(B484,المستفيدين!$B:$C,2,FALSE)),"")</f>
        <v>مستفيد197</v>
      </c>
      <c r="D484" s="13" t="s">
        <v>143</v>
      </c>
      <c r="E484" s="14" t="s">
        <v>37</v>
      </c>
      <c r="F484" s="14" t="str">
        <f>IFERROR(IF(B484="","",VLOOKUP(B484,المستفيدين!$B:$F,5,FALSE)),"")</f>
        <v>مدرسة إرادة وتمكين لمتلازمة داون (نجد)</v>
      </c>
      <c r="G484">
        <f>COUNTIF($B$2:B484,B484)</f>
        <v>2</v>
      </c>
    </row>
    <row r="485" spans="1:7" x14ac:dyDescent="0.2">
      <c r="A485" s="11">
        <v>484</v>
      </c>
      <c r="B485" s="12">
        <v>1229115953</v>
      </c>
      <c r="C485" s="8" t="str">
        <f>IFERROR(IF(B485="","",VLOOKUP(B485,المستفيدين!$B:$C,2,FALSE)),"")</f>
        <v>مستفيد198</v>
      </c>
      <c r="D485" s="15" t="s">
        <v>134</v>
      </c>
      <c r="E485" s="16" t="s">
        <v>37</v>
      </c>
      <c r="F485" s="14" t="str">
        <f>IFERROR(IF(B485="","",VLOOKUP(B485,المستفيدين!$B:$F,5,FALSE)),"")</f>
        <v>مركز إرادة وتمكين للرعاية النهارية (القدس)</v>
      </c>
      <c r="G485">
        <f>COUNTIF($B$2:B485,B485)</f>
        <v>1</v>
      </c>
    </row>
    <row r="486" spans="1:7" x14ac:dyDescent="0.2">
      <c r="A486" s="9">
        <v>485</v>
      </c>
      <c r="B486" s="10">
        <v>1229115953</v>
      </c>
      <c r="C486" s="8" t="str">
        <f>IFERROR(IF(B486="","",VLOOKUP(B486,المستفيدين!$B:$C,2,FALSE)),"")</f>
        <v>مستفيد198</v>
      </c>
      <c r="D486" s="13" t="s">
        <v>370</v>
      </c>
      <c r="E486" s="14" t="s">
        <v>36</v>
      </c>
      <c r="F486" s="14" t="str">
        <f>IFERROR(IF(B486="","",VLOOKUP(B486,المستفيدين!$B:$F,5,FALSE)),"")</f>
        <v>مركز إرادة وتمكين للرعاية النهارية (القدس)</v>
      </c>
      <c r="G486">
        <f>COUNTIF($B$2:B486,B486)</f>
        <v>2</v>
      </c>
    </row>
    <row r="487" spans="1:7" x14ac:dyDescent="0.2">
      <c r="A487" s="11">
        <v>486</v>
      </c>
      <c r="B487" s="12">
        <v>1229115953</v>
      </c>
      <c r="C487" s="8" t="str">
        <f>IFERROR(IF(B487="","",VLOOKUP(B487,المستفيدين!$B:$C,2,FALSE)),"")</f>
        <v>مستفيد198</v>
      </c>
      <c r="D487" s="15" t="s">
        <v>369</v>
      </c>
      <c r="E487" s="16" t="s">
        <v>36</v>
      </c>
      <c r="F487" s="14" t="str">
        <f>IFERROR(IF(B487="","",VLOOKUP(B487,المستفيدين!$B:$F,5,FALSE)),"")</f>
        <v>مركز إرادة وتمكين للرعاية النهارية (القدس)</v>
      </c>
      <c r="G487">
        <f>COUNTIF($B$2:B487,B487)</f>
        <v>3</v>
      </c>
    </row>
    <row r="488" spans="1:7" x14ac:dyDescent="0.2">
      <c r="A488" s="9">
        <v>487</v>
      </c>
      <c r="B488" s="10">
        <v>1639332291</v>
      </c>
      <c r="C488" s="8" t="str">
        <f>IFERROR(IF(B488="","",VLOOKUP(B488,المستفيدين!$B:$C,2,FALSE)),"")</f>
        <v>مستفيد199</v>
      </c>
      <c r="D488" s="13" t="s">
        <v>64</v>
      </c>
      <c r="E488" s="14" t="s">
        <v>34</v>
      </c>
      <c r="F488" s="14" t="str">
        <f>IFERROR(IF(B488="","",VLOOKUP(B488,المستفيدين!$B:$F,5,FALSE)),"")</f>
        <v>مدرسة إرادة وتمكين لمتلازمة داون (نجد)</v>
      </c>
      <c r="G488">
        <f>COUNTIF($B$2:B488,B488)</f>
        <v>1</v>
      </c>
    </row>
    <row r="489" spans="1:7" x14ac:dyDescent="0.2">
      <c r="A489" s="11">
        <v>488</v>
      </c>
      <c r="B489" s="12">
        <v>1639332291</v>
      </c>
      <c r="C489" s="8" t="str">
        <f>IFERROR(IF(B489="","",VLOOKUP(B489,المستفيدين!$B:$C,2,FALSE)),"")</f>
        <v>مستفيد199</v>
      </c>
      <c r="D489" s="15" t="s">
        <v>370</v>
      </c>
      <c r="E489" s="16" t="s">
        <v>37</v>
      </c>
      <c r="F489" s="14" t="str">
        <f>IFERROR(IF(B489="","",VLOOKUP(B489,المستفيدين!$B:$F,5,FALSE)),"")</f>
        <v>مدرسة إرادة وتمكين لمتلازمة داون (نجد)</v>
      </c>
      <c r="G489">
        <f>COUNTIF($B$2:B489,B489)</f>
        <v>2</v>
      </c>
    </row>
    <row r="490" spans="1:7" x14ac:dyDescent="0.2">
      <c r="A490" s="9">
        <v>489</v>
      </c>
      <c r="B490" s="10">
        <v>1358470403</v>
      </c>
      <c r="C490" s="8" t="str">
        <f>IFERROR(IF(B490="","",VLOOKUP(B490,المستفيدين!$B:$C,2,FALSE)),"")</f>
        <v>مستفيد200</v>
      </c>
      <c r="D490" s="13" t="s">
        <v>368</v>
      </c>
      <c r="E490" s="14" t="s">
        <v>34</v>
      </c>
      <c r="F490" s="14" t="str">
        <f>IFERROR(IF(B490="","",VLOOKUP(B490,المستفيدين!$B:$F,5,FALSE)),"")</f>
        <v>مركز إرادة وتمكين للرعاية النهارية (القدس)</v>
      </c>
      <c r="G490">
        <f>COUNTIF($B$2:B490,B490)</f>
        <v>1</v>
      </c>
    </row>
    <row r="491" spans="1:7" x14ac:dyDescent="0.2">
      <c r="A491" s="11">
        <v>490</v>
      </c>
      <c r="B491" s="12">
        <v>1358470403</v>
      </c>
      <c r="C491" s="8" t="str">
        <f>IFERROR(IF(B491="","",VLOOKUP(B491,المستفيدين!$B:$C,2,FALSE)),"")</f>
        <v>مستفيد200</v>
      </c>
      <c r="D491" s="15" t="s">
        <v>64</v>
      </c>
      <c r="E491" s="16" t="s">
        <v>36</v>
      </c>
      <c r="F491" s="14" t="str">
        <f>IFERROR(IF(B491="","",VLOOKUP(B491,المستفيدين!$B:$F,5,FALSE)),"")</f>
        <v>مركز إرادة وتمكين للرعاية النهارية (القدس)</v>
      </c>
      <c r="G491">
        <f>COUNTIF($B$2:B491,B491)</f>
        <v>2</v>
      </c>
    </row>
    <row r="492" spans="1:7" x14ac:dyDescent="0.2">
      <c r="A492" s="9">
        <v>491</v>
      </c>
      <c r="B492" s="10">
        <v>1358470403</v>
      </c>
      <c r="C492" s="8" t="str">
        <f>IFERROR(IF(B492="","",VLOOKUP(B492,المستفيدين!$B:$C,2,FALSE)),"")</f>
        <v>مستفيد200</v>
      </c>
      <c r="D492" s="13" t="s">
        <v>145</v>
      </c>
      <c r="E492" s="14" t="s">
        <v>36</v>
      </c>
      <c r="F492" s="14" t="str">
        <f>IFERROR(IF(B492="","",VLOOKUP(B492,المستفيدين!$B:$F,5,FALSE)),"")</f>
        <v>مركز إرادة وتمكين للرعاية النهارية (القدس)</v>
      </c>
      <c r="G492">
        <f>COUNTIF($B$2:B492,B492)</f>
        <v>3</v>
      </c>
    </row>
    <row r="493" spans="1:7" x14ac:dyDescent="0.2">
      <c r="A493" s="11">
        <v>492</v>
      </c>
      <c r="B493" s="12">
        <v>1358470403</v>
      </c>
      <c r="C493" s="8" t="str">
        <f>IFERROR(IF(B493="","",VLOOKUP(B493,المستفيدين!$B:$C,2,FALSE)),"")</f>
        <v>مستفيد200</v>
      </c>
      <c r="D493" s="15" t="s">
        <v>140</v>
      </c>
      <c r="E493" s="16" t="s">
        <v>34</v>
      </c>
      <c r="F493" s="14" t="str">
        <f>IFERROR(IF(B493="","",VLOOKUP(B493,المستفيدين!$B:$F,5,FALSE)),"")</f>
        <v>مركز إرادة وتمكين للرعاية النهارية (القدس)</v>
      </c>
      <c r="G493">
        <f>COUNTIF($B$2:B493,B493)</f>
        <v>4</v>
      </c>
    </row>
    <row r="494" spans="1:7" x14ac:dyDescent="0.2">
      <c r="A494" s="1"/>
      <c r="B494" s="1"/>
      <c r="C494" s="8" t="str">
        <f>IFERROR(IF(B494="","",VLOOKUP(B494,المستفيدين!$B:$C,2,FALSE)),"")</f>
        <v/>
      </c>
      <c r="D494" s="17"/>
      <c r="E494" s="14" t="s">
        <v>34</v>
      </c>
      <c r="F494" s="14"/>
      <c r="G494">
        <f>COUNTIF($B$2:B494,B494)</f>
        <v>0</v>
      </c>
    </row>
    <row r="495" spans="1:7" x14ac:dyDescent="0.2">
      <c r="A495" s="1"/>
      <c r="B495" s="1"/>
      <c r="C495" s="8" t="str">
        <f>IFERROR(IF(B495="","",VLOOKUP(B495,المستفيدين!$B:$C,2,FALSE)),"")</f>
        <v/>
      </c>
      <c r="D495" s="1"/>
      <c r="E495" s="1"/>
      <c r="F495" s="1"/>
      <c r="G495">
        <f>COUNTIF($B$2:B495,B495)</f>
        <v>0</v>
      </c>
    </row>
    <row r="496" spans="1:7" x14ac:dyDescent="0.2">
      <c r="A496" s="1"/>
      <c r="B496" s="1"/>
      <c r="C496" s="8" t="str">
        <f>IFERROR(IF(B496="","",VLOOKUP(B496,المستفيدين!$B:$C,2,FALSE)),"")</f>
        <v/>
      </c>
      <c r="D496" s="1"/>
      <c r="E496" s="1"/>
      <c r="F496" s="1"/>
      <c r="G496">
        <f>COUNTIF($B$2:B496,B496)</f>
        <v>0</v>
      </c>
    </row>
    <row r="497" spans="1:7" x14ac:dyDescent="0.2">
      <c r="A497" s="1"/>
      <c r="B497" s="1"/>
      <c r="C497" s="8" t="str">
        <f>IFERROR(IF(B497="","",VLOOKUP(B497,المستفيدين!$B:$C,2,FALSE)),"")</f>
        <v/>
      </c>
      <c r="D497" s="1"/>
      <c r="E497" s="1"/>
      <c r="F497" s="1"/>
      <c r="G497">
        <f>COUNTIF($B$2:B497,B497)</f>
        <v>0</v>
      </c>
    </row>
    <row r="498" spans="1:7" x14ac:dyDescent="0.2">
      <c r="A498" s="1"/>
      <c r="B498" s="1"/>
      <c r="C498" s="8" t="str">
        <f>IFERROR(IF(B498="","",VLOOKUP(B498,المستفيدين!$B:$C,2,FALSE)),"")</f>
        <v/>
      </c>
      <c r="D498" s="1"/>
      <c r="E498" s="1"/>
      <c r="F498" s="1"/>
      <c r="G498">
        <f>COUNTIF($B$2:B498,B498)</f>
        <v>0</v>
      </c>
    </row>
    <row r="499" spans="1:7" x14ac:dyDescent="0.2">
      <c r="A499" s="1"/>
      <c r="B499" s="1"/>
      <c r="C499" s="8" t="str">
        <f>IFERROR(IF(B499="","",VLOOKUP(B499,المستفيدين!$B:$C,2,FALSE)),"")</f>
        <v/>
      </c>
      <c r="D499" s="1"/>
      <c r="E499" s="1"/>
      <c r="F499" s="1"/>
      <c r="G499">
        <f>COUNTIF($B$2:B499,B499)</f>
        <v>0</v>
      </c>
    </row>
    <row r="500" spans="1:7" x14ac:dyDescent="0.2">
      <c r="A500" s="1"/>
      <c r="B500" s="1"/>
      <c r="C500" s="8" t="str">
        <f>IFERROR(IF(B500="","",VLOOKUP(B500,المستفيدين!$B:$C,2,FALSE)),"")</f>
        <v/>
      </c>
      <c r="D500" s="1"/>
      <c r="E500" s="1"/>
      <c r="F500" s="1"/>
      <c r="G500">
        <f>COUNTIF($B$2:B500,B500)</f>
        <v>0</v>
      </c>
    </row>
    <row r="501" spans="1:7" x14ac:dyDescent="0.2">
      <c r="A501" s="1"/>
      <c r="B501" s="1"/>
      <c r="C501" s="8" t="str">
        <f>IFERROR(IF(B501="","",VLOOKUP(B501,المستفيدين!$B:$C,2,FALSE)),"")</f>
        <v/>
      </c>
      <c r="D501" s="1"/>
      <c r="E501" s="1"/>
      <c r="F501" s="1"/>
      <c r="G501">
        <f>COUNTIF($B$2:B501,B501)</f>
        <v>0</v>
      </c>
    </row>
    <row r="502" spans="1:7" x14ac:dyDescent="0.2">
      <c r="A502" s="1"/>
      <c r="B502" s="1"/>
      <c r="C502" s="8" t="str">
        <f>IFERROR(IF(B502="","",VLOOKUP(B502,المستفيدين!$B:$C,2,FALSE)),"")</f>
        <v/>
      </c>
      <c r="D502" s="1"/>
      <c r="E502" s="1"/>
      <c r="F502" s="1"/>
      <c r="G502">
        <f>COUNTIF($B$2:B502,B502)</f>
        <v>0</v>
      </c>
    </row>
    <row r="503" spans="1:7" x14ac:dyDescent="0.2">
      <c r="A503" s="1"/>
      <c r="B503" s="1"/>
      <c r="C503" s="8" t="str">
        <f>IFERROR(IF(B503="","",VLOOKUP(B503,المستفيدين!$B:$C,2,FALSE)),"")</f>
        <v/>
      </c>
      <c r="D503" s="1"/>
      <c r="E503" s="1"/>
      <c r="F503" s="1"/>
      <c r="G503">
        <f>COUNTIF($B$2:B503,B503)</f>
        <v>0</v>
      </c>
    </row>
    <row r="504" spans="1:7" x14ac:dyDescent="0.2">
      <c r="A504" s="1"/>
      <c r="B504" s="1"/>
      <c r="C504" s="8" t="str">
        <f>IFERROR(IF(B504="","",VLOOKUP(B504,المستفيدين!$B:$C,2,FALSE)),"")</f>
        <v/>
      </c>
      <c r="D504" s="1"/>
      <c r="E504" s="1"/>
      <c r="F504" s="1"/>
      <c r="G504">
        <f>COUNTIF($B$2:B504,B504)</f>
        <v>0</v>
      </c>
    </row>
    <row r="505" spans="1:7" x14ac:dyDescent="0.2">
      <c r="A505" s="1"/>
      <c r="B505" s="1"/>
      <c r="C505" s="8" t="str">
        <f>IFERROR(IF(B505="","",VLOOKUP(B505,المستفيدين!$B:$C,2,FALSE)),"")</f>
        <v/>
      </c>
      <c r="D505" s="1"/>
      <c r="E505" s="1"/>
      <c r="F505" s="1"/>
      <c r="G505">
        <f>COUNTIF($B$2:B505,B505)</f>
        <v>0</v>
      </c>
    </row>
    <row r="506" spans="1:7" x14ac:dyDescent="0.2">
      <c r="A506" s="1"/>
      <c r="B506" s="1"/>
      <c r="C506" s="8" t="str">
        <f>IFERROR(IF(B506="","",VLOOKUP(B506,المستفيدين!$B:$C,2,FALSE)),"")</f>
        <v/>
      </c>
      <c r="D506" s="1"/>
      <c r="E506" s="1"/>
      <c r="F506" s="1"/>
      <c r="G506">
        <f>COUNTIF($B$2:B506,B506)</f>
        <v>0</v>
      </c>
    </row>
    <row r="507" spans="1:7" x14ac:dyDescent="0.2">
      <c r="A507" s="1"/>
      <c r="B507" s="1"/>
      <c r="C507" s="8" t="str">
        <f>IFERROR(IF(B507="","",VLOOKUP(B507,المستفيدين!$B:$C,2,FALSE)),"")</f>
        <v/>
      </c>
      <c r="D507" s="1"/>
      <c r="E507" s="1"/>
      <c r="F507" s="1"/>
      <c r="G507">
        <f>COUNTIF($B$2:B507,B507)</f>
        <v>0</v>
      </c>
    </row>
    <row r="508" spans="1:7" x14ac:dyDescent="0.2">
      <c r="A508" s="1"/>
      <c r="B508" s="1"/>
      <c r="C508" s="8" t="str">
        <f>IFERROR(IF(B508="","",VLOOKUP(B508,المستفيدين!$B:$C,2,FALSE)),"")</f>
        <v/>
      </c>
      <c r="D508" s="1"/>
      <c r="E508" s="1"/>
      <c r="F508" s="1"/>
      <c r="G508">
        <f>COUNTIF($B$2:B508,B508)</f>
        <v>0</v>
      </c>
    </row>
    <row r="509" spans="1:7" x14ac:dyDescent="0.2">
      <c r="A509" s="1"/>
      <c r="B509" s="1"/>
      <c r="C509" s="8" t="str">
        <f>IFERROR(IF(B509="","",VLOOKUP(B509,المستفيدين!$B:$C,2,FALSE)),"")</f>
        <v/>
      </c>
      <c r="D509" s="1"/>
      <c r="E509" s="1"/>
      <c r="F509" s="1"/>
      <c r="G509">
        <f>COUNTIF($B$2:B509,B509)</f>
        <v>0</v>
      </c>
    </row>
    <row r="510" spans="1:7" x14ac:dyDescent="0.2">
      <c r="A510" s="1"/>
      <c r="B510" s="1"/>
      <c r="C510" s="8" t="str">
        <f>IFERROR(IF(B510="","",VLOOKUP(B510,المستفيدين!$B:$C,2,FALSE)),"")</f>
        <v/>
      </c>
      <c r="D510" s="1"/>
      <c r="E510" s="1"/>
      <c r="F510" s="1"/>
      <c r="G510">
        <f>COUNTIF($B$2:B510,B510)</f>
        <v>0</v>
      </c>
    </row>
    <row r="511" spans="1:7" x14ac:dyDescent="0.2">
      <c r="A511" s="1"/>
      <c r="B511" s="1"/>
      <c r="C511" s="8" t="str">
        <f>IFERROR(IF(B511="","",VLOOKUP(B511,المستفيدين!$B:$C,2,FALSE)),"")</f>
        <v/>
      </c>
      <c r="D511" s="1"/>
      <c r="E511" s="1"/>
      <c r="F511" s="1"/>
      <c r="G511">
        <f>COUNTIF($B$2:B511,B511)</f>
        <v>0</v>
      </c>
    </row>
    <row r="512" spans="1:7" x14ac:dyDescent="0.2">
      <c r="A512" s="1"/>
      <c r="B512" s="1"/>
      <c r="C512" s="8" t="str">
        <f>IFERROR(IF(B512="","",VLOOKUP(B512,المستفيدين!$B:$C,2,FALSE)),"")</f>
        <v/>
      </c>
      <c r="D512" s="1"/>
      <c r="E512" s="1"/>
      <c r="F512" s="1"/>
      <c r="G512">
        <f>COUNTIF($B$2:B512,B512)</f>
        <v>0</v>
      </c>
    </row>
    <row r="513" spans="1:7" x14ac:dyDescent="0.2">
      <c r="A513" s="1"/>
      <c r="B513" s="1"/>
      <c r="C513" s="8" t="str">
        <f>IFERROR(IF(B513="","",VLOOKUP(B513,المستفيدين!$B:$C,2,FALSE)),"")</f>
        <v/>
      </c>
      <c r="D513" s="1"/>
      <c r="E513" s="1"/>
      <c r="F513" s="1"/>
      <c r="G513">
        <f>COUNTIF($B$2:B513,B513)</f>
        <v>0</v>
      </c>
    </row>
    <row r="514" spans="1:7" x14ac:dyDescent="0.2">
      <c r="A514" s="1"/>
      <c r="B514" s="1"/>
      <c r="C514" s="8" t="str">
        <f>IFERROR(IF(B514="","",VLOOKUP(B514,المستفيدين!$B:$C,2,FALSE)),"")</f>
        <v/>
      </c>
      <c r="D514" s="1"/>
      <c r="E514" s="1"/>
      <c r="F514" s="1"/>
      <c r="G514">
        <f>COUNTIF($B$2:B514,B514)</f>
        <v>0</v>
      </c>
    </row>
    <row r="515" spans="1:7" x14ac:dyDescent="0.2">
      <c r="A515" s="1"/>
      <c r="B515" s="1"/>
      <c r="C515" s="8" t="str">
        <f>IFERROR(IF(B515="","",VLOOKUP(B515,المستفيدين!$B:$C,2,FALSE)),"")</f>
        <v/>
      </c>
      <c r="D515" s="1"/>
      <c r="E515" s="1"/>
      <c r="F515" s="1"/>
      <c r="G515">
        <f>COUNTIF($B$2:B515,B515)</f>
        <v>0</v>
      </c>
    </row>
    <row r="516" spans="1:7" x14ac:dyDescent="0.2">
      <c r="A516" s="1"/>
      <c r="B516" s="1"/>
      <c r="C516" s="8" t="str">
        <f>IFERROR(IF(B516="","",VLOOKUP(B516,المستفيدين!$B:$C,2,FALSE)),"")</f>
        <v/>
      </c>
      <c r="D516" s="1"/>
      <c r="E516" s="1"/>
      <c r="F516" s="1"/>
      <c r="G516">
        <f>COUNTIF($B$2:B516,B516)</f>
        <v>0</v>
      </c>
    </row>
    <row r="517" spans="1:7" x14ac:dyDescent="0.2">
      <c r="A517" s="1"/>
      <c r="B517" s="1"/>
      <c r="C517" s="8" t="str">
        <f>IFERROR(IF(B517="","",VLOOKUP(B517,المستفيدين!$B:$C,2,FALSE)),"")</f>
        <v/>
      </c>
      <c r="D517" s="1"/>
      <c r="E517" s="1"/>
      <c r="F517" s="1"/>
      <c r="G517">
        <f>COUNTIF($B$2:B517,B517)</f>
        <v>0</v>
      </c>
    </row>
    <row r="518" spans="1:7" x14ac:dyDescent="0.2">
      <c r="A518" s="1"/>
      <c r="B518" s="1"/>
      <c r="C518" s="8" t="str">
        <f>IFERROR(IF(B518="","",VLOOKUP(B518,المستفيدين!$B:$C,2,FALSE)),"")</f>
        <v/>
      </c>
      <c r="D518" s="1"/>
      <c r="E518" s="1"/>
      <c r="F518" s="1"/>
      <c r="G518">
        <f>COUNTIF($B$2:B518,B518)</f>
        <v>0</v>
      </c>
    </row>
    <row r="519" spans="1:7" x14ac:dyDescent="0.2">
      <c r="A519" s="1"/>
      <c r="B519" s="1"/>
      <c r="C519" s="8" t="str">
        <f>IFERROR(IF(B519="","",VLOOKUP(B519,المستفيدين!$B:$C,2,FALSE)),"")</f>
        <v/>
      </c>
      <c r="D519" s="1"/>
      <c r="E519" s="1"/>
      <c r="F519" s="1"/>
      <c r="G519">
        <f>COUNTIF($B$2:B519,B519)</f>
        <v>0</v>
      </c>
    </row>
    <row r="520" spans="1:7" x14ac:dyDescent="0.2">
      <c r="A520" s="1"/>
      <c r="B520" s="1"/>
      <c r="C520" s="8" t="str">
        <f>IFERROR(IF(B520="","",VLOOKUP(B520,المستفيدين!$B:$C,2,FALSE)),"")</f>
        <v/>
      </c>
      <c r="D520" s="1"/>
      <c r="E520" s="1"/>
      <c r="F520" s="1"/>
      <c r="G520">
        <f>COUNTIF($B$2:B520,B520)</f>
        <v>0</v>
      </c>
    </row>
    <row r="521" spans="1:7" x14ac:dyDescent="0.2">
      <c r="A521" s="1"/>
      <c r="B521" s="1"/>
      <c r="C521" s="8" t="str">
        <f>IFERROR(IF(B521="","",VLOOKUP(B521,المستفيدين!$B:$C,2,FALSE)),"")</f>
        <v/>
      </c>
      <c r="D521" s="1"/>
      <c r="E521" s="1"/>
      <c r="F521" s="1"/>
      <c r="G521">
        <f>COUNTIF($B$2:B521,B521)</f>
        <v>0</v>
      </c>
    </row>
    <row r="522" spans="1:7" x14ac:dyDescent="0.2">
      <c r="A522" s="1"/>
      <c r="B522" s="1"/>
      <c r="C522" s="8" t="str">
        <f>IFERROR(IF(B522="","",VLOOKUP(B522,المستفيدين!$B:$C,2,FALSE)),"")</f>
        <v/>
      </c>
      <c r="D522" s="1"/>
      <c r="E522" s="1"/>
      <c r="F522" s="1"/>
      <c r="G522">
        <f>COUNTIF($B$2:B522,B522)</f>
        <v>0</v>
      </c>
    </row>
    <row r="523" spans="1:7" x14ac:dyDescent="0.2">
      <c r="A523" s="1"/>
      <c r="B523" s="1"/>
      <c r="C523" s="8" t="str">
        <f>IFERROR(IF(B523="","",VLOOKUP(B523,المستفيدين!$B:$C,2,FALSE)),"")</f>
        <v/>
      </c>
      <c r="D523" s="1"/>
      <c r="E523" s="1"/>
      <c r="F523" s="1"/>
      <c r="G523">
        <f>COUNTIF($B$2:B523,B523)</f>
        <v>0</v>
      </c>
    </row>
    <row r="524" spans="1:7" x14ac:dyDescent="0.2">
      <c r="A524" s="1"/>
      <c r="B524" s="1"/>
      <c r="C524" s="8" t="str">
        <f>IFERROR(IF(B524="","",VLOOKUP(B524,المستفيدين!$B:$C,2,FALSE)),"")</f>
        <v/>
      </c>
      <c r="D524" s="1"/>
      <c r="E524" s="1"/>
      <c r="F524" s="1"/>
      <c r="G524">
        <f>COUNTIF($B$2:B524,B524)</f>
        <v>0</v>
      </c>
    </row>
    <row r="525" spans="1:7" x14ac:dyDescent="0.2">
      <c r="A525" s="1"/>
      <c r="B525" s="1"/>
      <c r="C525" s="8" t="str">
        <f>IFERROR(IF(B525="","",VLOOKUP(B525,المستفيدين!$B:$C,2,FALSE)),"")</f>
        <v/>
      </c>
      <c r="D525" s="1"/>
      <c r="E525" s="1"/>
      <c r="F525" s="1"/>
      <c r="G525">
        <f>COUNTIF($B$2:B525,B525)</f>
        <v>0</v>
      </c>
    </row>
    <row r="526" spans="1:7" x14ac:dyDescent="0.2">
      <c r="A526" s="1"/>
      <c r="B526" s="1"/>
      <c r="C526" s="8" t="str">
        <f>IFERROR(IF(B526="","",VLOOKUP(B526,المستفيدين!$B:$C,2,FALSE)),"")</f>
        <v/>
      </c>
      <c r="D526" s="1"/>
      <c r="E526" s="1"/>
      <c r="F526" s="1"/>
      <c r="G526">
        <f>COUNTIF($B$2:B526,B526)</f>
        <v>0</v>
      </c>
    </row>
    <row r="527" spans="1:7" x14ac:dyDescent="0.2">
      <c r="A527" s="1"/>
      <c r="B527" s="1"/>
      <c r="C527" s="8" t="str">
        <f>IFERROR(IF(B527="","",VLOOKUP(B527,المستفيدين!$B:$C,2,FALSE)),"")</f>
        <v/>
      </c>
      <c r="D527" s="1"/>
      <c r="E527" s="1"/>
      <c r="F527" s="1"/>
      <c r="G527">
        <f>COUNTIF($B$2:B527,B527)</f>
        <v>0</v>
      </c>
    </row>
    <row r="528" spans="1:7" x14ac:dyDescent="0.2">
      <c r="A528" s="1"/>
      <c r="B528" s="1"/>
      <c r="C528" s="8" t="str">
        <f>IFERROR(IF(B528="","",VLOOKUP(B528,المستفيدين!$B:$C,2,FALSE)),"")</f>
        <v/>
      </c>
      <c r="D528" s="1"/>
      <c r="E528" s="1"/>
      <c r="F528" s="1"/>
      <c r="G528">
        <f>COUNTIF($B$2:B528,B528)</f>
        <v>0</v>
      </c>
    </row>
    <row r="529" spans="1:7" x14ac:dyDescent="0.2">
      <c r="A529" s="1"/>
      <c r="B529" s="1"/>
      <c r="C529" s="8" t="str">
        <f>IFERROR(IF(B529="","",VLOOKUP(B529,المستفيدين!$B:$C,2,FALSE)),"")</f>
        <v/>
      </c>
      <c r="D529" s="1"/>
      <c r="E529" s="1"/>
      <c r="F529" s="1"/>
      <c r="G529">
        <f>COUNTIF($B$2:B529,B529)</f>
        <v>0</v>
      </c>
    </row>
    <row r="530" spans="1:7" x14ac:dyDescent="0.2">
      <c r="A530" s="1"/>
      <c r="B530" s="1"/>
      <c r="C530" s="8" t="str">
        <f>IFERROR(IF(B530="","",VLOOKUP(B530,المستفيدين!$B:$C,2,FALSE)),"")</f>
        <v/>
      </c>
      <c r="D530" s="1"/>
      <c r="E530" s="1"/>
      <c r="F530" s="1"/>
      <c r="G530">
        <f>COUNTIF($B$2:B530,B530)</f>
        <v>0</v>
      </c>
    </row>
    <row r="531" spans="1:7" x14ac:dyDescent="0.2">
      <c r="A531" s="1"/>
      <c r="B531" s="1"/>
      <c r="C531" s="8" t="str">
        <f>IFERROR(IF(B531="","",VLOOKUP(B531,المستفيدين!$B:$C,2,FALSE)),"")</f>
        <v/>
      </c>
      <c r="D531" s="1"/>
      <c r="E531" s="1"/>
      <c r="F531" s="1"/>
      <c r="G531">
        <f>COUNTIF($B$2:B531,B531)</f>
        <v>0</v>
      </c>
    </row>
    <row r="532" spans="1:7" x14ac:dyDescent="0.2">
      <c r="A532" s="1"/>
      <c r="B532" s="1"/>
      <c r="C532" s="8" t="str">
        <f>IFERROR(IF(B532="","",VLOOKUP(B532,المستفيدين!$B:$C,2,FALSE)),"")</f>
        <v/>
      </c>
      <c r="D532" s="1"/>
      <c r="E532" s="1"/>
      <c r="F532" s="1"/>
      <c r="G532">
        <f>COUNTIF($B$2:B532,B532)</f>
        <v>0</v>
      </c>
    </row>
    <row r="533" spans="1:7" x14ac:dyDescent="0.2">
      <c r="A533" s="1"/>
      <c r="B533" s="1"/>
      <c r="C533" s="8" t="str">
        <f>IFERROR(IF(B533="","",VLOOKUP(B533,المستفيدين!$B:$C,2,FALSE)),"")</f>
        <v/>
      </c>
      <c r="D533" s="1"/>
      <c r="E533" s="1"/>
      <c r="F533" s="1"/>
      <c r="G533">
        <f>COUNTIF($B$2:B533,B533)</f>
        <v>0</v>
      </c>
    </row>
    <row r="534" spans="1:7" x14ac:dyDescent="0.2">
      <c r="A534" s="1"/>
      <c r="B534" s="1"/>
      <c r="C534" s="8" t="str">
        <f>IFERROR(IF(B534="","",VLOOKUP(B534,المستفيدين!$B:$C,2,FALSE)),"")</f>
        <v/>
      </c>
      <c r="D534" s="1"/>
      <c r="E534" s="1"/>
      <c r="F534" s="1"/>
      <c r="G534">
        <f>COUNTIF($B$2:B534,B534)</f>
        <v>0</v>
      </c>
    </row>
    <row r="535" spans="1:7" x14ac:dyDescent="0.2">
      <c r="A535" s="1"/>
      <c r="B535" s="1"/>
      <c r="C535" s="8" t="str">
        <f>IFERROR(IF(B535="","",VLOOKUP(B535,المستفيدين!$B:$C,2,FALSE)),"")</f>
        <v/>
      </c>
      <c r="D535" s="1"/>
      <c r="E535" s="1"/>
      <c r="F535" s="1"/>
      <c r="G535">
        <f>COUNTIF($B$2:B535,B535)</f>
        <v>0</v>
      </c>
    </row>
    <row r="536" spans="1:7" x14ac:dyDescent="0.2">
      <c r="A536" s="1"/>
      <c r="B536" s="1"/>
      <c r="C536" s="8" t="str">
        <f>IFERROR(IF(B536="","",VLOOKUP(B536,المستفيدين!$B:$C,2,FALSE)),"")</f>
        <v/>
      </c>
      <c r="D536" s="1"/>
      <c r="E536" s="1"/>
      <c r="F536" s="1"/>
      <c r="G536">
        <f>COUNTIF($B$2:B536,B536)</f>
        <v>0</v>
      </c>
    </row>
    <row r="537" spans="1:7" x14ac:dyDescent="0.2">
      <c r="A537" s="1"/>
      <c r="B537" s="1"/>
      <c r="C537" s="8" t="str">
        <f>IFERROR(IF(B537="","",VLOOKUP(B537,المستفيدين!$B:$C,2,FALSE)),"")</f>
        <v/>
      </c>
      <c r="D537" s="1"/>
      <c r="E537" s="1"/>
      <c r="F537" s="1"/>
      <c r="G537">
        <f>COUNTIF($B$2:B537,B537)</f>
        <v>0</v>
      </c>
    </row>
    <row r="538" spans="1:7" x14ac:dyDescent="0.2">
      <c r="A538" s="1"/>
      <c r="B538" s="1"/>
      <c r="C538" s="8" t="str">
        <f>IFERROR(IF(B538="","",VLOOKUP(B538,المستفيدين!$B:$C,2,FALSE)),"")</f>
        <v/>
      </c>
      <c r="D538" s="1"/>
      <c r="E538" s="1"/>
      <c r="F538" s="1"/>
      <c r="G538">
        <f>COUNTIF($B$2:B538,B538)</f>
        <v>0</v>
      </c>
    </row>
    <row r="539" spans="1:7" x14ac:dyDescent="0.2">
      <c r="A539" s="1"/>
      <c r="B539" s="1"/>
      <c r="C539" s="8" t="str">
        <f>IFERROR(IF(B539="","",VLOOKUP(B539,المستفيدين!$B:$C,2,FALSE)),"")</f>
        <v/>
      </c>
      <c r="D539" s="1"/>
      <c r="E539" s="1"/>
      <c r="F539" s="1"/>
      <c r="G539">
        <f>COUNTIF($B$2:B539,B539)</f>
        <v>0</v>
      </c>
    </row>
    <row r="540" spans="1:7" x14ac:dyDescent="0.2">
      <c r="A540" s="1"/>
      <c r="B540" s="1"/>
      <c r="C540" s="8" t="str">
        <f>IFERROR(IF(B540="","",VLOOKUP(B540,المستفيدين!$B:$C,2,FALSE)),"")</f>
        <v/>
      </c>
      <c r="D540" s="1"/>
      <c r="E540" s="1"/>
      <c r="F540" s="1"/>
      <c r="G540">
        <f>COUNTIF($B$2:B540,B540)</f>
        <v>0</v>
      </c>
    </row>
    <row r="541" spans="1:7" x14ac:dyDescent="0.2">
      <c r="A541" s="1"/>
      <c r="B541" s="1"/>
      <c r="C541" s="8" t="str">
        <f>IFERROR(IF(B541="","",VLOOKUP(B541,المستفيدين!$B:$C,2,FALSE)),"")</f>
        <v/>
      </c>
      <c r="D541" s="1"/>
      <c r="E541" s="1"/>
      <c r="F541" s="1"/>
      <c r="G541">
        <f>COUNTIF($B$2:B541,B541)</f>
        <v>0</v>
      </c>
    </row>
    <row r="542" spans="1:7" x14ac:dyDescent="0.2">
      <c r="A542" s="1"/>
      <c r="B542" s="1"/>
      <c r="C542" s="8" t="str">
        <f>IFERROR(IF(B542="","",VLOOKUP(B542,المستفيدين!$B:$C,2,FALSE)),"")</f>
        <v/>
      </c>
      <c r="D542" s="1"/>
      <c r="E542" s="1"/>
      <c r="F542" s="1"/>
      <c r="G542">
        <f>COUNTIF($B$2:B542,B542)</f>
        <v>0</v>
      </c>
    </row>
    <row r="543" spans="1:7" x14ac:dyDescent="0.2">
      <c r="A543" s="1"/>
      <c r="B543" s="1"/>
      <c r="C543" s="8" t="str">
        <f>IFERROR(IF(B543="","",VLOOKUP(B543,المستفيدين!$B:$C,2,FALSE)),"")</f>
        <v/>
      </c>
      <c r="D543" s="1"/>
      <c r="E543" s="1"/>
      <c r="F543" s="1"/>
      <c r="G543">
        <f>COUNTIF($B$2:B543,B543)</f>
        <v>0</v>
      </c>
    </row>
    <row r="544" spans="1:7" x14ac:dyDescent="0.2">
      <c r="A544" s="1"/>
      <c r="B544" s="1"/>
      <c r="C544" s="8" t="str">
        <f>IFERROR(IF(B544="","",VLOOKUP(B544,المستفيدين!$B:$C,2,FALSE)),"")</f>
        <v/>
      </c>
      <c r="D544" s="1"/>
      <c r="E544" s="1"/>
      <c r="F544" s="1"/>
      <c r="G544">
        <f>COUNTIF($B$2:B544,B544)</f>
        <v>0</v>
      </c>
    </row>
    <row r="545" spans="1:7" x14ac:dyDescent="0.2">
      <c r="A545" s="1"/>
      <c r="B545" s="1"/>
      <c r="C545" s="8" t="str">
        <f>IFERROR(IF(B545="","",VLOOKUP(B545,المستفيدين!$B:$C,2,FALSE)),"")</f>
        <v/>
      </c>
      <c r="D545" s="1"/>
      <c r="E545" s="1"/>
      <c r="F545" s="1"/>
      <c r="G545">
        <f>COUNTIF($B$2:B545,B545)</f>
        <v>0</v>
      </c>
    </row>
    <row r="546" spans="1:7" x14ac:dyDescent="0.2">
      <c r="A546" s="1"/>
      <c r="B546" s="1"/>
      <c r="C546" s="8" t="str">
        <f>IFERROR(IF(B546="","",VLOOKUP(B546,المستفيدين!$B:$C,2,FALSE)),"")</f>
        <v/>
      </c>
      <c r="D546" s="1"/>
      <c r="E546" s="1"/>
      <c r="F546" s="1"/>
      <c r="G546">
        <f>COUNTIF($B$2:B546,B546)</f>
        <v>0</v>
      </c>
    </row>
    <row r="547" spans="1:7" x14ac:dyDescent="0.2">
      <c r="A547" s="1"/>
      <c r="B547" s="1"/>
      <c r="C547" s="8" t="str">
        <f>IFERROR(IF(B547="","",VLOOKUP(B547,المستفيدين!$B:$C,2,FALSE)),"")</f>
        <v/>
      </c>
      <c r="D547" s="1"/>
      <c r="E547" s="1"/>
      <c r="F547" s="1"/>
      <c r="G547">
        <f>COUNTIF($B$2:B547,B547)</f>
        <v>0</v>
      </c>
    </row>
    <row r="548" spans="1:7" x14ac:dyDescent="0.2">
      <c r="A548" s="1"/>
      <c r="B548" s="1"/>
      <c r="C548" s="8" t="str">
        <f>IFERROR(IF(B548="","",VLOOKUP(B548,المستفيدين!$B:$C,2,FALSE)),"")</f>
        <v/>
      </c>
      <c r="D548" s="1"/>
      <c r="E548" s="1"/>
      <c r="F548" s="1"/>
      <c r="G548">
        <f>COUNTIF($B$2:B548,B548)</f>
        <v>0</v>
      </c>
    </row>
    <row r="549" spans="1:7" x14ac:dyDescent="0.2">
      <c r="A549" s="1"/>
      <c r="B549" s="1"/>
      <c r="C549" s="8" t="str">
        <f>IFERROR(IF(B549="","",VLOOKUP(B549,المستفيدين!$B:$C,2,FALSE)),"")</f>
        <v/>
      </c>
      <c r="D549" s="1"/>
      <c r="E549" s="1"/>
      <c r="F549" s="1"/>
      <c r="G549">
        <f>COUNTIF($B$2:B549,B549)</f>
        <v>0</v>
      </c>
    </row>
    <row r="550" spans="1:7" x14ac:dyDescent="0.2">
      <c r="A550" s="1"/>
      <c r="B550" s="1"/>
      <c r="C550" s="8" t="str">
        <f>IFERROR(IF(B550="","",VLOOKUP(B550,المستفيدين!$B:$C,2,FALSE)),"")</f>
        <v/>
      </c>
      <c r="D550" s="1"/>
      <c r="E550" s="1"/>
      <c r="F550" s="1"/>
      <c r="G550">
        <f>COUNTIF($B$2:B550,B550)</f>
        <v>0</v>
      </c>
    </row>
    <row r="551" spans="1:7" x14ac:dyDescent="0.2">
      <c r="A551" s="1"/>
      <c r="B551" s="1"/>
      <c r="C551" s="8" t="str">
        <f>IFERROR(IF(B551="","",VLOOKUP(B551,المستفيدين!$B:$C,2,FALSE)),"")</f>
        <v/>
      </c>
      <c r="D551" s="1"/>
      <c r="E551" s="1"/>
      <c r="F551" s="1"/>
      <c r="G551">
        <f>COUNTIF($B$2:B551,B551)</f>
        <v>0</v>
      </c>
    </row>
    <row r="552" spans="1:7" x14ac:dyDescent="0.2">
      <c r="A552" s="1"/>
      <c r="B552" s="1"/>
      <c r="C552" s="8" t="str">
        <f>IFERROR(IF(B552="","",VLOOKUP(B552,المستفيدين!$B:$C,2,FALSE)),"")</f>
        <v/>
      </c>
      <c r="D552" s="1"/>
      <c r="E552" s="1"/>
      <c r="F552" s="1"/>
      <c r="G552">
        <f>COUNTIF($B$2:B552,B552)</f>
        <v>0</v>
      </c>
    </row>
    <row r="553" spans="1:7" x14ac:dyDescent="0.2">
      <c r="A553" s="1"/>
      <c r="B553" s="1"/>
      <c r="C553" s="8" t="str">
        <f>IFERROR(IF(B553="","",VLOOKUP(B553,المستفيدين!$B:$C,2,FALSE)),"")</f>
        <v/>
      </c>
      <c r="D553" s="1"/>
      <c r="E553" s="1"/>
      <c r="F553" s="1"/>
      <c r="G553">
        <f>COUNTIF($B$2:B553,B553)</f>
        <v>0</v>
      </c>
    </row>
    <row r="554" spans="1:7" x14ac:dyDescent="0.2">
      <c r="A554" s="1"/>
      <c r="B554" s="1"/>
      <c r="C554" s="8" t="str">
        <f>IFERROR(IF(B554="","",VLOOKUP(B554,المستفيدين!$B:$C,2,FALSE)),"")</f>
        <v/>
      </c>
      <c r="D554" s="1"/>
      <c r="E554" s="1"/>
      <c r="F554" s="1"/>
      <c r="G554">
        <f>COUNTIF($B$2:B554,B554)</f>
        <v>0</v>
      </c>
    </row>
    <row r="555" spans="1:7" x14ac:dyDescent="0.2">
      <c r="A555" s="1"/>
      <c r="B555" s="1"/>
      <c r="C555" s="8" t="str">
        <f>IFERROR(IF(B555="","",VLOOKUP(B555,المستفيدين!$B:$C,2,FALSE)),"")</f>
        <v/>
      </c>
      <c r="D555" s="1"/>
      <c r="E555" s="1"/>
      <c r="F555" s="1"/>
      <c r="G555">
        <f>COUNTIF($B$2:B555,B555)</f>
        <v>0</v>
      </c>
    </row>
    <row r="556" spans="1:7" x14ac:dyDescent="0.2">
      <c r="A556" s="1"/>
      <c r="B556" s="1"/>
      <c r="C556" s="8" t="str">
        <f>IFERROR(IF(B556="","",VLOOKUP(B556,المستفيدين!$B:$C,2,FALSE)),"")</f>
        <v/>
      </c>
      <c r="D556" s="1"/>
      <c r="E556" s="1"/>
      <c r="F556" s="1"/>
      <c r="G556">
        <f>COUNTIF($B$2:B556,B556)</f>
        <v>0</v>
      </c>
    </row>
    <row r="557" spans="1:7" x14ac:dyDescent="0.2">
      <c r="A557" s="1"/>
      <c r="B557" s="1"/>
      <c r="C557" s="8" t="str">
        <f>IFERROR(IF(B557="","",VLOOKUP(B557,المستفيدين!$B:$C,2,FALSE)),"")</f>
        <v/>
      </c>
      <c r="D557" s="1"/>
      <c r="E557" s="1"/>
      <c r="F557" s="1"/>
      <c r="G557">
        <f>COUNTIF($B$2:B557,B557)</f>
        <v>0</v>
      </c>
    </row>
    <row r="558" spans="1:7" x14ac:dyDescent="0.2">
      <c r="A558" s="1"/>
      <c r="B558" s="1"/>
      <c r="C558" s="8" t="str">
        <f>IFERROR(IF(B558="","",VLOOKUP(B558,المستفيدين!$B:$C,2,FALSE)),"")</f>
        <v/>
      </c>
      <c r="D558" s="1"/>
      <c r="E558" s="1"/>
      <c r="F558" s="1"/>
      <c r="G558">
        <f>COUNTIF($B$2:B558,B558)</f>
        <v>0</v>
      </c>
    </row>
    <row r="559" spans="1:7" x14ac:dyDescent="0.2">
      <c r="A559" s="1"/>
      <c r="B559" s="1"/>
      <c r="C559" s="8" t="str">
        <f>IFERROR(IF(B559="","",VLOOKUP(B559,المستفيدين!$B:$C,2,FALSE)),"")</f>
        <v/>
      </c>
      <c r="D559" s="1"/>
      <c r="E559" s="1"/>
      <c r="F559" s="1"/>
      <c r="G559">
        <f>COUNTIF($B$2:B559,B559)</f>
        <v>0</v>
      </c>
    </row>
    <row r="560" spans="1:7" x14ac:dyDescent="0.2">
      <c r="A560" s="1"/>
      <c r="B560" s="1"/>
      <c r="C560" s="8" t="str">
        <f>IFERROR(IF(B560="","",VLOOKUP(B560,المستفيدين!$B:$C,2,FALSE)),"")</f>
        <v/>
      </c>
      <c r="D560" s="1"/>
      <c r="E560" s="1"/>
      <c r="F560" s="1"/>
      <c r="G560">
        <f>COUNTIF($B$2:B560,B560)</f>
        <v>0</v>
      </c>
    </row>
    <row r="561" spans="1:7" x14ac:dyDescent="0.2">
      <c r="A561" s="1"/>
      <c r="B561" s="1"/>
      <c r="C561" s="8" t="str">
        <f>IFERROR(IF(B561="","",VLOOKUP(B561,المستفيدين!$B:$C,2,FALSE)),"")</f>
        <v/>
      </c>
      <c r="D561" s="1"/>
      <c r="E561" s="1"/>
      <c r="F561" s="1"/>
      <c r="G561">
        <f>COUNTIF($B$2:B561,B561)</f>
        <v>0</v>
      </c>
    </row>
    <row r="562" spans="1:7" x14ac:dyDescent="0.2">
      <c r="A562" s="1"/>
      <c r="B562" s="1"/>
      <c r="C562" s="8" t="str">
        <f>IFERROR(IF(B562="","",VLOOKUP(B562,المستفيدين!$B:$C,2,FALSE)),"")</f>
        <v/>
      </c>
      <c r="D562" s="1"/>
      <c r="E562" s="1"/>
      <c r="F562" s="1"/>
      <c r="G562">
        <f>COUNTIF($B$2:B562,B562)</f>
        <v>0</v>
      </c>
    </row>
    <row r="563" spans="1:7" x14ac:dyDescent="0.2">
      <c r="A563" s="1"/>
      <c r="B563" s="1"/>
      <c r="C563" s="8" t="str">
        <f>IFERROR(IF(B563="","",VLOOKUP(B563,المستفيدين!$B:$C,2,FALSE)),"")</f>
        <v/>
      </c>
      <c r="D563" s="1"/>
      <c r="E563" s="1"/>
      <c r="F563" s="1"/>
      <c r="G563">
        <f>COUNTIF($B$2:B563,B563)</f>
        <v>0</v>
      </c>
    </row>
    <row r="564" spans="1:7" x14ac:dyDescent="0.2">
      <c r="A564" s="1"/>
      <c r="B564" s="1"/>
      <c r="C564" s="8" t="str">
        <f>IFERROR(IF(B564="","",VLOOKUP(B564,المستفيدين!$B:$C,2,FALSE)),"")</f>
        <v/>
      </c>
      <c r="D564" s="1"/>
      <c r="E564" s="1"/>
      <c r="F564" s="1"/>
      <c r="G564">
        <f>COUNTIF($B$2:B564,B564)</f>
        <v>0</v>
      </c>
    </row>
    <row r="565" spans="1:7" x14ac:dyDescent="0.2">
      <c r="A565" s="1"/>
      <c r="B565" s="1"/>
      <c r="C565" s="8" t="str">
        <f>IFERROR(IF(B565="","",VLOOKUP(B565,المستفيدين!$B:$C,2,FALSE)),"")</f>
        <v/>
      </c>
      <c r="D565" s="1"/>
      <c r="E565" s="1"/>
      <c r="F565" s="1"/>
      <c r="G565">
        <f>COUNTIF($B$2:B565,B565)</f>
        <v>0</v>
      </c>
    </row>
    <row r="566" spans="1:7" x14ac:dyDescent="0.2">
      <c r="A566" s="1"/>
      <c r="B566" s="1"/>
      <c r="C566" s="8" t="str">
        <f>IFERROR(IF(B566="","",VLOOKUP(B566,المستفيدين!$B:$C,2,FALSE)),"")</f>
        <v/>
      </c>
      <c r="D566" s="1"/>
      <c r="E566" s="1"/>
      <c r="F566" s="1"/>
      <c r="G566">
        <f>COUNTIF($B$2:B566,B566)</f>
        <v>0</v>
      </c>
    </row>
    <row r="567" spans="1:7" x14ac:dyDescent="0.2">
      <c r="A567" s="1"/>
      <c r="B567" s="1"/>
      <c r="C567" s="8" t="str">
        <f>IFERROR(IF(B567="","",VLOOKUP(B567,المستفيدين!$B:$C,2,FALSE)),"")</f>
        <v/>
      </c>
      <c r="D567" s="1"/>
      <c r="E567" s="1"/>
      <c r="F567" s="1"/>
      <c r="G567">
        <f>COUNTIF($B$2:B567,B567)</f>
        <v>0</v>
      </c>
    </row>
    <row r="568" spans="1:7" x14ac:dyDescent="0.2">
      <c r="A568" s="1"/>
      <c r="B568" s="1"/>
      <c r="C568" s="8" t="str">
        <f>IFERROR(IF(B568="","",VLOOKUP(B568,المستفيدين!$B:$C,2,FALSE)),"")</f>
        <v/>
      </c>
      <c r="D568" s="1"/>
      <c r="E568" s="1"/>
      <c r="F568" s="1"/>
      <c r="G568">
        <f>COUNTIF($B$2:B568,B568)</f>
        <v>0</v>
      </c>
    </row>
    <row r="569" spans="1:7" x14ac:dyDescent="0.2">
      <c r="A569" s="1"/>
      <c r="B569" s="1"/>
      <c r="C569" s="8" t="str">
        <f>IFERROR(IF(B569="","",VLOOKUP(B569,المستفيدين!$B:$C,2,FALSE)),"")</f>
        <v/>
      </c>
      <c r="D569" s="1"/>
      <c r="E569" s="1"/>
      <c r="F569" s="1"/>
      <c r="G569">
        <f>COUNTIF($B$2:B569,B569)</f>
        <v>0</v>
      </c>
    </row>
    <row r="570" spans="1:7" x14ac:dyDescent="0.2">
      <c r="A570" s="1"/>
      <c r="B570" s="1"/>
      <c r="C570" s="8" t="str">
        <f>IFERROR(IF(B570="","",VLOOKUP(B570,المستفيدين!$B:$C,2,FALSE)),"")</f>
        <v/>
      </c>
      <c r="D570" s="1"/>
      <c r="E570" s="1"/>
      <c r="F570" s="1"/>
      <c r="G570">
        <f>COUNTIF($B$2:B570,B570)</f>
        <v>0</v>
      </c>
    </row>
    <row r="571" spans="1:7" x14ac:dyDescent="0.2">
      <c r="A571" s="1"/>
      <c r="B571" s="1"/>
      <c r="C571" s="8" t="str">
        <f>IFERROR(IF(B571="","",VLOOKUP(B571,المستفيدين!$B:$C,2,FALSE)),"")</f>
        <v/>
      </c>
      <c r="D571" s="1"/>
      <c r="E571" s="1"/>
      <c r="F571" s="1"/>
      <c r="G571">
        <f>COUNTIF($B$2:B571,B571)</f>
        <v>0</v>
      </c>
    </row>
    <row r="572" spans="1:7" x14ac:dyDescent="0.2">
      <c r="A572" s="1"/>
      <c r="B572" s="1"/>
      <c r="C572" s="8" t="str">
        <f>IFERROR(IF(B572="","",VLOOKUP(B572,المستفيدين!$B:$C,2,FALSE)),"")</f>
        <v/>
      </c>
      <c r="D572" s="1"/>
      <c r="E572" s="1"/>
      <c r="F572" s="1"/>
      <c r="G572">
        <f>COUNTIF($B$2:B572,B572)</f>
        <v>0</v>
      </c>
    </row>
    <row r="573" spans="1:7" x14ac:dyDescent="0.2">
      <c r="A573" s="1"/>
      <c r="B573" s="1"/>
      <c r="C573" s="8" t="str">
        <f>IFERROR(IF(B573="","",VLOOKUP(B573,المستفيدين!$B:$C,2,FALSE)),"")</f>
        <v/>
      </c>
      <c r="D573" s="1"/>
      <c r="E573" s="1"/>
      <c r="F573" s="1"/>
      <c r="G573">
        <f>COUNTIF($B$2:B573,B573)</f>
        <v>0</v>
      </c>
    </row>
    <row r="574" spans="1:7" x14ac:dyDescent="0.2">
      <c r="A574" s="1"/>
      <c r="B574" s="1"/>
      <c r="C574" s="8" t="str">
        <f>IFERROR(IF(B574="","",VLOOKUP(B574,المستفيدين!$B:$C,2,FALSE)),"")</f>
        <v/>
      </c>
      <c r="D574" s="1"/>
      <c r="E574" s="1"/>
      <c r="F574" s="1"/>
      <c r="G574">
        <f>COUNTIF($B$2:B574,B574)</f>
        <v>0</v>
      </c>
    </row>
    <row r="575" spans="1:7" x14ac:dyDescent="0.2">
      <c r="A575" s="1"/>
      <c r="B575" s="1"/>
      <c r="C575" s="8" t="str">
        <f>IFERROR(IF(B575="","",VLOOKUP(B575,المستفيدين!$B:$C,2,FALSE)),"")</f>
        <v/>
      </c>
      <c r="D575" s="1"/>
      <c r="E575" s="1"/>
      <c r="F575" s="1"/>
      <c r="G575">
        <f>COUNTIF($B$2:B575,B575)</f>
        <v>0</v>
      </c>
    </row>
    <row r="576" spans="1:7" x14ac:dyDescent="0.2">
      <c r="A576" s="1"/>
      <c r="B576" s="1"/>
      <c r="C576" s="8" t="str">
        <f>IFERROR(IF(B576="","",VLOOKUP(B576,المستفيدين!$B:$C,2,FALSE)),"")</f>
        <v/>
      </c>
      <c r="D576" s="1"/>
      <c r="E576" s="1"/>
      <c r="F576" s="1"/>
      <c r="G576">
        <f>COUNTIF($B$2:B576,B576)</f>
        <v>0</v>
      </c>
    </row>
    <row r="577" spans="1:7" x14ac:dyDescent="0.2">
      <c r="A577" s="1"/>
      <c r="B577" s="1"/>
      <c r="C577" s="8" t="str">
        <f>IFERROR(IF(B577="","",VLOOKUP(B577,المستفيدين!$B:$C,2,FALSE)),"")</f>
        <v/>
      </c>
      <c r="D577" s="1"/>
      <c r="E577" s="1"/>
      <c r="F577" s="1"/>
      <c r="G577">
        <f>COUNTIF($B$2:B577,B577)</f>
        <v>0</v>
      </c>
    </row>
    <row r="578" spans="1:7" x14ac:dyDescent="0.2">
      <c r="A578" s="1"/>
      <c r="B578" s="1"/>
      <c r="C578" s="8" t="str">
        <f>IFERROR(IF(B578="","",VLOOKUP(B578,المستفيدين!$B:$C,2,FALSE)),"")</f>
        <v/>
      </c>
      <c r="D578" s="1"/>
      <c r="E578" s="1"/>
      <c r="F578" s="1"/>
      <c r="G578">
        <f>COUNTIF($B$2:B578,B578)</f>
        <v>0</v>
      </c>
    </row>
    <row r="579" spans="1:7" x14ac:dyDescent="0.2">
      <c r="A579" s="1"/>
      <c r="B579" s="1"/>
      <c r="C579" s="8" t="str">
        <f>IFERROR(IF(B579="","",VLOOKUP(B579,المستفيدين!$B:$C,2,FALSE)),"")</f>
        <v/>
      </c>
      <c r="D579" s="1"/>
      <c r="E579" s="1"/>
      <c r="F579" s="1"/>
      <c r="G579">
        <f>COUNTIF($B$2:B579,B579)</f>
        <v>0</v>
      </c>
    </row>
    <row r="580" spans="1:7" x14ac:dyDescent="0.2">
      <c r="A580" s="1"/>
      <c r="B580" s="1"/>
      <c r="C580" s="8" t="str">
        <f>IFERROR(IF(B580="","",VLOOKUP(B580,المستفيدين!$B:$C,2,FALSE)),"")</f>
        <v/>
      </c>
      <c r="D580" s="1"/>
      <c r="E580" s="1"/>
      <c r="F580" s="1"/>
      <c r="G580">
        <f>COUNTIF($B$2:B580,B580)</f>
        <v>0</v>
      </c>
    </row>
    <row r="581" spans="1:7" x14ac:dyDescent="0.2">
      <c r="A581" s="1"/>
      <c r="B581" s="1"/>
      <c r="C581" s="8" t="str">
        <f>IFERROR(IF(B581="","",VLOOKUP(B581,المستفيدين!$B:$C,2,FALSE)),"")</f>
        <v/>
      </c>
      <c r="D581" s="1"/>
      <c r="E581" s="1"/>
      <c r="F581" s="1"/>
      <c r="G581">
        <f>COUNTIF($B$2:B581,B581)</f>
        <v>0</v>
      </c>
    </row>
    <row r="582" spans="1:7" x14ac:dyDescent="0.2">
      <c r="A582" s="1"/>
      <c r="B582" s="1"/>
      <c r="C582" s="8" t="str">
        <f>IFERROR(IF(B582="","",VLOOKUP(B582,المستفيدين!$B:$C,2,FALSE)),"")</f>
        <v/>
      </c>
      <c r="D582" s="1"/>
      <c r="E582" s="1"/>
      <c r="F582" s="1"/>
      <c r="G582">
        <f>COUNTIF($B$2:B582,B582)</f>
        <v>0</v>
      </c>
    </row>
    <row r="583" spans="1:7" x14ac:dyDescent="0.2">
      <c r="A583" s="1"/>
      <c r="B583" s="1"/>
      <c r="C583" s="8" t="str">
        <f>IFERROR(IF(B583="","",VLOOKUP(B583,المستفيدين!$B:$C,2,FALSE)),"")</f>
        <v/>
      </c>
      <c r="D583" s="1"/>
      <c r="E583" s="1"/>
      <c r="F583" s="1"/>
      <c r="G583">
        <f>COUNTIF($B$2:B583,B583)</f>
        <v>0</v>
      </c>
    </row>
    <row r="584" spans="1:7" x14ac:dyDescent="0.2">
      <c r="A584" s="1"/>
      <c r="B584" s="1"/>
      <c r="C584" s="8" t="str">
        <f>IFERROR(IF(B584="","",VLOOKUP(B584,المستفيدين!$B:$C,2,FALSE)),"")</f>
        <v/>
      </c>
      <c r="D584" s="1"/>
      <c r="E584" s="1"/>
      <c r="F584" s="1"/>
      <c r="G584">
        <f>COUNTIF($B$2:B584,B584)</f>
        <v>0</v>
      </c>
    </row>
    <row r="585" spans="1:7" x14ac:dyDescent="0.2">
      <c r="A585" s="1"/>
      <c r="B585" s="1"/>
      <c r="C585" s="8" t="str">
        <f>IFERROR(IF(B585="","",VLOOKUP(B585,المستفيدين!$B:$C,2,FALSE)),"")</f>
        <v/>
      </c>
      <c r="D585" s="1"/>
      <c r="E585" s="1"/>
      <c r="F585" s="1"/>
      <c r="G585">
        <f>COUNTIF($B$2:B585,B585)</f>
        <v>0</v>
      </c>
    </row>
    <row r="586" spans="1:7" x14ac:dyDescent="0.2">
      <c r="A586" s="1"/>
      <c r="B586" s="1"/>
      <c r="C586" s="8" t="str">
        <f>IFERROR(IF(B586="","",VLOOKUP(B586,المستفيدين!$B:$C,2,FALSE)),"")</f>
        <v/>
      </c>
      <c r="D586" s="1"/>
      <c r="E586" s="1"/>
      <c r="F586" s="1"/>
      <c r="G586">
        <f>COUNTIF($B$2:B586,B586)</f>
        <v>0</v>
      </c>
    </row>
    <row r="587" spans="1:7" x14ac:dyDescent="0.2">
      <c r="A587" s="1"/>
      <c r="B587" s="1"/>
      <c r="C587" s="8" t="str">
        <f>IFERROR(IF(B587="","",VLOOKUP(B587,المستفيدين!$B:$C,2,FALSE)),"")</f>
        <v/>
      </c>
      <c r="D587" s="1"/>
      <c r="E587" s="1"/>
      <c r="F587" s="1"/>
      <c r="G587">
        <f>COUNTIF($B$2:B587,B587)</f>
        <v>0</v>
      </c>
    </row>
    <row r="588" spans="1:7" x14ac:dyDescent="0.2">
      <c r="A588" s="1"/>
      <c r="B588" s="1"/>
      <c r="C588" s="8" t="str">
        <f>IFERROR(IF(B588="","",VLOOKUP(B588,المستفيدين!$B:$C,2,FALSE)),"")</f>
        <v/>
      </c>
      <c r="D588" s="1"/>
      <c r="E588" s="1"/>
      <c r="F588" s="1"/>
      <c r="G588">
        <f>COUNTIF($B$2:B588,B588)</f>
        <v>0</v>
      </c>
    </row>
    <row r="589" spans="1:7" x14ac:dyDescent="0.2">
      <c r="A589" s="1"/>
      <c r="B589" s="1"/>
      <c r="C589" s="8" t="str">
        <f>IFERROR(IF(B589="","",VLOOKUP(B589,المستفيدين!$B:$C,2,FALSE)),"")</f>
        <v/>
      </c>
      <c r="D589" s="1"/>
      <c r="E589" s="1"/>
      <c r="F589" s="1"/>
      <c r="G589">
        <f>COUNTIF($B$2:B589,B589)</f>
        <v>0</v>
      </c>
    </row>
    <row r="590" spans="1:7" x14ac:dyDescent="0.2">
      <c r="A590" s="1"/>
      <c r="B590" s="1"/>
      <c r="C590" s="8" t="str">
        <f>IFERROR(IF(B590="","",VLOOKUP(B590,المستفيدين!$B:$C,2,FALSE)),"")</f>
        <v/>
      </c>
      <c r="D590" s="1"/>
      <c r="E590" s="1"/>
      <c r="F590" s="1"/>
      <c r="G590">
        <f>COUNTIF($B$2:B590,B590)</f>
        <v>0</v>
      </c>
    </row>
    <row r="591" spans="1:7" x14ac:dyDescent="0.2">
      <c r="A591" s="1"/>
      <c r="B591" s="1"/>
      <c r="C591" s="8" t="str">
        <f>IFERROR(IF(B591="","",VLOOKUP(B591,المستفيدين!$B:$C,2,FALSE)),"")</f>
        <v/>
      </c>
      <c r="D591" s="1"/>
      <c r="E591" s="1"/>
      <c r="F591" s="1"/>
      <c r="G591">
        <f>COUNTIF($B$2:B591,B591)</f>
        <v>0</v>
      </c>
    </row>
    <row r="592" spans="1:7" x14ac:dyDescent="0.2">
      <c r="A592" s="1"/>
      <c r="B592" s="1"/>
      <c r="C592" s="8" t="str">
        <f>IFERROR(IF(B592="","",VLOOKUP(B592,المستفيدين!$B:$C,2,FALSE)),"")</f>
        <v/>
      </c>
      <c r="D592" s="1"/>
      <c r="E592" s="1"/>
      <c r="F592" s="1"/>
      <c r="G592">
        <f>COUNTIF($B$2:B592,B592)</f>
        <v>0</v>
      </c>
    </row>
    <row r="593" spans="1:7" x14ac:dyDescent="0.2">
      <c r="A593" s="1"/>
      <c r="B593" s="1"/>
      <c r="C593" s="8" t="str">
        <f>IFERROR(IF(B593="","",VLOOKUP(B593,المستفيدين!$B:$C,2,FALSE)),"")</f>
        <v/>
      </c>
      <c r="D593" s="1"/>
      <c r="E593" s="1"/>
      <c r="F593" s="1"/>
      <c r="G593">
        <f>COUNTIF($B$2:B593,B593)</f>
        <v>0</v>
      </c>
    </row>
    <row r="594" spans="1:7" x14ac:dyDescent="0.2">
      <c r="A594" s="1"/>
      <c r="B594" s="1"/>
      <c r="C594" s="8" t="str">
        <f>IFERROR(IF(B594="","",VLOOKUP(B594,المستفيدين!$B:$C,2,FALSE)),"")</f>
        <v/>
      </c>
      <c r="D594" s="1"/>
      <c r="E594" s="1"/>
      <c r="F594" s="1"/>
      <c r="G594">
        <f>COUNTIF($B$2:B594,B594)</f>
        <v>0</v>
      </c>
    </row>
    <row r="595" spans="1:7" x14ac:dyDescent="0.2">
      <c r="A595" s="1"/>
      <c r="B595" s="1"/>
      <c r="C595" s="8" t="str">
        <f>IFERROR(IF(B595="","",VLOOKUP(B595,المستفيدين!$B:$C,2,FALSE)),"")</f>
        <v/>
      </c>
      <c r="D595" s="1"/>
      <c r="E595" s="1"/>
      <c r="F595" s="1"/>
      <c r="G595">
        <f>COUNTIF($B$2:B595,B595)</f>
        <v>0</v>
      </c>
    </row>
    <row r="596" spans="1:7" x14ac:dyDescent="0.2">
      <c r="A596" s="1"/>
      <c r="B596" s="1"/>
      <c r="C596" s="8" t="str">
        <f>IFERROR(IF(B596="","",VLOOKUP(B596,المستفيدين!$B:$C,2,FALSE)),"")</f>
        <v/>
      </c>
      <c r="D596" s="1"/>
      <c r="E596" s="1"/>
      <c r="F596" s="1"/>
      <c r="G596">
        <f>COUNTIF($B$2:B596,B596)</f>
        <v>0</v>
      </c>
    </row>
    <row r="597" spans="1:7" x14ac:dyDescent="0.2">
      <c r="A597" s="1"/>
      <c r="B597" s="1"/>
      <c r="C597" s="8" t="str">
        <f>IFERROR(IF(B597="","",VLOOKUP(B597,المستفيدين!$B:$C,2,FALSE)),"")</f>
        <v/>
      </c>
      <c r="D597" s="1"/>
      <c r="E597" s="1"/>
      <c r="F597" s="1"/>
      <c r="G597">
        <f>COUNTIF($B$2:B597,B597)</f>
        <v>0</v>
      </c>
    </row>
    <row r="598" spans="1:7" x14ac:dyDescent="0.2">
      <c r="A598" s="1"/>
      <c r="B598" s="1"/>
      <c r="C598" s="8" t="str">
        <f>IFERROR(IF(B598="","",VLOOKUP(B598,المستفيدين!$B:$C,2,FALSE)),"")</f>
        <v/>
      </c>
      <c r="D598" s="1"/>
      <c r="E598" s="1"/>
      <c r="F598" s="1"/>
      <c r="G598">
        <f>COUNTIF($B$2:B598,B598)</f>
        <v>0</v>
      </c>
    </row>
    <row r="599" spans="1:7" x14ac:dyDescent="0.2">
      <c r="A599" s="1"/>
      <c r="B599" s="1"/>
      <c r="C599" s="8" t="str">
        <f>IFERROR(IF(B599="","",VLOOKUP(B599,المستفيدين!$B:$C,2,FALSE)),"")</f>
        <v/>
      </c>
      <c r="D599" s="1"/>
      <c r="E599" s="1"/>
      <c r="F599" s="1"/>
      <c r="G599">
        <f>COUNTIF($B$2:B599,B599)</f>
        <v>0</v>
      </c>
    </row>
    <row r="600" spans="1:7" x14ac:dyDescent="0.2">
      <c r="A600" s="1"/>
      <c r="B600" s="1"/>
      <c r="C600" s="8" t="str">
        <f>IFERROR(IF(B600="","",VLOOKUP(B600,المستفيدين!$B:$C,2,FALSE)),"")</f>
        <v/>
      </c>
      <c r="D600" s="1"/>
      <c r="E600" s="1"/>
      <c r="F600" s="1"/>
      <c r="G600">
        <f>COUNTIF($B$2:B600,B600)</f>
        <v>0</v>
      </c>
    </row>
    <row r="601" spans="1:7" x14ac:dyDescent="0.2">
      <c r="A601" s="1"/>
      <c r="B601" s="1"/>
      <c r="C601" s="8" t="str">
        <f>IFERROR(IF(B601="","",VLOOKUP(B601,المستفيدين!$B:$C,2,FALSE)),"")</f>
        <v/>
      </c>
      <c r="D601" s="1"/>
      <c r="E601" s="1"/>
      <c r="F601" s="1"/>
      <c r="G601">
        <f>COUNTIF($B$2:B601,B601)</f>
        <v>0</v>
      </c>
    </row>
    <row r="602" spans="1:7" x14ac:dyDescent="0.2">
      <c r="A602" s="1"/>
      <c r="B602" s="1"/>
      <c r="C602" s="8" t="str">
        <f>IFERROR(IF(B602="","",VLOOKUP(B602,المستفيدين!$B:$C,2,FALSE)),"")</f>
        <v/>
      </c>
      <c r="D602" s="1"/>
      <c r="E602" s="1"/>
      <c r="F602" s="1"/>
      <c r="G602">
        <f>COUNTIF($B$2:B602,B602)</f>
        <v>0</v>
      </c>
    </row>
    <row r="603" spans="1:7" x14ac:dyDescent="0.2">
      <c r="A603" s="1"/>
      <c r="B603" s="1"/>
      <c r="C603" s="8" t="str">
        <f>IFERROR(IF(B603="","",VLOOKUP(B603,المستفيدين!$B:$C,2,FALSE)),"")</f>
        <v/>
      </c>
      <c r="D603" s="1"/>
      <c r="E603" s="1"/>
      <c r="F603" s="1"/>
      <c r="G603">
        <f>COUNTIF($B$2:B603,B603)</f>
        <v>0</v>
      </c>
    </row>
    <row r="604" spans="1:7" x14ac:dyDescent="0.2">
      <c r="A604" s="1"/>
      <c r="B604" s="1"/>
      <c r="C604" s="8" t="str">
        <f>IFERROR(IF(B604="","",VLOOKUP(B604,المستفيدين!$B:$C,2,FALSE)),"")</f>
        <v/>
      </c>
      <c r="D604" s="1"/>
      <c r="E604" s="1"/>
      <c r="F604" s="1"/>
      <c r="G604">
        <f>COUNTIF($B$2:B604,B604)</f>
        <v>0</v>
      </c>
    </row>
    <row r="605" spans="1:7" x14ac:dyDescent="0.2">
      <c r="A605" s="1"/>
      <c r="B605" s="1"/>
      <c r="C605" s="8" t="str">
        <f>IFERROR(IF(B605="","",VLOOKUP(B605,المستفيدين!$B:$C,2,FALSE)),"")</f>
        <v/>
      </c>
      <c r="D605" s="1"/>
      <c r="E605" s="1"/>
      <c r="F605" s="1"/>
      <c r="G605">
        <f>COUNTIF($B$2:B605,B605)</f>
        <v>0</v>
      </c>
    </row>
    <row r="606" spans="1:7" x14ac:dyDescent="0.2">
      <c r="A606" s="1"/>
      <c r="B606" s="1"/>
      <c r="C606" s="8" t="str">
        <f>IFERROR(IF(B606="","",VLOOKUP(B606,المستفيدين!$B:$C,2,FALSE)),"")</f>
        <v/>
      </c>
      <c r="D606" s="1"/>
      <c r="E606" s="1"/>
      <c r="F606" s="1"/>
      <c r="G606">
        <f>COUNTIF($B$2:B606,B606)</f>
        <v>0</v>
      </c>
    </row>
    <row r="607" spans="1:7" x14ac:dyDescent="0.2">
      <c r="A607" s="1"/>
      <c r="B607" s="1"/>
      <c r="C607" s="8" t="str">
        <f>IFERROR(IF(B607="","",VLOOKUP(B607,المستفيدين!$B:$C,2,FALSE)),"")</f>
        <v/>
      </c>
      <c r="D607" s="1"/>
      <c r="E607" s="1"/>
      <c r="F607" s="1"/>
      <c r="G607">
        <f>COUNTIF($B$2:B607,B607)</f>
        <v>0</v>
      </c>
    </row>
    <row r="608" spans="1:7" x14ac:dyDescent="0.2">
      <c r="A608" s="1"/>
      <c r="B608" s="1"/>
      <c r="C608" s="8" t="str">
        <f>IFERROR(IF(B608="","",VLOOKUP(B608,المستفيدين!$B:$C,2,FALSE)),"")</f>
        <v/>
      </c>
      <c r="D608" s="1"/>
      <c r="E608" s="1"/>
      <c r="F608" s="1"/>
      <c r="G608">
        <f>COUNTIF($B$2:B608,B608)</f>
        <v>0</v>
      </c>
    </row>
    <row r="609" spans="1:7" x14ac:dyDescent="0.2">
      <c r="A609" s="1"/>
      <c r="B609" s="1"/>
      <c r="C609" s="8" t="str">
        <f>IFERROR(IF(B609="","",VLOOKUP(B609,المستفيدين!$B:$C,2,FALSE)),"")</f>
        <v/>
      </c>
      <c r="D609" s="1"/>
      <c r="E609" s="1"/>
      <c r="F609" s="1"/>
      <c r="G609">
        <f>COUNTIF($B$2:B609,B609)</f>
        <v>0</v>
      </c>
    </row>
    <row r="610" spans="1:7" x14ac:dyDescent="0.2">
      <c r="A610" s="1"/>
      <c r="B610" s="1"/>
      <c r="C610" s="8" t="str">
        <f>IFERROR(IF(B610="","",VLOOKUP(B610,المستفيدين!$B:$C,2,FALSE)),"")</f>
        <v/>
      </c>
      <c r="D610" s="1"/>
      <c r="E610" s="1"/>
      <c r="F610" s="1"/>
      <c r="G610">
        <f>COUNTIF($B$2:B610,B610)</f>
        <v>0</v>
      </c>
    </row>
    <row r="611" spans="1:7" x14ac:dyDescent="0.2">
      <c r="A611" s="1"/>
      <c r="B611" s="1"/>
      <c r="C611" s="8" t="str">
        <f>IFERROR(IF(B611="","",VLOOKUP(B611,المستفيدين!$B:$C,2,FALSE)),"")</f>
        <v/>
      </c>
      <c r="D611" s="1"/>
      <c r="E611" s="1"/>
      <c r="F611" s="1"/>
      <c r="G611">
        <f>COUNTIF($B$2:B611,B611)</f>
        <v>0</v>
      </c>
    </row>
    <row r="612" spans="1:7" x14ac:dyDescent="0.2">
      <c r="A612" s="1"/>
      <c r="B612" s="1"/>
      <c r="C612" s="8" t="str">
        <f>IFERROR(IF(B612="","",VLOOKUP(B612,المستفيدين!$B:$C,2,FALSE)),"")</f>
        <v/>
      </c>
      <c r="D612" s="1"/>
      <c r="E612" s="1"/>
      <c r="F612" s="1"/>
      <c r="G612">
        <f>COUNTIF($B$2:B612,B612)</f>
        <v>0</v>
      </c>
    </row>
    <row r="613" spans="1:7" x14ac:dyDescent="0.2">
      <c r="A613" s="1"/>
      <c r="B613" s="1"/>
      <c r="C613" s="8" t="str">
        <f>IFERROR(IF(B613="","",VLOOKUP(B613,المستفيدين!$B:$C,2,FALSE)),"")</f>
        <v/>
      </c>
      <c r="D613" s="1"/>
      <c r="E613" s="1"/>
      <c r="F613" s="1"/>
      <c r="G613">
        <f>COUNTIF($B$2:B613,B613)</f>
        <v>0</v>
      </c>
    </row>
    <row r="614" spans="1:7" x14ac:dyDescent="0.2">
      <c r="A614" s="1"/>
      <c r="B614" s="1"/>
      <c r="C614" s="8" t="str">
        <f>IFERROR(IF(B614="","",VLOOKUP(B614,المستفيدين!$B:$C,2,FALSE)),"")</f>
        <v/>
      </c>
      <c r="D614" s="1"/>
      <c r="E614" s="1"/>
      <c r="F614" s="1"/>
      <c r="G614">
        <f>COUNTIF($B$2:B614,B614)</f>
        <v>0</v>
      </c>
    </row>
    <row r="615" spans="1:7" x14ac:dyDescent="0.2">
      <c r="A615" s="1"/>
      <c r="B615" s="1"/>
      <c r="C615" s="8" t="str">
        <f>IFERROR(IF(B615="","",VLOOKUP(B615,المستفيدين!$B:$C,2,FALSE)),"")</f>
        <v/>
      </c>
      <c r="D615" s="1"/>
      <c r="E615" s="1"/>
      <c r="F615" s="1"/>
      <c r="G615">
        <f>COUNTIF($B$2:B615,B615)</f>
        <v>0</v>
      </c>
    </row>
    <row r="616" spans="1:7" x14ac:dyDescent="0.2">
      <c r="A616" s="1"/>
      <c r="B616" s="1"/>
      <c r="C616" s="8" t="str">
        <f>IFERROR(IF(B616="","",VLOOKUP(B616,المستفيدين!$B:$C,2,FALSE)),"")</f>
        <v/>
      </c>
      <c r="D616" s="1"/>
      <c r="E616" s="1"/>
      <c r="F616" s="1"/>
      <c r="G616">
        <f>COUNTIF($B$2:B616,B616)</f>
        <v>0</v>
      </c>
    </row>
    <row r="617" spans="1:7" x14ac:dyDescent="0.2">
      <c r="A617" s="1"/>
      <c r="B617" s="1"/>
      <c r="C617" s="8" t="str">
        <f>IFERROR(IF(B617="","",VLOOKUP(B617,المستفيدين!$B:$C,2,FALSE)),"")</f>
        <v/>
      </c>
      <c r="D617" s="1"/>
      <c r="E617" s="1"/>
      <c r="F617" s="1"/>
      <c r="G617">
        <f>COUNTIF($B$2:B617,B617)</f>
        <v>0</v>
      </c>
    </row>
    <row r="618" spans="1:7" x14ac:dyDescent="0.2">
      <c r="A618" s="1"/>
      <c r="B618" s="1"/>
      <c r="C618" s="8" t="str">
        <f>IFERROR(IF(B618="","",VLOOKUP(B618,المستفيدين!$B:$C,2,FALSE)),"")</f>
        <v/>
      </c>
      <c r="D618" s="1"/>
      <c r="E618" s="1"/>
      <c r="F618" s="1"/>
      <c r="G618">
        <f>COUNTIF($B$2:B618,B618)</f>
        <v>0</v>
      </c>
    </row>
    <row r="619" spans="1:7" x14ac:dyDescent="0.2">
      <c r="A619" s="1"/>
      <c r="B619" s="1"/>
      <c r="C619" s="8" t="str">
        <f>IFERROR(IF(B619="","",VLOOKUP(B619,المستفيدين!$B:$C,2,FALSE)),"")</f>
        <v/>
      </c>
      <c r="D619" s="1"/>
      <c r="E619" s="1"/>
      <c r="F619" s="1"/>
      <c r="G619">
        <f>COUNTIF($B$2:B619,B619)</f>
        <v>0</v>
      </c>
    </row>
    <row r="620" spans="1:7" x14ac:dyDescent="0.2">
      <c r="A620" s="1"/>
      <c r="B620" s="1"/>
      <c r="C620" s="8" t="str">
        <f>IFERROR(IF(B620="","",VLOOKUP(B620,المستفيدين!$B:$C,2,FALSE)),"")</f>
        <v/>
      </c>
      <c r="D620" s="1"/>
      <c r="E620" s="1"/>
      <c r="F620" s="1"/>
      <c r="G620">
        <f>COUNTIF($B$2:B620,B620)</f>
        <v>0</v>
      </c>
    </row>
    <row r="621" spans="1:7" x14ac:dyDescent="0.2">
      <c r="A621" s="1"/>
      <c r="B621" s="1"/>
      <c r="C621" s="8" t="str">
        <f>IFERROR(IF(B621="","",VLOOKUP(B621,المستفيدين!$B:$C,2,FALSE)),"")</f>
        <v/>
      </c>
      <c r="D621" s="1"/>
      <c r="E621" s="1"/>
      <c r="F621" s="1"/>
      <c r="G621">
        <f>COUNTIF($B$2:B621,B621)</f>
        <v>0</v>
      </c>
    </row>
    <row r="622" spans="1:7" x14ac:dyDescent="0.2">
      <c r="A622" s="1"/>
      <c r="B622" s="1"/>
      <c r="C622" s="8" t="str">
        <f>IFERROR(IF(B622="","",VLOOKUP(B622,المستفيدين!$B:$C,2,FALSE)),"")</f>
        <v/>
      </c>
      <c r="D622" s="1"/>
      <c r="E622" s="1"/>
      <c r="F622" s="1"/>
      <c r="G622">
        <f>COUNTIF($B$2:B622,B622)</f>
        <v>0</v>
      </c>
    </row>
    <row r="623" spans="1:7" x14ac:dyDescent="0.2">
      <c r="A623" s="1"/>
      <c r="B623" s="1"/>
      <c r="C623" s="8" t="str">
        <f>IFERROR(IF(B623="","",VLOOKUP(B623,المستفيدين!$B:$C,2,FALSE)),"")</f>
        <v/>
      </c>
      <c r="D623" s="1"/>
      <c r="E623" s="1"/>
      <c r="F623" s="1"/>
      <c r="G623">
        <f>COUNTIF($B$2:B623,B623)</f>
        <v>0</v>
      </c>
    </row>
    <row r="624" spans="1:7" x14ac:dyDescent="0.2">
      <c r="A624" s="1"/>
      <c r="B624" s="1"/>
      <c r="C624" s="8" t="str">
        <f>IFERROR(IF(B624="","",VLOOKUP(B624,المستفيدين!$B:$C,2,FALSE)),"")</f>
        <v/>
      </c>
      <c r="D624" s="1"/>
      <c r="E624" s="1"/>
      <c r="F624" s="1"/>
      <c r="G624">
        <f>COUNTIF($B$2:B624,B624)</f>
        <v>0</v>
      </c>
    </row>
    <row r="625" spans="1:7" x14ac:dyDescent="0.2">
      <c r="A625" s="1"/>
      <c r="B625" s="1"/>
      <c r="C625" s="8" t="str">
        <f>IFERROR(IF(B625="","",VLOOKUP(B625,المستفيدين!$B:$C,2,FALSE)),"")</f>
        <v/>
      </c>
      <c r="D625" s="1"/>
      <c r="E625" s="1"/>
      <c r="F625" s="1"/>
      <c r="G625">
        <f>COUNTIF($B$2:B625,B625)</f>
        <v>0</v>
      </c>
    </row>
    <row r="626" spans="1:7" x14ac:dyDescent="0.2">
      <c r="A626" s="1"/>
      <c r="B626" s="1"/>
      <c r="C626" s="8" t="str">
        <f>IFERROR(IF(B626="","",VLOOKUP(B626,المستفيدين!$B:$C,2,FALSE)),"")</f>
        <v/>
      </c>
      <c r="D626" s="1"/>
      <c r="E626" s="1"/>
      <c r="F626" s="1"/>
      <c r="G626">
        <f>COUNTIF($B$2:B626,B626)</f>
        <v>0</v>
      </c>
    </row>
    <row r="627" spans="1:7" x14ac:dyDescent="0.2">
      <c r="A627" s="1"/>
      <c r="B627" s="1"/>
      <c r="C627" s="8" t="str">
        <f>IFERROR(IF(B627="","",VLOOKUP(B627,المستفيدين!$B:$C,2,FALSE)),"")</f>
        <v/>
      </c>
      <c r="D627" s="1"/>
      <c r="E627" s="1"/>
      <c r="F627" s="1"/>
      <c r="G627">
        <f>COUNTIF($B$2:B627,B627)</f>
        <v>0</v>
      </c>
    </row>
    <row r="628" spans="1:7" x14ac:dyDescent="0.2">
      <c r="A628" s="1"/>
      <c r="B628" s="1"/>
      <c r="C628" s="8" t="str">
        <f>IFERROR(IF(B628="","",VLOOKUP(B628,المستفيدين!$B:$C,2,FALSE)),"")</f>
        <v/>
      </c>
      <c r="D628" s="1"/>
      <c r="E628" s="1"/>
      <c r="F628" s="1"/>
      <c r="G628">
        <f>COUNTIF($B$2:B628,B628)</f>
        <v>0</v>
      </c>
    </row>
    <row r="629" spans="1:7" x14ac:dyDescent="0.2">
      <c r="A629" s="1"/>
      <c r="B629" s="1"/>
      <c r="C629" s="8" t="str">
        <f>IFERROR(IF(B629="","",VLOOKUP(B629,المستفيدين!$B:$C,2,FALSE)),"")</f>
        <v/>
      </c>
      <c r="D629" s="1"/>
      <c r="E629" s="1"/>
      <c r="F629" s="1"/>
      <c r="G629">
        <f>COUNTIF($B$2:B629,B629)</f>
        <v>0</v>
      </c>
    </row>
    <row r="630" spans="1:7" x14ac:dyDescent="0.2">
      <c r="A630" s="1"/>
      <c r="B630" s="1"/>
      <c r="C630" s="8" t="str">
        <f>IFERROR(IF(B630="","",VLOOKUP(B630,المستفيدين!$B:$C,2,FALSE)),"")</f>
        <v/>
      </c>
      <c r="D630" s="1"/>
      <c r="E630" s="1"/>
      <c r="F630" s="1"/>
      <c r="G630">
        <f>COUNTIF($B$2:B630,B630)</f>
        <v>0</v>
      </c>
    </row>
    <row r="631" spans="1:7" x14ac:dyDescent="0.2">
      <c r="A631" s="1"/>
      <c r="B631" s="1"/>
      <c r="C631" s="8" t="str">
        <f>IFERROR(IF(B631="","",VLOOKUP(B631,المستفيدين!$B:$C,2,FALSE)),"")</f>
        <v/>
      </c>
      <c r="D631" s="1"/>
      <c r="E631" s="1"/>
      <c r="F631" s="1"/>
      <c r="G631">
        <f>COUNTIF($B$2:B631,B631)</f>
        <v>0</v>
      </c>
    </row>
    <row r="632" spans="1:7" x14ac:dyDescent="0.2">
      <c r="A632" s="1"/>
      <c r="B632" s="1"/>
      <c r="C632" s="8" t="str">
        <f>IFERROR(IF(B632="","",VLOOKUP(B632,المستفيدين!$B:$C,2,FALSE)),"")</f>
        <v/>
      </c>
      <c r="D632" s="1"/>
      <c r="E632" s="1"/>
      <c r="F632" s="1"/>
      <c r="G632">
        <f>COUNTIF($B$2:B632,B632)</f>
        <v>0</v>
      </c>
    </row>
    <row r="633" spans="1:7" x14ac:dyDescent="0.2">
      <c r="A633" s="1"/>
      <c r="B633" s="1"/>
      <c r="C633" s="8" t="str">
        <f>IFERROR(IF(B633="","",VLOOKUP(B633,المستفيدين!$B:$C,2,FALSE)),"")</f>
        <v/>
      </c>
      <c r="D633" s="1"/>
      <c r="E633" s="1"/>
      <c r="F633" s="1"/>
      <c r="G633">
        <f>COUNTIF($B$2:B633,B633)</f>
        <v>0</v>
      </c>
    </row>
    <row r="634" spans="1:7" x14ac:dyDescent="0.2">
      <c r="A634" s="1"/>
      <c r="B634" s="1"/>
      <c r="C634" s="8" t="str">
        <f>IFERROR(IF(B634="","",VLOOKUP(B634,المستفيدين!$B:$C,2,FALSE)),"")</f>
        <v/>
      </c>
      <c r="D634" s="1"/>
      <c r="E634" s="1"/>
      <c r="F634" s="1"/>
      <c r="G634">
        <f>COUNTIF($B$2:B634,B634)</f>
        <v>0</v>
      </c>
    </row>
    <row r="635" spans="1:7" x14ac:dyDescent="0.2">
      <c r="A635" s="1"/>
      <c r="B635" s="1"/>
      <c r="C635" s="8" t="str">
        <f>IFERROR(IF(B635="","",VLOOKUP(B635,المستفيدين!$B:$C,2,FALSE)),"")</f>
        <v/>
      </c>
      <c r="D635" s="1"/>
      <c r="E635" s="1"/>
      <c r="F635" s="1"/>
      <c r="G635">
        <f>COUNTIF($B$2:B635,B635)</f>
        <v>0</v>
      </c>
    </row>
    <row r="636" spans="1:7" x14ac:dyDescent="0.2">
      <c r="A636" s="1"/>
      <c r="B636" s="1"/>
      <c r="C636" s="8" t="str">
        <f>IFERROR(IF(B636="","",VLOOKUP(B636,المستفيدين!$B:$C,2,FALSE)),"")</f>
        <v/>
      </c>
      <c r="D636" s="1"/>
      <c r="E636" s="1"/>
      <c r="F636" s="1"/>
      <c r="G636">
        <f>COUNTIF($B$2:B636,B636)</f>
        <v>0</v>
      </c>
    </row>
    <row r="637" spans="1:7" x14ac:dyDescent="0.2">
      <c r="A637" s="1"/>
      <c r="B637" s="1"/>
      <c r="C637" s="8" t="str">
        <f>IFERROR(IF(B637="","",VLOOKUP(B637,المستفيدين!$B:$C,2,FALSE)),"")</f>
        <v/>
      </c>
      <c r="D637" s="1"/>
      <c r="E637" s="1"/>
      <c r="F637" s="1"/>
      <c r="G637">
        <f>COUNTIF($B$2:B637,B637)</f>
        <v>0</v>
      </c>
    </row>
    <row r="638" spans="1:7" x14ac:dyDescent="0.2">
      <c r="A638" s="1"/>
      <c r="B638" s="1"/>
      <c r="C638" s="8" t="str">
        <f>IFERROR(IF(B638="","",VLOOKUP(B638,المستفيدين!$B:$C,2,FALSE)),"")</f>
        <v/>
      </c>
      <c r="D638" s="1"/>
      <c r="E638" s="1"/>
      <c r="F638" s="1"/>
      <c r="G638">
        <f>COUNTIF($B$2:B638,B638)</f>
        <v>0</v>
      </c>
    </row>
    <row r="639" spans="1:7" x14ac:dyDescent="0.2">
      <c r="A639" s="1"/>
      <c r="B639" s="1"/>
      <c r="C639" s="8" t="str">
        <f>IFERROR(IF(B639="","",VLOOKUP(B639,المستفيدين!$B:$C,2,FALSE)),"")</f>
        <v/>
      </c>
      <c r="D639" s="1"/>
      <c r="E639" s="1"/>
      <c r="F639" s="1"/>
      <c r="G639">
        <f>COUNTIF($B$2:B639,B639)</f>
        <v>0</v>
      </c>
    </row>
    <row r="640" spans="1:7" x14ac:dyDescent="0.2">
      <c r="A640" s="1"/>
      <c r="B640" s="1"/>
      <c r="C640" s="8" t="str">
        <f>IFERROR(IF(B640="","",VLOOKUP(B640,المستفيدين!$B:$C,2,FALSE)),"")</f>
        <v/>
      </c>
      <c r="D640" s="1"/>
      <c r="E640" s="1"/>
      <c r="F640" s="1"/>
      <c r="G640">
        <f>COUNTIF($B$2:B640,B640)</f>
        <v>0</v>
      </c>
    </row>
    <row r="641" spans="1:7" x14ac:dyDescent="0.2">
      <c r="A641" s="1"/>
      <c r="B641" s="1"/>
      <c r="C641" s="8" t="str">
        <f>IFERROR(IF(B641="","",VLOOKUP(B641,المستفيدين!$B:$C,2,FALSE)),"")</f>
        <v/>
      </c>
      <c r="D641" s="1"/>
      <c r="E641" s="1"/>
      <c r="F641" s="1"/>
      <c r="G641">
        <f>COUNTIF($B$2:B641,B641)</f>
        <v>0</v>
      </c>
    </row>
    <row r="642" spans="1:7" x14ac:dyDescent="0.2">
      <c r="A642" s="1"/>
      <c r="B642" s="1"/>
      <c r="C642" s="8" t="str">
        <f>IFERROR(IF(B642="","",VLOOKUP(B642,المستفيدين!$B:$C,2,FALSE)),"")</f>
        <v/>
      </c>
      <c r="D642" s="1"/>
      <c r="E642" s="1"/>
      <c r="F642" s="1"/>
      <c r="G642">
        <f>COUNTIF($B$2:B642,B642)</f>
        <v>0</v>
      </c>
    </row>
    <row r="643" spans="1:7" x14ac:dyDescent="0.2">
      <c r="A643" s="1"/>
      <c r="B643" s="1"/>
      <c r="C643" s="8" t="str">
        <f>IFERROR(IF(B643="","",VLOOKUP(B643,المستفيدين!$B:$C,2,FALSE)),"")</f>
        <v/>
      </c>
      <c r="D643" s="1"/>
      <c r="E643" s="1"/>
      <c r="F643" s="1"/>
      <c r="G643">
        <f>COUNTIF($B$2:B643,B643)</f>
        <v>0</v>
      </c>
    </row>
    <row r="644" spans="1:7" x14ac:dyDescent="0.2">
      <c r="A644" s="1"/>
      <c r="B644" s="1"/>
      <c r="C644" s="8" t="str">
        <f>IFERROR(IF(B644="","",VLOOKUP(B644,المستفيدين!$B:$C,2,FALSE)),"")</f>
        <v/>
      </c>
      <c r="D644" s="1"/>
      <c r="E644" s="1"/>
      <c r="F644" s="1"/>
      <c r="G644">
        <f>COUNTIF($B$2:B644,B644)</f>
        <v>0</v>
      </c>
    </row>
    <row r="645" spans="1:7" x14ac:dyDescent="0.2">
      <c r="A645" s="1"/>
      <c r="B645" s="1"/>
      <c r="C645" s="8" t="str">
        <f>IFERROR(IF(B645="","",VLOOKUP(B645,المستفيدين!$B:$C,2,FALSE)),"")</f>
        <v/>
      </c>
      <c r="D645" s="1"/>
      <c r="E645" s="1"/>
      <c r="F645" s="1"/>
      <c r="G645">
        <f>COUNTIF($B$2:B645,B645)</f>
        <v>0</v>
      </c>
    </row>
    <row r="646" spans="1:7" x14ac:dyDescent="0.2">
      <c r="A646" s="1"/>
      <c r="B646" s="1"/>
      <c r="C646" s="8" t="str">
        <f>IFERROR(IF(B646="","",VLOOKUP(B646,المستفيدين!$B:$C,2,FALSE)),"")</f>
        <v/>
      </c>
      <c r="D646" s="1"/>
      <c r="E646" s="1"/>
      <c r="F646" s="1"/>
      <c r="G646">
        <f>COUNTIF($B$2:B646,B646)</f>
        <v>0</v>
      </c>
    </row>
    <row r="647" spans="1:7" x14ac:dyDescent="0.2">
      <c r="A647" s="1"/>
      <c r="B647" s="1"/>
      <c r="C647" s="8" t="str">
        <f>IFERROR(IF(B647="","",VLOOKUP(B647,المستفيدين!$B:$C,2,FALSE)),"")</f>
        <v/>
      </c>
      <c r="D647" s="1"/>
      <c r="E647" s="1"/>
      <c r="F647" s="1"/>
      <c r="G647">
        <f>COUNTIF($B$2:B647,B647)</f>
        <v>0</v>
      </c>
    </row>
    <row r="648" spans="1:7" x14ac:dyDescent="0.2">
      <c r="A648" s="1"/>
      <c r="B648" s="1"/>
      <c r="C648" s="8" t="str">
        <f>IFERROR(IF(B648="","",VLOOKUP(B648,المستفيدين!$B:$C,2,FALSE)),"")</f>
        <v/>
      </c>
      <c r="D648" s="1"/>
      <c r="E648" s="1"/>
      <c r="F648" s="1"/>
      <c r="G648">
        <f>COUNTIF($B$2:B648,B648)</f>
        <v>0</v>
      </c>
    </row>
    <row r="649" spans="1:7" x14ac:dyDescent="0.2">
      <c r="A649" s="1"/>
      <c r="B649" s="1"/>
      <c r="C649" s="8" t="str">
        <f>IFERROR(IF(B649="","",VLOOKUP(B649,المستفيدين!$B:$C,2,FALSE)),"")</f>
        <v/>
      </c>
      <c r="D649" s="1"/>
      <c r="E649" s="1"/>
      <c r="F649" s="1"/>
      <c r="G649">
        <f>COUNTIF($B$2:B649,B649)</f>
        <v>0</v>
      </c>
    </row>
    <row r="650" spans="1:7" x14ac:dyDescent="0.2">
      <c r="A650" s="1"/>
      <c r="B650" s="1"/>
      <c r="C650" s="8" t="str">
        <f>IFERROR(IF(B650="","",VLOOKUP(B650,المستفيدين!$B:$C,2,FALSE)),"")</f>
        <v/>
      </c>
      <c r="D650" s="1"/>
      <c r="E650" s="1"/>
      <c r="F650" s="1"/>
      <c r="G650">
        <f>COUNTIF($B$2:B650,B650)</f>
        <v>0</v>
      </c>
    </row>
    <row r="651" spans="1:7" x14ac:dyDescent="0.2">
      <c r="A651" s="1"/>
      <c r="B651" s="1"/>
      <c r="C651" s="8" t="str">
        <f>IFERROR(IF(B651="","",VLOOKUP(B651,المستفيدين!$B:$C,2,FALSE)),"")</f>
        <v/>
      </c>
      <c r="D651" s="1"/>
      <c r="E651" s="1"/>
      <c r="F651" s="1"/>
      <c r="G651">
        <f>COUNTIF($B$2:B651,B651)</f>
        <v>0</v>
      </c>
    </row>
    <row r="652" spans="1:7" x14ac:dyDescent="0.2">
      <c r="A652" s="1"/>
      <c r="B652" s="1"/>
      <c r="C652" s="8" t="str">
        <f>IFERROR(IF(B652="","",VLOOKUP(B652,المستفيدين!$B:$C,2,FALSE)),"")</f>
        <v/>
      </c>
      <c r="D652" s="1"/>
      <c r="E652" s="1"/>
      <c r="F652" s="1"/>
      <c r="G652">
        <f>COUNTIF($B$2:B652,B652)</f>
        <v>0</v>
      </c>
    </row>
    <row r="653" spans="1:7" x14ac:dyDescent="0.2">
      <c r="A653" s="1"/>
      <c r="B653" s="1"/>
      <c r="C653" s="8" t="str">
        <f>IFERROR(IF(B653="","",VLOOKUP(B653,المستفيدين!$B:$C,2,FALSE)),"")</f>
        <v/>
      </c>
      <c r="D653" s="1"/>
      <c r="E653" s="1"/>
      <c r="F653" s="1"/>
      <c r="G653">
        <f>COUNTIF($B$2:B653,B653)</f>
        <v>0</v>
      </c>
    </row>
    <row r="654" spans="1:7" x14ac:dyDescent="0.2">
      <c r="A654" s="1"/>
      <c r="B654" s="1"/>
      <c r="C654" s="8" t="str">
        <f>IFERROR(IF(B654="","",VLOOKUP(B654,المستفيدين!$B:$C,2,FALSE)),"")</f>
        <v/>
      </c>
      <c r="D654" s="1"/>
      <c r="E654" s="1"/>
      <c r="F654" s="1"/>
      <c r="G654">
        <f>COUNTIF($B$2:B654,B654)</f>
        <v>0</v>
      </c>
    </row>
    <row r="655" spans="1:7" x14ac:dyDescent="0.2">
      <c r="A655" s="1"/>
      <c r="B655" s="1"/>
      <c r="C655" s="8" t="str">
        <f>IFERROR(IF(B655="","",VLOOKUP(B655,المستفيدين!$B:$C,2,FALSE)),"")</f>
        <v/>
      </c>
      <c r="D655" s="1"/>
      <c r="E655" s="1"/>
      <c r="F655" s="1"/>
      <c r="G655">
        <f>COUNTIF($B$2:B655,B655)</f>
        <v>0</v>
      </c>
    </row>
    <row r="656" spans="1:7" x14ac:dyDescent="0.2">
      <c r="A656" s="1"/>
      <c r="B656" s="1"/>
      <c r="C656" s="8" t="str">
        <f>IFERROR(IF(B656="","",VLOOKUP(B656,المستفيدين!$B:$C,2,FALSE)),"")</f>
        <v/>
      </c>
      <c r="D656" s="1"/>
      <c r="E656" s="1"/>
      <c r="F656" s="1"/>
      <c r="G656">
        <f>COUNTIF($B$2:B656,B656)</f>
        <v>0</v>
      </c>
    </row>
    <row r="657" spans="1:7" x14ac:dyDescent="0.2">
      <c r="A657" s="1"/>
      <c r="B657" s="1"/>
      <c r="C657" s="8" t="str">
        <f>IFERROR(IF(B657="","",VLOOKUP(B657,المستفيدين!$B:$C,2,FALSE)),"")</f>
        <v/>
      </c>
      <c r="D657" s="1"/>
      <c r="E657" s="1"/>
      <c r="F657" s="1"/>
      <c r="G657">
        <f>COUNTIF($B$2:B657,B657)</f>
        <v>0</v>
      </c>
    </row>
    <row r="658" spans="1:7" x14ac:dyDescent="0.2">
      <c r="A658" s="1"/>
      <c r="B658" s="1"/>
      <c r="C658" s="8" t="str">
        <f>IFERROR(IF(B658="","",VLOOKUP(B658,المستفيدين!$B:$C,2,FALSE)),"")</f>
        <v/>
      </c>
      <c r="D658" s="1"/>
      <c r="E658" s="1"/>
      <c r="F658" s="1"/>
      <c r="G658">
        <f>COUNTIF($B$2:B658,B658)</f>
        <v>0</v>
      </c>
    </row>
    <row r="659" spans="1:7" x14ac:dyDescent="0.2">
      <c r="A659" s="1"/>
      <c r="B659" s="1"/>
      <c r="C659" s="8" t="str">
        <f>IFERROR(IF(B659="","",VLOOKUP(B659,المستفيدين!$B:$C,2,FALSE)),"")</f>
        <v/>
      </c>
      <c r="D659" s="1"/>
      <c r="E659" s="1"/>
      <c r="F659" s="1"/>
      <c r="G659">
        <f>COUNTIF($B$2:B659,B659)</f>
        <v>0</v>
      </c>
    </row>
    <row r="660" spans="1:7" x14ac:dyDescent="0.2">
      <c r="A660" s="1"/>
      <c r="B660" s="1"/>
      <c r="C660" s="8" t="str">
        <f>IFERROR(IF(B660="","",VLOOKUP(B660,المستفيدين!$B:$C,2,FALSE)),"")</f>
        <v/>
      </c>
      <c r="D660" s="1"/>
      <c r="E660" s="1"/>
      <c r="F660" s="1"/>
      <c r="G660">
        <f>COUNTIF($B$2:B660,B660)</f>
        <v>0</v>
      </c>
    </row>
    <row r="661" spans="1:7" x14ac:dyDescent="0.2">
      <c r="A661" s="1"/>
      <c r="B661" s="1"/>
      <c r="C661" s="8" t="str">
        <f>IFERROR(IF(B661="","",VLOOKUP(B661,المستفيدين!$B:$C,2,FALSE)),"")</f>
        <v/>
      </c>
      <c r="D661" s="1"/>
      <c r="E661" s="1"/>
      <c r="F661" s="1"/>
      <c r="G661">
        <f>COUNTIF($B$2:B661,B661)</f>
        <v>0</v>
      </c>
    </row>
    <row r="662" spans="1:7" x14ac:dyDescent="0.2">
      <c r="A662" s="1"/>
      <c r="B662" s="1"/>
      <c r="C662" s="8" t="str">
        <f>IFERROR(IF(B662="","",VLOOKUP(B662,المستفيدين!$B:$C,2,FALSE)),"")</f>
        <v/>
      </c>
      <c r="D662" s="1"/>
      <c r="E662" s="1"/>
      <c r="F662" s="1"/>
      <c r="G662">
        <f>COUNTIF($B$2:B662,B662)</f>
        <v>0</v>
      </c>
    </row>
    <row r="663" spans="1:7" x14ac:dyDescent="0.2">
      <c r="A663" s="1"/>
      <c r="B663" s="1"/>
      <c r="C663" s="8" t="str">
        <f>IFERROR(IF(B663="","",VLOOKUP(B663,المستفيدين!$B:$C,2,FALSE)),"")</f>
        <v/>
      </c>
      <c r="D663" s="1"/>
      <c r="E663" s="1"/>
      <c r="F663" s="1"/>
      <c r="G663">
        <f>COUNTIF($B$2:B663,B663)</f>
        <v>0</v>
      </c>
    </row>
    <row r="664" spans="1:7" x14ac:dyDescent="0.2">
      <c r="A664" s="1"/>
      <c r="B664" s="1"/>
      <c r="C664" s="8" t="str">
        <f>IFERROR(IF(B664="","",VLOOKUP(B664,المستفيدين!$B:$C,2,FALSE)),"")</f>
        <v/>
      </c>
      <c r="D664" s="1"/>
      <c r="E664" s="1"/>
      <c r="F664" s="1"/>
      <c r="G664">
        <f>COUNTIF($B$2:B664,B664)</f>
        <v>0</v>
      </c>
    </row>
    <row r="665" spans="1:7" x14ac:dyDescent="0.2">
      <c r="A665" s="1"/>
      <c r="B665" s="1"/>
      <c r="C665" s="8" t="str">
        <f>IFERROR(IF(B665="","",VLOOKUP(B665,المستفيدين!$B:$C,2,FALSE)),"")</f>
        <v/>
      </c>
      <c r="D665" s="1"/>
      <c r="E665" s="1"/>
      <c r="F665" s="1"/>
      <c r="G665">
        <f>COUNTIF($B$2:B665,B665)</f>
        <v>0</v>
      </c>
    </row>
    <row r="666" spans="1:7" x14ac:dyDescent="0.2">
      <c r="A666" s="1"/>
      <c r="B666" s="1"/>
      <c r="C666" s="8" t="str">
        <f>IFERROR(IF(B666="","",VLOOKUP(B666,المستفيدين!$B:$C,2,FALSE)),"")</f>
        <v/>
      </c>
      <c r="D666" s="1"/>
      <c r="E666" s="1"/>
      <c r="F666" s="1"/>
      <c r="G666">
        <f>COUNTIF($B$2:B666,B666)</f>
        <v>0</v>
      </c>
    </row>
    <row r="667" spans="1:7" x14ac:dyDescent="0.2">
      <c r="A667" s="1"/>
      <c r="B667" s="1"/>
      <c r="C667" s="8" t="str">
        <f>IFERROR(IF(B667="","",VLOOKUP(B667,المستفيدين!$B:$C,2,FALSE)),"")</f>
        <v/>
      </c>
      <c r="D667" s="1"/>
      <c r="E667" s="1"/>
      <c r="F667" s="1"/>
      <c r="G667">
        <f>COUNTIF($B$2:B667,B667)</f>
        <v>0</v>
      </c>
    </row>
    <row r="668" spans="1:7" x14ac:dyDescent="0.2">
      <c r="A668" s="1"/>
      <c r="B668" s="1"/>
      <c r="C668" s="8" t="str">
        <f>IFERROR(IF(B668="","",VLOOKUP(B668,المستفيدين!$B:$C,2,FALSE)),"")</f>
        <v/>
      </c>
      <c r="D668" s="1"/>
      <c r="E668" s="1"/>
      <c r="F668" s="1"/>
      <c r="G668">
        <f>COUNTIF($B$2:B668,B668)</f>
        <v>0</v>
      </c>
    </row>
    <row r="669" spans="1:7" x14ac:dyDescent="0.2">
      <c r="A669" s="1"/>
      <c r="B669" s="1"/>
      <c r="C669" s="8" t="str">
        <f>IFERROR(IF(B669="","",VLOOKUP(B669,المستفيدين!$B:$C,2,FALSE)),"")</f>
        <v/>
      </c>
      <c r="D669" s="1"/>
      <c r="E669" s="1"/>
      <c r="F669" s="1"/>
      <c r="G669">
        <f>COUNTIF($B$2:B669,B669)</f>
        <v>0</v>
      </c>
    </row>
    <row r="670" spans="1:7" x14ac:dyDescent="0.2">
      <c r="A670" s="1"/>
      <c r="B670" s="1"/>
      <c r="C670" s="8" t="str">
        <f>IFERROR(IF(B670="","",VLOOKUP(B670,المستفيدين!$B:$C,2,FALSE)),"")</f>
        <v/>
      </c>
      <c r="D670" s="1"/>
      <c r="E670" s="1"/>
      <c r="F670" s="1"/>
      <c r="G670">
        <f>COUNTIF($B$2:B670,B670)</f>
        <v>0</v>
      </c>
    </row>
    <row r="671" spans="1:7" x14ac:dyDescent="0.2">
      <c r="A671" s="1"/>
      <c r="B671" s="1"/>
      <c r="C671" s="8" t="str">
        <f>IFERROR(IF(B671="","",VLOOKUP(B671,المستفيدين!$B:$C,2,FALSE)),"")</f>
        <v/>
      </c>
      <c r="D671" s="1"/>
      <c r="E671" s="1"/>
      <c r="F671" s="1"/>
      <c r="G671">
        <f>COUNTIF($B$2:B671,B671)</f>
        <v>0</v>
      </c>
    </row>
    <row r="672" spans="1:7" x14ac:dyDescent="0.2">
      <c r="A672" s="1"/>
      <c r="B672" s="1"/>
      <c r="C672" s="8" t="str">
        <f>IFERROR(IF(B672="","",VLOOKUP(B672,المستفيدين!$B:$C,2,FALSE)),"")</f>
        <v/>
      </c>
      <c r="D672" s="1"/>
      <c r="E672" s="1"/>
      <c r="F672" s="1"/>
      <c r="G672">
        <f>COUNTIF($B$2:B672,B672)</f>
        <v>0</v>
      </c>
    </row>
    <row r="673" spans="1:7" x14ac:dyDescent="0.2">
      <c r="A673" s="1"/>
      <c r="B673" s="1"/>
      <c r="C673" s="8" t="str">
        <f>IFERROR(IF(B673="","",VLOOKUP(B673,المستفيدين!$B:$C,2,FALSE)),"")</f>
        <v/>
      </c>
      <c r="D673" s="1"/>
      <c r="E673" s="1"/>
      <c r="F673" s="1"/>
      <c r="G673">
        <f>COUNTIF($B$2:B673,B673)</f>
        <v>0</v>
      </c>
    </row>
    <row r="674" spans="1:7" x14ac:dyDescent="0.2">
      <c r="A674" s="1"/>
      <c r="B674" s="1"/>
      <c r="C674" s="8" t="str">
        <f>IFERROR(IF(B674="","",VLOOKUP(B674,المستفيدين!$B:$C,2,FALSE)),"")</f>
        <v/>
      </c>
      <c r="D674" s="1"/>
      <c r="E674" s="1"/>
      <c r="F674" s="1"/>
      <c r="G674">
        <f>COUNTIF($B$2:B674,B674)</f>
        <v>0</v>
      </c>
    </row>
    <row r="675" spans="1:7" x14ac:dyDescent="0.2">
      <c r="A675" s="1"/>
      <c r="B675" s="1"/>
      <c r="C675" s="8" t="str">
        <f>IFERROR(IF(B675="","",VLOOKUP(B675,المستفيدين!$B:$C,2,FALSE)),"")</f>
        <v/>
      </c>
      <c r="D675" s="1"/>
      <c r="E675" s="1"/>
      <c r="F675" s="1"/>
      <c r="G675">
        <f>COUNTIF($B$2:B675,B675)</f>
        <v>0</v>
      </c>
    </row>
    <row r="676" spans="1:7" x14ac:dyDescent="0.2">
      <c r="A676" s="1"/>
      <c r="B676" s="1"/>
      <c r="C676" s="8" t="str">
        <f>IFERROR(IF(B676="","",VLOOKUP(B676,المستفيدين!$B:$C,2,FALSE)),"")</f>
        <v/>
      </c>
      <c r="D676" s="1"/>
      <c r="E676" s="1"/>
      <c r="F676" s="1"/>
      <c r="G676">
        <f>COUNTIF($B$2:B676,B676)</f>
        <v>0</v>
      </c>
    </row>
    <row r="677" spans="1:7" x14ac:dyDescent="0.2">
      <c r="A677" s="1"/>
      <c r="B677" s="1"/>
      <c r="C677" s="8" t="str">
        <f>IFERROR(IF(B677="","",VLOOKUP(B677,المستفيدين!$B:$C,2,FALSE)),"")</f>
        <v/>
      </c>
      <c r="D677" s="1"/>
      <c r="E677" s="1"/>
      <c r="F677" s="1"/>
      <c r="G677">
        <f>COUNTIF($B$2:B677,B677)</f>
        <v>0</v>
      </c>
    </row>
    <row r="678" spans="1:7" x14ac:dyDescent="0.2">
      <c r="A678" s="1"/>
      <c r="B678" s="1"/>
      <c r="C678" s="8" t="str">
        <f>IFERROR(IF(B678="","",VLOOKUP(B678,المستفيدين!$B:$C,2,FALSE)),"")</f>
        <v/>
      </c>
      <c r="D678" s="1"/>
      <c r="E678" s="1"/>
      <c r="F678" s="1"/>
      <c r="G678">
        <f>COUNTIF($B$2:B678,B678)</f>
        <v>0</v>
      </c>
    </row>
    <row r="679" spans="1:7" x14ac:dyDescent="0.2">
      <c r="A679" s="1"/>
      <c r="B679" s="1"/>
      <c r="C679" s="8" t="str">
        <f>IFERROR(IF(B679="","",VLOOKUP(B679,المستفيدين!$B:$C,2,FALSE)),"")</f>
        <v/>
      </c>
      <c r="D679" s="1"/>
      <c r="E679" s="1"/>
      <c r="F679" s="1"/>
      <c r="G679">
        <f>COUNTIF($B$2:B679,B679)</f>
        <v>0</v>
      </c>
    </row>
    <row r="680" spans="1:7" x14ac:dyDescent="0.2">
      <c r="A680" s="1"/>
      <c r="B680" s="1"/>
      <c r="C680" s="8" t="str">
        <f>IFERROR(IF(B680="","",VLOOKUP(B680,المستفيدين!$B:$C,2,FALSE)),"")</f>
        <v/>
      </c>
      <c r="D680" s="1"/>
      <c r="E680" s="1"/>
      <c r="F680" s="1"/>
      <c r="G680">
        <f>COUNTIF($B$2:B680,B680)</f>
        <v>0</v>
      </c>
    </row>
    <row r="681" spans="1:7" x14ac:dyDescent="0.2">
      <c r="A681" s="1"/>
      <c r="B681" s="1"/>
      <c r="C681" s="8" t="str">
        <f>IFERROR(IF(B681="","",VLOOKUP(B681,المستفيدين!$B:$C,2,FALSE)),"")</f>
        <v/>
      </c>
      <c r="D681" s="1"/>
      <c r="E681" s="1"/>
      <c r="F681" s="1"/>
      <c r="G681">
        <f>COUNTIF($B$2:B681,B681)</f>
        <v>0</v>
      </c>
    </row>
    <row r="682" spans="1:7" x14ac:dyDescent="0.2">
      <c r="A682" s="1"/>
      <c r="B682" s="1"/>
      <c r="C682" s="8" t="str">
        <f>IFERROR(IF(B682="","",VLOOKUP(B682,المستفيدين!$B:$C,2,FALSE)),"")</f>
        <v/>
      </c>
      <c r="D682" s="1"/>
      <c r="E682" s="1"/>
      <c r="F682" s="1"/>
      <c r="G682">
        <f>COUNTIF($B$2:B682,B682)</f>
        <v>0</v>
      </c>
    </row>
    <row r="683" spans="1:7" x14ac:dyDescent="0.2">
      <c r="A683" s="1"/>
      <c r="B683" s="1"/>
      <c r="C683" s="8" t="str">
        <f>IFERROR(IF(B683="","",VLOOKUP(B683,المستفيدين!$B:$C,2,FALSE)),"")</f>
        <v/>
      </c>
      <c r="D683" s="1"/>
      <c r="E683" s="1"/>
      <c r="F683" s="1"/>
      <c r="G683">
        <f>COUNTIF($B$2:B683,B683)</f>
        <v>0</v>
      </c>
    </row>
    <row r="684" spans="1:7" x14ac:dyDescent="0.2">
      <c r="A684" s="1"/>
      <c r="B684" s="1"/>
      <c r="C684" s="8" t="str">
        <f>IFERROR(IF(B684="","",VLOOKUP(B684,المستفيدين!$B:$C,2,FALSE)),"")</f>
        <v/>
      </c>
      <c r="D684" s="1"/>
      <c r="E684" s="1"/>
      <c r="F684" s="1"/>
      <c r="G684">
        <f>COUNTIF($B$2:B684,B684)</f>
        <v>0</v>
      </c>
    </row>
    <row r="685" spans="1:7" x14ac:dyDescent="0.2">
      <c r="A685" s="1"/>
      <c r="B685" s="1"/>
      <c r="C685" s="8" t="str">
        <f>IFERROR(IF(B685="","",VLOOKUP(B685,المستفيدين!$B:$C,2,FALSE)),"")</f>
        <v/>
      </c>
      <c r="D685" s="1"/>
      <c r="E685" s="1"/>
      <c r="F685" s="1"/>
      <c r="G685">
        <f>COUNTIF($B$2:B685,B685)</f>
        <v>0</v>
      </c>
    </row>
    <row r="686" spans="1:7" x14ac:dyDescent="0.2">
      <c r="A686" s="1"/>
      <c r="B686" s="1"/>
      <c r="C686" s="8" t="str">
        <f>IFERROR(IF(B686="","",VLOOKUP(B686,المستفيدين!$B:$C,2,FALSE)),"")</f>
        <v/>
      </c>
      <c r="D686" s="1"/>
      <c r="E686" s="1"/>
      <c r="F686" s="1"/>
      <c r="G686">
        <f>COUNTIF($B$2:B686,B686)</f>
        <v>0</v>
      </c>
    </row>
    <row r="687" spans="1:7" x14ac:dyDescent="0.2">
      <c r="A687" s="1"/>
      <c r="B687" s="1"/>
      <c r="C687" s="8" t="str">
        <f>IFERROR(IF(B687="","",VLOOKUP(B687,المستفيدين!$B:$C,2,FALSE)),"")</f>
        <v/>
      </c>
      <c r="D687" s="1"/>
      <c r="E687" s="1"/>
      <c r="F687" s="1"/>
      <c r="G687">
        <f>COUNTIF($B$2:B687,B687)</f>
        <v>0</v>
      </c>
    </row>
    <row r="688" spans="1:7" x14ac:dyDescent="0.2">
      <c r="A688" s="1"/>
      <c r="B688" s="1"/>
      <c r="C688" s="8" t="str">
        <f>IFERROR(IF(B688="","",VLOOKUP(B688,المستفيدين!$B:$C,2,FALSE)),"")</f>
        <v/>
      </c>
      <c r="D688" s="1"/>
      <c r="E688" s="1"/>
      <c r="F688" s="1"/>
      <c r="G688">
        <f>COUNTIF($B$2:B688,B688)</f>
        <v>0</v>
      </c>
    </row>
    <row r="689" spans="1:7" x14ac:dyDescent="0.2">
      <c r="A689" s="1"/>
      <c r="B689" s="1"/>
      <c r="C689" s="8" t="str">
        <f>IFERROR(IF(B689="","",VLOOKUP(B689,المستفيدين!$B:$C,2,FALSE)),"")</f>
        <v/>
      </c>
      <c r="D689" s="1"/>
      <c r="E689" s="1"/>
      <c r="F689" s="1"/>
      <c r="G689">
        <f>COUNTIF($B$2:B689,B689)</f>
        <v>0</v>
      </c>
    </row>
    <row r="690" spans="1:7" x14ac:dyDescent="0.2">
      <c r="A690" s="1"/>
      <c r="B690" s="1"/>
      <c r="C690" s="8" t="str">
        <f>IFERROR(IF(B690="","",VLOOKUP(B690,المستفيدين!$B:$C,2,FALSE)),"")</f>
        <v/>
      </c>
      <c r="D690" s="1"/>
      <c r="E690" s="1"/>
      <c r="F690" s="1"/>
      <c r="G690">
        <f>COUNTIF($B$2:B690,B690)</f>
        <v>0</v>
      </c>
    </row>
    <row r="691" spans="1:7" x14ac:dyDescent="0.2">
      <c r="A691" s="1"/>
      <c r="B691" s="1"/>
      <c r="C691" s="8" t="str">
        <f>IFERROR(IF(B691="","",VLOOKUP(B691,المستفيدين!$B:$C,2,FALSE)),"")</f>
        <v/>
      </c>
      <c r="D691" s="1"/>
      <c r="E691" s="1"/>
      <c r="F691" s="1"/>
      <c r="G691">
        <f>COUNTIF($B$2:B691,B691)</f>
        <v>0</v>
      </c>
    </row>
    <row r="692" spans="1:7" x14ac:dyDescent="0.2">
      <c r="A692" s="1"/>
      <c r="B692" s="1"/>
      <c r="C692" s="8" t="str">
        <f>IFERROR(IF(B692="","",VLOOKUP(B692,المستفيدين!$B:$C,2,FALSE)),"")</f>
        <v/>
      </c>
      <c r="D692" s="1"/>
      <c r="E692" s="1"/>
      <c r="F692" s="1"/>
      <c r="G692">
        <f>COUNTIF($B$2:B692,B692)</f>
        <v>0</v>
      </c>
    </row>
    <row r="693" spans="1:7" x14ac:dyDescent="0.2">
      <c r="A693" s="1"/>
      <c r="B693" s="1"/>
      <c r="C693" s="8" t="str">
        <f>IFERROR(IF(B693="","",VLOOKUP(B693,المستفيدين!$B:$C,2,FALSE)),"")</f>
        <v/>
      </c>
      <c r="D693" s="1"/>
      <c r="E693" s="1"/>
      <c r="F693" s="1"/>
      <c r="G693">
        <f>COUNTIF($B$2:B693,B693)</f>
        <v>0</v>
      </c>
    </row>
    <row r="694" spans="1:7" x14ac:dyDescent="0.2">
      <c r="A694" s="1"/>
      <c r="B694" s="1"/>
      <c r="C694" s="8" t="str">
        <f>IFERROR(IF(B694="","",VLOOKUP(B694,المستفيدين!$B:$C,2,FALSE)),"")</f>
        <v/>
      </c>
      <c r="D694" s="1"/>
      <c r="E694" s="1"/>
      <c r="F694" s="1"/>
      <c r="G694">
        <f>COUNTIF($B$2:B694,B694)</f>
        <v>0</v>
      </c>
    </row>
    <row r="695" spans="1:7" x14ac:dyDescent="0.2">
      <c r="A695" s="1"/>
      <c r="B695" s="1"/>
      <c r="C695" s="8" t="str">
        <f>IFERROR(IF(B695="","",VLOOKUP(B695,المستفيدين!$B:$C,2,FALSE)),"")</f>
        <v/>
      </c>
      <c r="D695" s="1"/>
      <c r="E695" s="1"/>
      <c r="F695" s="1"/>
      <c r="G695">
        <f>COUNTIF($B$2:B695,B695)</f>
        <v>0</v>
      </c>
    </row>
    <row r="696" spans="1:7" x14ac:dyDescent="0.2">
      <c r="A696" s="1"/>
      <c r="B696" s="1"/>
      <c r="C696" s="8" t="str">
        <f>IFERROR(IF(B696="","",VLOOKUP(B696,المستفيدين!$B:$C,2,FALSE)),"")</f>
        <v/>
      </c>
      <c r="D696" s="1"/>
      <c r="E696" s="1"/>
      <c r="F696" s="1"/>
      <c r="G696">
        <f>COUNTIF($B$2:B696,B696)</f>
        <v>0</v>
      </c>
    </row>
    <row r="697" spans="1:7" x14ac:dyDescent="0.2">
      <c r="A697" s="1"/>
      <c r="B697" s="1"/>
      <c r="C697" s="8" t="str">
        <f>IFERROR(IF(B697="","",VLOOKUP(B697,المستفيدين!$B:$C,2,FALSE)),"")</f>
        <v/>
      </c>
      <c r="D697" s="1"/>
      <c r="E697" s="1"/>
      <c r="F697" s="1"/>
      <c r="G697">
        <f>COUNTIF($B$2:B697,B697)</f>
        <v>0</v>
      </c>
    </row>
    <row r="698" spans="1:7" x14ac:dyDescent="0.2">
      <c r="A698" s="1"/>
      <c r="B698" s="1"/>
      <c r="C698" s="8" t="str">
        <f>IFERROR(IF(B698="","",VLOOKUP(B698,المستفيدين!$B:$C,2,FALSE)),"")</f>
        <v/>
      </c>
      <c r="D698" s="1"/>
      <c r="E698" s="1"/>
      <c r="F698" s="1"/>
      <c r="G698">
        <f>COUNTIF($B$2:B698,B698)</f>
        <v>0</v>
      </c>
    </row>
    <row r="699" spans="1:7" x14ac:dyDescent="0.2">
      <c r="A699" s="1"/>
      <c r="B699" s="1"/>
      <c r="C699" s="8" t="str">
        <f>IFERROR(IF(B699="","",VLOOKUP(B699,المستفيدين!$B:$C,2,FALSE)),"")</f>
        <v/>
      </c>
      <c r="D699" s="1"/>
      <c r="E699" s="1"/>
      <c r="F699" s="1"/>
      <c r="G699">
        <f>COUNTIF($B$2:B699,B699)</f>
        <v>0</v>
      </c>
    </row>
    <row r="700" spans="1:7" x14ac:dyDescent="0.2">
      <c r="A700" s="1"/>
      <c r="B700" s="1"/>
      <c r="C700" s="8" t="str">
        <f>IFERROR(IF(B700="","",VLOOKUP(B700,المستفيدين!$B:$C,2,FALSE)),"")</f>
        <v/>
      </c>
      <c r="D700" s="1"/>
      <c r="E700" s="1"/>
      <c r="F700" s="1"/>
      <c r="G700">
        <f>COUNTIF($B$2:B700,B700)</f>
        <v>0</v>
      </c>
    </row>
    <row r="701" spans="1:7" x14ac:dyDescent="0.2">
      <c r="A701" s="1"/>
      <c r="B701" s="1"/>
      <c r="C701" s="8" t="str">
        <f>IFERROR(IF(B701="","",VLOOKUP(B701,المستفيدين!$B:$C,2,FALSE)),"")</f>
        <v/>
      </c>
      <c r="D701" s="1"/>
      <c r="E701" s="1"/>
      <c r="F701" s="1"/>
      <c r="G701">
        <f>COUNTIF($B$2:B701,B701)</f>
        <v>0</v>
      </c>
    </row>
    <row r="702" spans="1:7" x14ac:dyDescent="0.2">
      <c r="A702" s="1"/>
      <c r="B702" s="1"/>
      <c r="C702" s="8" t="str">
        <f>IFERROR(IF(B702="","",VLOOKUP(B702,المستفيدين!$B:$C,2,FALSE)),"")</f>
        <v/>
      </c>
      <c r="D702" s="1"/>
      <c r="E702" s="1"/>
      <c r="F702" s="1"/>
      <c r="G702">
        <f>COUNTIF($B$2:B702,B702)</f>
        <v>0</v>
      </c>
    </row>
    <row r="703" spans="1:7" x14ac:dyDescent="0.2">
      <c r="A703" s="1"/>
      <c r="B703" s="1"/>
      <c r="C703" s="8" t="str">
        <f>IFERROR(IF(B703="","",VLOOKUP(B703,المستفيدين!$B:$C,2,FALSE)),"")</f>
        <v/>
      </c>
      <c r="D703" s="1"/>
      <c r="E703" s="1"/>
      <c r="F703" s="1"/>
      <c r="G703">
        <f>COUNTIF($B$2:B703,B703)</f>
        <v>0</v>
      </c>
    </row>
    <row r="704" spans="1:7" x14ac:dyDescent="0.2">
      <c r="A704" s="1"/>
      <c r="B704" s="1"/>
      <c r="C704" s="8" t="str">
        <f>IFERROR(IF(B704="","",VLOOKUP(B704,المستفيدين!$B:$C,2,FALSE)),"")</f>
        <v/>
      </c>
      <c r="D704" s="1"/>
      <c r="E704" s="1"/>
      <c r="F704" s="1"/>
      <c r="G704">
        <f>COUNTIF($B$2:B704,B704)</f>
        <v>0</v>
      </c>
    </row>
    <row r="705" spans="1:7" x14ac:dyDescent="0.2">
      <c r="A705" s="1"/>
      <c r="B705" s="1"/>
      <c r="C705" s="8" t="str">
        <f>IFERROR(IF(B705="","",VLOOKUP(B705,المستفيدين!$B:$C,2,FALSE)),"")</f>
        <v/>
      </c>
      <c r="D705" s="1"/>
      <c r="E705" s="1"/>
      <c r="F705" s="1"/>
      <c r="G705">
        <f>COUNTIF($B$2:B705,B705)</f>
        <v>0</v>
      </c>
    </row>
    <row r="706" spans="1:7" x14ac:dyDescent="0.2">
      <c r="A706" s="1"/>
      <c r="B706" s="1"/>
      <c r="C706" s="8" t="str">
        <f>IFERROR(IF(B706="","",VLOOKUP(B706,المستفيدين!$B:$C,2,FALSE)),"")</f>
        <v/>
      </c>
      <c r="D706" s="1"/>
      <c r="E706" s="1"/>
      <c r="F706" s="1"/>
      <c r="G706">
        <f>COUNTIF($B$2:B706,B706)</f>
        <v>0</v>
      </c>
    </row>
    <row r="707" spans="1:7" x14ac:dyDescent="0.2">
      <c r="A707" s="1"/>
      <c r="B707" s="1"/>
      <c r="C707" s="8" t="str">
        <f>IFERROR(IF(B707="","",VLOOKUP(B707,المستفيدين!$B:$C,2,FALSE)),"")</f>
        <v/>
      </c>
      <c r="D707" s="1"/>
      <c r="E707" s="1"/>
      <c r="F707" s="1"/>
      <c r="G707">
        <f>COUNTIF($B$2:B707,B707)</f>
        <v>0</v>
      </c>
    </row>
    <row r="708" spans="1:7" x14ac:dyDescent="0.2">
      <c r="A708" s="1"/>
      <c r="B708" s="1"/>
      <c r="C708" s="8" t="str">
        <f>IFERROR(IF(B708="","",VLOOKUP(B708,المستفيدين!$B:$C,2,FALSE)),"")</f>
        <v/>
      </c>
      <c r="D708" s="1"/>
      <c r="E708" s="1"/>
      <c r="F708" s="1"/>
      <c r="G708">
        <f>COUNTIF($B$2:B708,B708)</f>
        <v>0</v>
      </c>
    </row>
    <row r="709" spans="1:7" x14ac:dyDescent="0.2">
      <c r="A709" s="1"/>
      <c r="B709" s="1"/>
      <c r="C709" s="8" t="str">
        <f>IFERROR(IF(B709="","",VLOOKUP(B709,المستفيدين!$B:$C,2,FALSE)),"")</f>
        <v/>
      </c>
      <c r="D709" s="1"/>
      <c r="E709" s="1"/>
      <c r="F709" s="1"/>
      <c r="G709">
        <f>COUNTIF($B$2:B709,B709)</f>
        <v>0</v>
      </c>
    </row>
    <row r="710" spans="1:7" x14ac:dyDescent="0.2">
      <c r="A710" s="1"/>
      <c r="B710" s="1"/>
      <c r="C710" s="8" t="str">
        <f>IFERROR(IF(B710="","",VLOOKUP(B710,المستفيدين!$B:$C,2,FALSE)),"")</f>
        <v/>
      </c>
      <c r="D710" s="1"/>
      <c r="E710" s="1"/>
      <c r="F710" s="1"/>
      <c r="G710">
        <f>COUNTIF($B$2:B710,B710)</f>
        <v>0</v>
      </c>
    </row>
    <row r="711" spans="1:7" x14ac:dyDescent="0.2">
      <c r="A711" s="1"/>
      <c r="B711" s="1"/>
      <c r="C711" s="8" t="str">
        <f>IFERROR(IF(B711="","",VLOOKUP(B711,المستفيدين!$B:$C,2,FALSE)),"")</f>
        <v/>
      </c>
      <c r="D711" s="1"/>
      <c r="E711" s="1"/>
      <c r="F711" s="1"/>
      <c r="G711">
        <f>COUNTIF($B$2:B711,B711)</f>
        <v>0</v>
      </c>
    </row>
    <row r="712" spans="1:7" x14ac:dyDescent="0.2">
      <c r="A712" s="1"/>
      <c r="B712" s="1"/>
      <c r="C712" s="8" t="str">
        <f>IFERROR(IF(B712="","",VLOOKUP(B712,المستفيدين!$B:$C,2,FALSE)),"")</f>
        <v/>
      </c>
      <c r="D712" s="1"/>
      <c r="E712" s="1"/>
      <c r="F712" s="1"/>
      <c r="G712">
        <f>COUNTIF($B$2:B712,B712)</f>
        <v>0</v>
      </c>
    </row>
    <row r="713" spans="1:7" x14ac:dyDescent="0.2">
      <c r="A713" s="1"/>
      <c r="B713" s="1"/>
      <c r="C713" s="8" t="str">
        <f>IFERROR(IF(B713="","",VLOOKUP(B713,المستفيدين!$B:$C,2,FALSE)),"")</f>
        <v/>
      </c>
      <c r="D713" s="1"/>
      <c r="E713" s="1"/>
      <c r="F713" s="1"/>
      <c r="G713">
        <f>COUNTIF($B$2:B713,B713)</f>
        <v>0</v>
      </c>
    </row>
    <row r="714" spans="1:7" x14ac:dyDescent="0.2">
      <c r="A714" s="1"/>
      <c r="B714" s="1"/>
      <c r="C714" s="8" t="str">
        <f>IFERROR(IF(B714="","",VLOOKUP(B714,المستفيدين!$B:$C,2,FALSE)),"")</f>
        <v/>
      </c>
      <c r="D714" s="1"/>
      <c r="E714" s="1"/>
      <c r="F714" s="1"/>
      <c r="G714">
        <f>COUNTIF($B$2:B714,B714)</f>
        <v>0</v>
      </c>
    </row>
    <row r="715" spans="1:7" x14ac:dyDescent="0.2">
      <c r="A715" s="1"/>
      <c r="B715" s="1"/>
      <c r="C715" s="8" t="str">
        <f>IFERROR(IF(B715="","",VLOOKUP(B715,المستفيدين!$B:$C,2,FALSE)),"")</f>
        <v/>
      </c>
      <c r="D715" s="1"/>
      <c r="E715" s="1"/>
      <c r="F715" s="1"/>
      <c r="G715">
        <f>COUNTIF($B$2:B715,B715)</f>
        <v>0</v>
      </c>
    </row>
    <row r="716" spans="1:7" x14ac:dyDescent="0.2">
      <c r="A716" s="1"/>
      <c r="B716" s="1"/>
      <c r="C716" s="8" t="str">
        <f>IFERROR(IF(B716="","",VLOOKUP(B716,المستفيدين!$B:$C,2,FALSE)),"")</f>
        <v/>
      </c>
      <c r="D716" s="1"/>
      <c r="E716" s="1"/>
      <c r="F716" s="1"/>
      <c r="G716">
        <f>COUNTIF($B$2:B716,B716)</f>
        <v>0</v>
      </c>
    </row>
    <row r="717" spans="1:7" x14ac:dyDescent="0.2">
      <c r="A717" s="1"/>
      <c r="B717" s="1"/>
      <c r="C717" s="8" t="str">
        <f>IFERROR(IF(B717="","",VLOOKUP(B717,المستفيدين!$B:$C,2,FALSE)),"")</f>
        <v/>
      </c>
      <c r="D717" s="1"/>
      <c r="E717" s="1"/>
      <c r="F717" s="1"/>
      <c r="G717">
        <f>COUNTIF($B$2:B717,B717)</f>
        <v>0</v>
      </c>
    </row>
    <row r="718" spans="1:7" x14ac:dyDescent="0.2">
      <c r="A718" s="1"/>
      <c r="B718" s="1"/>
      <c r="C718" s="8" t="str">
        <f>IFERROR(IF(B718="","",VLOOKUP(B718,المستفيدين!$B:$C,2,FALSE)),"")</f>
        <v/>
      </c>
      <c r="D718" s="1"/>
      <c r="E718" s="1"/>
      <c r="F718" s="1"/>
      <c r="G718">
        <f>COUNTIF($B$2:B718,B718)</f>
        <v>0</v>
      </c>
    </row>
    <row r="719" spans="1:7" x14ac:dyDescent="0.2">
      <c r="A719" s="1"/>
      <c r="B719" s="1"/>
      <c r="C719" s="8" t="str">
        <f>IFERROR(IF(B719="","",VLOOKUP(B719,المستفيدين!$B:$C,2,FALSE)),"")</f>
        <v/>
      </c>
      <c r="D719" s="1"/>
      <c r="E719" s="1"/>
      <c r="F719" s="1"/>
      <c r="G719">
        <f>COUNTIF($B$2:B719,B719)</f>
        <v>0</v>
      </c>
    </row>
    <row r="720" spans="1:7" x14ac:dyDescent="0.2">
      <c r="A720" s="1"/>
      <c r="B720" s="1"/>
      <c r="C720" s="8" t="str">
        <f>IFERROR(IF(B720="","",VLOOKUP(B720,المستفيدين!$B:$C,2,FALSE)),"")</f>
        <v/>
      </c>
      <c r="D720" s="1"/>
      <c r="E720" s="1"/>
      <c r="F720" s="1"/>
      <c r="G720">
        <f>COUNTIF($B$2:B720,B720)</f>
        <v>0</v>
      </c>
    </row>
    <row r="721" spans="1:7" x14ac:dyDescent="0.2">
      <c r="A721" s="1"/>
      <c r="B721" s="1"/>
      <c r="C721" s="8" t="str">
        <f>IFERROR(IF(B721="","",VLOOKUP(B721,المستفيدين!$B:$C,2,FALSE)),"")</f>
        <v/>
      </c>
      <c r="D721" s="1"/>
      <c r="E721" s="1"/>
      <c r="F721" s="1"/>
      <c r="G721">
        <f>COUNTIF($B$2:B721,B721)</f>
        <v>0</v>
      </c>
    </row>
    <row r="722" spans="1:7" x14ac:dyDescent="0.2">
      <c r="A722" s="1"/>
      <c r="B722" s="1"/>
      <c r="C722" s="8" t="str">
        <f>IFERROR(IF(B722="","",VLOOKUP(B722,المستفيدين!$B:$C,2,FALSE)),"")</f>
        <v/>
      </c>
      <c r="D722" s="1"/>
      <c r="E722" s="1"/>
      <c r="F722" s="1"/>
      <c r="G722">
        <f>COUNTIF($B$2:B722,B722)</f>
        <v>0</v>
      </c>
    </row>
    <row r="723" spans="1:7" x14ac:dyDescent="0.2">
      <c r="A723" s="1"/>
      <c r="B723" s="1"/>
      <c r="C723" s="8" t="str">
        <f>IFERROR(IF(B723="","",VLOOKUP(B723,المستفيدين!$B:$C,2,FALSE)),"")</f>
        <v/>
      </c>
      <c r="D723" s="1"/>
      <c r="E723" s="1"/>
      <c r="F723" s="1"/>
      <c r="G723">
        <f>COUNTIF($B$2:B723,B723)</f>
        <v>0</v>
      </c>
    </row>
    <row r="724" spans="1:7" x14ac:dyDescent="0.2">
      <c r="A724" s="1"/>
      <c r="B724" s="1"/>
      <c r="C724" s="8" t="str">
        <f>IFERROR(IF(B724="","",VLOOKUP(B724,المستفيدين!$B:$C,2,FALSE)),"")</f>
        <v/>
      </c>
      <c r="D724" s="1"/>
      <c r="E724" s="1"/>
      <c r="F724" s="1"/>
      <c r="G724">
        <f>COUNTIF($B$2:B724,B724)</f>
        <v>0</v>
      </c>
    </row>
    <row r="725" spans="1:7" x14ac:dyDescent="0.2">
      <c r="A725" s="1"/>
      <c r="B725" s="1"/>
      <c r="C725" s="8" t="str">
        <f>IFERROR(IF(B725="","",VLOOKUP(B725,المستفيدين!$B:$C,2,FALSE)),"")</f>
        <v/>
      </c>
      <c r="D725" s="1"/>
      <c r="E725" s="1"/>
      <c r="F725" s="1"/>
      <c r="G725">
        <f>COUNTIF($B$2:B725,B725)</f>
        <v>0</v>
      </c>
    </row>
    <row r="726" spans="1:7" x14ac:dyDescent="0.2">
      <c r="A726" s="1"/>
      <c r="B726" s="1"/>
      <c r="C726" s="8" t="str">
        <f>IFERROR(IF(B726="","",VLOOKUP(B726,المستفيدين!$B:$C,2,FALSE)),"")</f>
        <v/>
      </c>
      <c r="D726" s="1"/>
      <c r="E726" s="1"/>
      <c r="F726" s="1"/>
      <c r="G726">
        <f>COUNTIF($B$2:B726,B726)</f>
        <v>0</v>
      </c>
    </row>
    <row r="727" spans="1:7" x14ac:dyDescent="0.2">
      <c r="A727" s="1"/>
      <c r="B727" s="1"/>
      <c r="C727" s="8" t="str">
        <f>IFERROR(IF(B727="","",VLOOKUP(B727,المستفيدين!$B:$C,2,FALSE)),"")</f>
        <v/>
      </c>
      <c r="D727" s="1"/>
      <c r="E727" s="1"/>
      <c r="F727" s="1"/>
      <c r="G727">
        <f>COUNTIF($B$2:B727,B727)</f>
        <v>0</v>
      </c>
    </row>
    <row r="728" spans="1:7" x14ac:dyDescent="0.2">
      <c r="A728" s="1"/>
      <c r="B728" s="1"/>
      <c r="C728" s="8" t="str">
        <f>IFERROR(IF(B728="","",VLOOKUP(B728,المستفيدين!$B:$C,2,FALSE)),"")</f>
        <v/>
      </c>
      <c r="D728" s="1"/>
      <c r="E728" s="1"/>
      <c r="F728" s="1"/>
      <c r="G728">
        <f>COUNTIF($B$2:B728,B728)</f>
        <v>0</v>
      </c>
    </row>
    <row r="729" spans="1:7" x14ac:dyDescent="0.2">
      <c r="A729" s="1"/>
      <c r="B729" s="1"/>
      <c r="C729" s="8" t="str">
        <f>IFERROR(IF(B729="","",VLOOKUP(B729,المستفيدين!$B:$C,2,FALSE)),"")</f>
        <v/>
      </c>
      <c r="D729" s="1"/>
      <c r="E729" s="1"/>
      <c r="F729" s="1"/>
      <c r="G729">
        <f>COUNTIF($B$2:B729,B729)</f>
        <v>0</v>
      </c>
    </row>
    <row r="730" spans="1:7" x14ac:dyDescent="0.2">
      <c r="A730" s="1"/>
      <c r="B730" s="1"/>
      <c r="C730" s="8" t="str">
        <f>IFERROR(IF(B730="","",VLOOKUP(B730,المستفيدين!$B:$C,2,FALSE)),"")</f>
        <v/>
      </c>
      <c r="D730" s="1"/>
      <c r="E730" s="1"/>
      <c r="F730" s="1"/>
      <c r="G730">
        <f>COUNTIF($B$2:B730,B730)</f>
        <v>0</v>
      </c>
    </row>
    <row r="731" spans="1:7" x14ac:dyDescent="0.2">
      <c r="A731" s="1"/>
      <c r="B731" s="1"/>
      <c r="C731" s="8" t="str">
        <f>IFERROR(IF(B731="","",VLOOKUP(B731,المستفيدين!$B:$C,2,FALSE)),"")</f>
        <v/>
      </c>
      <c r="D731" s="1"/>
      <c r="E731" s="1"/>
      <c r="F731" s="1"/>
      <c r="G731">
        <f>COUNTIF($B$2:B731,B731)</f>
        <v>0</v>
      </c>
    </row>
    <row r="732" spans="1:7" x14ac:dyDescent="0.2">
      <c r="A732" s="1"/>
      <c r="B732" s="1"/>
      <c r="C732" s="8" t="str">
        <f>IFERROR(IF(B732="","",VLOOKUP(B732,المستفيدين!$B:$C,2,FALSE)),"")</f>
        <v/>
      </c>
      <c r="D732" s="1"/>
      <c r="E732" s="1"/>
      <c r="F732" s="1"/>
      <c r="G732">
        <f>COUNTIF($B$2:B732,B732)</f>
        <v>0</v>
      </c>
    </row>
    <row r="733" spans="1:7" x14ac:dyDescent="0.2">
      <c r="A733" s="1"/>
      <c r="B733" s="1"/>
      <c r="C733" s="8" t="str">
        <f>IFERROR(IF(B733="","",VLOOKUP(B733,المستفيدين!$B:$C,2,FALSE)),"")</f>
        <v/>
      </c>
      <c r="D733" s="1"/>
      <c r="E733" s="1"/>
      <c r="F733" s="1"/>
      <c r="G733">
        <f>COUNTIF($B$2:B733,B733)</f>
        <v>0</v>
      </c>
    </row>
    <row r="734" spans="1:7" x14ac:dyDescent="0.2">
      <c r="A734" s="1"/>
      <c r="B734" s="1"/>
      <c r="C734" s="8" t="str">
        <f>IFERROR(IF(B734="","",VLOOKUP(B734,المستفيدين!$B:$C,2,FALSE)),"")</f>
        <v/>
      </c>
      <c r="D734" s="1"/>
      <c r="E734" s="1"/>
      <c r="F734" s="1"/>
      <c r="G734">
        <f>COUNTIF($B$2:B734,B734)</f>
        <v>0</v>
      </c>
    </row>
    <row r="735" spans="1:7" x14ac:dyDescent="0.2">
      <c r="A735" s="1"/>
      <c r="B735" s="1"/>
      <c r="C735" s="8" t="str">
        <f>IFERROR(IF(B735="","",VLOOKUP(B735,المستفيدين!$B:$C,2,FALSE)),"")</f>
        <v/>
      </c>
      <c r="D735" s="1"/>
      <c r="E735" s="1"/>
      <c r="F735" s="1"/>
      <c r="G735">
        <f>COUNTIF($B$2:B735,B735)</f>
        <v>0</v>
      </c>
    </row>
    <row r="736" spans="1:7" x14ac:dyDescent="0.2">
      <c r="A736" s="1"/>
      <c r="B736" s="1"/>
      <c r="C736" s="8" t="str">
        <f>IFERROR(IF(B736="","",VLOOKUP(B736,المستفيدين!$B:$C,2,FALSE)),"")</f>
        <v/>
      </c>
      <c r="D736" s="1"/>
      <c r="E736" s="1"/>
      <c r="F736" s="1"/>
      <c r="G736">
        <f>COUNTIF($B$2:B736,B736)</f>
        <v>0</v>
      </c>
    </row>
    <row r="737" spans="1:7" x14ac:dyDescent="0.2">
      <c r="A737" s="1"/>
      <c r="B737" s="1"/>
      <c r="C737" s="8" t="str">
        <f>IFERROR(IF(B737="","",VLOOKUP(B737,المستفيدين!$B:$C,2,FALSE)),"")</f>
        <v/>
      </c>
      <c r="D737" s="1"/>
      <c r="E737" s="1"/>
      <c r="F737" s="1"/>
      <c r="G737">
        <f>COUNTIF($B$2:B737,B737)</f>
        <v>0</v>
      </c>
    </row>
    <row r="738" spans="1:7" x14ac:dyDescent="0.2">
      <c r="A738" s="1"/>
      <c r="B738" s="1"/>
      <c r="C738" s="8" t="str">
        <f>IFERROR(IF(B738="","",VLOOKUP(B738,المستفيدين!$B:$C,2,FALSE)),"")</f>
        <v/>
      </c>
      <c r="D738" s="1"/>
      <c r="E738" s="1"/>
      <c r="F738" s="1"/>
      <c r="G738">
        <f>COUNTIF($B$2:B738,B738)</f>
        <v>0</v>
      </c>
    </row>
    <row r="739" spans="1:7" x14ac:dyDescent="0.2">
      <c r="A739" s="1"/>
      <c r="B739" s="1"/>
      <c r="C739" s="8" t="str">
        <f>IFERROR(IF(B739="","",VLOOKUP(B739,المستفيدين!$B:$C,2,FALSE)),"")</f>
        <v/>
      </c>
      <c r="D739" s="1"/>
      <c r="E739" s="1"/>
      <c r="F739" s="1"/>
      <c r="G739">
        <f>COUNTIF($B$2:B739,B739)</f>
        <v>0</v>
      </c>
    </row>
    <row r="740" spans="1:7" x14ac:dyDescent="0.2">
      <c r="A740" s="1"/>
      <c r="B740" s="1"/>
      <c r="C740" s="8" t="str">
        <f>IFERROR(IF(B740="","",VLOOKUP(B740,المستفيدين!$B:$C,2,FALSE)),"")</f>
        <v/>
      </c>
      <c r="D740" s="1"/>
      <c r="E740" s="1"/>
      <c r="F740" s="1"/>
      <c r="G740">
        <f>COUNTIF($B$2:B740,B740)</f>
        <v>0</v>
      </c>
    </row>
    <row r="741" spans="1:7" x14ac:dyDescent="0.2">
      <c r="A741" s="1"/>
      <c r="B741" s="1"/>
      <c r="C741" s="8" t="str">
        <f>IFERROR(IF(B741="","",VLOOKUP(B741,المستفيدين!$B:$C,2,FALSE)),"")</f>
        <v/>
      </c>
      <c r="D741" s="1"/>
      <c r="E741" s="1"/>
      <c r="F741" s="1"/>
      <c r="G741">
        <f>COUNTIF($B$2:B741,B741)</f>
        <v>0</v>
      </c>
    </row>
    <row r="742" spans="1:7" x14ac:dyDescent="0.2">
      <c r="A742" s="1"/>
      <c r="B742" s="1"/>
      <c r="C742" s="8" t="str">
        <f>IFERROR(IF(B742="","",VLOOKUP(B742,المستفيدين!$B:$C,2,FALSE)),"")</f>
        <v/>
      </c>
      <c r="D742" s="1"/>
      <c r="E742" s="1"/>
      <c r="F742" s="1"/>
      <c r="G742">
        <f>COUNTIF($B$2:B742,B742)</f>
        <v>0</v>
      </c>
    </row>
    <row r="743" spans="1:7" x14ac:dyDescent="0.2">
      <c r="A743" s="1"/>
      <c r="B743" s="1"/>
      <c r="C743" s="8" t="str">
        <f>IFERROR(IF(B743="","",VLOOKUP(B743,المستفيدين!$B:$C,2,FALSE)),"")</f>
        <v/>
      </c>
      <c r="D743" s="1"/>
      <c r="E743" s="1"/>
      <c r="F743" s="1"/>
      <c r="G743">
        <f>COUNTIF($B$2:B743,B743)</f>
        <v>0</v>
      </c>
    </row>
    <row r="744" spans="1:7" x14ac:dyDescent="0.2">
      <c r="A744" s="1"/>
      <c r="B744" s="1"/>
      <c r="C744" s="8" t="str">
        <f>IFERROR(IF(B744="","",VLOOKUP(B744,المستفيدين!$B:$C,2,FALSE)),"")</f>
        <v/>
      </c>
      <c r="D744" s="1"/>
      <c r="E744" s="1"/>
      <c r="F744" s="1"/>
      <c r="G744">
        <f>COUNTIF($B$2:B744,B744)</f>
        <v>0</v>
      </c>
    </row>
    <row r="745" spans="1:7" x14ac:dyDescent="0.2">
      <c r="A745" s="1"/>
      <c r="B745" s="1"/>
      <c r="C745" s="8" t="str">
        <f>IFERROR(IF(B745="","",VLOOKUP(B745,المستفيدين!$B:$C,2,FALSE)),"")</f>
        <v/>
      </c>
      <c r="D745" s="1"/>
      <c r="E745" s="1"/>
      <c r="F745" s="1"/>
      <c r="G745">
        <f>COUNTIF($B$2:B745,B745)</f>
        <v>0</v>
      </c>
    </row>
    <row r="746" spans="1:7" x14ac:dyDescent="0.2">
      <c r="A746" s="1"/>
      <c r="B746" s="1"/>
      <c r="C746" s="8" t="str">
        <f>IFERROR(IF(B746="","",VLOOKUP(B746,المستفيدين!$B:$C,2,FALSE)),"")</f>
        <v/>
      </c>
      <c r="D746" s="1"/>
      <c r="E746" s="1"/>
      <c r="F746" s="1"/>
      <c r="G746">
        <f>COUNTIF($B$2:B746,B746)</f>
        <v>0</v>
      </c>
    </row>
    <row r="747" spans="1:7" x14ac:dyDescent="0.2">
      <c r="A747" s="1"/>
      <c r="B747" s="1"/>
      <c r="C747" s="8" t="str">
        <f>IFERROR(IF(B747="","",VLOOKUP(B747,المستفيدين!$B:$C,2,FALSE)),"")</f>
        <v/>
      </c>
      <c r="D747" s="1"/>
      <c r="E747" s="1"/>
      <c r="F747" s="1"/>
      <c r="G747">
        <f>COUNTIF($B$2:B747,B747)</f>
        <v>0</v>
      </c>
    </row>
    <row r="748" spans="1:7" x14ac:dyDescent="0.2">
      <c r="A748" s="1"/>
      <c r="B748" s="1"/>
      <c r="C748" s="8" t="str">
        <f>IFERROR(IF(B748="","",VLOOKUP(B748,المستفيدين!$B:$C,2,FALSE)),"")</f>
        <v/>
      </c>
      <c r="D748" s="1"/>
      <c r="E748" s="1"/>
      <c r="F748" s="1"/>
      <c r="G748">
        <f>COUNTIF($B$2:B748,B748)</f>
        <v>0</v>
      </c>
    </row>
    <row r="749" spans="1:7" x14ac:dyDescent="0.2">
      <c r="A749" s="1"/>
      <c r="B749" s="1"/>
      <c r="C749" s="8" t="str">
        <f>IFERROR(IF(B749="","",VLOOKUP(B749,المستفيدين!$B:$C,2,FALSE)),"")</f>
        <v/>
      </c>
      <c r="D749" s="1"/>
      <c r="E749" s="1"/>
      <c r="F749" s="1"/>
      <c r="G749">
        <f>COUNTIF($B$2:B749,B749)</f>
        <v>0</v>
      </c>
    </row>
    <row r="750" spans="1:7" x14ac:dyDescent="0.2">
      <c r="A750" s="1"/>
      <c r="B750" s="1"/>
      <c r="C750" s="8" t="str">
        <f>IFERROR(IF(B750="","",VLOOKUP(B750,المستفيدين!$B:$C,2,FALSE)),"")</f>
        <v/>
      </c>
      <c r="D750" s="1"/>
      <c r="E750" s="1"/>
      <c r="F750" s="1"/>
      <c r="G750">
        <f>COUNTIF($B$2:B750,B750)</f>
        <v>0</v>
      </c>
    </row>
    <row r="751" spans="1:7" x14ac:dyDescent="0.2">
      <c r="A751" s="1"/>
      <c r="B751" s="1"/>
      <c r="C751" s="8" t="str">
        <f>IFERROR(IF(B751="","",VLOOKUP(B751,المستفيدين!$B:$C,2,FALSE)),"")</f>
        <v/>
      </c>
      <c r="D751" s="1"/>
      <c r="E751" s="1"/>
      <c r="F751" s="1"/>
      <c r="G751">
        <f>COUNTIF($B$2:B751,B751)</f>
        <v>0</v>
      </c>
    </row>
    <row r="752" spans="1:7" x14ac:dyDescent="0.2">
      <c r="A752" s="1"/>
      <c r="B752" s="1"/>
      <c r="C752" s="8" t="str">
        <f>IFERROR(IF(B752="","",VLOOKUP(B752,المستفيدين!$B:$C,2,FALSE)),"")</f>
        <v/>
      </c>
      <c r="D752" s="1"/>
      <c r="E752" s="1"/>
      <c r="F752" s="1"/>
      <c r="G752">
        <f>COUNTIF($B$2:B752,B752)</f>
        <v>0</v>
      </c>
    </row>
    <row r="753" spans="1:7" x14ac:dyDescent="0.2">
      <c r="A753" s="1"/>
      <c r="B753" s="1"/>
      <c r="C753" s="8" t="str">
        <f>IFERROR(IF(B753="","",VLOOKUP(B753,المستفيدين!$B:$C,2,FALSE)),"")</f>
        <v/>
      </c>
      <c r="D753" s="1"/>
      <c r="E753" s="1"/>
      <c r="F753" s="1"/>
      <c r="G753">
        <f>COUNTIF($B$2:B753,B753)</f>
        <v>0</v>
      </c>
    </row>
    <row r="754" spans="1:7" x14ac:dyDescent="0.2">
      <c r="A754" s="1"/>
      <c r="B754" s="1"/>
      <c r="C754" s="8" t="str">
        <f>IFERROR(IF(B754="","",VLOOKUP(B754,المستفيدين!$B:$C,2,FALSE)),"")</f>
        <v/>
      </c>
      <c r="D754" s="1"/>
      <c r="E754" s="1"/>
      <c r="F754" s="1"/>
      <c r="G754">
        <f>COUNTIF($B$2:B754,B754)</f>
        <v>0</v>
      </c>
    </row>
    <row r="755" spans="1:7" x14ac:dyDescent="0.2">
      <c r="A755" s="1"/>
      <c r="B755" s="1"/>
      <c r="C755" s="8" t="str">
        <f>IFERROR(IF(B755="","",VLOOKUP(B755,المستفيدين!$B:$C,2,FALSE)),"")</f>
        <v/>
      </c>
      <c r="D755" s="1"/>
      <c r="E755" s="1"/>
      <c r="F755" s="1"/>
      <c r="G755">
        <f>COUNTIF($B$2:B755,B755)</f>
        <v>0</v>
      </c>
    </row>
    <row r="756" spans="1:7" x14ac:dyDescent="0.2">
      <c r="A756" s="1"/>
      <c r="B756" s="1"/>
      <c r="C756" s="8" t="str">
        <f>IFERROR(IF(B756="","",VLOOKUP(B756,المستفيدين!$B:$C,2,FALSE)),"")</f>
        <v/>
      </c>
      <c r="D756" s="1"/>
      <c r="E756" s="1"/>
      <c r="F756" s="1"/>
      <c r="G756">
        <f>COUNTIF($B$2:B756,B756)</f>
        <v>0</v>
      </c>
    </row>
    <row r="757" spans="1:7" x14ac:dyDescent="0.2">
      <c r="A757" s="1"/>
      <c r="B757" s="1"/>
      <c r="C757" s="8" t="str">
        <f>IFERROR(IF(B757="","",VLOOKUP(B757,المستفيدين!$B:$C,2,FALSE)),"")</f>
        <v/>
      </c>
      <c r="D757" s="1"/>
      <c r="E757" s="1"/>
      <c r="F757" s="1"/>
      <c r="G757">
        <f>COUNTIF($B$2:B757,B757)</f>
        <v>0</v>
      </c>
    </row>
    <row r="758" spans="1:7" x14ac:dyDescent="0.2">
      <c r="A758" s="1"/>
      <c r="B758" s="1"/>
      <c r="C758" s="8" t="str">
        <f>IFERROR(IF(B758="","",VLOOKUP(B758,المستفيدين!$B:$C,2,FALSE)),"")</f>
        <v/>
      </c>
      <c r="D758" s="1"/>
      <c r="E758" s="1"/>
      <c r="F758" s="1"/>
      <c r="G758">
        <f>COUNTIF($B$2:B758,B758)</f>
        <v>0</v>
      </c>
    </row>
    <row r="759" spans="1:7" x14ac:dyDescent="0.2">
      <c r="A759" s="1"/>
      <c r="B759" s="1"/>
      <c r="C759" s="8" t="str">
        <f>IFERROR(IF(B759="","",VLOOKUP(B759,المستفيدين!$B:$C,2,FALSE)),"")</f>
        <v/>
      </c>
      <c r="D759" s="1"/>
      <c r="E759" s="1"/>
      <c r="F759" s="1"/>
      <c r="G759">
        <f>COUNTIF($B$2:B759,B759)</f>
        <v>0</v>
      </c>
    </row>
    <row r="760" spans="1:7" x14ac:dyDescent="0.2">
      <c r="A760" s="1"/>
      <c r="B760" s="1"/>
      <c r="C760" s="8" t="str">
        <f>IFERROR(IF(B760="","",VLOOKUP(B760,المستفيدين!$B:$C,2,FALSE)),"")</f>
        <v/>
      </c>
      <c r="D760" s="1"/>
      <c r="E760" s="1"/>
      <c r="F760" s="1"/>
      <c r="G760">
        <f>COUNTIF($B$2:B760,B760)</f>
        <v>0</v>
      </c>
    </row>
    <row r="761" spans="1:7" x14ac:dyDescent="0.2">
      <c r="A761" s="1"/>
      <c r="B761" s="1"/>
      <c r="C761" s="8" t="str">
        <f>IFERROR(IF(B761="","",VLOOKUP(B761,المستفيدين!$B:$C,2,FALSE)),"")</f>
        <v/>
      </c>
      <c r="D761" s="1"/>
      <c r="E761" s="1"/>
      <c r="F761" s="1"/>
      <c r="G761">
        <f>COUNTIF($B$2:B761,B761)</f>
        <v>0</v>
      </c>
    </row>
    <row r="762" spans="1:7" x14ac:dyDescent="0.2">
      <c r="A762" s="1"/>
      <c r="B762" s="1"/>
      <c r="C762" s="8" t="str">
        <f>IFERROR(IF(B762="","",VLOOKUP(B762,المستفيدين!$B:$C,2,FALSE)),"")</f>
        <v/>
      </c>
      <c r="D762" s="1"/>
      <c r="E762" s="1"/>
      <c r="F762" s="1"/>
      <c r="G762">
        <f>COUNTIF($B$2:B762,B762)</f>
        <v>0</v>
      </c>
    </row>
    <row r="763" spans="1:7" x14ac:dyDescent="0.2">
      <c r="A763" s="1"/>
      <c r="B763" s="1"/>
      <c r="C763" s="8" t="str">
        <f>IFERROR(IF(B763="","",VLOOKUP(B763,المستفيدين!$B:$C,2,FALSE)),"")</f>
        <v/>
      </c>
      <c r="D763" s="1"/>
      <c r="E763" s="1"/>
      <c r="F763" s="1"/>
      <c r="G763">
        <f>COUNTIF($B$2:B763,B763)</f>
        <v>0</v>
      </c>
    </row>
    <row r="764" spans="1:7" x14ac:dyDescent="0.2">
      <c r="A764" s="1"/>
      <c r="B764" s="1"/>
      <c r="C764" s="8" t="str">
        <f>IFERROR(IF(B764="","",VLOOKUP(B764,المستفيدين!$B:$C,2,FALSE)),"")</f>
        <v/>
      </c>
      <c r="D764" s="1"/>
      <c r="E764" s="1"/>
      <c r="F764" s="1"/>
      <c r="G764">
        <f>COUNTIF($B$2:B764,B764)</f>
        <v>0</v>
      </c>
    </row>
    <row r="765" spans="1:7" x14ac:dyDescent="0.2">
      <c r="A765" s="1"/>
      <c r="B765" s="1"/>
      <c r="C765" s="8" t="str">
        <f>IFERROR(IF(B765="","",VLOOKUP(B765,المستفيدين!$B:$C,2,FALSE)),"")</f>
        <v/>
      </c>
      <c r="D765" s="1"/>
      <c r="E765" s="1"/>
      <c r="F765" s="1"/>
      <c r="G765">
        <f>COUNTIF($B$2:B765,B765)</f>
        <v>0</v>
      </c>
    </row>
    <row r="766" spans="1:7" x14ac:dyDescent="0.2">
      <c r="A766" s="1"/>
      <c r="B766" s="1"/>
      <c r="C766" s="8" t="str">
        <f>IFERROR(IF(B766="","",VLOOKUP(B766,المستفيدين!$B:$C,2,FALSE)),"")</f>
        <v/>
      </c>
      <c r="D766" s="1"/>
      <c r="E766" s="1"/>
      <c r="F766" s="1"/>
      <c r="G766">
        <f>COUNTIF($B$2:B766,B766)</f>
        <v>0</v>
      </c>
    </row>
    <row r="767" spans="1:7" x14ac:dyDescent="0.2">
      <c r="A767" s="1"/>
      <c r="B767" s="1"/>
      <c r="C767" s="8" t="str">
        <f>IFERROR(IF(B767="","",VLOOKUP(B767,المستفيدين!$B:$C,2,FALSE)),"")</f>
        <v/>
      </c>
      <c r="D767" s="1"/>
      <c r="E767" s="1"/>
      <c r="F767" s="1"/>
      <c r="G767">
        <f>COUNTIF($B$2:B767,B767)</f>
        <v>0</v>
      </c>
    </row>
    <row r="768" spans="1:7" x14ac:dyDescent="0.2">
      <c r="A768" s="1"/>
      <c r="B768" s="1"/>
      <c r="C768" s="8" t="str">
        <f>IFERROR(IF(B768="","",VLOOKUP(B768,المستفيدين!$B:$C,2,FALSE)),"")</f>
        <v/>
      </c>
      <c r="D768" s="1"/>
      <c r="E768" s="1"/>
      <c r="F768" s="1"/>
      <c r="G768">
        <f>COUNTIF($B$2:B768,B768)</f>
        <v>0</v>
      </c>
    </row>
    <row r="769" spans="1:7" x14ac:dyDescent="0.2">
      <c r="A769" s="1"/>
      <c r="B769" s="1"/>
      <c r="C769" s="8" t="str">
        <f>IFERROR(IF(B769="","",VLOOKUP(B769,المستفيدين!$B:$C,2,FALSE)),"")</f>
        <v/>
      </c>
      <c r="D769" s="1"/>
      <c r="E769" s="1"/>
      <c r="F769" s="1"/>
      <c r="G769">
        <f>COUNTIF($B$2:B769,B769)</f>
        <v>0</v>
      </c>
    </row>
    <row r="770" spans="1:7" x14ac:dyDescent="0.2">
      <c r="A770" s="1"/>
      <c r="B770" s="1"/>
      <c r="C770" s="8" t="str">
        <f>IFERROR(IF(B770="","",VLOOKUP(B770,المستفيدين!$B:$C,2,FALSE)),"")</f>
        <v/>
      </c>
      <c r="D770" s="1"/>
      <c r="E770" s="1"/>
      <c r="F770" s="1"/>
      <c r="G770">
        <f>COUNTIF($B$2:B770,B770)</f>
        <v>0</v>
      </c>
    </row>
    <row r="771" spans="1:7" x14ac:dyDescent="0.2">
      <c r="A771" s="1"/>
      <c r="B771" s="1"/>
      <c r="C771" s="8" t="str">
        <f>IFERROR(IF(B771="","",VLOOKUP(B771,المستفيدين!$B:$C,2,FALSE)),"")</f>
        <v/>
      </c>
      <c r="D771" s="1"/>
      <c r="E771" s="1"/>
      <c r="F771" s="1"/>
      <c r="G771">
        <f>COUNTIF($B$2:B771,B771)</f>
        <v>0</v>
      </c>
    </row>
    <row r="772" spans="1:7" x14ac:dyDescent="0.2">
      <c r="A772" s="1"/>
      <c r="B772" s="1"/>
      <c r="C772" s="8" t="str">
        <f>IFERROR(IF(B772="","",VLOOKUP(B772,المستفيدين!$B:$C,2,FALSE)),"")</f>
        <v/>
      </c>
      <c r="D772" s="1"/>
      <c r="E772" s="1"/>
      <c r="F772" s="1"/>
      <c r="G772">
        <f>COUNTIF($B$2:B772,B772)</f>
        <v>0</v>
      </c>
    </row>
    <row r="773" spans="1:7" x14ac:dyDescent="0.2">
      <c r="A773" s="1"/>
      <c r="B773" s="1"/>
      <c r="C773" s="8" t="str">
        <f>IFERROR(IF(B773="","",VLOOKUP(B773,المستفيدين!$B:$C,2,FALSE)),"")</f>
        <v/>
      </c>
      <c r="D773" s="1"/>
      <c r="E773" s="1"/>
      <c r="F773" s="1"/>
      <c r="G773">
        <f>COUNTIF($B$2:B773,B773)</f>
        <v>0</v>
      </c>
    </row>
    <row r="774" spans="1:7" x14ac:dyDescent="0.2">
      <c r="A774" s="1"/>
      <c r="B774" s="1"/>
      <c r="C774" s="8" t="str">
        <f>IFERROR(IF(B774="","",VLOOKUP(B774,المستفيدين!$B:$C,2,FALSE)),"")</f>
        <v/>
      </c>
      <c r="D774" s="1"/>
      <c r="E774" s="1"/>
      <c r="F774" s="1"/>
      <c r="G774">
        <f>COUNTIF($B$2:B774,B774)</f>
        <v>0</v>
      </c>
    </row>
    <row r="775" spans="1:7" x14ac:dyDescent="0.2">
      <c r="A775" s="1"/>
      <c r="B775" s="1"/>
      <c r="C775" s="8" t="str">
        <f>IFERROR(IF(B775="","",VLOOKUP(B775,المستفيدين!$B:$C,2,FALSE)),"")</f>
        <v/>
      </c>
      <c r="D775" s="1"/>
      <c r="E775" s="1"/>
      <c r="F775" s="1"/>
      <c r="G775">
        <f>COUNTIF($B$2:B775,B775)</f>
        <v>0</v>
      </c>
    </row>
    <row r="776" spans="1:7" x14ac:dyDescent="0.2">
      <c r="A776" s="1"/>
      <c r="B776" s="1"/>
      <c r="C776" s="8" t="str">
        <f>IFERROR(IF(B776="","",VLOOKUP(B776,المستفيدين!$B:$C,2,FALSE)),"")</f>
        <v/>
      </c>
      <c r="D776" s="1"/>
      <c r="E776" s="1"/>
      <c r="F776" s="1"/>
      <c r="G776">
        <f>COUNTIF($B$2:B776,B776)</f>
        <v>0</v>
      </c>
    </row>
    <row r="777" spans="1:7" x14ac:dyDescent="0.2">
      <c r="A777" s="1"/>
      <c r="B777" s="1"/>
      <c r="C777" s="8" t="str">
        <f>IFERROR(IF(B777="","",VLOOKUP(B777,المستفيدين!$B:$C,2,FALSE)),"")</f>
        <v/>
      </c>
      <c r="D777" s="1"/>
      <c r="E777" s="1"/>
      <c r="F777" s="1"/>
      <c r="G777">
        <f>COUNTIF($B$2:B777,B777)</f>
        <v>0</v>
      </c>
    </row>
    <row r="778" spans="1:7" x14ac:dyDescent="0.2">
      <c r="A778" s="1"/>
      <c r="B778" s="1"/>
      <c r="C778" s="8" t="str">
        <f>IFERROR(IF(B778="","",VLOOKUP(B778,المستفيدين!$B:$C,2,FALSE)),"")</f>
        <v/>
      </c>
      <c r="D778" s="1"/>
      <c r="E778" s="1"/>
      <c r="F778" s="1"/>
      <c r="G778">
        <f>COUNTIF($B$2:B778,B778)</f>
        <v>0</v>
      </c>
    </row>
    <row r="779" spans="1:7" x14ac:dyDescent="0.2">
      <c r="A779" s="1"/>
      <c r="B779" s="1"/>
      <c r="C779" s="8" t="str">
        <f>IFERROR(IF(B779="","",VLOOKUP(B779,المستفيدين!$B:$C,2,FALSE)),"")</f>
        <v/>
      </c>
      <c r="D779" s="1"/>
      <c r="E779" s="1"/>
      <c r="F779" s="1"/>
      <c r="G779">
        <f>COUNTIF($B$2:B779,B779)</f>
        <v>0</v>
      </c>
    </row>
    <row r="780" spans="1:7" x14ac:dyDescent="0.2">
      <c r="A780" s="1"/>
      <c r="B780" s="1"/>
      <c r="C780" s="8" t="str">
        <f>IFERROR(IF(B780="","",VLOOKUP(B780,المستفيدين!$B:$C,2,FALSE)),"")</f>
        <v/>
      </c>
      <c r="D780" s="1"/>
      <c r="E780" s="1"/>
      <c r="F780" s="1"/>
      <c r="G780">
        <f>COUNTIF($B$2:B780,B780)</f>
        <v>0</v>
      </c>
    </row>
    <row r="781" spans="1:7" x14ac:dyDescent="0.2">
      <c r="A781" s="1"/>
      <c r="B781" s="1"/>
      <c r="C781" s="8" t="str">
        <f>IFERROR(IF(B781="","",VLOOKUP(B781,المستفيدين!$B:$C,2,FALSE)),"")</f>
        <v/>
      </c>
      <c r="D781" s="1"/>
      <c r="E781" s="1"/>
      <c r="F781" s="1"/>
      <c r="G781">
        <f>COUNTIF($B$2:B781,B781)</f>
        <v>0</v>
      </c>
    </row>
    <row r="782" spans="1:7" x14ac:dyDescent="0.2">
      <c r="A782" s="1"/>
      <c r="B782" s="1"/>
      <c r="C782" s="8" t="str">
        <f>IFERROR(IF(B782="","",VLOOKUP(B782,المستفيدين!$B:$C,2,FALSE)),"")</f>
        <v/>
      </c>
      <c r="D782" s="1"/>
      <c r="E782" s="1"/>
      <c r="F782" s="1"/>
      <c r="G782">
        <f>COUNTIF($B$2:B782,B782)</f>
        <v>0</v>
      </c>
    </row>
    <row r="783" spans="1:7" x14ac:dyDescent="0.2">
      <c r="A783" s="1"/>
      <c r="B783" s="1"/>
      <c r="C783" s="8" t="str">
        <f>IFERROR(IF(B783="","",VLOOKUP(B783,المستفيدين!$B:$C,2,FALSE)),"")</f>
        <v/>
      </c>
      <c r="D783" s="1"/>
      <c r="E783" s="1"/>
      <c r="F783" s="1"/>
      <c r="G783">
        <f>COUNTIF($B$2:B783,B783)</f>
        <v>0</v>
      </c>
    </row>
    <row r="784" spans="1:7" x14ac:dyDescent="0.2">
      <c r="A784" s="1"/>
      <c r="B784" s="1"/>
      <c r="C784" s="8" t="str">
        <f>IFERROR(IF(B784="","",VLOOKUP(B784,المستفيدين!$B:$C,2,FALSE)),"")</f>
        <v/>
      </c>
      <c r="D784" s="1"/>
      <c r="E784" s="1"/>
      <c r="F784" s="1"/>
      <c r="G784">
        <f>COUNTIF($B$2:B784,B784)</f>
        <v>0</v>
      </c>
    </row>
    <row r="785" spans="1:7" x14ac:dyDescent="0.2">
      <c r="A785" s="1"/>
      <c r="B785" s="1"/>
      <c r="C785" s="8" t="str">
        <f>IFERROR(IF(B785="","",VLOOKUP(B785,المستفيدين!$B:$C,2,FALSE)),"")</f>
        <v/>
      </c>
      <c r="D785" s="1"/>
      <c r="E785" s="1"/>
      <c r="F785" s="1"/>
      <c r="G785">
        <f>COUNTIF($B$2:B785,B785)</f>
        <v>0</v>
      </c>
    </row>
    <row r="786" spans="1:7" x14ac:dyDescent="0.2">
      <c r="A786" s="1"/>
      <c r="B786" s="1"/>
      <c r="C786" s="8" t="str">
        <f>IFERROR(IF(B786="","",VLOOKUP(B786,المستفيدين!$B:$C,2,FALSE)),"")</f>
        <v/>
      </c>
      <c r="D786" s="1"/>
      <c r="E786" s="1"/>
      <c r="F786" s="1"/>
      <c r="G786">
        <f>COUNTIF($B$2:B786,B786)</f>
        <v>0</v>
      </c>
    </row>
    <row r="787" spans="1:7" x14ac:dyDescent="0.2">
      <c r="A787" s="1"/>
      <c r="B787" s="1"/>
      <c r="C787" s="8" t="str">
        <f>IFERROR(IF(B787="","",VLOOKUP(B787,المستفيدين!$B:$C,2,FALSE)),"")</f>
        <v/>
      </c>
      <c r="D787" s="1"/>
      <c r="E787" s="1"/>
      <c r="F787" s="1"/>
      <c r="G787">
        <f>COUNTIF($B$2:B787,B787)</f>
        <v>0</v>
      </c>
    </row>
    <row r="788" spans="1:7" x14ac:dyDescent="0.2">
      <c r="A788" s="1"/>
      <c r="B788" s="1"/>
      <c r="C788" s="8" t="str">
        <f>IFERROR(IF(B788="","",VLOOKUP(B788,المستفيدين!$B:$C,2,FALSE)),"")</f>
        <v/>
      </c>
      <c r="D788" s="1"/>
      <c r="E788" s="1"/>
      <c r="F788" s="1"/>
      <c r="G788">
        <f>COUNTIF($B$2:B788,B788)</f>
        <v>0</v>
      </c>
    </row>
    <row r="789" spans="1:7" x14ac:dyDescent="0.2">
      <c r="A789" s="1"/>
      <c r="B789" s="1"/>
      <c r="C789" s="8" t="str">
        <f>IFERROR(IF(B789="","",VLOOKUP(B789,المستفيدين!$B:$C,2,FALSE)),"")</f>
        <v/>
      </c>
      <c r="D789" s="1"/>
      <c r="E789" s="1"/>
      <c r="F789" s="1"/>
      <c r="G789">
        <f>COUNTIF($B$2:B789,B789)</f>
        <v>0</v>
      </c>
    </row>
    <row r="790" spans="1:7" x14ac:dyDescent="0.2">
      <c r="A790" s="1"/>
      <c r="B790" s="1"/>
      <c r="C790" s="8" t="str">
        <f>IFERROR(IF(B790="","",VLOOKUP(B790,المستفيدين!$B:$C,2,FALSE)),"")</f>
        <v/>
      </c>
      <c r="D790" s="1"/>
      <c r="E790" s="1"/>
      <c r="F790" s="1"/>
      <c r="G790">
        <f>COUNTIF($B$2:B790,B790)</f>
        <v>0</v>
      </c>
    </row>
    <row r="791" spans="1:7" x14ac:dyDescent="0.2">
      <c r="A791" s="1"/>
      <c r="B791" s="1"/>
      <c r="C791" s="8" t="str">
        <f>IFERROR(IF(B791="","",VLOOKUP(B791,المستفيدين!$B:$C,2,FALSE)),"")</f>
        <v/>
      </c>
      <c r="D791" s="1"/>
      <c r="E791" s="1"/>
      <c r="F791" s="1"/>
      <c r="G791">
        <f>COUNTIF($B$2:B791,B791)</f>
        <v>0</v>
      </c>
    </row>
    <row r="792" spans="1:7" x14ac:dyDescent="0.2">
      <c r="A792" s="1"/>
      <c r="B792" s="1"/>
      <c r="C792" s="8" t="str">
        <f>IFERROR(IF(B792="","",VLOOKUP(B792,المستفيدين!$B:$C,2,FALSE)),"")</f>
        <v/>
      </c>
      <c r="D792" s="1"/>
      <c r="E792" s="1"/>
      <c r="F792" s="1"/>
      <c r="G792">
        <f>COUNTIF($B$2:B792,B792)</f>
        <v>0</v>
      </c>
    </row>
    <row r="793" spans="1:7" x14ac:dyDescent="0.2">
      <c r="A793" s="1"/>
      <c r="B793" s="1"/>
      <c r="C793" s="8" t="str">
        <f>IFERROR(IF(B793="","",VLOOKUP(B793,المستفيدين!$B:$C,2,FALSE)),"")</f>
        <v/>
      </c>
      <c r="D793" s="1"/>
      <c r="E793" s="1"/>
      <c r="F793" s="1"/>
      <c r="G793">
        <f>COUNTIF($B$2:B793,B793)</f>
        <v>0</v>
      </c>
    </row>
    <row r="794" spans="1:7" x14ac:dyDescent="0.2">
      <c r="A794" s="1"/>
      <c r="B794" s="1"/>
      <c r="C794" s="8" t="str">
        <f>IFERROR(IF(B794="","",VLOOKUP(B794,المستفيدين!$B:$C,2,FALSE)),"")</f>
        <v/>
      </c>
      <c r="D794" s="1"/>
      <c r="E794" s="1"/>
      <c r="F794" s="1"/>
      <c r="G794">
        <f>COUNTIF($B$2:B794,B794)</f>
        <v>0</v>
      </c>
    </row>
    <row r="795" spans="1:7" x14ac:dyDescent="0.2">
      <c r="A795" s="1"/>
      <c r="B795" s="1"/>
      <c r="C795" s="8" t="str">
        <f>IFERROR(IF(B795="","",VLOOKUP(B795,المستفيدين!$B:$C,2,FALSE)),"")</f>
        <v/>
      </c>
      <c r="D795" s="1"/>
      <c r="E795" s="1"/>
      <c r="F795" s="1"/>
      <c r="G795">
        <f>COUNTIF($B$2:B795,B795)</f>
        <v>0</v>
      </c>
    </row>
    <row r="796" spans="1:7" x14ac:dyDescent="0.2">
      <c r="A796" s="1"/>
      <c r="B796" s="1"/>
      <c r="C796" s="8" t="str">
        <f>IFERROR(IF(B796="","",VLOOKUP(B796,المستفيدين!$B:$C,2,FALSE)),"")</f>
        <v/>
      </c>
      <c r="D796" s="1"/>
      <c r="E796" s="1"/>
      <c r="F796" s="1"/>
      <c r="G796">
        <f>COUNTIF($B$2:B796,B796)</f>
        <v>0</v>
      </c>
    </row>
    <row r="797" spans="1:7" x14ac:dyDescent="0.2">
      <c r="A797" s="1"/>
      <c r="B797" s="1"/>
      <c r="C797" s="8" t="str">
        <f>IFERROR(IF(B797="","",VLOOKUP(B797,المستفيدين!$B:$C,2,FALSE)),"")</f>
        <v/>
      </c>
      <c r="D797" s="1"/>
      <c r="E797" s="1"/>
      <c r="F797" s="1"/>
      <c r="G797">
        <f>COUNTIF($B$2:B797,B797)</f>
        <v>0</v>
      </c>
    </row>
    <row r="798" spans="1:7" x14ac:dyDescent="0.2">
      <c r="A798" s="1"/>
      <c r="B798" s="1"/>
      <c r="C798" s="8" t="str">
        <f>IFERROR(IF(B798="","",VLOOKUP(B798,المستفيدين!$B:$C,2,FALSE)),"")</f>
        <v/>
      </c>
      <c r="D798" s="1"/>
      <c r="E798" s="1"/>
      <c r="F798" s="1"/>
      <c r="G798">
        <f>COUNTIF($B$2:B798,B798)</f>
        <v>0</v>
      </c>
    </row>
    <row r="799" spans="1:7" x14ac:dyDescent="0.2">
      <c r="A799" s="1"/>
      <c r="B799" s="1"/>
      <c r="C799" s="8" t="str">
        <f>IFERROR(IF(B799="","",VLOOKUP(B799,المستفيدين!$B:$C,2,FALSE)),"")</f>
        <v/>
      </c>
      <c r="D799" s="1"/>
      <c r="E799" s="1"/>
      <c r="F799" s="1"/>
      <c r="G799">
        <f>COUNTIF($B$2:B799,B799)</f>
        <v>0</v>
      </c>
    </row>
    <row r="800" spans="1:7" x14ac:dyDescent="0.2">
      <c r="A800" s="1"/>
      <c r="B800" s="1"/>
      <c r="C800" s="8" t="str">
        <f>IFERROR(IF(B800="","",VLOOKUP(B800,المستفيدين!$B:$C,2,FALSE)),"")</f>
        <v/>
      </c>
      <c r="D800" s="1"/>
      <c r="E800" s="1"/>
      <c r="F800" s="1"/>
      <c r="G800">
        <f>COUNTIF($B$2:B800,B800)</f>
        <v>0</v>
      </c>
    </row>
    <row r="801" spans="1:7" x14ac:dyDescent="0.2">
      <c r="A801" s="1"/>
      <c r="B801" s="1"/>
      <c r="C801" s="8" t="str">
        <f>IFERROR(IF(B801="","",VLOOKUP(B801,المستفيدين!$B:$C,2,FALSE)),"")</f>
        <v/>
      </c>
      <c r="D801" s="1"/>
      <c r="E801" s="1"/>
      <c r="F801" s="1"/>
      <c r="G801">
        <f>COUNTIF($B$2:B801,B801)</f>
        <v>0</v>
      </c>
    </row>
    <row r="802" spans="1:7" x14ac:dyDescent="0.2">
      <c r="A802" s="1"/>
      <c r="B802" s="1"/>
      <c r="C802" s="8" t="str">
        <f>IFERROR(IF(B802="","",VLOOKUP(B802,المستفيدين!$B:$C,2,FALSE)),"")</f>
        <v/>
      </c>
      <c r="D802" s="1"/>
      <c r="E802" s="1"/>
      <c r="F802" s="1"/>
      <c r="G802">
        <f>COUNTIF($B$2:B802,B802)</f>
        <v>0</v>
      </c>
    </row>
    <row r="803" spans="1:7" x14ac:dyDescent="0.2">
      <c r="A803" s="1"/>
      <c r="B803" s="1"/>
      <c r="C803" s="8" t="str">
        <f>IFERROR(IF(B803="","",VLOOKUP(B803,المستفيدين!$B:$C,2,FALSE)),"")</f>
        <v/>
      </c>
      <c r="D803" s="1"/>
      <c r="E803" s="1"/>
      <c r="F803" s="1"/>
      <c r="G803">
        <f>COUNTIF($B$2:B803,B803)</f>
        <v>0</v>
      </c>
    </row>
    <row r="804" spans="1:7" x14ac:dyDescent="0.2">
      <c r="A804" s="1"/>
      <c r="B804" s="1"/>
      <c r="C804" s="8" t="str">
        <f>IFERROR(IF(B804="","",VLOOKUP(B804,المستفيدين!$B:$C,2,FALSE)),"")</f>
        <v/>
      </c>
      <c r="D804" s="1"/>
      <c r="E804" s="1"/>
      <c r="F804" s="1"/>
      <c r="G804">
        <f>COUNTIF($B$2:B804,B804)</f>
        <v>0</v>
      </c>
    </row>
    <row r="805" spans="1:7" x14ac:dyDescent="0.2">
      <c r="A805" s="1"/>
      <c r="B805" s="1"/>
      <c r="C805" s="8" t="str">
        <f>IFERROR(IF(B805="","",VLOOKUP(B805,المستفيدين!$B:$C,2,FALSE)),"")</f>
        <v/>
      </c>
      <c r="D805" s="1"/>
      <c r="E805" s="1"/>
      <c r="F805" s="1"/>
      <c r="G805">
        <f>COUNTIF($B$2:B805,B805)</f>
        <v>0</v>
      </c>
    </row>
    <row r="806" spans="1:7" x14ac:dyDescent="0.2">
      <c r="A806" s="1"/>
      <c r="B806" s="1"/>
      <c r="C806" s="8" t="str">
        <f>IFERROR(IF(B806="","",VLOOKUP(B806,المستفيدين!$B:$C,2,FALSE)),"")</f>
        <v/>
      </c>
      <c r="D806" s="1"/>
      <c r="E806" s="1"/>
      <c r="F806" s="1"/>
      <c r="G806">
        <f>COUNTIF($B$2:B806,B806)</f>
        <v>0</v>
      </c>
    </row>
    <row r="807" spans="1:7" x14ac:dyDescent="0.2">
      <c r="A807" s="1"/>
      <c r="B807" s="1"/>
      <c r="C807" s="8" t="str">
        <f>IFERROR(IF(B807="","",VLOOKUP(B807,المستفيدين!$B:$C,2,FALSE)),"")</f>
        <v/>
      </c>
      <c r="D807" s="1"/>
      <c r="E807" s="1"/>
      <c r="F807" s="1"/>
      <c r="G807">
        <f>COUNTIF($B$2:B807,B807)</f>
        <v>0</v>
      </c>
    </row>
    <row r="808" spans="1:7" x14ac:dyDescent="0.2">
      <c r="A808" s="1"/>
      <c r="B808" s="1"/>
      <c r="C808" s="8" t="str">
        <f>IFERROR(IF(B808="","",VLOOKUP(B808,المستفيدين!$B:$C,2,FALSE)),"")</f>
        <v/>
      </c>
      <c r="D808" s="1"/>
      <c r="E808" s="1"/>
      <c r="F808" s="1"/>
      <c r="G808">
        <f>COUNTIF($B$2:B808,B808)</f>
        <v>0</v>
      </c>
    </row>
    <row r="809" spans="1:7" x14ac:dyDescent="0.2">
      <c r="A809" s="1"/>
      <c r="B809" s="1"/>
      <c r="C809" s="8" t="str">
        <f>IFERROR(IF(B809="","",VLOOKUP(B809,المستفيدين!$B:$C,2,FALSE)),"")</f>
        <v/>
      </c>
      <c r="D809" s="1"/>
      <c r="E809" s="1"/>
      <c r="F809" s="1"/>
      <c r="G809">
        <f>COUNTIF($B$2:B809,B809)</f>
        <v>0</v>
      </c>
    </row>
    <row r="810" spans="1:7" x14ac:dyDescent="0.2">
      <c r="A810" s="1"/>
      <c r="B810" s="1"/>
      <c r="C810" s="8" t="str">
        <f>IFERROR(IF(B810="","",VLOOKUP(B810,المستفيدين!$B:$C,2,FALSE)),"")</f>
        <v/>
      </c>
      <c r="D810" s="1"/>
      <c r="E810" s="1"/>
      <c r="F810" s="1"/>
      <c r="G810">
        <f>COUNTIF($B$2:B810,B810)</f>
        <v>0</v>
      </c>
    </row>
    <row r="811" spans="1:7" x14ac:dyDescent="0.2">
      <c r="A811" s="1"/>
      <c r="B811" s="1"/>
      <c r="C811" s="8" t="str">
        <f>IFERROR(IF(B811="","",VLOOKUP(B811,المستفيدين!$B:$C,2,FALSE)),"")</f>
        <v/>
      </c>
      <c r="D811" s="1"/>
      <c r="E811" s="1"/>
      <c r="F811" s="1"/>
      <c r="G811">
        <f>COUNTIF($B$2:B811,B811)</f>
        <v>0</v>
      </c>
    </row>
    <row r="812" spans="1:7" x14ac:dyDescent="0.2">
      <c r="A812" s="1"/>
      <c r="B812" s="1"/>
      <c r="C812" s="8" t="str">
        <f>IFERROR(IF(B812="","",VLOOKUP(B812,المستفيدين!$B:$C,2,FALSE)),"")</f>
        <v/>
      </c>
      <c r="D812" s="1"/>
      <c r="E812" s="1"/>
      <c r="F812" s="1"/>
      <c r="G812">
        <f>COUNTIF($B$2:B812,B812)</f>
        <v>0</v>
      </c>
    </row>
    <row r="813" spans="1:7" x14ac:dyDescent="0.2">
      <c r="A813" s="1"/>
      <c r="B813" s="1"/>
      <c r="C813" s="8" t="str">
        <f>IFERROR(IF(B813="","",VLOOKUP(B813,المستفيدين!$B:$C,2,FALSE)),"")</f>
        <v/>
      </c>
      <c r="D813" s="1"/>
      <c r="E813" s="1"/>
      <c r="F813" s="1"/>
      <c r="G813">
        <f>COUNTIF($B$2:B813,B813)</f>
        <v>0</v>
      </c>
    </row>
    <row r="814" spans="1:7" x14ac:dyDescent="0.2">
      <c r="A814" s="1"/>
      <c r="B814" s="1"/>
      <c r="C814" s="8" t="str">
        <f>IFERROR(IF(B814="","",VLOOKUP(B814,المستفيدين!$B:$C,2,FALSE)),"")</f>
        <v/>
      </c>
      <c r="D814" s="1"/>
      <c r="E814" s="1"/>
      <c r="F814" s="1"/>
      <c r="G814">
        <f>COUNTIF($B$2:B814,B814)</f>
        <v>0</v>
      </c>
    </row>
    <row r="815" spans="1:7" x14ac:dyDescent="0.2">
      <c r="A815" s="1"/>
      <c r="B815" s="1"/>
      <c r="C815" s="8" t="str">
        <f>IFERROR(IF(B815="","",VLOOKUP(B815,المستفيدين!$B:$C,2,FALSE)),"")</f>
        <v/>
      </c>
      <c r="D815" s="1"/>
      <c r="E815" s="1"/>
      <c r="F815" s="1"/>
      <c r="G815">
        <f>COUNTIF($B$2:B815,B815)</f>
        <v>0</v>
      </c>
    </row>
    <row r="816" spans="1:7" x14ac:dyDescent="0.2">
      <c r="A816" s="1"/>
      <c r="B816" s="1"/>
      <c r="C816" s="8" t="str">
        <f>IFERROR(IF(B816="","",VLOOKUP(B816,المستفيدين!$B:$C,2,FALSE)),"")</f>
        <v/>
      </c>
      <c r="D816" s="1"/>
      <c r="E816" s="1"/>
      <c r="F816" s="1"/>
      <c r="G816">
        <f>COUNTIF($B$2:B816,B816)</f>
        <v>0</v>
      </c>
    </row>
    <row r="817" spans="1:7" x14ac:dyDescent="0.2">
      <c r="A817" s="1"/>
      <c r="B817" s="1"/>
      <c r="C817" s="8" t="str">
        <f>IFERROR(IF(B817="","",VLOOKUP(B817,المستفيدين!$B:$C,2,FALSE)),"")</f>
        <v/>
      </c>
      <c r="D817" s="1"/>
      <c r="E817" s="1"/>
      <c r="F817" s="1"/>
      <c r="G817">
        <f>COUNTIF($B$2:B817,B817)</f>
        <v>0</v>
      </c>
    </row>
    <row r="818" spans="1:7" x14ac:dyDescent="0.2">
      <c r="A818" s="1"/>
      <c r="B818" s="1"/>
      <c r="C818" s="8" t="str">
        <f>IFERROR(IF(B818="","",VLOOKUP(B818,المستفيدين!$B:$C,2,FALSE)),"")</f>
        <v/>
      </c>
      <c r="D818" s="1"/>
      <c r="E818" s="1"/>
      <c r="F818" s="1"/>
      <c r="G818">
        <f>COUNTIF($B$2:B818,B818)</f>
        <v>0</v>
      </c>
    </row>
    <row r="819" spans="1:7" x14ac:dyDescent="0.2">
      <c r="A819" s="1"/>
      <c r="B819" s="1"/>
      <c r="C819" s="8" t="str">
        <f>IFERROR(IF(B819="","",VLOOKUP(B819,المستفيدين!$B:$C,2,FALSE)),"")</f>
        <v/>
      </c>
      <c r="D819" s="1"/>
      <c r="E819" s="1"/>
      <c r="F819" s="1"/>
      <c r="G819">
        <f>COUNTIF($B$2:B819,B819)</f>
        <v>0</v>
      </c>
    </row>
    <row r="820" spans="1:7" x14ac:dyDescent="0.2">
      <c r="A820" s="1"/>
      <c r="B820" s="1"/>
      <c r="C820" s="8" t="str">
        <f>IFERROR(IF(B820="","",VLOOKUP(B820,المستفيدين!$B:$C,2,FALSE)),"")</f>
        <v/>
      </c>
      <c r="D820" s="1"/>
      <c r="E820" s="1"/>
      <c r="F820" s="1"/>
      <c r="G820">
        <f>COUNTIF($B$2:B820,B820)</f>
        <v>0</v>
      </c>
    </row>
    <row r="821" spans="1:7" x14ac:dyDescent="0.2">
      <c r="A821" s="1"/>
      <c r="B821" s="1"/>
      <c r="C821" s="8" t="str">
        <f>IFERROR(IF(B821="","",VLOOKUP(B821,المستفيدين!$B:$C,2,FALSE)),"")</f>
        <v/>
      </c>
      <c r="D821" s="1"/>
      <c r="E821" s="1"/>
      <c r="F821" s="1"/>
      <c r="G821">
        <f>COUNTIF($B$2:B821,B821)</f>
        <v>0</v>
      </c>
    </row>
    <row r="822" spans="1:7" x14ac:dyDescent="0.2">
      <c r="A822" s="1"/>
      <c r="B822" s="1"/>
      <c r="C822" s="8" t="str">
        <f>IFERROR(IF(B822="","",VLOOKUP(B822,المستفيدين!$B:$C,2,FALSE)),"")</f>
        <v/>
      </c>
      <c r="D822" s="1"/>
      <c r="E822" s="1"/>
      <c r="F822" s="1"/>
      <c r="G822">
        <f>COUNTIF($B$2:B822,B822)</f>
        <v>0</v>
      </c>
    </row>
    <row r="823" spans="1:7" x14ac:dyDescent="0.2">
      <c r="A823" s="1"/>
      <c r="B823" s="1"/>
      <c r="C823" s="8" t="str">
        <f>IFERROR(IF(B823="","",VLOOKUP(B823,المستفيدين!$B:$C,2,FALSE)),"")</f>
        <v/>
      </c>
      <c r="D823" s="1"/>
      <c r="E823" s="1"/>
      <c r="F823" s="1"/>
      <c r="G823">
        <f>COUNTIF($B$2:B823,B823)</f>
        <v>0</v>
      </c>
    </row>
    <row r="824" spans="1:7" x14ac:dyDescent="0.2">
      <c r="A824" s="1"/>
      <c r="B824" s="1"/>
      <c r="C824" s="8" t="str">
        <f>IFERROR(IF(B824="","",VLOOKUP(B824,المستفيدين!$B:$C,2,FALSE)),"")</f>
        <v/>
      </c>
      <c r="D824" s="1"/>
      <c r="E824" s="1"/>
      <c r="F824" s="1"/>
      <c r="G824">
        <f>COUNTIF($B$2:B824,B824)</f>
        <v>0</v>
      </c>
    </row>
    <row r="825" spans="1:7" x14ac:dyDescent="0.2">
      <c r="A825" s="1"/>
      <c r="B825" s="1"/>
      <c r="C825" s="8" t="str">
        <f>IFERROR(IF(B825="","",VLOOKUP(B825,المستفيدين!$B:$C,2,FALSE)),"")</f>
        <v/>
      </c>
      <c r="D825" s="1"/>
      <c r="E825" s="1"/>
      <c r="F825" s="1"/>
      <c r="G825">
        <f>COUNTIF($B$2:B825,B825)</f>
        <v>0</v>
      </c>
    </row>
    <row r="826" spans="1:7" x14ac:dyDescent="0.2">
      <c r="A826" s="1"/>
      <c r="B826" s="1"/>
      <c r="C826" s="8" t="str">
        <f>IFERROR(IF(B826="","",VLOOKUP(B826,المستفيدين!$B:$C,2,FALSE)),"")</f>
        <v/>
      </c>
      <c r="D826" s="1"/>
      <c r="E826" s="1"/>
      <c r="F826" s="1"/>
      <c r="G826">
        <f>COUNTIF($B$2:B826,B826)</f>
        <v>0</v>
      </c>
    </row>
    <row r="827" spans="1:7" x14ac:dyDescent="0.2">
      <c r="A827" s="1"/>
      <c r="B827" s="1"/>
      <c r="C827" s="8" t="str">
        <f>IFERROR(IF(B827="","",VLOOKUP(B827,المستفيدين!$B:$C,2,FALSE)),"")</f>
        <v/>
      </c>
      <c r="D827" s="1"/>
      <c r="E827" s="1"/>
      <c r="F827" s="1"/>
      <c r="G827">
        <f>COUNTIF($B$2:B827,B827)</f>
        <v>0</v>
      </c>
    </row>
    <row r="828" spans="1:7" x14ac:dyDescent="0.2">
      <c r="A828" s="1"/>
      <c r="B828" s="1"/>
      <c r="C828" s="8" t="str">
        <f>IFERROR(IF(B828="","",VLOOKUP(B828,المستفيدين!$B:$C,2,FALSE)),"")</f>
        <v/>
      </c>
      <c r="D828" s="1"/>
      <c r="E828" s="1"/>
      <c r="F828" s="1"/>
      <c r="G828">
        <f>COUNTIF($B$2:B828,B828)</f>
        <v>0</v>
      </c>
    </row>
    <row r="829" spans="1:7" x14ac:dyDescent="0.2">
      <c r="A829" s="1"/>
      <c r="B829" s="1"/>
      <c r="C829" s="8" t="str">
        <f>IFERROR(IF(B829="","",VLOOKUP(B829,المستفيدين!$B:$C,2,FALSE)),"")</f>
        <v/>
      </c>
      <c r="D829" s="1"/>
      <c r="E829" s="1"/>
      <c r="F829" s="1"/>
      <c r="G829">
        <f>COUNTIF($B$2:B829,B829)</f>
        <v>0</v>
      </c>
    </row>
    <row r="830" spans="1:7" x14ac:dyDescent="0.2">
      <c r="A830" s="1"/>
      <c r="B830" s="1"/>
      <c r="C830" s="8" t="str">
        <f>IFERROR(IF(B830="","",VLOOKUP(B830,المستفيدين!$B:$C,2,FALSE)),"")</f>
        <v/>
      </c>
      <c r="D830" s="1"/>
      <c r="E830" s="1"/>
      <c r="F830" s="1"/>
      <c r="G830">
        <f>COUNTIF($B$2:B830,B830)</f>
        <v>0</v>
      </c>
    </row>
    <row r="831" spans="1:7" x14ac:dyDescent="0.2">
      <c r="A831" s="1"/>
      <c r="B831" s="1"/>
      <c r="C831" s="8" t="str">
        <f>IFERROR(IF(B831="","",VLOOKUP(B831,المستفيدين!$B:$C,2,FALSE)),"")</f>
        <v/>
      </c>
      <c r="D831" s="1"/>
      <c r="E831" s="1"/>
      <c r="F831" s="1"/>
      <c r="G831">
        <f>COUNTIF($B$2:B831,B831)</f>
        <v>0</v>
      </c>
    </row>
    <row r="832" spans="1:7" x14ac:dyDescent="0.2">
      <c r="A832" s="1"/>
      <c r="B832" s="1"/>
      <c r="C832" s="8" t="str">
        <f>IFERROR(IF(B832="","",VLOOKUP(B832,المستفيدين!$B:$C,2,FALSE)),"")</f>
        <v/>
      </c>
      <c r="D832" s="1"/>
      <c r="E832" s="1"/>
      <c r="F832" s="1"/>
      <c r="G832">
        <f>COUNTIF($B$2:B832,B832)</f>
        <v>0</v>
      </c>
    </row>
    <row r="833" spans="1:7" x14ac:dyDescent="0.2">
      <c r="A833" s="1"/>
      <c r="B833" s="1"/>
      <c r="C833" s="8" t="str">
        <f>IFERROR(IF(B833="","",VLOOKUP(B833,المستفيدين!$B:$C,2,FALSE)),"")</f>
        <v/>
      </c>
      <c r="D833" s="1"/>
      <c r="E833" s="1"/>
      <c r="F833" s="1"/>
      <c r="G833">
        <f>COUNTIF($B$2:B833,B833)</f>
        <v>0</v>
      </c>
    </row>
    <row r="834" spans="1:7" x14ac:dyDescent="0.2">
      <c r="A834" s="1"/>
      <c r="B834" s="1"/>
      <c r="C834" s="8" t="str">
        <f>IFERROR(IF(B834="","",VLOOKUP(B834,المستفيدين!$B:$C,2,FALSE)),"")</f>
        <v/>
      </c>
      <c r="D834" s="1"/>
      <c r="E834" s="1"/>
      <c r="F834" s="1"/>
      <c r="G834">
        <f>COUNTIF($B$2:B834,B834)</f>
        <v>0</v>
      </c>
    </row>
    <row r="835" spans="1:7" x14ac:dyDescent="0.2">
      <c r="A835" s="1"/>
      <c r="B835" s="1"/>
      <c r="C835" s="8" t="str">
        <f>IFERROR(IF(B835="","",VLOOKUP(B835,المستفيدين!$B:$C,2,FALSE)),"")</f>
        <v/>
      </c>
      <c r="D835" s="1"/>
      <c r="E835" s="1"/>
      <c r="F835" s="1"/>
      <c r="G835">
        <f>COUNTIF($B$2:B835,B835)</f>
        <v>0</v>
      </c>
    </row>
    <row r="836" spans="1:7" x14ac:dyDescent="0.2">
      <c r="A836" s="1"/>
      <c r="B836" s="1"/>
      <c r="C836" s="8" t="str">
        <f>IFERROR(IF(B836="","",VLOOKUP(B836,المستفيدين!$B:$C,2,FALSE)),"")</f>
        <v/>
      </c>
      <c r="D836" s="1"/>
      <c r="E836" s="1"/>
      <c r="F836" s="1"/>
      <c r="G836">
        <f>COUNTIF($B$2:B836,B836)</f>
        <v>0</v>
      </c>
    </row>
    <row r="837" spans="1:7" x14ac:dyDescent="0.2">
      <c r="A837" s="1"/>
      <c r="B837" s="1"/>
      <c r="C837" s="8" t="str">
        <f>IFERROR(IF(B837="","",VLOOKUP(B837,المستفيدين!$B:$C,2,FALSE)),"")</f>
        <v/>
      </c>
      <c r="D837" s="1"/>
      <c r="E837" s="1"/>
      <c r="F837" s="1"/>
      <c r="G837">
        <f>COUNTIF($B$2:B837,B837)</f>
        <v>0</v>
      </c>
    </row>
    <row r="838" spans="1:7" x14ac:dyDescent="0.2">
      <c r="A838" s="1"/>
      <c r="B838" s="1"/>
      <c r="C838" s="8" t="str">
        <f>IFERROR(IF(B838="","",VLOOKUP(B838,المستفيدين!$B:$C,2,FALSE)),"")</f>
        <v/>
      </c>
      <c r="D838" s="1"/>
      <c r="E838" s="1"/>
      <c r="F838" s="1"/>
      <c r="G838">
        <f>COUNTIF($B$2:B838,B838)</f>
        <v>0</v>
      </c>
    </row>
    <row r="839" spans="1:7" x14ac:dyDescent="0.2">
      <c r="A839" s="1"/>
      <c r="B839" s="1"/>
      <c r="C839" s="8" t="str">
        <f>IFERROR(IF(B839="","",VLOOKUP(B839,المستفيدين!$B:$C,2,FALSE)),"")</f>
        <v/>
      </c>
      <c r="D839" s="1"/>
      <c r="E839" s="1"/>
      <c r="F839" s="1"/>
      <c r="G839">
        <f>COUNTIF($B$2:B839,B839)</f>
        <v>0</v>
      </c>
    </row>
    <row r="840" spans="1:7" x14ac:dyDescent="0.2">
      <c r="A840" s="1"/>
      <c r="B840" s="1"/>
      <c r="C840" s="8" t="str">
        <f>IFERROR(IF(B840="","",VLOOKUP(B840,المستفيدين!$B:$C,2,FALSE)),"")</f>
        <v/>
      </c>
      <c r="D840" s="1"/>
      <c r="E840" s="1"/>
      <c r="F840" s="1"/>
      <c r="G840">
        <f>COUNTIF($B$2:B840,B840)</f>
        <v>0</v>
      </c>
    </row>
    <row r="841" spans="1:7" x14ac:dyDescent="0.2">
      <c r="A841" s="1"/>
      <c r="B841" s="1"/>
      <c r="C841" s="8" t="str">
        <f>IFERROR(IF(B841="","",VLOOKUP(B841,المستفيدين!$B:$C,2,FALSE)),"")</f>
        <v/>
      </c>
      <c r="D841" s="1"/>
      <c r="E841" s="1"/>
      <c r="F841" s="1"/>
      <c r="G841">
        <f>COUNTIF($B$2:B841,B841)</f>
        <v>0</v>
      </c>
    </row>
    <row r="842" spans="1:7" x14ac:dyDescent="0.2">
      <c r="A842" s="1"/>
      <c r="B842" s="1"/>
      <c r="C842" s="8" t="str">
        <f>IFERROR(IF(B842="","",VLOOKUP(B842,المستفيدين!$B:$C,2,FALSE)),"")</f>
        <v/>
      </c>
      <c r="D842" s="1"/>
      <c r="E842" s="1"/>
      <c r="F842" s="1"/>
      <c r="G842">
        <f>COUNTIF($B$2:B842,B842)</f>
        <v>0</v>
      </c>
    </row>
    <row r="843" spans="1:7" x14ac:dyDescent="0.2">
      <c r="A843" s="1"/>
      <c r="B843" s="1"/>
      <c r="C843" s="8" t="str">
        <f>IFERROR(IF(B843="","",VLOOKUP(B843,المستفيدين!$B:$C,2,FALSE)),"")</f>
        <v/>
      </c>
      <c r="D843" s="1"/>
      <c r="E843" s="1"/>
      <c r="F843" s="1"/>
      <c r="G843">
        <f>COUNTIF($B$2:B843,B843)</f>
        <v>0</v>
      </c>
    </row>
    <row r="844" spans="1:7" x14ac:dyDescent="0.2">
      <c r="A844" s="1"/>
      <c r="B844" s="1"/>
      <c r="C844" s="8" t="str">
        <f>IFERROR(IF(B844="","",VLOOKUP(B844,المستفيدين!$B:$C,2,FALSE)),"")</f>
        <v/>
      </c>
      <c r="D844" s="1"/>
      <c r="E844" s="1"/>
      <c r="F844" s="1"/>
      <c r="G844">
        <f>COUNTIF($B$2:B844,B844)</f>
        <v>0</v>
      </c>
    </row>
    <row r="845" spans="1:7" x14ac:dyDescent="0.2">
      <c r="A845" s="1"/>
      <c r="B845" s="1"/>
      <c r="C845" s="8" t="str">
        <f>IFERROR(IF(B845="","",VLOOKUP(B845,المستفيدين!$B:$C,2,FALSE)),"")</f>
        <v/>
      </c>
      <c r="D845" s="1"/>
      <c r="E845" s="1"/>
      <c r="F845" s="1"/>
      <c r="G845">
        <f>COUNTIF($B$2:B845,B845)</f>
        <v>0</v>
      </c>
    </row>
    <row r="846" spans="1:7" x14ac:dyDescent="0.2">
      <c r="A846" s="1"/>
      <c r="B846" s="1"/>
      <c r="C846" s="8" t="str">
        <f>IFERROR(IF(B846="","",VLOOKUP(B846,المستفيدين!$B:$C,2,FALSE)),"")</f>
        <v/>
      </c>
      <c r="D846" s="1"/>
      <c r="E846" s="1"/>
      <c r="F846" s="1"/>
      <c r="G846">
        <f>COUNTIF($B$2:B846,B846)</f>
        <v>0</v>
      </c>
    </row>
    <row r="847" spans="1:7" x14ac:dyDescent="0.2">
      <c r="A847" s="1"/>
      <c r="B847" s="1"/>
      <c r="C847" s="8" t="str">
        <f>IFERROR(IF(B847="","",VLOOKUP(B847,المستفيدين!$B:$C,2,FALSE)),"")</f>
        <v/>
      </c>
      <c r="D847" s="1"/>
      <c r="E847" s="1"/>
      <c r="F847" s="1"/>
      <c r="G847">
        <f>COUNTIF($B$2:B847,B847)</f>
        <v>0</v>
      </c>
    </row>
    <row r="848" spans="1:7" x14ac:dyDescent="0.2">
      <c r="A848" s="1"/>
      <c r="B848" s="1"/>
      <c r="C848" s="8" t="str">
        <f>IFERROR(IF(B848="","",VLOOKUP(B848,المستفيدين!$B:$C,2,FALSE)),"")</f>
        <v/>
      </c>
      <c r="D848" s="1"/>
      <c r="E848" s="1"/>
      <c r="F848" s="1"/>
      <c r="G848">
        <f>COUNTIF($B$2:B848,B848)</f>
        <v>0</v>
      </c>
    </row>
    <row r="849" spans="1:7" x14ac:dyDescent="0.2">
      <c r="A849" s="1"/>
      <c r="B849" s="1"/>
      <c r="C849" s="8" t="str">
        <f>IFERROR(IF(B849="","",VLOOKUP(B849,المستفيدين!$B:$C,2,FALSE)),"")</f>
        <v/>
      </c>
      <c r="D849" s="1"/>
      <c r="E849" s="1"/>
      <c r="F849" s="1"/>
      <c r="G849">
        <f>COUNTIF($B$2:B849,B849)</f>
        <v>0</v>
      </c>
    </row>
    <row r="850" spans="1:7" x14ac:dyDescent="0.2">
      <c r="A850" s="1"/>
      <c r="B850" s="1"/>
      <c r="C850" s="8" t="str">
        <f>IFERROR(IF(B850="","",VLOOKUP(B850,المستفيدين!$B:$C,2,FALSE)),"")</f>
        <v/>
      </c>
      <c r="D850" s="1"/>
      <c r="E850" s="1"/>
      <c r="F850" s="1"/>
      <c r="G850">
        <f>COUNTIF($B$2:B850,B850)</f>
        <v>0</v>
      </c>
    </row>
    <row r="851" spans="1:7" x14ac:dyDescent="0.2">
      <c r="A851" s="1"/>
      <c r="B851" s="1"/>
      <c r="C851" s="8" t="str">
        <f>IFERROR(IF(B851="","",VLOOKUP(B851,المستفيدين!$B:$C,2,FALSE)),"")</f>
        <v/>
      </c>
      <c r="D851" s="1"/>
      <c r="E851" s="1"/>
      <c r="F851" s="1"/>
      <c r="G851">
        <f>COUNTIF($B$2:B851,B851)</f>
        <v>0</v>
      </c>
    </row>
    <row r="852" spans="1:7" x14ac:dyDescent="0.2">
      <c r="A852" s="1"/>
      <c r="B852" s="1"/>
      <c r="C852" s="8" t="str">
        <f>IFERROR(IF(B852="","",VLOOKUP(B852,المستفيدين!$B:$C,2,FALSE)),"")</f>
        <v/>
      </c>
      <c r="D852" s="1"/>
      <c r="E852" s="1"/>
      <c r="F852" s="1"/>
      <c r="G852">
        <f>COUNTIF($B$2:B852,B852)</f>
        <v>0</v>
      </c>
    </row>
    <row r="853" spans="1:7" x14ac:dyDescent="0.2">
      <c r="A853" s="1"/>
      <c r="B853" s="1"/>
      <c r="C853" s="8" t="str">
        <f>IFERROR(IF(B853="","",VLOOKUP(B853,المستفيدين!$B:$C,2,FALSE)),"")</f>
        <v/>
      </c>
      <c r="D853" s="1"/>
      <c r="E853" s="1"/>
      <c r="F853" s="1"/>
      <c r="G853">
        <f>COUNTIF($B$2:B853,B853)</f>
        <v>0</v>
      </c>
    </row>
    <row r="854" spans="1:7" x14ac:dyDescent="0.2">
      <c r="A854" s="1"/>
      <c r="B854" s="1"/>
      <c r="C854" s="8" t="str">
        <f>IFERROR(IF(B854="","",VLOOKUP(B854,المستفيدين!$B:$C,2,FALSE)),"")</f>
        <v/>
      </c>
      <c r="D854" s="1"/>
      <c r="E854" s="1"/>
      <c r="F854" s="1"/>
      <c r="G854">
        <f>COUNTIF($B$2:B854,B854)</f>
        <v>0</v>
      </c>
    </row>
    <row r="855" spans="1:7" x14ac:dyDescent="0.2">
      <c r="A855" s="1"/>
      <c r="B855" s="1"/>
      <c r="C855" s="8" t="str">
        <f>IFERROR(IF(B855="","",VLOOKUP(B855,المستفيدين!$B:$C,2,FALSE)),"")</f>
        <v/>
      </c>
      <c r="D855" s="1"/>
      <c r="E855" s="1"/>
      <c r="F855" s="1"/>
      <c r="G855">
        <f>COUNTIF($B$2:B855,B855)</f>
        <v>0</v>
      </c>
    </row>
    <row r="856" spans="1:7" x14ac:dyDescent="0.2">
      <c r="A856" s="1"/>
      <c r="B856" s="1"/>
      <c r="C856" s="8" t="str">
        <f>IFERROR(IF(B856="","",VLOOKUP(B856,المستفيدين!$B:$C,2,FALSE)),"")</f>
        <v/>
      </c>
      <c r="D856" s="1"/>
      <c r="E856" s="1"/>
      <c r="F856" s="1"/>
      <c r="G856">
        <f>COUNTIF($B$2:B856,B856)</f>
        <v>0</v>
      </c>
    </row>
    <row r="857" spans="1:7" x14ac:dyDescent="0.2">
      <c r="A857" s="1"/>
      <c r="B857" s="1"/>
      <c r="C857" s="8" t="str">
        <f>IFERROR(IF(B857="","",VLOOKUP(B857,المستفيدين!$B:$C,2,FALSE)),"")</f>
        <v/>
      </c>
      <c r="D857" s="1"/>
      <c r="E857" s="1"/>
      <c r="F857" s="1"/>
      <c r="G857">
        <f>COUNTIF($B$2:B857,B857)</f>
        <v>0</v>
      </c>
    </row>
    <row r="858" spans="1:7" x14ac:dyDescent="0.2">
      <c r="A858" s="1"/>
      <c r="B858" s="1"/>
      <c r="C858" s="8" t="str">
        <f>IFERROR(IF(B858="","",VLOOKUP(B858,المستفيدين!$B:$C,2,FALSE)),"")</f>
        <v/>
      </c>
      <c r="D858" s="1"/>
      <c r="E858" s="1"/>
      <c r="F858" s="1"/>
      <c r="G858">
        <f>COUNTIF($B$2:B858,B858)</f>
        <v>0</v>
      </c>
    </row>
    <row r="859" spans="1:7" x14ac:dyDescent="0.2">
      <c r="A859" s="1"/>
      <c r="B859" s="1"/>
      <c r="C859" s="8" t="str">
        <f>IFERROR(IF(B859="","",VLOOKUP(B859,المستفيدين!$B:$C,2,FALSE)),"")</f>
        <v/>
      </c>
      <c r="D859" s="1"/>
      <c r="E859" s="1"/>
      <c r="F859" s="1"/>
      <c r="G859">
        <f>COUNTIF($B$2:B859,B859)</f>
        <v>0</v>
      </c>
    </row>
    <row r="860" spans="1:7" x14ac:dyDescent="0.2">
      <c r="A860" s="1"/>
      <c r="B860" s="1"/>
      <c r="C860" s="8" t="str">
        <f>IFERROR(IF(B860="","",VLOOKUP(B860,المستفيدين!$B:$C,2,FALSE)),"")</f>
        <v/>
      </c>
      <c r="D860" s="1"/>
      <c r="E860" s="1"/>
      <c r="F860" s="1"/>
      <c r="G860">
        <f>COUNTIF($B$2:B860,B860)</f>
        <v>0</v>
      </c>
    </row>
    <row r="861" spans="1:7" x14ac:dyDescent="0.2">
      <c r="A861" s="1"/>
      <c r="B861" s="1"/>
      <c r="C861" s="8" t="str">
        <f>IFERROR(IF(B861="","",VLOOKUP(B861,المستفيدين!$B:$C,2,FALSE)),"")</f>
        <v/>
      </c>
      <c r="D861" s="1"/>
      <c r="E861" s="1"/>
      <c r="F861" s="1"/>
      <c r="G861">
        <f>COUNTIF($B$2:B861,B861)</f>
        <v>0</v>
      </c>
    </row>
    <row r="862" spans="1:7" x14ac:dyDescent="0.2">
      <c r="A862" s="1"/>
      <c r="B862" s="1"/>
      <c r="C862" s="8" t="str">
        <f>IFERROR(IF(B862="","",VLOOKUP(B862,المستفيدين!$B:$C,2,FALSE)),"")</f>
        <v/>
      </c>
      <c r="D862" s="1"/>
      <c r="E862" s="1"/>
      <c r="F862" s="1"/>
      <c r="G862">
        <f>COUNTIF($B$2:B862,B862)</f>
        <v>0</v>
      </c>
    </row>
    <row r="863" spans="1:7" x14ac:dyDescent="0.2">
      <c r="A863" s="1"/>
      <c r="B863" s="1"/>
      <c r="C863" s="8" t="str">
        <f>IFERROR(IF(B863="","",VLOOKUP(B863,المستفيدين!$B:$C,2,FALSE)),"")</f>
        <v/>
      </c>
      <c r="D863" s="1"/>
      <c r="E863" s="1"/>
      <c r="F863" s="1"/>
      <c r="G863">
        <f>COUNTIF($B$2:B863,B863)</f>
        <v>0</v>
      </c>
    </row>
    <row r="864" spans="1:7" x14ac:dyDescent="0.2">
      <c r="A864" s="1"/>
      <c r="B864" s="1"/>
      <c r="C864" s="8" t="str">
        <f>IFERROR(IF(B864="","",VLOOKUP(B864,المستفيدين!$B:$C,2,FALSE)),"")</f>
        <v/>
      </c>
      <c r="D864" s="1"/>
      <c r="E864" s="1"/>
      <c r="F864" s="1"/>
      <c r="G864">
        <f>COUNTIF($B$2:B864,B864)</f>
        <v>0</v>
      </c>
    </row>
    <row r="865" spans="1:7" x14ac:dyDescent="0.2">
      <c r="A865" s="1"/>
      <c r="B865" s="1"/>
      <c r="C865" s="8" t="str">
        <f>IFERROR(IF(B865="","",VLOOKUP(B865,المستفيدين!$B:$C,2,FALSE)),"")</f>
        <v/>
      </c>
      <c r="D865" s="1"/>
      <c r="E865" s="1"/>
      <c r="F865" s="1"/>
      <c r="G865">
        <f>COUNTIF($B$2:B865,B865)</f>
        <v>0</v>
      </c>
    </row>
    <row r="866" spans="1:7" x14ac:dyDescent="0.2">
      <c r="A866" s="1"/>
      <c r="B866" s="1"/>
      <c r="C866" s="8" t="str">
        <f>IFERROR(IF(B866="","",VLOOKUP(B866,المستفيدين!$B:$C,2,FALSE)),"")</f>
        <v/>
      </c>
      <c r="D866" s="1"/>
      <c r="E866" s="1"/>
      <c r="F866" s="1"/>
      <c r="G866">
        <f>COUNTIF($B$2:B866,B866)</f>
        <v>0</v>
      </c>
    </row>
    <row r="867" spans="1:7" x14ac:dyDescent="0.2">
      <c r="A867" s="1"/>
      <c r="B867" s="1"/>
      <c r="C867" s="8" t="str">
        <f>IFERROR(IF(B867="","",VLOOKUP(B867,المستفيدين!$B:$C,2,FALSE)),"")</f>
        <v/>
      </c>
      <c r="D867" s="1"/>
      <c r="E867" s="1"/>
      <c r="F867" s="1"/>
      <c r="G867">
        <f>COUNTIF($B$2:B867,B867)</f>
        <v>0</v>
      </c>
    </row>
    <row r="868" spans="1:7" x14ac:dyDescent="0.2">
      <c r="A868" s="1"/>
      <c r="B868" s="1"/>
      <c r="C868" s="8" t="str">
        <f>IFERROR(IF(B868="","",VLOOKUP(B868,المستفيدين!$B:$C,2,FALSE)),"")</f>
        <v/>
      </c>
      <c r="D868" s="1"/>
      <c r="E868" s="1"/>
      <c r="F868" s="1"/>
      <c r="G868">
        <f>COUNTIF($B$2:B868,B868)</f>
        <v>0</v>
      </c>
    </row>
    <row r="869" spans="1:7" x14ac:dyDescent="0.2">
      <c r="A869" s="1"/>
      <c r="B869" s="1"/>
      <c r="C869" s="8" t="str">
        <f>IFERROR(IF(B869="","",VLOOKUP(B869,المستفيدين!$B:$C,2,FALSE)),"")</f>
        <v/>
      </c>
      <c r="D869" s="1"/>
      <c r="E869" s="1"/>
      <c r="F869" s="1"/>
      <c r="G869">
        <f>COUNTIF($B$2:B869,B869)</f>
        <v>0</v>
      </c>
    </row>
    <row r="870" spans="1:7" x14ac:dyDescent="0.2">
      <c r="A870" s="1"/>
      <c r="B870" s="1"/>
      <c r="C870" s="8" t="str">
        <f>IFERROR(IF(B870="","",VLOOKUP(B870,المستفيدين!$B:$C,2,FALSE)),"")</f>
        <v/>
      </c>
      <c r="D870" s="1"/>
      <c r="E870" s="1"/>
      <c r="F870" s="1"/>
      <c r="G870">
        <f>COUNTIF($B$2:B870,B870)</f>
        <v>0</v>
      </c>
    </row>
    <row r="871" spans="1:7" x14ac:dyDescent="0.2">
      <c r="A871" s="1"/>
      <c r="B871" s="1"/>
      <c r="C871" s="8" t="str">
        <f>IFERROR(IF(B871="","",VLOOKUP(B871,المستفيدين!$B:$C,2,FALSE)),"")</f>
        <v/>
      </c>
      <c r="D871" s="1"/>
      <c r="E871" s="1"/>
      <c r="F871" s="1"/>
      <c r="G871">
        <f>COUNTIF($B$2:B871,B871)</f>
        <v>0</v>
      </c>
    </row>
    <row r="872" spans="1:7" x14ac:dyDescent="0.2">
      <c r="A872" s="1"/>
      <c r="B872" s="1"/>
      <c r="C872" s="8" t="str">
        <f>IFERROR(IF(B872="","",VLOOKUP(B872,المستفيدين!$B:$C,2,FALSE)),"")</f>
        <v/>
      </c>
      <c r="D872" s="1"/>
      <c r="E872" s="1"/>
      <c r="F872" s="1"/>
      <c r="G872">
        <f>COUNTIF($B$2:B872,B872)</f>
        <v>0</v>
      </c>
    </row>
    <row r="873" spans="1:7" x14ac:dyDescent="0.2">
      <c r="A873" s="1"/>
      <c r="B873" s="1"/>
      <c r="C873" s="8" t="str">
        <f>IFERROR(IF(B873="","",VLOOKUP(B873,المستفيدين!$B:$C,2,FALSE)),"")</f>
        <v/>
      </c>
      <c r="D873" s="1"/>
      <c r="E873" s="1"/>
      <c r="F873" s="1"/>
      <c r="G873">
        <f>COUNTIF($B$2:B873,B873)</f>
        <v>0</v>
      </c>
    </row>
    <row r="874" spans="1:7" x14ac:dyDescent="0.2">
      <c r="A874" s="1"/>
      <c r="B874" s="1"/>
      <c r="C874" s="8" t="str">
        <f>IFERROR(IF(B874="","",VLOOKUP(B874,المستفيدين!$B:$C,2,FALSE)),"")</f>
        <v/>
      </c>
      <c r="D874" s="1"/>
      <c r="E874" s="1"/>
      <c r="F874" s="1"/>
      <c r="G874">
        <f>COUNTIF($B$2:B874,B874)</f>
        <v>0</v>
      </c>
    </row>
    <row r="875" spans="1:7" x14ac:dyDescent="0.2">
      <c r="A875" s="1"/>
      <c r="B875" s="1"/>
      <c r="C875" s="8" t="str">
        <f>IFERROR(IF(B875="","",VLOOKUP(B875,المستفيدين!$B:$C,2,FALSE)),"")</f>
        <v/>
      </c>
      <c r="D875" s="1"/>
      <c r="E875" s="1"/>
      <c r="F875" s="1"/>
      <c r="G875">
        <f>COUNTIF($B$2:B875,B875)</f>
        <v>0</v>
      </c>
    </row>
    <row r="876" spans="1:7" x14ac:dyDescent="0.2">
      <c r="A876" s="1"/>
      <c r="B876" s="1"/>
      <c r="C876" s="8" t="str">
        <f>IFERROR(IF(B876="","",VLOOKUP(B876,المستفيدين!$B:$C,2,FALSE)),"")</f>
        <v/>
      </c>
      <c r="D876" s="1"/>
      <c r="E876" s="1"/>
      <c r="F876" s="1"/>
      <c r="G876">
        <f>COUNTIF($B$2:B876,B876)</f>
        <v>0</v>
      </c>
    </row>
    <row r="877" spans="1:7" x14ac:dyDescent="0.2">
      <c r="A877" s="1"/>
      <c r="B877" s="1"/>
      <c r="C877" s="8" t="str">
        <f>IFERROR(IF(B877="","",VLOOKUP(B877,المستفيدين!$B:$C,2,FALSE)),"")</f>
        <v/>
      </c>
      <c r="D877" s="1"/>
      <c r="E877" s="1"/>
      <c r="F877" s="1"/>
      <c r="G877">
        <f>COUNTIF($B$2:B877,B877)</f>
        <v>0</v>
      </c>
    </row>
    <row r="878" spans="1:7" x14ac:dyDescent="0.2">
      <c r="A878" s="1"/>
      <c r="B878" s="1"/>
      <c r="C878" s="8" t="str">
        <f>IFERROR(IF(B878="","",VLOOKUP(B878,المستفيدين!$B:$C,2,FALSE)),"")</f>
        <v/>
      </c>
      <c r="D878" s="1"/>
      <c r="E878" s="1"/>
      <c r="F878" s="1"/>
      <c r="G878">
        <f>COUNTIF($B$2:B878,B878)</f>
        <v>0</v>
      </c>
    </row>
    <row r="879" spans="1:7" x14ac:dyDescent="0.2">
      <c r="A879" s="1"/>
      <c r="B879" s="1"/>
      <c r="C879" s="8" t="str">
        <f>IFERROR(IF(B879="","",VLOOKUP(B879,المستفيدين!$B:$C,2,FALSE)),"")</f>
        <v/>
      </c>
      <c r="D879" s="1"/>
      <c r="E879" s="1"/>
      <c r="F879" s="1"/>
      <c r="G879">
        <f>COUNTIF($B$2:B879,B879)</f>
        <v>0</v>
      </c>
    </row>
    <row r="880" spans="1:7" x14ac:dyDescent="0.2">
      <c r="A880" s="1"/>
      <c r="B880" s="1"/>
      <c r="C880" s="8" t="str">
        <f>IFERROR(IF(B880="","",VLOOKUP(B880,المستفيدين!$B:$C,2,FALSE)),"")</f>
        <v/>
      </c>
      <c r="D880" s="1"/>
      <c r="E880" s="1"/>
      <c r="F880" s="1"/>
      <c r="G880">
        <f>COUNTIF($B$2:B880,B880)</f>
        <v>0</v>
      </c>
    </row>
    <row r="881" spans="1:7" x14ac:dyDescent="0.2">
      <c r="A881" s="1"/>
      <c r="B881" s="1"/>
      <c r="C881" s="8" t="str">
        <f>IFERROR(IF(B881="","",VLOOKUP(B881,المستفيدين!$B:$C,2,FALSE)),"")</f>
        <v/>
      </c>
      <c r="D881" s="1"/>
      <c r="E881" s="1"/>
      <c r="F881" s="1"/>
      <c r="G881">
        <f>COUNTIF($B$2:B881,B881)</f>
        <v>0</v>
      </c>
    </row>
    <row r="882" spans="1:7" x14ac:dyDescent="0.2">
      <c r="A882" s="1"/>
      <c r="B882" s="1"/>
      <c r="C882" s="8" t="str">
        <f>IFERROR(IF(B882="","",VLOOKUP(B882,المستفيدين!$B:$C,2,FALSE)),"")</f>
        <v/>
      </c>
      <c r="D882" s="1"/>
      <c r="E882" s="1"/>
      <c r="F882" s="1"/>
      <c r="G882">
        <f>COUNTIF($B$2:B882,B882)</f>
        <v>0</v>
      </c>
    </row>
    <row r="883" spans="1:7" x14ac:dyDescent="0.2">
      <c r="A883" s="1"/>
      <c r="B883" s="1"/>
      <c r="C883" s="8" t="str">
        <f>IFERROR(IF(B883="","",VLOOKUP(B883,المستفيدين!$B:$C,2,FALSE)),"")</f>
        <v/>
      </c>
      <c r="D883" s="1"/>
      <c r="E883" s="1"/>
      <c r="F883" s="1"/>
      <c r="G883">
        <f>COUNTIF($B$2:B883,B883)</f>
        <v>0</v>
      </c>
    </row>
    <row r="884" spans="1:7" x14ac:dyDescent="0.2">
      <c r="A884" s="1"/>
      <c r="B884" s="1"/>
      <c r="C884" s="8" t="str">
        <f>IFERROR(IF(B884="","",VLOOKUP(B884,المستفيدين!$B:$C,2,FALSE)),"")</f>
        <v/>
      </c>
      <c r="D884" s="1"/>
      <c r="E884" s="1"/>
      <c r="F884" s="1"/>
      <c r="G884">
        <f>COUNTIF($B$2:B884,B884)</f>
        <v>0</v>
      </c>
    </row>
    <row r="885" spans="1:7" x14ac:dyDescent="0.2">
      <c r="A885" s="1"/>
      <c r="B885" s="1"/>
      <c r="C885" s="8" t="str">
        <f>IFERROR(IF(B885="","",VLOOKUP(B885,المستفيدين!$B:$C,2,FALSE)),"")</f>
        <v/>
      </c>
      <c r="D885" s="1"/>
      <c r="E885" s="1"/>
      <c r="F885" s="1"/>
      <c r="G885">
        <f>COUNTIF($B$2:B885,B885)</f>
        <v>0</v>
      </c>
    </row>
    <row r="886" spans="1:7" x14ac:dyDescent="0.2">
      <c r="A886" s="1"/>
      <c r="B886" s="1"/>
      <c r="C886" s="8" t="str">
        <f>IFERROR(IF(B886="","",VLOOKUP(B886,المستفيدين!$B:$C,2,FALSE)),"")</f>
        <v/>
      </c>
      <c r="D886" s="1"/>
      <c r="E886" s="1"/>
      <c r="F886" s="1"/>
      <c r="G886">
        <f>COUNTIF($B$2:B886,B886)</f>
        <v>0</v>
      </c>
    </row>
    <row r="887" spans="1:7" x14ac:dyDescent="0.2">
      <c r="A887" s="1"/>
      <c r="B887" s="1"/>
      <c r="C887" s="8" t="str">
        <f>IFERROR(IF(B887="","",VLOOKUP(B887,المستفيدين!$B:$C,2,FALSE)),"")</f>
        <v/>
      </c>
      <c r="D887" s="1"/>
      <c r="E887" s="1"/>
      <c r="F887" s="1"/>
      <c r="G887">
        <f>COUNTIF($B$2:B887,B887)</f>
        <v>0</v>
      </c>
    </row>
    <row r="888" spans="1:7" x14ac:dyDescent="0.2">
      <c r="A888" s="1"/>
      <c r="B888" s="1"/>
      <c r="C888" s="8" t="str">
        <f>IFERROR(IF(B888="","",VLOOKUP(B888,المستفيدين!$B:$C,2,FALSE)),"")</f>
        <v/>
      </c>
      <c r="D888" s="1"/>
      <c r="E888" s="1"/>
      <c r="F888" s="1"/>
      <c r="G888">
        <f>COUNTIF($B$2:B888,B888)</f>
        <v>0</v>
      </c>
    </row>
    <row r="889" spans="1:7" x14ac:dyDescent="0.2">
      <c r="A889" s="1"/>
      <c r="B889" s="1"/>
      <c r="C889" s="8" t="str">
        <f>IFERROR(IF(B889="","",VLOOKUP(B889,المستفيدين!$B:$C,2,FALSE)),"")</f>
        <v/>
      </c>
      <c r="D889" s="1"/>
      <c r="E889" s="1"/>
      <c r="F889" s="1"/>
      <c r="G889">
        <f>COUNTIF($B$2:B889,B889)</f>
        <v>0</v>
      </c>
    </row>
    <row r="890" spans="1:7" x14ac:dyDescent="0.2">
      <c r="A890" s="1"/>
      <c r="B890" s="1"/>
      <c r="C890" s="8" t="str">
        <f>IFERROR(IF(B890="","",VLOOKUP(B890,المستفيدين!$B:$C,2,FALSE)),"")</f>
        <v/>
      </c>
      <c r="D890" s="1"/>
      <c r="E890" s="1"/>
      <c r="F890" s="1"/>
      <c r="G890">
        <f>COUNTIF($B$2:B890,B890)</f>
        <v>0</v>
      </c>
    </row>
    <row r="891" spans="1:7" x14ac:dyDescent="0.2">
      <c r="A891" s="1"/>
      <c r="B891" s="1"/>
      <c r="C891" s="8" t="str">
        <f>IFERROR(IF(B891="","",VLOOKUP(B891,المستفيدين!$B:$C,2,FALSE)),"")</f>
        <v/>
      </c>
      <c r="D891" s="1"/>
      <c r="E891" s="1"/>
      <c r="F891" s="1"/>
      <c r="G891">
        <f>COUNTIF($B$2:B891,B891)</f>
        <v>0</v>
      </c>
    </row>
    <row r="892" spans="1:7" x14ac:dyDescent="0.2">
      <c r="A892" s="1"/>
      <c r="B892" s="1"/>
      <c r="C892" s="8" t="str">
        <f>IFERROR(IF(B892="","",VLOOKUP(B892,المستفيدين!$B:$C,2,FALSE)),"")</f>
        <v/>
      </c>
      <c r="D892" s="1"/>
      <c r="E892" s="1"/>
      <c r="F892" s="1"/>
      <c r="G892">
        <f>COUNTIF($B$2:B892,B892)</f>
        <v>0</v>
      </c>
    </row>
    <row r="893" spans="1:7" x14ac:dyDescent="0.2">
      <c r="A893" s="1"/>
      <c r="B893" s="1"/>
      <c r="C893" s="8" t="str">
        <f>IFERROR(IF(B893="","",VLOOKUP(B893,المستفيدين!$B:$C,2,FALSE)),"")</f>
        <v/>
      </c>
      <c r="D893" s="1"/>
      <c r="E893" s="1"/>
      <c r="F893" s="1"/>
      <c r="G893">
        <f>COUNTIF($B$2:B893,B893)</f>
        <v>0</v>
      </c>
    </row>
    <row r="894" spans="1:7" x14ac:dyDescent="0.2">
      <c r="A894" s="1"/>
      <c r="B894" s="1"/>
      <c r="C894" s="8" t="str">
        <f>IFERROR(IF(B894="","",VLOOKUP(B894,المستفيدين!$B:$C,2,FALSE)),"")</f>
        <v/>
      </c>
      <c r="D894" s="1"/>
      <c r="E894" s="1"/>
      <c r="F894" s="1"/>
      <c r="G894">
        <f>COUNTIF($B$2:B894,B894)</f>
        <v>0</v>
      </c>
    </row>
    <row r="895" spans="1:7" x14ac:dyDescent="0.2">
      <c r="A895" s="1"/>
      <c r="B895" s="1"/>
      <c r="C895" s="8" t="str">
        <f>IFERROR(IF(B895="","",VLOOKUP(B895,المستفيدين!$B:$C,2,FALSE)),"")</f>
        <v/>
      </c>
      <c r="D895" s="1"/>
      <c r="E895" s="1"/>
      <c r="F895" s="1"/>
      <c r="G895">
        <f>COUNTIF($B$2:B895,B895)</f>
        <v>0</v>
      </c>
    </row>
    <row r="896" spans="1:7" x14ac:dyDescent="0.2">
      <c r="A896" s="1"/>
      <c r="B896" s="1"/>
      <c r="C896" s="8" t="str">
        <f>IFERROR(IF(B896="","",VLOOKUP(B896,المستفيدين!$B:$C,2,FALSE)),"")</f>
        <v/>
      </c>
      <c r="D896" s="1"/>
      <c r="E896" s="1"/>
      <c r="F896" s="1"/>
      <c r="G896">
        <f>COUNTIF($B$2:B896,B896)</f>
        <v>0</v>
      </c>
    </row>
    <row r="897" spans="1:7" x14ac:dyDescent="0.2">
      <c r="A897" s="1"/>
      <c r="B897" s="1"/>
      <c r="C897" s="8" t="str">
        <f>IFERROR(IF(B897="","",VLOOKUP(B897,المستفيدين!$B:$C,2,FALSE)),"")</f>
        <v/>
      </c>
      <c r="D897" s="1"/>
      <c r="E897" s="1"/>
      <c r="F897" s="1"/>
      <c r="G897">
        <f>COUNTIF($B$2:B897,B897)</f>
        <v>0</v>
      </c>
    </row>
    <row r="898" spans="1:7" x14ac:dyDescent="0.2">
      <c r="A898" s="1"/>
      <c r="B898" s="1"/>
      <c r="C898" s="8" t="str">
        <f>IFERROR(IF(B898="","",VLOOKUP(B898,المستفيدين!$B:$C,2,FALSE)),"")</f>
        <v/>
      </c>
      <c r="D898" s="1"/>
      <c r="E898" s="1"/>
      <c r="F898" s="1"/>
      <c r="G898">
        <f>COUNTIF($B$2:B898,B898)</f>
        <v>0</v>
      </c>
    </row>
    <row r="899" spans="1:7" x14ac:dyDescent="0.2">
      <c r="A899" s="1"/>
      <c r="B899" s="1"/>
      <c r="C899" s="8" t="str">
        <f>IFERROR(IF(B899="","",VLOOKUP(B899,المستفيدين!$B:$C,2,FALSE)),"")</f>
        <v/>
      </c>
      <c r="D899" s="1"/>
      <c r="E899" s="1"/>
      <c r="F899" s="1"/>
      <c r="G899">
        <f>COUNTIF($B$2:B899,B899)</f>
        <v>0</v>
      </c>
    </row>
    <row r="900" spans="1:7" x14ac:dyDescent="0.2">
      <c r="A900" s="1"/>
      <c r="B900" s="1"/>
      <c r="C900" s="8" t="str">
        <f>IFERROR(IF(B900="","",VLOOKUP(B900,المستفيدين!$B:$C,2,FALSE)),"")</f>
        <v/>
      </c>
      <c r="D900" s="1"/>
      <c r="E900" s="1"/>
      <c r="F900" s="1"/>
      <c r="G900">
        <f>COUNTIF($B$2:B900,B900)</f>
        <v>0</v>
      </c>
    </row>
    <row r="901" spans="1:7" x14ac:dyDescent="0.2">
      <c r="A901" s="1"/>
      <c r="B901" s="1"/>
      <c r="C901" s="8" t="str">
        <f>IFERROR(IF(B901="","",VLOOKUP(B901,المستفيدين!$B:$C,2,FALSE)),"")</f>
        <v/>
      </c>
      <c r="D901" s="1"/>
      <c r="E901" s="1"/>
      <c r="F901" s="1"/>
      <c r="G901">
        <f>COUNTIF($B$2:B901,B901)</f>
        <v>0</v>
      </c>
    </row>
    <row r="902" spans="1:7" x14ac:dyDescent="0.2">
      <c r="A902" s="1"/>
      <c r="B902" s="1"/>
      <c r="C902" s="8" t="str">
        <f>IFERROR(IF(B902="","",VLOOKUP(B902,المستفيدين!$B:$C,2,FALSE)),"")</f>
        <v/>
      </c>
      <c r="D902" s="1"/>
      <c r="E902" s="1"/>
      <c r="F902" s="1"/>
      <c r="G902">
        <f>COUNTIF($B$2:B902,B902)</f>
        <v>0</v>
      </c>
    </row>
    <row r="903" spans="1:7" x14ac:dyDescent="0.2">
      <c r="A903" s="1"/>
      <c r="B903" s="1"/>
      <c r="C903" s="8" t="str">
        <f>IFERROR(IF(B903="","",VLOOKUP(B903,المستفيدين!$B:$C,2,FALSE)),"")</f>
        <v/>
      </c>
      <c r="D903" s="1"/>
      <c r="E903" s="1"/>
      <c r="F903" s="1"/>
      <c r="G903">
        <f>COUNTIF($B$2:B903,B903)</f>
        <v>0</v>
      </c>
    </row>
    <row r="904" spans="1:7" x14ac:dyDescent="0.2">
      <c r="A904" s="1"/>
      <c r="B904" s="1"/>
      <c r="C904" s="8" t="str">
        <f>IFERROR(IF(B904="","",VLOOKUP(B904,المستفيدين!$B:$C,2,FALSE)),"")</f>
        <v/>
      </c>
      <c r="D904" s="1"/>
      <c r="E904" s="1"/>
      <c r="F904" s="1"/>
      <c r="G904">
        <f>COUNTIF($B$2:B904,B904)</f>
        <v>0</v>
      </c>
    </row>
    <row r="905" spans="1:7" x14ac:dyDescent="0.2">
      <c r="A905" s="1"/>
      <c r="B905" s="1"/>
      <c r="C905" s="8" t="str">
        <f>IFERROR(IF(B905="","",VLOOKUP(B905,المستفيدين!$B:$C,2,FALSE)),"")</f>
        <v/>
      </c>
      <c r="D905" s="1"/>
      <c r="E905" s="1"/>
      <c r="F905" s="1"/>
      <c r="G905">
        <f>COUNTIF($B$2:B905,B905)</f>
        <v>0</v>
      </c>
    </row>
    <row r="906" spans="1:7" x14ac:dyDescent="0.2">
      <c r="A906" s="1"/>
      <c r="B906" s="1"/>
      <c r="C906" s="8" t="str">
        <f>IFERROR(IF(B906="","",VLOOKUP(B906,المستفيدين!$B:$C,2,FALSE)),"")</f>
        <v/>
      </c>
      <c r="D906" s="1"/>
      <c r="E906" s="1"/>
      <c r="F906" s="1"/>
      <c r="G906">
        <f>COUNTIF($B$2:B906,B906)</f>
        <v>0</v>
      </c>
    </row>
    <row r="907" spans="1:7" x14ac:dyDescent="0.2">
      <c r="A907" s="1"/>
      <c r="B907" s="1"/>
      <c r="C907" s="8" t="str">
        <f>IFERROR(IF(B907="","",VLOOKUP(B907,المستفيدين!$B:$C,2,FALSE)),"")</f>
        <v/>
      </c>
      <c r="D907" s="1"/>
      <c r="E907" s="1"/>
      <c r="F907" s="1"/>
      <c r="G907">
        <f>COUNTIF($B$2:B907,B907)</f>
        <v>0</v>
      </c>
    </row>
    <row r="908" spans="1:7" x14ac:dyDescent="0.2">
      <c r="A908" s="1"/>
      <c r="B908" s="1"/>
      <c r="C908" s="8" t="str">
        <f>IFERROR(IF(B908="","",VLOOKUP(B908,المستفيدين!$B:$C,2,FALSE)),"")</f>
        <v/>
      </c>
      <c r="D908" s="1"/>
      <c r="E908" s="1"/>
      <c r="F908" s="1"/>
      <c r="G908">
        <f>COUNTIF($B$2:B908,B908)</f>
        <v>0</v>
      </c>
    </row>
    <row r="909" spans="1:7" x14ac:dyDescent="0.2">
      <c r="A909" s="1"/>
      <c r="B909" s="1"/>
      <c r="C909" s="8" t="str">
        <f>IFERROR(IF(B909="","",VLOOKUP(B909,المستفيدين!$B:$C,2,FALSE)),"")</f>
        <v/>
      </c>
      <c r="D909" s="1"/>
      <c r="E909" s="1"/>
      <c r="F909" s="1"/>
      <c r="G909">
        <f>COUNTIF($B$2:B909,B909)</f>
        <v>0</v>
      </c>
    </row>
    <row r="910" spans="1:7" x14ac:dyDescent="0.2">
      <c r="A910" s="1"/>
      <c r="B910" s="1"/>
      <c r="C910" s="8" t="str">
        <f>IFERROR(IF(B910="","",VLOOKUP(B910,المستفيدين!$B:$C,2,FALSE)),"")</f>
        <v/>
      </c>
      <c r="D910" s="1"/>
      <c r="E910" s="1"/>
      <c r="F910" s="1"/>
      <c r="G910">
        <f>COUNTIF($B$2:B910,B910)</f>
        <v>0</v>
      </c>
    </row>
    <row r="911" spans="1:7" x14ac:dyDescent="0.2">
      <c r="A911" s="1"/>
      <c r="B911" s="1"/>
      <c r="C911" s="8" t="str">
        <f>IFERROR(IF(B911="","",VLOOKUP(B911,المستفيدين!$B:$C,2,FALSE)),"")</f>
        <v/>
      </c>
      <c r="D911" s="1"/>
      <c r="E911" s="1"/>
      <c r="F911" s="1"/>
      <c r="G911">
        <f>COUNTIF($B$2:B911,B911)</f>
        <v>0</v>
      </c>
    </row>
    <row r="912" spans="1:7" x14ac:dyDescent="0.2">
      <c r="A912" s="1"/>
      <c r="B912" s="1"/>
      <c r="C912" s="8" t="str">
        <f>IFERROR(IF(B912="","",VLOOKUP(B912,المستفيدين!$B:$C,2,FALSE)),"")</f>
        <v/>
      </c>
      <c r="D912" s="1"/>
      <c r="E912" s="1"/>
      <c r="F912" s="1"/>
      <c r="G912">
        <f>COUNTIF($B$2:B912,B912)</f>
        <v>0</v>
      </c>
    </row>
    <row r="913" spans="1:7" x14ac:dyDescent="0.2">
      <c r="A913" s="1"/>
      <c r="B913" s="1"/>
      <c r="C913" s="8" t="str">
        <f>IFERROR(IF(B913="","",VLOOKUP(B913,المستفيدين!$B:$C,2,FALSE)),"")</f>
        <v/>
      </c>
      <c r="D913" s="1"/>
      <c r="E913" s="1"/>
      <c r="F913" s="1"/>
      <c r="G913">
        <f>COUNTIF($B$2:B913,B913)</f>
        <v>0</v>
      </c>
    </row>
    <row r="914" spans="1:7" x14ac:dyDescent="0.2">
      <c r="A914" s="1"/>
      <c r="B914" s="1"/>
      <c r="C914" s="8" t="str">
        <f>IFERROR(IF(B914="","",VLOOKUP(B914,المستفيدين!$B:$C,2,FALSE)),"")</f>
        <v/>
      </c>
      <c r="D914" s="1"/>
      <c r="E914" s="1"/>
      <c r="F914" s="1"/>
      <c r="G914">
        <f>COUNTIF($B$2:B914,B914)</f>
        <v>0</v>
      </c>
    </row>
    <row r="915" spans="1:7" x14ac:dyDescent="0.2">
      <c r="A915" s="1"/>
      <c r="B915" s="1"/>
      <c r="C915" s="8" t="str">
        <f>IFERROR(IF(B915="","",VLOOKUP(B915,المستفيدين!$B:$C,2,FALSE)),"")</f>
        <v/>
      </c>
      <c r="D915" s="1"/>
      <c r="E915" s="1"/>
      <c r="F915" s="1"/>
      <c r="G915">
        <f>COUNTIF($B$2:B915,B915)</f>
        <v>0</v>
      </c>
    </row>
    <row r="916" spans="1:7" x14ac:dyDescent="0.2">
      <c r="A916" s="1"/>
      <c r="B916" s="1"/>
      <c r="C916" s="8" t="str">
        <f>IFERROR(IF(B916="","",VLOOKUP(B916,المستفيدين!$B:$C,2,FALSE)),"")</f>
        <v/>
      </c>
      <c r="D916" s="1"/>
      <c r="E916" s="1"/>
      <c r="F916" s="1"/>
      <c r="G916">
        <f>COUNTIF($B$2:B916,B916)</f>
        <v>0</v>
      </c>
    </row>
    <row r="917" spans="1:7" x14ac:dyDescent="0.2">
      <c r="A917" s="1"/>
      <c r="B917" s="1"/>
      <c r="C917" s="8" t="str">
        <f>IFERROR(IF(B917="","",VLOOKUP(B917,المستفيدين!$B:$C,2,FALSE)),"")</f>
        <v/>
      </c>
      <c r="D917" s="1"/>
      <c r="E917" s="1"/>
      <c r="F917" s="1"/>
      <c r="G917">
        <f>COUNTIF($B$2:B917,B917)</f>
        <v>0</v>
      </c>
    </row>
    <row r="918" spans="1:7" x14ac:dyDescent="0.2">
      <c r="A918" s="1"/>
      <c r="B918" s="1"/>
      <c r="C918" s="8" t="str">
        <f>IFERROR(IF(B918="","",VLOOKUP(B918,المستفيدين!$B:$C,2,FALSE)),"")</f>
        <v/>
      </c>
      <c r="D918" s="1"/>
      <c r="E918" s="1"/>
      <c r="F918" s="1"/>
      <c r="G918">
        <f>COUNTIF($B$2:B918,B918)</f>
        <v>0</v>
      </c>
    </row>
    <row r="919" spans="1:7" x14ac:dyDescent="0.2">
      <c r="A919" s="1"/>
      <c r="B919" s="1"/>
      <c r="C919" s="8" t="str">
        <f>IFERROR(IF(B919="","",VLOOKUP(B919,المستفيدين!$B:$C,2,FALSE)),"")</f>
        <v/>
      </c>
      <c r="D919" s="1"/>
      <c r="E919" s="1"/>
      <c r="F919" s="1"/>
      <c r="G919">
        <f>COUNTIF($B$2:B919,B919)</f>
        <v>0</v>
      </c>
    </row>
    <row r="920" spans="1:7" x14ac:dyDescent="0.2">
      <c r="A920" s="1"/>
      <c r="B920" s="1"/>
      <c r="C920" s="8" t="str">
        <f>IFERROR(IF(B920="","",VLOOKUP(B920,المستفيدين!$B:$C,2,FALSE)),"")</f>
        <v/>
      </c>
      <c r="D920" s="1"/>
      <c r="E920" s="1"/>
      <c r="F920" s="1"/>
      <c r="G920">
        <f>COUNTIF($B$2:B920,B920)</f>
        <v>0</v>
      </c>
    </row>
    <row r="921" spans="1:7" x14ac:dyDescent="0.2">
      <c r="A921" s="1"/>
      <c r="B921" s="1"/>
      <c r="C921" s="8" t="str">
        <f>IFERROR(IF(B921="","",VLOOKUP(B921,المستفيدين!$B:$C,2,FALSE)),"")</f>
        <v/>
      </c>
      <c r="D921" s="1"/>
      <c r="E921" s="1"/>
      <c r="F921" s="1"/>
      <c r="G921">
        <f>COUNTIF($B$2:B921,B921)</f>
        <v>0</v>
      </c>
    </row>
    <row r="922" spans="1:7" x14ac:dyDescent="0.2">
      <c r="A922" s="1"/>
      <c r="B922" s="1"/>
      <c r="C922" s="8" t="str">
        <f>IFERROR(IF(B922="","",VLOOKUP(B922,المستفيدين!$B:$C,2,FALSE)),"")</f>
        <v/>
      </c>
      <c r="D922" s="1"/>
      <c r="E922" s="1"/>
      <c r="F922" s="1"/>
      <c r="G922">
        <f>COUNTIF($B$2:B922,B922)</f>
        <v>0</v>
      </c>
    </row>
    <row r="923" spans="1:7" x14ac:dyDescent="0.2">
      <c r="A923" s="1"/>
      <c r="B923" s="1"/>
      <c r="C923" s="8" t="str">
        <f>IFERROR(IF(B923="","",VLOOKUP(B923,المستفيدين!$B:$C,2,FALSE)),"")</f>
        <v/>
      </c>
      <c r="D923" s="1"/>
      <c r="E923" s="1"/>
      <c r="F923" s="1"/>
      <c r="G923">
        <f>COUNTIF($B$2:B923,B923)</f>
        <v>0</v>
      </c>
    </row>
    <row r="924" spans="1:7" x14ac:dyDescent="0.2">
      <c r="A924" s="1"/>
      <c r="B924" s="1"/>
      <c r="C924" s="8" t="str">
        <f>IFERROR(IF(B924="","",VLOOKUP(B924,المستفيدين!$B:$C,2,FALSE)),"")</f>
        <v/>
      </c>
      <c r="D924" s="1"/>
      <c r="E924" s="1"/>
      <c r="F924" s="1"/>
      <c r="G924">
        <f>COUNTIF($B$2:B924,B924)</f>
        <v>0</v>
      </c>
    </row>
    <row r="925" spans="1:7" x14ac:dyDescent="0.2">
      <c r="A925" s="1"/>
      <c r="B925" s="1"/>
      <c r="C925" s="8" t="str">
        <f>IFERROR(IF(B925="","",VLOOKUP(B925,المستفيدين!$B:$C,2,FALSE)),"")</f>
        <v/>
      </c>
      <c r="D925" s="1"/>
      <c r="E925" s="1"/>
      <c r="F925" s="1"/>
      <c r="G925">
        <f>COUNTIF($B$2:B925,B925)</f>
        <v>0</v>
      </c>
    </row>
    <row r="926" spans="1:7" x14ac:dyDescent="0.2">
      <c r="A926" s="1"/>
      <c r="B926" s="1"/>
      <c r="C926" s="8" t="str">
        <f>IFERROR(IF(B926="","",VLOOKUP(B926,المستفيدين!$B:$C,2,FALSE)),"")</f>
        <v/>
      </c>
      <c r="D926" s="1"/>
      <c r="E926" s="1"/>
      <c r="F926" s="1"/>
      <c r="G926">
        <f>COUNTIF($B$2:B926,B926)</f>
        <v>0</v>
      </c>
    </row>
    <row r="927" spans="1:7" x14ac:dyDescent="0.2">
      <c r="A927" s="1"/>
      <c r="B927" s="1"/>
      <c r="C927" s="8" t="str">
        <f>IFERROR(IF(B927="","",VLOOKUP(B927,المستفيدين!$B:$C,2,FALSE)),"")</f>
        <v/>
      </c>
      <c r="D927" s="1"/>
      <c r="E927" s="1"/>
      <c r="F927" s="1"/>
      <c r="G927">
        <f>COUNTIF($B$2:B927,B927)</f>
        <v>0</v>
      </c>
    </row>
    <row r="928" spans="1:7" x14ac:dyDescent="0.2">
      <c r="A928" s="1"/>
      <c r="B928" s="1"/>
      <c r="C928" s="8" t="str">
        <f>IFERROR(IF(B928="","",VLOOKUP(B928,المستفيدين!$B:$C,2,FALSE)),"")</f>
        <v/>
      </c>
      <c r="D928" s="1"/>
      <c r="E928" s="1"/>
      <c r="F928" s="1"/>
      <c r="G928">
        <f>COUNTIF($B$2:B928,B928)</f>
        <v>0</v>
      </c>
    </row>
    <row r="929" spans="1:7" x14ac:dyDescent="0.2">
      <c r="A929" s="1"/>
      <c r="B929" s="1"/>
      <c r="C929" s="8" t="str">
        <f>IFERROR(IF(B929="","",VLOOKUP(B929,المستفيدين!$B:$C,2,FALSE)),"")</f>
        <v/>
      </c>
      <c r="D929" s="1"/>
      <c r="E929" s="1"/>
      <c r="F929" s="1"/>
      <c r="G929">
        <f>COUNTIF($B$2:B929,B929)</f>
        <v>0</v>
      </c>
    </row>
    <row r="930" spans="1:7" x14ac:dyDescent="0.2">
      <c r="A930" s="1"/>
      <c r="B930" s="1"/>
      <c r="C930" s="8" t="str">
        <f>IFERROR(IF(B930="","",VLOOKUP(B930,المستفيدين!$B:$C,2,FALSE)),"")</f>
        <v/>
      </c>
      <c r="D930" s="1"/>
      <c r="E930" s="1"/>
      <c r="F930" s="1"/>
      <c r="G930">
        <f>COUNTIF($B$2:B930,B930)</f>
        <v>0</v>
      </c>
    </row>
    <row r="931" spans="1:7" x14ac:dyDescent="0.2">
      <c r="A931" s="1"/>
      <c r="B931" s="1"/>
      <c r="C931" s="8" t="str">
        <f>IFERROR(IF(B931="","",VLOOKUP(B931,المستفيدين!$B:$C,2,FALSE)),"")</f>
        <v/>
      </c>
      <c r="D931" s="1"/>
      <c r="E931" s="1"/>
      <c r="F931" s="1"/>
      <c r="G931">
        <f>COUNTIF($B$2:B931,B931)</f>
        <v>0</v>
      </c>
    </row>
    <row r="932" spans="1:7" x14ac:dyDescent="0.2">
      <c r="A932" s="1"/>
      <c r="B932" s="1"/>
      <c r="C932" s="8" t="str">
        <f>IFERROR(IF(B932="","",VLOOKUP(B932,المستفيدين!$B:$C,2,FALSE)),"")</f>
        <v/>
      </c>
      <c r="D932" s="1"/>
      <c r="E932" s="1"/>
      <c r="F932" s="1"/>
      <c r="G932">
        <f>COUNTIF($B$2:B932,B932)</f>
        <v>0</v>
      </c>
    </row>
    <row r="933" spans="1:7" x14ac:dyDescent="0.2">
      <c r="A933" s="1"/>
      <c r="B933" s="1"/>
      <c r="C933" s="8" t="str">
        <f>IFERROR(IF(B933="","",VLOOKUP(B933,المستفيدين!$B:$C,2,FALSE)),"")</f>
        <v/>
      </c>
      <c r="D933" s="1"/>
      <c r="E933" s="1"/>
      <c r="F933" s="1"/>
      <c r="G933">
        <f>COUNTIF($B$2:B933,B933)</f>
        <v>0</v>
      </c>
    </row>
    <row r="934" spans="1:7" x14ac:dyDescent="0.2">
      <c r="A934" s="1"/>
      <c r="B934" s="1"/>
      <c r="C934" s="8" t="str">
        <f>IFERROR(IF(B934="","",VLOOKUP(B934,المستفيدين!$B:$C,2,FALSE)),"")</f>
        <v/>
      </c>
      <c r="D934" s="1"/>
      <c r="E934" s="1"/>
      <c r="F934" s="1"/>
      <c r="G934">
        <f>COUNTIF($B$2:B934,B934)</f>
        <v>0</v>
      </c>
    </row>
    <row r="935" spans="1:7" x14ac:dyDescent="0.2">
      <c r="A935" s="1"/>
      <c r="B935" s="1"/>
      <c r="C935" s="8" t="str">
        <f>IFERROR(IF(B935="","",VLOOKUP(B935,المستفيدين!$B:$C,2,FALSE)),"")</f>
        <v/>
      </c>
      <c r="D935" s="1"/>
      <c r="E935" s="1"/>
      <c r="F935" s="1"/>
      <c r="G935">
        <f>COUNTIF($B$2:B935,B935)</f>
        <v>0</v>
      </c>
    </row>
    <row r="936" spans="1:7" x14ac:dyDescent="0.2">
      <c r="A936" s="1"/>
      <c r="B936" s="1"/>
      <c r="C936" s="8" t="str">
        <f>IFERROR(IF(B936="","",VLOOKUP(B936,المستفيدين!$B:$C,2,FALSE)),"")</f>
        <v/>
      </c>
      <c r="D936" s="1"/>
      <c r="E936" s="1"/>
      <c r="F936" s="1"/>
      <c r="G936">
        <f>COUNTIF($B$2:B936,B936)</f>
        <v>0</v>
      </c>
    </row>
    <row r="937" spans="1:7" x14ac:dyDescent="0.2">
      <c r="A937" s="1"/>
      <c r="B937" s="1"/>
      <c r="C937" s="8" t="str">
        <f>IFERROR(IF(B937="","",VLOOKUP(B937,المستفيدين!$B:$C,2,FALSE)),"")</f>
        <v/>
      </c>
      <c r="D937" s="1"/>
      <c r="E937" s="1"/>
      <c r="F937" s="1"/>
      <c r="G937">
        <f>COUNTIF($B$2:B937,B937)</f>
        <v>0</v>
      </c>
    </row>
    <row r="938" spans="1:7" x14ac:dyDescent="0.2">
      <c r="A938" s="1"/>
      <c r="B938" s="1"/>
      <c r="C938" s="8" t="str">
        <f>IFERROR(IF(B938="","",VLOOKUP(B938,المستفيدين!$B:$C,2,FALSE)),"")</f>
        <v/>
      </c>
      <c r="D938" s="1"/>
      <c r="E938" s="1"/>
      <c r="F938" s="1"/>
      <c r="G938">
        <f>COUNTIF($B$2:B938,B938)</f>
        <v>0</v>
      </c>
    </row>
    <row r="939" spans="1:7" x14ac:dyDescent="0.2">
      <c r="A939" s="1"/>
      <c r="B939" s="1"/>
      <c r="C939" s="8" t="str">
        <f>IFERROR(IF(B939="","",VLOOKUP(B939,المستفيدين!$B:$C,2,FALSE)),"")</f>
        <v/>
      </c>
      <c r="D939" s="1"/>
      <c r="E939" s="1"/>
      <c r="F939" s="1"/>
      <c r="G939">
        <f>COUNTIF($B$2:B939,B939)</f>
        <v>0</v>
      </c>
    </row>
    <row r="940" spans="1:7" x14ac:dyDescent="0.2">
      <c r="A940" s="1"/>
      <c r="B940" s="1"/>
      <c r="C940" s="8" t="str">
        <f>IFERROR(IF(B940="","",VLOOKUP(B940,المستفيدين!$B:$C,2,FALSE)),"")</f>
        <v/>
      </c>
      <c r="D940" s="1"/>
      <c r="E940" s="1"/>
      <c r="F940" s="1"/>
      <c r="G940">
        <f>COUNTIF($B$2:B940,B940)</f>
        <v>0</v>
      </c>
    </row>
    <row r="941" spans="1:7" x14ac:dyDescent="0.2">
      <c r="A941" s="1"/>
      <c r="B941" s="1"/>
      <c r="C941" s="8" t="str">
        <f>IFERROR(IF(B941="","",VLOOKUP(B941,المستفيدين!$B:$C,2,FALSE)),"")</f>
        <v/>
      </c>
      <c r="D941" s="1"/>
      <c r="E941" s="1"/>
      <c r="F941" s="1"/>
      <c r="G941">
        <f>COUNTIF($B$2:B941,B941)</f>
        <v>0</v>
      </c>
    </row>
    <row r="942" spans="1:7" x14ac:dyDescent="0.2">
      <c r="A942" s="1"/>
      <c r="B942" s="1"/>
      <c r="C942" s="8" t="str">
        <f>IFERROR(IF(B942="","",VLOOKUP(B942,المستفيدين!$B:$C,2,FALSE)),"")</f>
        <v/>
      </c>
      <c r="D942" s="1"/>
      <c r="E942" s="1"/>
      <c r="F942" s="1"/>
      <c r="G942">
        <f>COUNTIF($B$2:B942,B942)</f>
        <v>0</v>
      </c>
    </row>
    <row r="943" spans="1:7" x14ac:dyDescent="0.2">
      <c r="A943" s="1"/>
      <c r="B943" s="1"/>
      <c r="C943" s="8" t="str">
        <f>IFERROR(IF(B943="","",VLOOKUP(B943,المستفيدين!$B:$C,2,FALSE)),"")</f>
        <v/>
      </c>
      <c r="D943" s="1"/>
      <c r="E943" s="1"/>
      <c r="F943" s="1"/>
      <c r="G943">
        <f>COUNTIF($B$2:B943,B943)</f>
        <v>0</v>
      </c>
    </row>
    <row r="944" spans="1:7" x14ac:dyDescent="0.2">
      <c r="A944" s="1"/>
      <c r="B944" s="1"/>
      <c r="C944" s="8" t="str">
        <f>IFERROR(IF(B944="","",VLOOKUP(B944,المستفيدين!$B:$C,2,FALSE)),"")</f>
        <v/>
      </c>
      <c r="D944" s="1"/>
      <c r="E944" s="1"/>
      <c r="F944" s="1"/>
      <c r="G944">
        <f>COUNTIF($B$2:B944,B944)</f>
        <v>0</v>
      </c>
    </row>
    <row r="945" spans="1:7" x14ac:dyDescent="0.2">
      <c r="A945" s="1"/>
      <c r="B945" s="1"/>
      <c r="C945" s="8" t="str">
        <f>IFERROR(IF(B945="","",VLOOKUP(B945,المستفيدين!$B:$C,2,FALSE)),"")</f>
        <v/>
      </c>
      <c r="D945" s="1"/>
      <c r="E945" s="1"/>
      <c r="F945" s="1"/>
      <c r="G945">
        <f>COUNTIF($B$2:B945,B945)</f>
        <v>0</v>
      </c>
    </row>
    <row r="946" spans="1:7" x14ac:dyDescent="0.2">
      <c r="A946" s="1"/>
      <c r="B946" s="1"/>
      <c r="C946" s="8" t="str">
        <f>IFERROR(IF(B946="","",VLOOKUP(B946,المستفيدين!$B:$C,2,FALSE)),"")</f>
        <v/>
      </c>
      <c r="D946" s="1"/>
      <c r="E946" s="1"/>
      <c r="F946" s="1"/>
      <c r="G946">
        <f>COUNTIF($B$2:B946,B946)</f>
        <v>0</v>
      </c>
    </row>
    <row r="947" spans="1:7" x14ac:dyDescent="0.2">
      <c r="A947" s="1"/>
      <c r="B947" s="1"/>
      <c r="C947" s="8" t="str">
        <f>IFERROR(IF(B947="","",VLOOKUP(B947,المستفيدين!$B:$C,2,FALSE)),"")</f>
        <v/>
      </c>
      <c r="D947" s="1"/>
      <c r="E947" s="1"/>
      <c r="F947" s="1"/>
      <c r="G947">
        <f>COUNTIF($B$2:B947,B947)</f>
        <v>0</v>
      </c>
    </row>
    <row r="948" spans="1:7" x14ac:dyDescent="0.2">
      <c r="A948" s="1"/>
      <c r="B948" s="1"/>
      <c r="C948" s="8" t="str">
        <f>IFERROR(IF(B948="","",VLOOKUP(B948,المستفيدين!$B:$C,2,FALSE)),"")</f>
        <v/>
      </c>
      <c r="D948" s="1"/>
      <c r="E948" s="1"/>
      <c r="F948" s="1"/>
      <c r="G948">
        <f>COUNTIF($B$2:B948,B948)</f>
        <v>0</v>
      </c>
    </row>
    <row r="949" spans="1:7" x14ac:dyDescent="0.2">
      <c r="A949" s="1"/>
      <c r="B949" s="1"/>
      <c r="C949" s="8" t="str">
        <f>IFERROR(IF(B949="","",VLOOKUP(B949,المستفيدين!$B:$C,2,FALSE)),"")</f>
        <v/>
      </c>
      <c r="D949" s="1"/>
      <c r="E949" s="1"/>
      <c r="F949" s="1"/>
      <c r="G949">
        <f>COUNTIF($B$2:B949,B949)</f>
        <v>0</v>
      </c>
    </row>
    <row r="950" spans="1:7" x14ac:dyDescent="0.2">
      <c r="A950" s="1"/>
      <c r="B950" s="1"/>
      <c r="C950" s="8" t="str">
        <f>IFERROR(IF(B950="","",VLOOKUP(B950,المستفيدين!$B:$C,2,FALSE)),"")</f>
        <v/>
      </c>
      <c r="D950" s="1"/>
      <c r="E950" s="1"/>
      <c r="F950" s="1"/>
      <c r="G950">
        <f>COUNTIF($B$2:B950,B950)</f>
        <v>0</v>
      </c>
    </row>
    <row r="951" spans="1:7" x14ac:dyDescent="0.2">
      <c r="A951" s="1"/>
      <c r="B951" s="1"/>
      <c r="C951" s="8" t="str">
        <f>IFERROR(IF(B951="","",VLOOKUP(B951,المستفيدين!$B:$C,2,FALSE)),"")</f>
        <v/>
      </c>
      <c r="D951" s="1"/>
      <c r="E951" s="1"/>
      <c r="F951" s="1"/>
      <c r="G951">
        <f>COUNTIF($B$2:B951,B951)</f>
        <v>0</v>
      </c>
    </row>
    <row r="952" spans="1:7" x14ac:dyDescent="0.2">
      <c r="A952" s="1"/>
      <c r="B952" s="1"/>
      <c r="C952" s="8" t="str">
        <f>IFERROR(IF(B952="","",VLOOKUP(B952,المستفيدين!$B:$C,2,FALSE)),"")</f>
        <v/>
      </c>
      <c r="D952" s="1"/>
      <c r="E952" s="1"/>
      <c r="F952" s="1"/>
      <c r="G952">
        <f>COUNTIF($B$2:B952,B952)</f>
        <v>0</v>
      </c>
    </row>
    <row r="953" spans="1:7" x14ac:dyDescent="0.2">
      <c r="A953" s="1"/>
      <c r="B953" s="1"/>
      <c r="C953" s="8" t="str">
        <f>IFERROR(IF(B953="","",VLOOKUP(B953,المستفيدين!$B:$C,2,FALSE)),"")</f>
        <v/>
      </c>
      <c r="D953" s="1"/>
      <c r="E953" s="1"/>
      <c r="F953" s="1"/>
      <c r="G953">
        <f>COUNTIF($B$2:B953,B953)</f>
        <v>0</v>
      </c>
    </row>
    <row r="954" spans="1:7" x14ac:dyDescent="0.2">
      <c r="A954" s="1"/>
      <c r="B954" s="1"/>
      <c r="C954" s="8" t="str">
        <f>IFERROR(IF(B954="","",VLOOKUP(B954,المستفيدين!$B:$C,2,FALSE)),"")</f>
        <v/>
      </c>
      <c r="D954" s="1"/>
      <c r="E954" s="1"/>
      <c r="F954" s="1"/>
      <c r="G954">
        <f>COUNTIF($B$2:B954,B954)</f>
        <v>0</v>
      </c>
    </row>
    <row r="955" spans="1:7" x14ac:dyDescent="0.2">
      <c r="A955" s="1"/>
      <c r="B955" s="1"/>
      <c r="C955" s="8" t="str">
        <f>IFERROR(IF(B955="","",VLOOKUP(B955,المستفيدين!$B:$C,2,FALSE)),"")</f>
        <v/>
      </c>
      <c r="D955" s="1"/>
      <c r="E955" s="1"/>
      <c r="F955" s="1"/>
      <c r="G955">
        <f>COUNTIF($B$2:B955,B955)</f>
        <v>0</v>
      </c>
    </row>
    <row r="956" spans="1:7" x14ac:dyDescent="0.2">
      <c r="A956" s="1"/>
      <c r="B956" s="1"/>
      <c r="C956" s="8" t="str">
        <f>IFERROR(IF(B956="","",VLOOKUP(B956,المستفيدين!$B:$C,2,FALSE)),"")</f>
        <v/>
      </c>
      <c r="D956" s="1"/>
      <c r="E956" s="1"/>
      <c r="F956" s="1"/>
      <c r="G956">
        <f>COUNTIF($B$2:B956,B956)</f>
        <v>0</v>
      </c>
    </row>
    <row r="957" spans="1:7" x14ac:dyDescent="0.2">
      <c r="A957" s="1"/>
      <c r="B957" s="1"/>
      <c r="C957" s="8" t="str">
        <f>IFERROR(IF(B957="","",VLOOKUP(B957,المستفيدين!$B:$C,2,FALSE)),"")</f>
        <v/>
      </c>
      <c r="D957" s="1"/>
      <c r="E957" s="1"/>
      <c r="F957" s="1"/>
      <c r="G957">
        <f>COUNTIF($B$2:B957,B957)</f>
        <v>0</v>
      </c>
    </row>
    <row r="958" spans="1:7" x14ac:dyDescent="0.2">
      <c r="A958" s="1"/>
      <c r="B958" s="1"/>
      <c r="C958" s="8" t="str">
        <f>IFERROR(IF(B958="","",VLOOKUP(B958,المستفيدين!$B:$C,2,FALSE)),"")</f>
        <v/>
      </c>
      <c r="D958" s="1"/>
      <c r="E958" s="1"/>
      <c r="F958" s="1"/>
      <c r="G958">
        <f>COUNTIF($B$2:B958,B958)</f>
        <v>0</v>
      </c>
    </row>
    <row r="959" spans="1:7" x14ac:dyDescent="0.2">
      <c r="A959" s="1"/>
      <c r="B959" s="1"/>
      <c r="C959" s="8" t="str">
        <f>IFERROR(IF(B959="","",VLOOKUP(B959,المستفيدين!$B:$C,2,FALSE)),"")</f>
        <v/>
      </c>
      <c r="D959" s="1"/>
      <c r="E959" s="1"/>
      <c r="F959" s="1"/>
      <c r="G959">
        <f>COUNTIF($B$2:B959,B959)</f>
        <v>0</v>
      </c>
    </row>
    <row r="960" spans="1:7" x14ac:dyDescent="0.2">
      <c r="A960" s="1"/>
      <c r="B960" s="1"/>
      <c r="C960" s="8" t="str">
        <f>IFERROR(IF(B960="","",VLOOKUP(B960,المستفيدين!$B:$C,2,FALSE)),"")</f>
        <v/>
      </c>
      <c r="D960" s="1"/>
      <c r="E960" s="1"/>
      <c r="F960" s="1"/>
      <c r="G960">
        <f>COUNTIF($B$2:B960,B960)</f>
        <v>0</v>
      </c>
    </row>
    <row r="961" spans="1:7" x14ac:dyDescent="0.2">
      <c r="A961" s="1"/>
      <c r="B961" s="1"/>
      <c r="C961" s="8" t="str">
        <f>IFERROR(IF(B961="","",VLOOKUP(B961,المستفيدين!$B:$C,2,FALSE)),"")</f>
        <v/>
      </c>
      <c r="D961" s="1"/>
      <c r="E961" s="1"/>
      <c r="F961" s="1"/>
      <c r="G961">
        <f>COUNTIF($B$2:B961,B961)</f>
        <v>0</v>
      </c>
    </row>
    <row r="962" spans="1:7" x14ac:dyDescent="0.2">
      <c r="A962" s="1"/>
      <c r="B962" s="1"/>
      <c r="C962" s="8" t="str">
        <f>IFERROR(IF(B962="","",VLOOKUP(B962,المستفيدين!$B:$C,2,FALSE)),"")</f>
        <v/>
      </c>
      <c r="D962" s="1"/>
      <c r="E962" s="1"/>
      <c r="F962" s="1"/>
      <c r="G962">
        <f>COUNTIF($B$2:B962,B962)</f>
        <v>0</v>
      </c>
    </row>
    <row r="963" spans="1:7" x14ac:dyDescent="0.2">
      <c r="A963" s="1"/>
      <c r="B963" s="1"/>
      <c r="C963" s="8" t="str">
        <f>IFERROR(IF(B963="","",VLOOKUP(B963,المستفيدين!$B:$C,2,FALSE)),"")</f>
        <v/>
      </c>
      <c r="D963" s="1"/>
      <c r="E963" s="1"/>
      <c r="F963" s="1"/>
      <c r="G963">
        <f>COUNTIF($B$2:B963,B963)</f>
        <v>0</v>
      </c>
    </row>
    <row r="964" spans="1:7" x14ac:dyDescent="0.2">
      <c r="A964" s="1"/>
      <c r="B964" s="1"/>
      <c r="C964" s="8" t="str">
        <f>IFERROR(IF(B964="","",VLOOKUP(B964,المستفيدين!$B:$C,2,FALSE)),"")</f>
        <v/>
      </c>
      <c r="D964" s="1"/>
      <c r="E964" s="1"/>
      <c r="F964" s="1"/>
      <c r="G964">
        <f>COUNTIF($B$2:B964,B964)</f>
        <v>0</v>
      </c>
    </row>
    <row r="965" spans="1:7" x14ac:dyDescent="0.2">
      <c r="A965" s="1"/>
      <c r="B965" s="1"/>
      <c r="C965" s="8" t="str">
        <f>IFERROR(IF(B965="","",VLOOKUP(B965,المستفيدين!$B:$C,2,FALSE)),"")</f>
        <v/>
      </c>
      <c r="D965" s="1"/>
      <c r="E965" s="1"/>
      <c r="F965" s="1"/>
      <c r="G965">
        <f>COUNTIF($B$2:B965,B965)</f>
        <v>0</v>
      </c>
    </row>
    <row r="966" spans="1:7" x14ac:dyDescent="0.2">
      <c r="A966" s="1"/>
      <c r="B966" s="1"/>
      <c r="C966" s="8" t="str">
        <f>IFERROR(IF(B966="","",VLOOKUP(B966,المستفيدين!$B:$C,2,FALSE)),"")</f>
        <v/>
      </c>
      <c r="D966" s="1"/>
      <c r="E966" s="1"/>
      <c r="F966" s="1"/>
      <c r="G966">
        <f>COUNTIF($B$2:B966,B966)</f>
        <v>0</v>
      </c>
    </row>
    <row r="967" spans="1:7" x14ac:dyDescent="0.2">
      <c r="A967" s="1"/>
      <c r="B967" s="1"/>
      <c r="C967" s="8" t="str">
        <f>IFERROR(IF(B967="","",VLOOKUP(B967,المستفيدين!$B:$C,2,FALSE)),"")</f>
        <v/>
      </c>
      <c r="D967" s="1"/>
      <c r="E967" s="1"/>
      <c r="F967" s="1"/>
      <c r="G967">
        <f>COUNTIF($B$2:B967,B967)</f>
        <v>0</v>
      </c>
    </row>
    <row r="968" spans="1:7" x14ac:dyDescent="0.2">
      <c r="A968" s="1"/>
      <c r="B968" s="1"/>
      <c r="C968" s="8" t="str">
        <f>IFERROR(IF(B968="","",VLOOKUP(B968,المستفيدين!$B:$C,2,FALSE)),"")</f>
        <v/>
      </c>
      <c r="D968" s="1"/>
      <c r="E968" s="1"/>
      <c r="F968" s="1"/>
      <c r="G968">
        <f>COUNTIF($B$2:B968,B968)</f>
        <v>0</v>
      </c>
    </row>
    <row r="969" spans="1:7" x14ac:dyDescent="0.2">
      <c r="A969" s="1"/>
      <c r="B969" s="1"/>
      <c r="C969" s="8" t="str">
        <f>IFERROR(IF(B969="","",VLOOKUP(B969,المستفيدين!$B:$C,2,FALSE)),"")</f>
        <v/>
      </c>
      <c r="D969" s="1"/>
      <c r="E969" s="1"/>
      <c r="F969" s="1"/>
      <c r="G969">
        <f>COUNTIF($B$2:B969,B969)</f>
        <v>0</v>
      </c>
    </row>
    <row r="970" spans="1:7" x14ac:dyDescent="0.2">
      <c r="A970" s="1"/>
      <c r="B970" s="1"/>
      <c r="C970" s="8" t="str">
        <f>IFERROR(IF(B970="","",VLOOKUP(B970,المستفيدين!$B:$C,2,FALSE)),"")</f>
        <v/>
      </c>
      <c r="D970" s="1"/>
      <c r="E970" s="1"/>
      <c r="F970" s="1"/>
      <c r="G970">
        <f>COUNTIF($B$2:B970,B970)</f>
        <v>0</v>
      </c>
    </row>
    <row r="971" spans="1:7" x14ac:dyDescent="0.2">
      <c r="A971" s="1"/>
      <c r="B971" s="1"/>
      <c r="C971" s="8" t="str">
        <f>IFERROR(IF(B971="","",VLOOKUP(B971,المستفيدين!$B:$C,2,FALSE)),"")</f>
        <v/>
      </c>
      <c r="D971" s="1"/>
      <c r="E971" s="1"/>
      <c r="F971" s="1"/>
      <c r="G971">
        <f>COUNTIF($B$2:B971,B971)</f>
        <v>0</v>
      </c>
    </row>
    <row r="972" spans="1:7" x14ac:dyDescent="0.2">
      <c r="A972" s="1"/>
      <c r="B972" s="1"/>
      <c r="C972" s="8" t="str">
        <f>IFERROR(IF(B972="","",VLOOKUP(B972,المستفيدين!$B:$C,2,FALSE)),"")</f>
        <v/>
      </c>
      <c r="D972" s="1"/>
      <c r="E972" s="1"/>
      <c r="F972" s="1"/>
      <c r="G972">
        <f>COUNTIF($B$2:B972,B972)</f>
        <v>0</v>
      </c>
    </row>
    <row r="973" spans="1:7" x14ac:dyDescent="0.2">
      <c r="A973" s="1"/>
      <c r="B973" s="1"/>
      <c r="C973" s="8" t="str">
        <f>IFERROR(IF(B973="","",VLOOKUP(B973,المستفيدين!$B:$C,2,FALSE)),"")</f>
        <v/>
      </c>
      <c r="D973" s="1"/>
      <c r="E973" s="1"/>
      <c r="F973" s="1"/>
      <c r="G973">
        <f>COUNTIF($B$2:B973,B973)</f>
        <v>0</v>
      </c>
    </row>
    <row r="974" spans="1:7" x14ac:dyDescent="0.2">
      <c r="A974" s="1"/>
      <c r="B974" s="1"/>
      <c r="C974" s="8" t="str">
        <f>IFERROR(IF(B974="","",VLOOKUP(B974,المستفيدين!$B:$C,2,FALSE)),"")</f>
        <v/>
      </c>
      <c r="D974" s="1"/>
      <c r="E974" s="1"/>
      <c r="F974" s="1"/>
      <c r="G974">
        <f>COUNTIF($B$2:B974,B974)</f>
        <v>0</v>
      </c>
    </row>
    <row r="975" spans="1:7" x14ac:dyDescent="0.2">
      <c r="A975" s="1"/>
      <c r="B975" s="1"/>
      <c r="C975" s="8" t="str">
        <f>IFERROR(IF(B975="","",VLOOKUP(B975,المستفيدين!$B:$C,2,FALSE)),"")</f>
        <v/>
      </c>
      <c r="D975" s="1"/>
      <c r="E975" s="1"/>
      <c r="F975" s="1"/>
      <c r="G975">
        <f>COUNTIF($B$2:B975,B975)</f>
        <v>0</v>
      </c>
    </row>
    <row r="976" spans="1:7" x14ac:dyDescent="0.2">
      <c r="A976" s="1"/>
      <c r="B976" s="1"/>
      <c r="C976" s="8" t="str">
        <f>IFERROR(IF(B976="","",VLOOKUP(B976,المستفيدين!$B:$C,2,FALSE)),"")</f>
        <v/>
      </c>
      <c r="D976" s="1"/>
      <c r="E976" s="1"/>
      <c r="F976" s="1"/>
      <c r="G976">
        <f>COUNTIF($B$2:B976,B976)</f>
        <v>0</v>
      </c>
    </row>
    <row r="977" spans="1:7" x14ac:dyDescent="0.2">
      <c r="A977" s="1"/>
      <c r="B977" s="1"/>
      <c r="C977" s="8" t="str">
        <f>IFERROR(IF(B977="","",VLOOKUP(B977,المستفيدين!$B:$C,2,FALSE)),"")</f>
        <v/>
      </c>
      <c r="D977" s="1"/>
      <c r="E977" s="1"/>
      <c r="F977" s="1"/>
      <c r="G977">
        <f>COUNTIF($B$2:B977,B977)</f>
        <v>0</v>
      </c>
    </row>
    <row r="978" spans="1:7" x14ac:dyDescent="0.2">
      <c r="A978" s="1"/>
      <c r="B978" s="1"/>
      <c r="C978" s="8" t="str">
        <f>IFERROR(IF(B978="","",VLOOKUP(B978,المستفيدين!$B:$C,2,FALSE)),"")</f>
        <v/>
      </c>
      <c r="D978" s="1"/>
      <c r="E978" s="1"/>
      <c r="F978" s="1"/>
      <c r="G978">
        <f>COUNTIF($B$2:B978,B978)</f>
        <v>0</v>
      </c>
    </row>
    <row r="979" spans="1:7" x14ac:dyDescent="0.2">
      <c r="A979" s="1"/>
      <c r="B979" s="1"/>
      <c r="C979" s="8" t="str">
        <f>IFERROR(IF(B979="","",VLOOKUP(B979,المستفيدين!$B:$C,2,FALSE)),"")</f>
        <v/>
      </c>
      <c r="D979" s="1"/>
      <c r="E979" s="1"/>
      <c r="F979" s="1"/>
      <c r="G979">
        <f>COUNTIF($B$2:B979,B979)</f>
        <v>0</v>
      </c>
    </row>
    <row r="980" spans="1:7" x14ac:dyDescent="0.2">
      <c r="A980" s="1"/>
      <c r="B980" s="1"/>
      <c r="C980" s="8" t="str">
        <f>IFERROR(IF(B980="","",VLOOKUP(B980,المستفيدين!$B:$C,2,FALSE)),"")</f>
        <v/>
      </c>
      <c r="D980" s="1"/>
      <c r="E980" s="1"/>
      <c r="F980" s="1"/>
      <c r="G980">
        <f>COUNTIF($B$2:B980,B980)</f>
        <v>0</v>
      </c>
    </row>
    <row r="981" spans="1:7" x14ac:dyDescent="0.2">
      <c r="A981" s="1"/>
      <c r="B981" s="1"/>
      <c r="C981" s="8" t="str">
        <f>IFERROR(IF(B981="","",VLOOKUP(B981,المستفيدين!$B:$C,2,FALSE)),"")</f>
        <v/>
      </c>
      <c r="D981" s="1"/>
      <c r="E981" s="1"/>
      <c r="F981" s="1"/>
      <c r="G981">
        <f>COUNTIF($B$2:B981,B981)</f>
        <v>0</v>
      </c>
    </row>
    <row r="982" spans="1:7" x14ac:dyDescent="0.2">
      <c r="A982" s="1"/>
      <c r="B982" s="1"/>
      <c r="C982" s="8" t="str">
        <f>IFERROR(IF(B982="","",VLOOKUP(B982,المستفيدين!$B:$C,2,FALSE)),"")</f>
        <v/>
      </c>
      <c r="D982" s="1"/>
      <c r="E982" s="1"/>
      <c r="F982" s="1"/>
      <c r="G982">
        <f>COUNTIF($B$2:B982,B982)</f>
        <v>0</v>
      </c>
    </row>
    <row r="983" spans="1:7" x14ac:dyDescent="0.2">
      <c r="A983" s="1"/>
      <c r="B983" s="1"/>
      <c r="C983" s="8" t="str">
        <f>IFERROR(IF(B983="","",VLOOKUP(B983,المستفيدين!$B:$C,2,FALSE)),"")</f>
        <v/>
      </c>
      <c r="D983" s="1"/>
      <c r="E983" s="1"/>
      <c r="F983" s="1"/>
      <c r="G983">
        <f>COUNTIF($B$2:B983,B983)</f>
        <v>0</v>
      </c>
    </row>
    <row r="984" spans="1:7" x14ac:dyDescent="0.2">
      <c r="A984" s="1"/>
      <c r="B984" s="1"/>
      <c r="C984" s="8" t="str">
        <f>IFERROR(IF(B984="","",VLOOKUP(B984,المستفيدين!$B:$C,2,FALSE)),"")</f>
        <v/>
      </c>
      <c r="D984" s="1"/>
      <c r="E984" s="1"/>
      <c r="F984" s="1"/>
      <c r="G984">
        <f>COUNTIF($B$2:B984,B984)</f>
        <v>0</v>
      </c>
    </row>
    <row r="985" spans="1:7" x14ac:dyDescent="0.2">
      <c r="A985" s="1"/>
      <c r="B985" s="1"/>
      <c r="C985" s="8" t="str">
        <f>IFERROR(IF(B985="","",VLOOKUP(B985,المستفيدين!$B:$C,2,FALSE)),"")</f>
        <v/>
      </c>
      <c r="D985" s="1"/>
      <c r="E985" s="1"/>
      <c r="F985" s="1"/>
      <c r="G985">
        <f>COUNTIF($B$2:B985,B985)</f>
        <v>0</v>
      </c>
    </row>
    <row r="986" spans="1:7" x14ac:dyDescent="0.2">
      <c r="A986" s="1"/>
      <c r="B986" s="1"/>
      <c r="C986" s="8" t="str">
        <f>IFERROR(IF(B986="","",VLOOKUP(B986,المستفيدين!$B:$C,2,FALSE)),"")</f>
        <v/>
      </c>
      <c r="D986" s="1"/>
      <c r="E986" s="1"/>
      <c r="F986" s="1"/>
      <c r="G986">
        <f>COUNTIF($B$2:B986,B986)</f>
        <v>0</v>
      </c>
    </row>
    <row r="987" spans="1:7" x14ac:dyDescent="0.2">
      <c r="A987" s="1"/>
      <c r="B987" s="1"/>
      <c r="C987" s="8" t="str">
        <f>IFERROR(IF(B987="","",VLOOKUP(B987,المستفيدين!$B:$C,2,FALSE)),"")</f>
        <v/>
      </c>
      <c r="D987" s="1"/>
      <c r="E987" s="1"/>
      <c r="F987" s="1"/>
      <c r="G987">
        <f>COUNTIF($B$2:B987,B987)</f>
        <v>0</v>
      </c>
    </row>
    <row r="988" spans="1:7" x14ac:dyDescent="0.2">
      <c r="A988" s="1"/>
      <c r="B988" s="1"/>
      <c r="C988" s="8" t="str">
        <f>IFERROR(IF(B988="","",VLOOKUP(B988,المستفيدين!$B:$C,2,FALSE)),"")</f>
        <v/>
      </c>
      <c r="D988" s="1"/>
      <c r="E988" s="1"/>
      <c r="F988" s="1"/>
      <c r="G988">
        <f>COUNTIF($B$2:B988,B988)</f>
        <v>0</v>
      </c>
    </row>
    <row r="989" spans="1:7" x14ac:dyDescent="0.2">
      <c r="A989" s="1"/>
      <c r="B989" s="1"/>
      <c r="C989" s="8" t="str">
        <f>IFERROR(IF(B989="","",VLOOKUP(B989,المستفيدين!$B:$C,2,FALSE)),"")</f>
        <v/>
      </c>
      <c r="D989" s="1"/>
      <c r="E989" s="1"/>
      <c r="F989" s="1"/>
      <c r="G989">
        <f>COUNTIF($B$2:B989,B989)</f>
        <v>0</v>
      </c>
    </row>
    <row r="990" spans="1:7" x14ac:dyDescent="0.2">
      <c r="A990" s="1"/>
      <c r="B990" s="1"/>
      <c r="C990" s="8" t="str">
        <f>IFERROR(IF(B990="","",VLOOKUP(B990,المستفيدين!$B:$C,2,FALSE)),"")</f>
        <v/>
      </c>
      <c r="D990" s="1"/>
      <c r="E990" s="1"/>
      <c r="F990" s="1"/>
      <c r="G990">
        <f>COUNTIF($B$2:B990,B990)</f>
        <v>0</v>
      </c>
    </row>
    <row r="991" spans="1:7" x14ac:dyDescent="0.2">
      <c r="A991" s="1"/>
      <c r="B991" s="1"/>
      <c r="C991" s="8" t="str">
        <f>IFERROR(IF(B991="","",VLOOKUP(B991,المستفيدين!$B:$C,2,FALSE)),"")</f>
        <v/>
      </c>
      <c r="D991" s="1"/>
      <c r="E991" s="1"/>
      <c r="F991" s="1"/>
      <c r="G991">
        <f>COUNTIF($B$2:B991,B991)</f>
        <v>0</v>
      </c>
    </row>
    <row r="992" spans="1:7" x14ac:dyDescent="0.2">
      <c r="A992" s="1"/>
      <c r="B992" s="1"/>
      <c r="C992" s="8" t="str">
        <f>IFERROR(IF(B992="","",VLOOKUP(B992,المستفيدين!$B:$C,2,FALSE)),"")</f>
        <v/>
      </c>
      <c r="D992" s="1"/>
      <c r="E992" s="1"/>
      <c r="F992" s="1"/>
      <c r="G992">
        <f>COUNTIF($B$2:B992,B992)</f>
        <v>0</v>
      </c>
    </row>
    <row r="993" spans="1:7" x14ac:dyDescent="0.2">
      <c r="A993" s="1"/>
      <c r="B993" s="1"/>
      <c r="C993" s="8" t="str">
        <f>IFERROR(IF(B993="","",VLOOKUP(B993,المستفيدين!$B:$C,2,FALSE)),"")</f>
        <v/>
      </c>
      <c r="D993" s="1"/>
      <c r="E993" s="1"/>
      <c r="F993" s="1"/>
      <c r="G993">
        <f>COUNTIF($B$2:B993,B993)</f>
        <v>0</v>
      </c>
    </row>
    <row r="994" spans="1:7" x14ac:dyDescent="0.2">
      <c r="A994" s="1"/>
      <c r="B994" s="1"/>
      <c r="C994" s="8" t="str">
        <f>IFERROR(IF(B994="","",VLOOKUP(B994,المستفيدين!$B:$C,2,FALSE)),"")</f>
        <v/>
      </c>
      <c r="D994" s="1"/>
      <c r="E994" s="1"/>
      <c r="F994" s="1"/>
      <c r="G994">
        <f>COUNTIF($B$2:B994,B994)</f>
        <v>0</v>
      </c>
    </row>
    <row r="995" spans="1:7" x14ac:dyDescent="0.2">
      <c r="A995" s="1"/>
      <c r="B995" s="1"/>
      <c r="C995" s="8" t="str">
        <f>IFERROR(IF(B995="","",VLOOKUP(B995,المستفيدين!$B:$C,2,FALSE)),"")</f>
        <v/>
      </c>
      <c r="D995" s="1"/>
      <c r="E995" s="1"/>
      <c r="F995" s="1"/>
      <c r="G995">
        <f>COUNTIF($B$2:B995,B995)</f>
        <v>0</v>
      </c>
    </row>
    <row r="996" spans="1:7" x14ac:dyDescent="0.2">
      <c r="A996" s="1"/>
      <c r="B996" s="1"/>
      <c r="C996" s="8" t="str">
        <f>IFERROR(IF(B996="","",VLOOKUP(B996,المستفيدين!$B:$C,2,FALSE)),"")</f>
        <v/>
      </c>
      <c r="D996" s="1"/>
      <c r="E996" s="1"/>
      <c r="F996" s="1"/>
      <c r="G996">
        <f>COUNTIF($B$2:B996,B996)</f>
        <v>0</v>
      </c>
    </row>
    <row r="997" spans="1:7" x14ac:dyDescent="0.2">
      <c r="A997" s="1"/>
      <c r="B997" s="1"/>
      <c r="C997" s="8" t="str">
        <f>IFERROR(IF(B997="","",VLOOKUP(B997,المستفيدين!$B:$C,2,FALSE)),"")</f>
        <v/>
      </c>
      <c r="D997" s="1"/>
      <c r="E997" s="1"/>
      <c r="F997" s="1"/>
      <c r="G997">
        <f>COUNTIF($B$2:B997,B997)</f>
        <v>0</v>
      </c>
    </row>
    <row r="998" spans="1:7" x14ac:dyDescent="0.2">
      <c r="A998" s="1"/>
      <c r="B998" s="1"/>
      <c r="C998" s="8" t="str">
        <f>IFERROR(IF(B998="","",VLOOKUP(B998,المستفيدين!$B:$C,2,FALSE)),"")</f>
        <v/>
      </c>
      <c r="D998" s="1"/>
      <c r="E998" s="1"/>
      <c r="F998" s="1"/>
      <c r="G998">
        <f>COUNTIF($B$2:B998,B998)</f>
        <v>0</v>
      </c>
    </row>
    <row r="999" spans="1:7" x14ac:dyDescent="0.2">
      <c r="A999" s="1"/>
      <c r="B999" s="1"/>
      <c r="C999" s="8" t="str">
        <f>IFERROR(IF(B999="","",VLOOKUP(B999,المستفيدين!$B:$C,2,FALSE)),"")</f>
        <v/>
      </c>
      <c r="D999" s="1"/>
      <c r="E999" s="1"/>
      <c r="F999" s="1"/>
      <c r="G999">
        <f>COUNTIF($B$2:B999,B999)</f>
        <v>0</v>
      </c>
    </row>
    <row r="1000" spans="1:7" x14ac:dyDescent="0.2">
      <c r="A1000" s="1"/>
      <c r="B1000" s="1"/>
      <c r="C1000" s="8" t="str">
        <f>IFERROR(IF(B1000="","",VLOOKUP(B1000,المستفيدين!$B:$C,2,FALSE)),"")</f>
        <v/>
      </c>
      <c r="D1000" s="1"/>
      <c r="E1000" s="1"/>
      <c r="F1000" s="1"/>
      <c r="G1000">
        <f>COUNTIF($B$2:B1000,B1000)</f>
        <v>0</v>
      </c>
    </row>
    <row r="1001" spans="1:7" x14ac:dyDescent="0.2">
      <c r="A1001" s="1"/>
      <c r="B1001" s="1"/>
      <c r="C1001" s="8" t="str">
        <f>IFERROR(IF(B1001="","",VLOOKUP(B1001,المستفيدين!$B:$C,2,FALSE)),"")</f>
        <v/>
      </c>
      <c r="D1001" s="1"/>
      <c r="E1001" s="1"/>
      <c r="F1001" s="1"/>
      <c r="G1001">
        <f>COUNTIF($B$2:B1001,B1001)</f>
        <v>0</v>
      </c>
    </row>
  </sheetData>
  <sheetProtection sort="0" autoFilter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'القوائم المرجعية'!$N$5:$N$7</xm:f>
          </x14:formula1>
          <xm:sqref>E2:F1001</xm:sqref>
        </x14:dataValidation>
        <x14:dataValidation type="list" allowBlank="1" showInputMessage="1" showErrorMessage="1" xr:uid="{00000000-0002-0000-0200-000001000000}">
          <x14:formula1>
            <xm:f>'القوائم المرجعية'!$M$5:$M$36</xm:f>
          </x14:formula1>
          <xm:sqref>D2:D1048576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03"/>
  <sheetViews>
    <sheetView rightToLeft="1" workbookViewId="0">
      <selection activeCell="E11" sqref="E11"/>
    </sheetView>
  </sheetViews>
  <sheetFormatPr defaultRowHeight="14.25" x14ac:dyDescent="0.2"/>
  <cols>
    <col min="1" max="1" width="3.875" style="1" bestFit="1" customWidth="1"/>
    <col min="2" max="2" width="9.875" style="1" bestFit="1" customWidth="1"/>
    <col min="3" max="3" width="11.5" style="20" bestFit="1" customWidth="1"/>
    <col min="4" max="4" width="19.75" style="1" customWidth="1"/>
    <col min="5" max="5" width="11.5" style="1" bestFit="1" customWidth="1"/>
    <col min="6" max="6" width="8" bestFit="1" customWidth="1"/>
    <col min="7" max="7" width="25" customWidth="1"/>
    <col min="8" max="8" width="11.5" style="1" customWidth="1"/>
    <col min="9" max="9" width="15.375" style="1" bestFit="1" customWidth="1"/>
    <col min="10" max="10" width="6.375" style="1" bestFit="1" customWidth="1"/>
    <col min="11" max="11" width="6.625" style="1" bestFit="1" customWidth="1"/>
    <col min="12" max="12" width="10.5" style="1" bestFit="1" customWidth="1"/>
    <col min="13" max="16384" width="9" style="1"/>
  </cols>
  <sheetData>
    <row r="1" spans="1:12" x14ac:dyDescent="0.2">
      <c r="A1" s="1" t="s">
        <v>356</v>
      </c>
      <c r="B1" s="1" t="s">
        <v>70</v>
      </c>
      <c r="C1" s="1" t="s">
        <v>366</v>
      </c>
      <c r="D1" s="1" t="s">
        <v>350</v>
      </c>
      <c r="E1" s="1" t="s">
        <v>362</v>
      </c>
      <c r="F1" t="s">
        <v>351</v>
      </c>
      <c r="G1" t="s">
        <v>568</v>
      </c>
      <c r="H1" s="1" t="s">
        <v>554</v>
      </c>
      <c r="I1" s="1" t="s">
        <v>352</v>
      </c>
      <c r="J1" s="1" t="s">
        <v>57</v>
      </c>
      <c r="K1" s="1" t="s">
        <v>59</v>
      </c>
      <c r="L1" s="1" t="s">
        <v>53</v>
      </c>
    </row>
    <row r="2" spans="1:12" x14ac:dyDescent="0.2">
      <c r="A2" s="18">
        <v>1</v>
      </c>
      <c r="B2" s="19">
        <v>45444</v>
      </c>
      <c r="C2" s="20">
        <v>1519714037</v>
      </c>
      <c r="D2" s="34" t="str">
        <f>IFERROR(IF(C2="","",VLOOKUP(C2,المستفيدين!$B:$C,2,FALSE)),"")</f>
        <v>مستفيد74</v>
      </c>
      <c r="E2" s="24" t="s">
        <v>258</v>
      </c>
      <c r="F2" s="34" t="str">
        <f>IFERROR(IF(E2="","",VLOOKUP(E2,الموظفين!$B:$C,2,FALSE)),"")</f>
        <v>موظف58</v>
      </c>
      <c r="G2" s="34" t="str">
        <f>IFERROR(IF(C2="","",VLOOKUP(C2,المستفيدين!$B:$F,5,FALSE)),"")</f>
        <v>مركز إرادة وتمكين لرعاية ذوي الاحتياجات الخاصة (جلمودة)</v>
      </c>
      <c r="H2" s="24" t="s">
        <v>552</v>
      </c>
      <c r="I2" s="24" t="s">
        <v>81</v>
      </c>
      <c r="J2" s="24" t="s">
        <v>0</v>
      </c>
      <c r="K2" s="24" t="s">
        <v>9</v>
      </c>
      <c r="L2" s="25"/>
    </row>
    <row r="3" spans="1:12" x14ac:dyDescent="0.2">
      <c r="A3" s="21">
        <v>2</v>
      </c>
      <c r="B3" s="22">
        <v>45445</v>
      </c>
      <c r="C3" s="20">
        <v>1762847665</v>
      </c>
      <c r="D3" s="34" t="str">
        <f>IFERROR(IF(C3="","",VLOOKUP(C3,المستفيدين!$B:$C,2,FALSE)),"")</f>
        <v>مستفيد138</v>
      </c>
      <c r="E3" s="20" t="s">
        <v>230</v>
      </c>
      <c r="F3" s="34" t="str">
        <f>IFERROR(IF(E3="","",VLOOKUP(E3,الموظفين!$B:$C,2,FALSE)),"")</f>
        <v>موظف44</v>
      </c>
      <c r="G3" s="34" t="str">
        <f>IFERROR(IF(C3="","",VLOOKUP(C3,المستفيدين!$B:$F,5,FALSE)),"")</f>
        <v>مدرسة إرادة وتمكين لمتلازمة داون (نجد)</v>
      </c>
      <c r="H3" s="24" t="s">
        <v>553</v>
      </c>
      <c r="I3" s="20" t="s">
        <v>74</v>
      </c>
      <c r="J3" s="20" t="s">
        <v>0</v>
      </c>
      <c r="K3" s="20" t="s">
        <v>9</v>
      </c>
      <c r="L3" s="26" t="s">
        <v>51</v>
      </c>
    </row>
    <row r="4" spans="1:12" x14ac:dyDescent="0.2">
      <c r="A4" s="18">
        <v>3</v>
      </c>
      <c r="B4" s="19">
        <v>45445</v>
      </c>
      <c r="C4" s="20">
        <v>1392511676</v>
      </c>
      <c r="D4" s="34" t="str">
        <f>IFERROR(IF(C4="","",VLOOKUP(C4,المستفيدين!$B:$C,2,FALSE)),"")</f>
        <v>مستفيد179</v>
      </c>
      <c r="E4" s="24" t="s">
        <v>194</v>
      </c>
      <c r="F4" s="34" t="str">
        <f>IFERROR(IF(E4="","",VLOOKUP(E4,الموظفين!$B:$C,2,FALSE)),"")</f>
        <v>موظف26</v>
      </c>
      <c r="G4" s="34" t="str">
        <f>IFERROR(IF(C4="","",VLOOKUP(C4,المستفيدين!$B:$F,5,FALSE)),"")</f>
        <v>مركز إرادة وتمكين للرعاية النهارية (القدس)</v>
      </c>
      <c r="H4" s="24" t="s">
        <v>552</v>
      </c>
      <c r="I4" s="24" t="s">
        <v>80</v>
      </c>
      <c r="J4" s="24" t="s">
        <v>1</v>
      </c>
      <c r="K4" s="24" t="s">
        <v>12</v>
      </c>
      <c r="L4" s="25" t="s">
        <v>524</v>
      </c>
    </row>
    <row r="5" spans="1:12" x14ac:dyDescent="0.2">
      <c r="A5" s="21">
        <v>4</v>
      </c>
      <c r="B5" s="22">
        <v>45449</v>
      </c>
      <c r="C5" s="20">
        <v>1253511077</v>
      </c>
      <c r="D5" s="34" t="str">
        <f>IFERROR(IF(C5="","",VLOOKUP(C5,المستفيدين!$B:$C,2,FALSE)),"")</f>
        <v>مستفيد64</v>
      </c>
      <c r="E5" s="20" t="s">
        <v>228</v>
      </c>
      <c r="F5" s="34" t="str">
        <f>IFERROR(IF(E5="","",VLOOKUP(E5,الموظفين!$B:$C,2,FALSE)),"")</f>
        <v>موظف43</v>
      </c>
      <c r="G5" s="34" t="str">
        <f>IFERROR(IF(C5="","",VLOOKUP(C5,المستفيدين!$B:$F,5,FALSE)),"")</f>
        <v>مدرسة إرادة للتعليم (مكة)</v>
      </c>
      <c r="H5" s="24" t="s">
        <v>553</v>
      </c>
      <c r="I5" s="20" t="s">
        <v>76</v>
      </c>
      <c r="J5" s="20" t="s">
        <v>0</v>
      </c>
      <c r="K5" s="20" t="s">
        <v>11</v>
      </c>
      <c r="L5" s="26" t="s">
        <v>524</v>
      </c>
    </row>
    <row r="6" spans="1:12" x14ac:dyDescent="0.2">
      <c r="A6" s="18">
        <v>5</v>
      </c>
      <c r="B6" s="19">
        <v>45449</v>
      </c>
      <c r="C6" s="20">
        <v>1369869858</v>
      </c>
      <c r="D6" s="34" t="str">
        <f>IFERROR(IF(C6="","",VLOOKUP(C6,المستفيدين!$B:$C,2,FALSE)),"")</f>
        <v>مستفيد55</v>
      </c>
      <c r="E6" s="24" t="s">
        <v>308</v>
      </c>
      <c r="F6" s="34" t="str">
        <f>IFERROR(IF(E6="","",VLOOKUP(E6,الموظفين!$B:$C,2,FALSE)),"")</f>
        <v>موظف83</v>
      </c>
      <c r="G6" s="34" t="str">
        <f>IFERROR(IF(C6="","",VLOOKUP(C6,المستفيدين!$B:$F,5,FALSE)),"")</f>
        <v>مدرسة إرادة للتعليم (مكة)</v>
      </c>
      <c r="H6" s="24" t="s">
        <v>553</v>
      </c>
      <c r="I6" s="24" t="s">
        <v>77</v>
      </c>
      <c r="J6" s="24" t="s">
        <v>0</v>
      </c>
      <c r="K6" s="24" t="s">
        <v>9</v>
      </c>
      <c r="L6" s="25" t="s">
        <v>525</v>
      </c>
    </row>
    <row r="7" spans="1:12" x14ac:dyDescent="0.2">
      <c r="A7" s="21">
        <v>6</v>
      </c>
      <c r="B7" s="22">
        <v>45450</v>
      </c>
      <c r="C7" s="20">
        <v>1265180355</v>
      </c>
      <c r="D7" s="34" t="str">
        <f>IFERROR(IF(C7="","",VLOOKUP(C7,المستفيدين!$B:$C,2,FALSE)),"")</f>
        <v>مستفيد157</v>
      </c>
      <c r="E7" s="20" t="s">
        <v>320</v>
      </c>
      <c r="F7" s="34" t="str">
        <f>IFERROR(IF(E7="","",VLOOKUP(E7,الموظفين!$B:$C,2,FALSE)),"")</f>
        <v>موظف89</v>
      </c>
      <c r="G7" s="34" t="str">
        <f>IFERROR(IF(C7="","",VLOOKUP(C7,المستفيدين!$B:$F,5,FALSE)),"")</f>
        <v>مدرسة إرادة للتعليم (مكة)</v>
      </c>
      <c r="H7" s="24" t="s">
        <v>553</v>
      </c>
      <c r="I7" s="20" t="s">
        <v>77</v>
      </c>
      <c r="J7" s="20" t="s">
        <v>1</v>
      </c>
      <c r="K7" s="20" t="s">
        <v>11</v>
      </c>
      <c r="L7" s="26"/>
    </row>
    <row r="8" spans="1:12" x14ac:dyDescent="0.2">
      <c r="A8" s="18">
        <v>7</v>
      </c>
      <c r="B8" s="19">
        <v>45451</v>
      </c>
      <c r="C8" s="20">
        <v>1374392968</v>
      </c>
      <c r="D8" s="34" t="str">
        <f>IFERROR(IF(C8="","",VLOOKUP(C8,المستفيدين!$B:$C,2,FALSE)),"")</f>
        <v>مستفيد190</v>
      </c>
      <c r="E8" s="24" t="s">
        <v>316</v>
      </c>
      <c r="F8" s="34" t="str">
        <f>IFERROR(IF(E8="","",VLOOKUP(E8,الموظفين!$B:$C,2,FALSE)),"")</f>
        <v>موظف87</v>
      </c>
      <c r="G8" s="34" t="str">
        <f>IFERROR(IF(C8="","",VLOOKUP(C8,المستفيدين!$B:$F,5,FALSE)),"")</f>
        <v>مدرسة إرادة وتمكين لمتلازمة داون (نجد)</v>
      </c>
      <c r="H8" s="24" t="s">
        <v>552</v>
      </c>
      <c r="I8" s="24" t="s">
        <v>81</v>
      </c>
      <c r="J8" s="24" t="s">
        <v>0</v>
      </c>
      <c r="K8" s="24" t="s">
        <v>9</v>
      </c>
      <c r="L8" s="25"/>
    </row>
    <row r="9" spans="1:12" x14ac:dyDescent="0.2">
      <c r="A9" s="21">
        <v>8</v>
      </c>
      <c r="B9" s="22">
        <v>45452</v>
      </c>
      <c r="C9" s="20">
        <v>1222363290</v>
      </c>
      <c r="D9" s="34" t="str">
        <f>IFERROR(IF(C9="","",VLOOKUP(C9,المستفيدين!$B:$C,2,FALSE)),"")</f>
        <v>مستفيد125</v>
      </c>
      <c r="E9" s="20" t="s">
        <v>306</v>
      </c>
      <c r="F9" s="34" t="str">
        <f>IFERROR(IF(E9="","",VLOOKUP(E9,الموظفين!$B:$C,2,FALSE)),"")</f>
        <v>موظف82</v>
      </c>
      <c r="G9" s="34" t="str">
        <f>IFERROR(IF(C9="","",VLOOKUP(C9,المستفيدين!$B:$F,5,FALSE)),"")</f>
        <v>مركز إرادة وتمكين لرعاية ذوي الاحتياجات الخاصة (جلمودة)</v>
      </c>
      <c r="H9" s="24" t="s">
        <v>553</v>
      </c>
      <c r="I9" s="20" t="s">
        <v>79</v>
      </c>
      <c r="J9" s="20" t="s">
        <v>0</v>
      </c>
      <c r="K9" s="20" t="s">
        <v>12</v>
      </c>
      <c r="L9" s="26"/>
    </row>
    <row r="10" spans="1:12" x14ac:dyDescent="0.2">
      <c r="A10" s="18">
        <v>9</v>
      </c>
      <c r="B10" s="19">
        <v>45452</v>
      </c>
      <c r="C10" s="20">
        <v>1976051713</v>
      </c>
      <c r="D10" s="34" t="str">
        <f>IFERROR(IF(C10="","",VLOOKUP(C10,المستفيدين!$B:$C,2,FALSE)),"")</f>
        <v>مستفيد118</v>
      </c>
      <c r="E10" s="24" t="s">
        <v>256</v>
      </c>
      <c r="F10" s="34" t="str">
        <f>IFERROR(IF(E10="","",VLOOKUP(E10,الموظفين!$B:$C,2,FALSE)),"")</f>
        <v>موظف57</v>
      </c>
      <c r="G10" s="34" t="str">
        <f>IFERROR(IF(C10="","",VLOOKUP(C10,المستفيدين!$B:$F,5,FALSE)),"")</f>
        <v>مدرسة إرادة وتمكين لمتلازمة داون (نجد)</v>
      </c>
      <c r="H10" s="24" t="s">
        <v>553</v>
      </c>
      <c r="I10" s="24" t="s">
        <v>74</v>
      </c>
      <c r="J10" s="24" t="s">
        <v>1</v>
      </c>
      <c r="K10" s="24" t="s">
        <v>9</v>
      </c>
      <c r="L10" s="25"/>
    </row>
    <row r="11" spans="1:12" x14ac:dyDescent="0.2">
      <c r="A11" s="21">
        <v>10</v>
      </c>
      <c r="B11" s="22">
        <v>45456</v>
      </c>
      <c r="C11" s="20">
        <v>1009443870</v>
      </c>
      <c r="D11" s="34" t="str">
        <f>IFERROR(IF(C11="","",VLOOKUP(C11,المستفيدين!$B:$C,2,FALSE)),"")</f>
        <v>مستفيد42</v>
      </c>
      <c r="E11" s="20" t="s">
        <v>68</v>
      </c>
      <c r="F11" s="34" t="str">
        <f>IFERROR(IF(E11="","",VLOOKUP(E11,الموظفين!$B:$C,2,FALSE)),"")</f>
        <v>موظف2</v>
      </c>
      <c r="G11" s="34" t="str">
        <f>IFERROR(IF(C11="","",VLOOKUP(C11,المستفيدين!$B:$F,5,FALSE)),"")</f>
        <v>مركز إرادة وتمكين لمتلازمة داون (نجد)</v>
      </c>
      <c r="H11" s="24" t="s">
        <v>553</v>
      </c>
      <c r="I11" s="20" t="s">
        <v>75</v>
      </c>
      <c r="J11" s="20" t="s">
        <v>0</v>
      </c>
      <c r="K11" s="20" t="s">
        <v>9</v>
      </c>
      <c r="L11" s="26" t="s">
        <v>526</v>
      </c>
    </row>
    <row r="12" spans="1:12" x14ac:dyDescent="0.2">
      <c r="A12" s="18">
        <v>11</v>
      </c>
      <c r="B12" s="19">
        <v>45457</v>
      </c>
      <c r="C12" s="20">
        <v>1905329493</v>
      </c>
      <c r="D12" s="34" t="str">
        <f>IFERROR(IF(C12="","",VLOOKUP(C12,المستفيدين!$B:$C,2,FALSE)),"")</f>
        <v>مستفيد155</v>
      </c>
      <c r="E12" s="24" t="s">
        <v>316</v>
      </c>
      <c r="F12" s="34" t="str">
        <f>IFERROR(IF(E12="","",VLOOKUP(E12,الموظفين!$B:$C,2,FALSE)),"")</f>
        <v>موظف87</v>
      </c>
      <c r="G12" s="34" t="str">
        <f>IFERROR(IF(C12="","",VLOOKUP(C12,المستفيدين!$B:$F,5,FALSE)),"")</f>
        <v>مركز إرادة وتمكين للرعاية النهارية (القدس)</v>
      </c>
      <c r="H12" s="24" t="s">
        <v>552</v>
      </c>
      <c r="I12" s="24" t="s">
        <v>81</v>
      </c>
      <c r="J12" s="24" t="s">
        <v>0</v>
      </c>
      <c r="K12" s="24" t="s">
        <v>9</v>
      </c>
      <c r="L12" s="25" t="s">
        <v>51</v>
      </c>
    </row>
    <row r="13" spans="1:12" x14ac:dyDescent="0.2">
      <c r="A13" s="21">
        <v>12</v>
      </c>
      <c r="B13" s="22">
        <v>45461</v>
      </c>
      <c r="C13" s="20">
        <v>1313917845</v>
      </c>
      <c r="D13" s="34" t="str">
        <f>IFERROR(IF(C13="","",VLOOKUP(C13,المستفيدين!$B:$C,2,FALSE)),"")</f>
        <v>مستفيد51</v>
      </c>
      <c r="E13" s="20" t="s">
        <v>266</v>
      </c>
      <c r="F13" s="34" t="str">
        <f>IFERROR(IF(E13="","",VLOOKUP(E13,الموظفين!$B:$C,2,FALSE)),"")</f>
        <v>موظف62</v>
      </c>
      <c r="G13" s="34" t="str">
        <f>IFERROR(IF(C13="","",VLOOKUP(C13,المستفيدين!$B:$F,5,FALSE)),"")</f>
        <v>مركز إرادة وتمكين للرعاية النهارية (القدس)</v>
      </c>
      <c r="H13" s="24" t="s">
        <v>553</v>
      </c>
      <c r="I13" s="20" t="s">
        <v>78</v>
      </c>
      <c r="J13" s="20" t="s">
        <v>0</v>
      </c>
      <c r="K13" s="20" t="s">
        <v>9</v>
      </c>
      <c r="L13" s="26" t="s">
        <v>524</v>
      </c>
    </row>
    <row r="14" spans="1:12" x14ac:dyDescent="0.2">
      <c r="A14" s="18">
        <v>13</v>
      </c>
      <c r="B14" s="19">
        <v>45462</v>
      </c>
      <c r="C14" s="20">
        <v>1284752099</v>
      </c>
      <c r="D14" s="34" t="str">
        <f>IFERROR(IF(C14="","",VLOOKUP(C14,المستفيدين!$B:$C,2,FALSE)),"")</f>
        <v>مستفيد19</v>
      </c>
      <c r="E14" s="24" t="s">
        <v>332</v>
      </c>
      <c r="F14" s="34" t="str">
        <f>IFERROR(IF(E14="","",VLOOKUP(E14,الموظفين!$B:$C,2,FALSE)),"")</f>
        <v>موظف95</v>
      </c>
      <c r="G14" s="34" t="str">
        <f>IFERROR(IF(C14="","",VLOOKUP(C14,المستفيدين!$B:$F,5,FALSE)),"")</f>
        <v>مركز إرادة وتمكين لمتلازمة داون (نجد)</v>
      </c>
      <c r="H14" s="24" t="s">
        <v>553</v>
      </c>
      <c r="I14" s="24" t="s">
        <v>76</v>
      </c>
      <c r="J14" s="24" t="s">
        <v>0</v>
      </c>
      <c r="K14" s="24" t="s">
        <v>9</v>
      </c>
      <c r="L14" s="25" t="s">
        <v>523</v>
      </c>
    </row>
    <row r="15" spans="1:12" x14ac:dyDescent="0.2">
      <c r="A15" s="21">
        <v>14</v>
      </c>
      <c r="B15" s="22">
        <v>45463</v>
      </c>
      <c r="C15" s="20">
        <v>1762847665</v>
      </c>
      <c r="D15" s="34" t="str">
        <f>IFERROR(IF(C15="","",VLOOKUP(C15,المستفيدين!$B:$C,2,FALSE)),"")</f>
        <v>مستفيد138</v>
      </c>
      <c r="E15" s="20" t="s">
        <v>162</v>
      </c>
      <c r="F15" s="34" t="str">
        <f>IFERROR(IF(E15="","",VLOOKUP(E15,الموظفين!$B:$C,2,FALSE)),"")</f>
        <v>موظف10</v>
      </c>
      <c r="G15" s="34" t="str">
        <f>IFERROR(IF(C15="","",VLOOKUP(C15,المستفيدين!$B:$F,5,FALSE)),"")</f>
        <v>مدرسة إرادة وتمكين لمتلازمة داون (نجد)</v>
      </c>
      <c r="H15" s="24" t="s">
        <v>553</v>
      </c>
      <c r="I15" s="20" t="s">
        <v>76</v>
      </c>
      <c r="J15" s="20" t="s">
        <v>0</v>
      </c>
      <c r="K15" s="20" t="s">
        <v>10</v>
      </c>
      <c r="L15" s="26" t="s">
        <v>525</v>
      </c>
    </row>
    <row r="16" spans="1:12" x14ac:dyDescent="0.2">
      <c r="A16" s="18">
        <v>15</v>
      </c>
      <c r="B16" s="19">
        <v>45463</v>
      </c>
      <c r="C16" s="20">
        <v>1668099269</v>
      </c>
      <c r="D16" s="34" t="str">
        <f>IFERROR(IF(C16="","",VLOOKUP(C16,المستفيدين!$B:$C,2,FALSE)),"")</f>
        <v>مستفيد20</v>
      </c>
      <c r="E16" s="24" t="s">
        <v>202</v>
      </c>
      <c r="F16" s="34" t="str">
        <f>IFERROR(IF(E16="","",VLOOKUP(E16,الموظفين!$B:$C,2,FALSE)),"")</f>
        <v>موظف30</v>
      </c>
      <c r="G16" s="34" t="str">
        <f>IFERROR(IF(C16="","",VLOOKUP(C16,المستفيدين!$B:$F,5,FALSE)),"")</f>
        <v>مركز إرادة وتمكين لرعاية ذوي الاحتياجات الخاصة (جلمودة)</v>
      </c>
      <c r="H16" s="24" t="s">
        <v>553</v>
      </c>
      <c r="I16" s="24" t="s">
        <v>77</v>
      </c>
      <c r="J16" s="24" t="s">
        <v>0</v>
      </c>
      <c r="K16" s="24" t="s">
        <v>9</v>
      </c>
      <c r="L16" s="25" t="s">
        <v>526</v>
      </c>
    </row>
    <row r="17" spans="1:12" x14ac:dyDescent="0.2">
      <c r="A17" s="21">
        <v>16</v>
      </c>
      <c r="B17" s="22">
        <v>45470</v>
      </c>
      <c r="C17" s="20">
        <v>1149256102</v>
      </c>
      <c r="D17" s="34" t="str">
        <f>IFERROR(IF(C17="","",VLOOKUP(C17,المستفيدين!$B:$C,2,FALSE)),"")</f>
        <v>مستفيد76</v>
      </c>
      <c r="E17" s="20" t="s">
        <v>278</v>
      </c>
      <c r="F17" s="34" t="str">
        <f>IFERROR(IF(E17="","",VLOOKUP(E17,الموظفين!$B:$C,2,FALSE)),"")</f>
        <v>موظف68</v>
      </c>
      <c r="G17" s="34" t="str">
        <f>IFERROR(IF(C17="","",VLOOKUP(C17,المستفيدين!$B:$F,5,FALSE)),"")</f>
        <v>مدرسة إرادة وتمكين لمتلازمة داون (نجد)</v>
      </c>
      <c r="H17" s="24" t="s">
        <v>552</v>
      </c>
      <c r="I17" s="20" t="s">
        <v>81</v>
      </c>
      <c r="J17" s="20" t="s">
        <v>0</v>
      </c>
      <c r="K17" s="20" t="s">
        <v>9</v>
      </c>
      <c r="L17" s="26" t="s">
        <v>51</v>
      </c>
    </row>
    <row r="18" spans="1:12" x14ac:dyDescent="0.2">
      <c r="A18" s="18">
        <v>17</v>
      </c>
      <c r="B18" s="19">
        <v>45471</v>
      </c>
      <c r="C18" s="20">
        <v>1228837751</v>
      </c>
      <c r="D18" s="34" t="str">
        <f>IFERROR(IF(C18="","",VLOOKUP(C18,المستفيدين!$B:$C,2,FALSE)),"")</f>
        <v>مستفيد58</v>
      </c>
      <c r="E18" s="24" t="s">
        <v>188</v>
      </c>
      <c r="F18" s="34" t="str">
        <f>IFERROR(IF(E18="","",VLOOKUP(E18,الموظفين!$B:$C,2,FALSE)),"")</f>
        <v>موظف23</v>
      </c>
      <c r="G18" s="34" t="str">
        <f>IFERROR(IF(C18="","",VLOOKUP(C18,المستفيدين!$B:$F,5,FALSE)),"")</f>
        <v>مدرسة إرادة وتمكين لمتلازمة داون (نجد)</v>
      </c>
      <c r="H18" s="24" t="s">
        <v>553</v>
      </c>
      <c r="I18" s="24" t="s">
        <v>79</v>
      </c>
      <c r="J18" s="24" t="s">
        <v>1</v>
      </c>
      <c r="K18" s="24" t="s">
        <v>9</v>
      </c>
      <c r="L18" s="25" t="s">
        <v>526</v>
      </c>
    </row>
    <row r="19" spans="1:12" x14ac:dyDescent="0.2">
      <c r="A19" s="21">
        <v>18</v>
      </c>
      <c r="B19" s="22">
        <v>45471</v>
      </c>
      <c r="C19" s="20">
        <v>1814840095</v>
      </c>
      <c r="D19" s="34" t="str">
        <f>IFERROR(IF(C19="","",VLOOKUP(C19,المستفيدين!$B:$C,2,FALSE)),"")</f>
        <v>مستفيد25</v>
      </c>
      <c r="E19" s="20" t="s">
        <v>264</v>
      </c>
      <c r="F19" s="34" t="str">
        <f>IFERROR(IF(E19="","",VLOOKUP(E19,الموظفين!$B:$C,2,FALSE)),"")</f>
        <v>موظف61</v>
      </c>
      <c r="G19" s="34" t="str">
        <f>IFERROR(IF(C19="","",VLOOKUP(C19,المستفيدين!$B:$F,5,FALSE)),"")</f>
        <v>مركز إرادة وتمكين للرعاية النهارية (القدس)</v>
      </c>
      <c r="H19" s="24" t="s">
        <v>553</v>
      </c>
      <c r="I19" s="20" t="s">
        <v>76</v>
      </c>
      <c r="J19" s="20" t="s">
        <v>0</v>
      </c>
      <c r="K19" s="20" t="s">
        <v>9</v>
      </c>
      <c r="L19" s="26"/>
    </row>
    <row r="20" spans="1:12" x14ac:dyDescent="0.2">
      <c r="A20" s="18">
        <v>19</v>
      </c>
      <c r="B20" s="19">
        <v>45472</v>
      </c>
      <c r="C20" s="20">
        <v>1511480692</v>
      </c>
      <c r="D20" s="34" t="str">
        <f>IFERROR(IF(C20="","",VLOOKUP(C20,المستفيدين!$B:$C,2,FALSE)),"")</f>
        <v>مستفيد37</v>
      </c>
      <c r="E20" s="24" t="s">
        <v>194</v>
      </c>
      <c r="F20" s="34" t="str">
        <f>IFERROR(IF(E20="","",VLOOKUP(E20,الموظفين!$B:$C,2,FALSE)),"")</f>
        <v>موظف26</v>
      </c>
      <c r="G20" s="34" t="str">
        <f>IFERROR(IF(C20="","",VLOOKUP(C20,المستفيدين!$B:$F,5,FALSE)),"")</f>
        <v>مدرسة إرادة وتمكين لمتلازمة داون (نجد)</v>
      </c>
      <c r="H20" s="24" t="s">
        <v>552</v>
      </c>
      <c r="I20" s="24" t="s">
        <v>80</v>
      </c>
      <c r="J20" s="24" t="s">
        <v>1</v>
      </c>
      <c r="K20" s="24" t="s">
        <v>9</v>
      </c>
      <c r="L20" s="25" t="s">
        <v>51</v>
      </c>
    </row>
    <row r="21" spans="1:12" x14ac:dyDescent="0.2">
      <c r="A21" s="21">
        <v>20</v>
      </c>
      <c r="B21" s="22">
        <v>45477</v>
      </c>
      <c r="C21" s="20">
        <v>1379794895</v>
      </c>
      <c r="D21" s="34" t="str">
        <f>IFERROR(IF(C21="","",VLOOKUP(C21,المستفيدين!$B:$C,2,FALSE)),"")</f>
        <v>مستفيد78</v>
      </c>
      <c r="E21" s="20" t="s">
        <v>258</v>
      </c>
      <c r="F21" s="34" t="str">
        <f>IFERROR(IF(E21="","",VLOOKUP(E21,الموظفين!$B:$C,2,FALSE)),"")</f>
        <v>موظف58</v>
      </c>
      <c r="G21" s="34" t="str">
        <f>IFERROR(IF(C21="","",VLOOKUP(C21,المستفيدين!$B:$F,5,FALSE)),"")</f>
        <v>مركز إرادة وتمكين للرعاية النهارية (القدس)</v>
      </c>
      <c r="H21" s="24" t="s">
        <v>552</v>
      </c>
      <c r="I21" s="20" t="s">
        <v>81</v>
      </c>
      <c r="J21" s="20" t="s">
        <v>0</v>
      </c>
      <c r="K21" s="20" t="s">
        <v>10</v>
      </c>
      <c r="L21" s="26"/>
    </row>
    <row r="22" spans="1:12" x14ac:dyDescent="0.2">
      <c r="A22" s="18">
        <v>21</v>
      </c>
      <c r="B22" s="19">
        <v>45478</v>
      </c>
      <c r="C22" s="20">
        <v>1113590304</v>
      </c>
      <c r="D22" s="34" t="str">
        <f>IFERROR(IF(C22="","",VLOOKUP(C22,المستفيدين!$B:$C,2,FALSE)),"")</f>
        <v>مستفيد186</v>
      </c>
      <c r="E22" s="24" t="s">
        <v>252</v>
      </c>
      <c r="F22" s="34" t="str">
        <f>IFERROR(IF(E22="","",VLOOKUP(E22,الموظفين!$B:$C,2,FALSE)),"")</f>
        <v>موظف55</v>
      </c>
      <c r="G22" s="34" t="str">
        <f>IFERROR(IF(C22="","",VLOOKUP(C22,المستفيدين!$B:$F,5,FALSE)),"")</f>
        <v>مركز إرادة وتمكين لمتلازمة داون (نجد)</v>
      </c>
      <c r="H22" s="24" t="s">
        <v>553</v>
      </c>
      <c r="I22" s="24" t="s">
        <v>77</v>
      </c>
      <c r="J22" s="24" t="s">
        <v>1</v>
      </c>
      <c r="K22" s="24" t="s">
        <v>9</v>
      </c>
      <c r="L22" s="25"/>
    </row>
    <row r="23" spans="1:12" x14ac:dyDescent="0.2">
      <c r="A23" s="21">
        <v>22</v>
      </c>
      <c r="B23" s="22">
        <v>45479</v>
      </c>
      <c r="C23" s="20">
        <v>1532697741</v>
      </c>
      <c r="D23" s="34" t="str">
        <f>IFERROR(IF(C23="","",VLOOKUP(C23,المستفيدين!$B:$C,2,FALSE)),"")</f>
        <v>مستفيد93</v>
      </c>
      <c r="E23" s="20" t="s">
        <v>332</v>
      </c>
      <c r="F23" s="34" t="str">
        <f>IFERROR(IF(E23="","",VLOOKUP(E23,الموظفين!$B:$C,2,FALSE)),"")</f>
        <v>موظف95</v>
      </c>
      <c r="G23" s="34" t="str">
        <f>IFERROR(IF(C23="","",VLOOKUP(C23,المستفيدين!$B:$F,5,FALSE)),"")</f>
        <v>مركز إرادة وتمكين للرعاية النهارية (القدس)</v>
      </c>
      <c r="H23" s="24" t="s">
        <v>553</v>
      </c>
      <c r="I23" s="20" t="s">
        <v>76</v>
      </c>
      <c r="J23" s="20" t="s">
        <v>0</v>
      </c>
      <c r="K23" s="20" t="s">
        <v>11</v>
      </c>
      <c r="L23" s="26" t="s">
        <v>526</v>
      </c>
    </row>
    <row r="24" spans="1:12" x14ac:dyDescent="0.2">
      <c r="A24" s="18">
        <v>23</v>
      </c>
      <c r="B24" s="19">
        <v>45483</v>
      </c>
      <c r="C24" s="20">
        <v>1374392968</v>
      </c>
      <c r="D24" s="34" t="str">
        <f>IFERROR(IF(C24="","",VLOOKUP(C24,المستفيدين!$B:$C,2,FALSE)),"")</f>
        <v>مستفيد190</v>
      </c>
      <c r="E24" s="24" t="s">
        <v>342</v>
      </c>
      <c r="F24" s="34" t="str">
        <f>IFERROR(IF(E24="","",VLOOKUP(E24,الموظفين!$B:$C,2,FALSE)),"")</f>
        <v>موظف100</v>
      </c>
      <c r="G24" s="34" t="str">
        <f>IFERROR(IF(C24="","",VLOOKUP(C24,المستفيدين!$B:$F,5,FALSE)),"")</f>
        <v>مدرسة إرادة وتمكين لمتلازمة داون (نجد)</v>
      </c>
      <c r="H24" s="24" t="s">
        <v>552</v>
      </c>
      <c r="I24" s="24" t="s">
        <v>555</v>
      </c>
      <c r="J24" s="24" t="s">
        <v>1</v>
      </c>
      <c r="K24" s="24" t="s">
        <v>11</v>
      </c>
      <c r="L24" s="25"/>
    </row>
    <row r="25" spans="1:12" x14ac:dyDescent="0.2">
      <c r="A25" s="21">
        <v>24</v>
      </c>
      <c r="B25" s="22">
        <v>45483</v>
      </c>
      <c r="C25" s="20">
        <v>1228939605</v>
      </c>
      <c r="D25" s="34" t="str">
        <f>IFERROR(IF(C25="","",VLOOKUP(C25,المستفيدين!$B:$C,2,FALSE)),"")</f>
        <v>مستفيد54</v>
      </c>
      <c r="E25" s="20" t="s">
        <v>162</v>
      </c>
      <c r="F25" s="34" t="str">
        <f>IFERROR(IF(E25="","",VLOOKUP(E25,الموظفين!$B:$C,2,FALSE)),"")</f>
        <v>موظف10</v>
      </c>
      <c r="G25" s="34" t="str">
        <f>IFERROR(IF(C25="","",VLOOKUP(C25,المستفيدين!$B:$F,5,FALSE)),"")</f>
        <v>مدرسة إرادة للتعليم (مكة)</v>
      </c>
      <c r="H25" s="24" t="s">
        <v>553</v>
      </c>
      <c r="I25" s="20" t="s">
        <v>76</v>
      </c>
      <c r="J25" s="20" t="s">
        <v>0</v>
      </c>
      <c r="K25" s="20" t="s">
        <v>9</v>
      </c>
      <c r="L25" s="26" t="s">
        <v>526</v>
      </c>
    </row>
    <row r="26" spans="1:12" x14ac:dyDescent="0.2">
      <c r="A26" s="18">
        <v>25</v>
      </c>
      <c r="B26" s="19">
        <v>45486</v>
      </c>
      <c r="C26" s="20">
        <v>1744297633</v>
      </c>
      <c r="D26" s="34" t="str">
        <f>IFERROR(IF(C26="","",VLOOKUP(C26,المستفيدين!$B:$C,2,FALSE)),"")</f>
        <v>مستفيد153</v>
      </c>
      <c r="E26" s="24" t="s">
        <v>304</v>
      </c>
      <c r="F26" s="34" t="str">
        <f>IFERROR(IF(E26="","",VLOOKUP(E26,الموظفين!$B:$C,2,FALSE)),"")</f>
        <v>موظف81</v>
      </c>
      <c r="G26" s="34" t="str">
        <f>IFERROR(IF(C26="","",VLOOKUP(C26,المستفيدين!$B:$F,5,FALSE)),"")</f>
        <v>مدرسة إرادة للتعليم (مكة)</v>
      </c>
      <c r="H26" s="24" t="s">
        <v>553</v>
      </c>
      <c r="I26" s="24" t="s">
        <v>77</v>
      </c>
      <c r="J26" s="24" t="s">
        <v>0</v>
      </c>
      <c r="K26" s="24" t="s">
        <v>12</v>
      </c>
      <c r="L26" s="25" t="s">
        <v>523</v>
      </c>
    </row>
    <row r="27" spans="1:12" x14ac:dyDescent="0.2">
      <c r="A27" s="21">
        <v>26</v>
      </c>
      <c r="B27" s="22">
        <v>45493</v>
      </c>
      <c r="C27" s="20">
        <v>1445520895</v>
      </c>
      <c r="D27" s="34" t="str">
        <f>IFERROR(IF(C27="","",VLOOKUP(C27,المستفيدين!$B:$C,2,FALSE)),"")</f>
        <v>مستفيد56</v>
      </c>
      <c r="E27" s="20" t="s">
        <v>260</v>
      </c>
      <c r="F27" s="34" t="str">
        <f>IFERROR(IF(E27="","",VLOOKUP(E27,الموظفين!$B:$C,2,FALSE)),"")</f>
        <v>موظف59</v>
      </c>
      <c r="G27" s="34" t="str">
        <f>IFERROR(IF(C27="","",VLOOKUP(C27,المستفيدين!$B:$F,5,FALSE)),"")</f>
        <v>مركز إرادة وتمكين للرعاية النهارية (القدس)</v>
      </c>
      <c r="H27" s="24" t="s">
        <v>553</v>
      </c>
      <c r="I27" s="20" t="s">
        <v>77</v>
      </c>
      <c r="J27" s="20" t="s">
        <v>0</v>
      </c>
      <c r="K27" s="20" t="s">
        <v>9</v>
      </c>
      <c r="L27" s="26"/>
    </row>
    <row r="28" spans="1:12" x14ac:dyDescent="0.2">
      <c r="A28" s="18">
        <v>27</v>
      </c>
      <c r="B28" s="19">
        <v>45496</v>
      </c>
      <c r="C28" s="20">
        <v>1484076714</v>
      </c>
      <c r="D28" s="34" t="str">
        <f>IFERROR(IF(C28="","",VLOOKUP(C28,المستفيدين!$B:$C,2,FALSE)),"")</f>
        <v>مستفيد126</v>
      </c>
      <c r="E28" s="24" t="s">
        <v>328</v>
      </c>
      <c r="F28" s="34" t="str">
        <f>IFERROR(IF(E28="","",VLOOKUP(E28,الموظفين!$B:$C,2,FALSE)),"")</f>
        <v>موظف93</v>
      </c>
      <c r="G28" s="34" t="str">
        <f>IFERROR(IF(C28="","",VLOOKUP(C28,المستفيدين!$B:$F,5,FALSE)),"")</f>
        <v>مركز إرادة وتمكين للرعاية النهارية (القدس)</v>
      </c>
      <c r="H28" s="24" t="s">
        <v>553</v>
      </c>
      <c r="I28" s="24" t="s">
        <v>77</v>
      </c>
      <c r="J28" s="24" t="s">
        <v>0</v>
      </c>
      <c r="K28" s="24" t="s">
        <v>10</v>
      </c>
      <c r="L28" s="25"/>
    </row>
    <row r="29" spans="1:12" x14ac:dyDescent="0.2">
      <c r="A29" s="21">
        <v>28</v>
      </c>
      <c r="B29" s="22">
        <v>45496</v>
      </c>
      <c r="C29" s="20">
        <v>1216681476</v>
      </c>
      <c r="D29" s="34" t="str">
        <f>IFERROR(IF(C29="","",VLOOKUP(C29,المستفيدين!$B:$C,2,FALSE)),"")</f>
        <v>مستفيد44</v>
      </c>
      <c r="E29" s="20" t="s">
        <v>67</v>
      </c>
      <c r="F29" s="34" t="str">
        <f>IFERROR(IF(E29="","",VLOOKUP(E29,الموظفين!$B:$C,2,FALSE)),"")</f>
        <v>موظف1</v>
      </c>
      <c r="G29" s="34" t="str">
        <f>IFERROR(IF(C29="","",VLOOKUP(C29,المستفيدين!$B:$F,5,FALSE)),"")</f>
        <v>مدرسة إرادة للتعليم (مكة)</v>
      </c>
      <c r="H29" s="24" t="s">
        <v>553</v>
      </c>
      <c r="I29" s="20" t="s">
        <v>74</v>
      </c>
      <c r="J29" s="20" t="s">
        <v>0</v>
      </c>
      <c r="K29" s="20" t="s">
        <v>11</v>
      </c>
      <c r="L29" s="26" t="s">
        <v>51</v>
      </c>
    </row>
    <row r="30" spans="1:12" x14ac:dyDescent="0.2">
      <c r="A30" s="18">
        <v>29</v>
      </c>
      <c r="B30" s="19">
        <v>45498</v>
      </c>
      <c r="C30" s="20">
        <v>1491276005</v>
      </c>
      <c r="D30" s="34" t="str">
        <f>IFERROR(IF(C30="","",VLOOKUP(C30,المستفيدين!$B:$C,2,FALSE)),"")</f>
        <v>مستفيد73</v>
      </c>
      <c r="E30" s="24" t="s">
        <v>208</v>
      </c>
      <c r="F30" s="34" t="str">
        <f>IFERROR(IF(E30="","",VLOOKUP(E30,الموظفين!$B:$C,2,FALSE)),"")</f>
        <v>موظف33</v>
      </c>
      <c r="G30" s="34" t="str">
        <f>IFERROR(IF(C30="","",VLOOKUP(C30,المستفيدين!$B:$F,5,FALSE)),"")</f>
        <v>مدرسة إرادة للتعليم (مكة)</v>
      </c>
      <c r="H30" s="24" t="s">
        <v>553</v>
      </c>
      <c r="I30" s="24" t="s">
        <v>79</v>
      </c>
      <c r="J30" s="24" t="s">
        <v>0</v>
      </c>
      <c r="K30" s="24" t="s">
        <v>9</v>
      </c>
      <c r="L30" s="25" t="s">
        <v>51</v>
      </c>
    </row>
    <row r="31" spans="1:12" x14ac:dyDescent="0.2">
      <c r="A31" s="21">
        <v>30</v>
      </c>
      <c r="B31" s="22">
        <v>45499</v>
      </c>
      <c r="C31" s="20">
        <v>1763354093</v>
      </c>
      <c r="D31" s="34" t="str">
        <f>IFERROR(IF(C31="","",VLOOKUP(C31,المستفيدين!$B:$C,2,FALSE)),"")</f>
        <v>مستفيد10</v>
      </c>
      <c r="E31" s="20" t="s">
        <v>228</v>
      </c>
      <c r="F31" s="34" t="str">
        <f>IFERROR(IF(E31="","",VLOOKUP(E31,الموظفين!$B:$C,2,FALSE)),"")</f>
        <v>موظف43</v>
      </c>
      <c r="G31" s="34" t="str">
        <f>IFERROR(IF(C31="","",VLOOKUP(C31,المستفيدين!$B:$F,5,FALSE)),"")</f>
        <v>مركز إرادة وتمكين للرعاية النهارية (القدس)</v>
      </c>
      <c r="H31" s="24" t="s">
        <v>553</v>
      </c>
      <c r="I31" s="20" t="s">
        <v>76</v>
      </c>
      <c r="J31" s="20" t="s">
        <v>0</v>
      </c>
      <c r="K31" s="20" t="s">
        <v>12</v>
      </c>
      <c r="L31" s="26" t="s">
        <v>526</v>
      </c>
    </row>
    <row r="32" spans="1:12" x14ac:dyDescent="0.2">
      <c r="A32" s="18">
        <v>31</v>
      </c>
      <c r="B32" s="19">
        <v>45500</v>
      </c>
      <c r="C32" s="20">
        <v>1076683920</v>
      </c>
      <c r="D32" s="34" t="str">
        <f>IFERROR(IF(C32="","",VLOOKUP(C32,المستفيدين!$B:$C,2,FALSE)),"")</f>
        <v>مستفيد92</v>
      </c>
      <c r="E32" s="24" t="s">
        <v>188</v>
      </c>
      <c r="F32" s="34" t="str">
        <f>IFERROR(IF(E32="","",VLOOKUP(E32,الموظفين!$B:$C,2,FALSE)),"")</f>
        <v>موظف23</v>
      </c>
      <c r="G32" s="34" t="str">
        <f>IFERROR(IF(C32="","",VLOOKUP(C32,المستفيدين!$B:$F,5,FALSE)),"")</f>
        <v>مركز إرادة وتمكين للرعاية النهارية (القدس)</v>
      </c>
      <c r="H32" s="24" t="s">
        <v>553</v>
      </c>
      <c r="I32" s="24" t="s">
        <v>79</v>
      </c>
      <c r="J32" s="24" t="s">
        <v>1</v>
      </c>
      <c r="K32" s="24" t="s">
        <v>12</v>
      </c>
      <c r="L32" s="25" t="s">
        <v>51</v>
      </c>
    </row>
    <row r="33" spans="1:12" x14ac:dyDescent="0.2">
      <c r="A33" s="21">
        <v>32</v>
      </c>
      <c r="B33" s="22">
        <v>45500</v>
      </c>
      <c r="C33" s="20">
        <v>1670614837</v>
      </c>
      <c r="D33" s="34" t="str">
        <f>IFERROR(IF(C33="","",VLOOKUP(C33,المستفيدين!$B:$C,2,FALSE)),"")</f>
        <v>مستفيد80</v>
      </c>
      <c r="E33" s="20" t="s">
        <v>180</v>
      </c>
      <c r="F33" s="34" t="str">
        <f>IFERROR(IF(E33="","",VLOOKUP(E33,الموظفين!$B:$C,2,FALSE)),"")</f>
        <v>موظف19</v>
      </c>
      <c r="G33" s="34" t="str">
        <f>IFERROR(IF(C33="","",VLOOKUP(C33,المستفيدين!$B:$F,5,FALSE)),"")</f>
        <v>مدرسة إرادة للتعليم (مكة)</v>
      </c>
      <c r="H33" s="24" t="s">
        <v>553</v>
      </c>
      <c r="I33" s="20" t="s">
        <v>77</v>
      </c>
      <c r="J33" s="20" t="s">
        <v>1</v>
      </c>
      <c r="K33" s="20" t="s">
        <v>9</v>
      </c>
      <c r="L33" s="26" t="s">
        <v>526</v>
      </c>
    </row>
    <row r="34" spans="1:12" x14ac:dyDescent="0.2">
      <c r="A34" s="18">
        <v>33</v>
      </c>
      <c r="B34" s="19">
        <v>45501</v>
      </c>
      <c r="C34" s="20">
        <v>1980725694</v>
      </c>
      <c r="D34" s="34" t="str">
        <f>IFERROR(IF(C34="","",VLOOKUP(C34,المستفيدين!$B:$C,2,FALSE)),"")</f>
        <v>مستفيد189</v>
      </c>
      <c r="E34" s="24" t="s">
        <v>178</v>
      </c>
      <c r="F34" s="34" t="str">
        <f>IFERROR(IF(E34="","",VLOOKUP(E34,الموظفين!$B:$C,2,FALSE)),"")</f>
        <v>موظف18</v>
      </c>
      <c r="G34" s="34" t="str">
        <f>IFERROR(IF(C34="","",VLOOKUP(C34,المستفيدين!$B:$F,5,FALSE)),"")</f>
        <v>مدرسة إرادة للتعليم (مكة)</v>
      </c>
      <c r="H34" s="24" t="s">
        <v>553</v>
      </c>
      <c r="I34" s="24" t="s">
        <v>78</v>
      </c>
      <c r="J34" s="24" t="s">
        <v>1</v>
      </c>
      <c r="K34" s="24" t="s">
        <v>10</v>
      </c>
      <c r="L34" s="25" t="s">
        <v>51</v>
      </c>
    </row>
    <row r="35" spans="1:12" x14ac:dyDescent="0.2">
      <c r="A35" s="21">
        <v>34</v>
      </c>
      <c r="B35" s="22">
        <v>45504</v>
      </c>
      <c r="C35" s="20">
        <v>1120965748</v>
      </c>
      <c r="D35" s="34" t="str">
        <f>IFERROR(IF(C35="","",VLOOKUP(C35,المستفيدين!$B:$C,2,FALSE)),"")</f>
        <v>مستفيد169</v>
      </c>
      <c r="E35" s="20" t="s">
        <v>304</v>
      </c>
      <c r="F35" s="34" t="str">
        <f>IFERROR(IF(E35="","",VLOOKUP(E35,الموظفين!$B:$C,2,FALSE)),"")</f>
        <v>موظف81</v>
      </c>
      <c r="G35" s="34" t="str">
        <f>IFERROR(IF(C35="","",VLOOKUP(C35,المستفيدين!$B:$F,5,FALSE)),"")</f>
        <v>مركز إرادة وتمكين لمتلازمة داون (نجد)</v>
      </c>
      <c r="H35" s="24" t="s">
        <v>553</v>
      </c>
      <c r="I35" s="20" t="s">
        <v>77</v>
      </c>
      <c r="J35" s="20" t="s">
        <v>0</v>
      </c>
      <c r="K35" s="20" t="s">
        <v>9</v>
      </c>
      <c r="L35" s="26" t="s">
        <v>51</v>
      </c>
    </row>
    <row r="36" spans="1:12" x14ac:dyDescent="0.2">
      <c r="A36" s="18">
        <v>35</v>
      </c>
      <c r="B36" s="19">
        <v>45504</v>
      </c>
      <c r="C36" s="20">
        <v>1672893974</v>
      </c>
      <c r="D36" s="34" t="str">
        <f>IFERROR(IF(C36="","",VLOOKUP(C36,المستفيدين!$B:$C,2,FALSE)),"")</f>
        <v>مستفيد148</v>
      </c>
      <c r="E36" s="24" t="s">
        <v>318</v>
      </c>
      <c r="F36" s="34" t="str">
        <f>IFERROR(IF(E36="","",VLOOKUP(E36,الموظفين!$B:$C,2,FALSE)),"")</f>
        <v>موظف88</v>
      </c>
      <c r="G36" s="34" t="str">
        <f>IFERROR(IF(C36="","",VLOOKUP(C36,المستفيدين!$B:$F,5,FALSE)),"")</f>
        <v>مركز إرادة وتمكين لمتلازمة داون (نجد)</v>
      </c>
      <c r="H36" s="24" t="s">
        <v>552</v>
      </c>
      <c r="I36" s="24" t="s">
        <v>555</v>
      </c>
      <c r="J36" s="24" t="s">
        <v>1</v>
      </c>
      <c r="K36" s="24" t="s">
        <v>10</v>
      </c>
      <c r="L36" s="25" t="s">
        <v>525</v>
      </c>
    </row>
    <row r="37" spans="1:12" x14ac:dyDescent="0.2">
      <c r="A37" s="21">
        <v>36</v>
      </c>
      <c r="B37" s="22">
        <v>45504</v>
      </c>
      <c r="C37" s="20">
        <v>1777729908</v>
      </c>
      <c r="D37" s="34" t="str">
        <f>IFERROR(IF(C37="","",VLOOKUP(C37,المستفيدين!$B:$C,2,FALSE)),"")</f>
        <v>مستفيد142</v>
      </c>
      <c r="E37" s="20" t="s">
        <v>254</v>
      </c>
      <c r="F37" s="34" t="str">
        <f>IFERROR(IF(E37="","",VLOOKUP(E37,الموظفين!$B:$C,2,FALSE)),"")</f>
        <v>موظف56</v>
      </c>
      <c r="G37" s="34" t="str">
        <f>IFERROR(IF(C37="","",VLOOKUP(C37,المستفيدين!$B:$F,5,FALSE)),"")</f>
        <v>مركز إرادة وتمكين لرعاية ذوي الاحتياجات الخاصة (جلمودة)</v>
      </c>
      <c r="H37" s="24" t="s">
        <v>553</v>
      </c>
      <c r="I37" s="20" t="s">
        <v>75</v>
      </c>
      <c r="J37" s="20" t="s">
        <v>0</v>
      </c>
      <c r="K37" s="20" t="s">
        <v>9</v>
      </c>
      <c r="L37" s="26"/>
    </row>
    <row r="38" spans="1:12" x14ac:dyDescent="0.2">
      <c r="A38" s="18">
        <v>37</v>
      </c>
      <c r="B38" s="19">
        <v>45508</v>
      </c>
      <c r="C38" s="20">
        <v>1715340689</v>
      </c>
      <c r="D38" s="34" t="str">
        <f>IFERROR(IF(C38="","",VLOOKUP(C38,المستفيدين!$B:$C,2,FALSE)),"")</f>
        <v>مستفيد102</v>
      </c>
      <c r="E38" s="24" t="s">
        <v>290</v>
      </c>
      <c r="F38" s="34" t="str">
        <f>IFERROR(IF(E38="","",VLOOKUP(E38,الموظفين!$B:$C,2,FALSE)),"")</f>
        <v>موظف74</v>
      </c>
      <c r="G38" s="34" t="str">
        <f>IFERROR(IF(C38="","",VLOOKUP(C38,المستفيدين!$B:$F,5,FALSE)),"")</f>
        <v>مدرسة إرادة للتعليم (مكة)</v>
      </c>
      <c r="H38" s="24" t="s">
        <v>553</v>
      </c>
      <c r="I38" s="24" t="s">
        <v>75</v>
      </c>
      <c r="J38" s="24" t="s">
        <v>1</v>
      </c>
      <c r="K38" s="24" t="s">
        <v>10</v>
      </c>
      <c r="L38" s="25" t="s">
        <v>524</v>
      </c>
    </row>
    <row r="39" spans="1:12" x14ac:dyDescent="0.2">
      <c r="A39" s="21">
        <v>38</v>
      </c>
      <c r="B39" s="22">
        <v>45509</v>
      </c>
      <c r="C39" s="20">
        <v>1839924869</v>
      </c>
      <c r="D39" s="34" t="str">
        <f>IFERROR(IF(C39="","",VLOOKUP(C39,المستفيدين!$B:$C,2,FALSE)),"")</f>
        <v>مستفيد14</v>
      </c>
      <c r="E39" s="20" t="s">
        <v>160</v>
      </c>
      <c r="F39" s="34" t="str">
        <f>IFERROR(IF(E39="","",VLOOKUP(E39,الموظفين!$B:$C,2,FALSE)),"")</f>
        <v>موظف9</v>
      </c>
      <c r="G39" s="34" t="str">
        <f>IFERROR(IF(C39="","",VLOOKUP(C39,المستفيدين!$B:$F,5,FALSE)),"")</f>
        <v>مدرسة إرادة وتمكين لمتلازمة داون (نجد)</v>
      </c>
      <c r="H39" s="24" t="s">
        <v>553</v>
      </c>
      <c r="I39" s="20" t="s">
        <v>75</v>
      </c>
      <c r="J39" s="20" t="s">
        <v>0</v>
      </c>
      <c r="K39" s="20" t="s">
        <v>12</v>
      </c>
      <c r="L39" s="26" t="s">
        <v>523</v>
      </c>
    </row>
    <row r="40" spans="1:12" x14ac:dyDescent="0.2">
      <c r="A40" s="18">
        <v>39</v>
      </c>
      <c r="B40" s="19">
        <v>45510</v>
      </c>
      <c r="C40" s="20">
        <v>1313917845</v>
      </c>
      <c r="D40" s="34" t="str">
        <f>IFERROR(IF(C40="","",VLOOKUP(C40,المستفيدين!$B:$C,2,FALSE)),"")</f>
        <v>مستفيد51</v>
      </c>
      <c r="E40" s="24" t="s">
        <v>276</v>
      </c>
      <c r="F40" s="34" t="str">
        <f>IFERROR(IF(E40="","",VLOOKUP(E40,الموظفين!$B:$C,2,FALSE)),"")</f>
        <v>موظف67</v>
      </c>
      <c r="G40" s="34" t="str">
        <f>IFERROR(IF(C40="","",VLOOKUP(C40,المستفيدين!$B:$F,5,FALSE)),"")</f>
        <v>مركز إرادة وتمكين للرعاية النهارية (القدس)</v>
      </c>
      <c r="H40" s="24" t="s">
        <v>552</v>
      </c>
      <c r="I40" s="24" t="s">
        <v>80</v>
      </c>
      <c r="J40" s="24" t="s">
        <v>1</v>
      </c>
      <c r="K40" s="24" t="s">
        <v>9</v>
      </c>
      <c r="L40" s="25"/>
    </row>
    <row r="41" spans="1:12" x14ac:dyDescent="0.2">
      <c r="A41" s="21">
        <v>40</v>
      </c>
      <c r="B41" s="22">
        <v>45511</v>
      </c>
      <c r="C41" s="20">
        <v>1376850558</v>
      </c>
      <c r="D41" s="34" t="str">
        <f>IFERROR(IF(C41="","",VLOOKUP(C41,المستفيدين!$B:$C,2,FALSE)),"")</f>
        <v>مستفيد43</v>
      </c>
      <c r="E41" s="20" t="s">
        <v>176</v>
      </c>
      <c r="F41" s="34" t="str">
        <f>IFERROR(IF(E41="","",VLOOKUP(E41,الموظفين!$B:$C,2,FALSE)),"")</f>
        <v>موظف17</v>
      </c>
      <c r="G41" s="34" t="str">
        <f>IFERROR(IF(C41="","",VLOOKUP(C41,المستفيدين!$B:$F,5,FALSE)),"")</f>
        <v>مركز إرادة وتمكين لرعاية ذوي الاحتياجات الخاصة (جلمودة)</v>
      </c>
      <c r="H41" s="24" t="s">
        <v>553</v>
      </c>
      <c r="I41" s="20" t="s">
        <v>76</v>
      </c>
      <c r="J41" s="20" t="s">
        <v>0</v>
      </c>
      <c r="K41" s="20" t="s">
        <v>10</v>
      </c>
      <c r="L41" s="26" t="s">
        <v>523</v>
      </c>
    </row>
    <row r="42" spans="1:12" x14ac:dyDescent="0.2">
      <c r="A42" s="18">
        <v>41</v>
      </c>
      <c r="B42" s="19">
        <v>45511</v>
      </c>
      <c r="C42" s="20">
        <v>1176757752</v>
      </c>
      <c r="D42" s="34" t="str">
        <f>IFERROR(IF(C42="","",VLOOKUP(C42,المستفيدين!$B:$C,2,FALSE)),"")</f>
        <v>مستفيد112</v>
      </c>
      <c r="E42" s="24" t="s">
        <v>68</v>
      </c>
      <c r="F42" s="34" t="str">
        <f>IFERROR(IF(E42="","",VLOOKUP(E42,الموظفين!$B:$C,2,FALSE)),"")</f>
        <v>موظف2</v>
      </c>
      <c r="G42" s="34" t="str">
        <f>IFERROR(IF(C42="","",VLOOKUP(C42,المستفيدين!$B:$F,5,FALSE)),"")</f>
        <v>مدرسة إرادة وتمكين لمتلازمة داون (نجد)</v>
      </c>
      <c r="H42" s="24" t="s">
        <v>553</v>
      </c>
      <c r="I42" s="24" t="s">
        <v>75</v>
      </c>
      <c r="J42" s="24" t="s">
        <v>0</v>
      </c>
      <c r="K42" s="24" t="s">
        <v>10</v>
      </c>
      <c r="L42" s="25"/>
    </row>
    <row r="43" spans="1:12" x14ac:dyDescent="0.2">
      <c r="A43" s="21">
        <v>42</v>
      </c>
      <c r="B43" s="22">
        <v>45512</v>
      </c>
      <c r="C43" s="20">
        <v>1116222487</v>
      </c>
      <c r="D43" s="34" t="str">
        <f>IFERROR(IF(C43="","",VLOOKUP(C43,المستفيدين!$B:$C,2,FALSE)),"")</f>
        <v>مستفيد61</v>
      </c>
      <c r="E43" s="20" t="s">
        <v>252</v>
      </c>
      <c r="F43" s="34" t="str">
        <f>IFERROR(IF(E43="","",VLOOKUP(E43,الموظفين!$B:$C,2,FALSE)),"")</f>
        <v>موظف55</v>
      </c>
      <c r="G43" s="34" t="str">
        <f>IFERROR(IF(C43="","",VLOOKUP(C43,المستفيدين!$B:$F,5,FALSE)),"")</f>
        <v>مركز إرادة وتمكين لمتلازمة داون (نجد)</v>
      </c>
      <c r="H43" s="24" t="s">
        <v>553</v>
      </c>
      <c r="I43" s="20" t="s">
        <v>77</v>
      </c>
      <c r="J43" s="20" t="s">
        <v>1</v>
      </c>
      <c r="K43" s="20" t="s">
        <v>9</v>
      </c>
      <c r="L43" s="26" t="s">
        <v>51</v>
      </c>
    </row>
    <row r="44" spans="1:12" x14ac:dyDescent="0.2">
      <c r="A44" s="18">
        <v>43</v>
      </c>
      <c r="B44" s="19">
        <v>45512</v>
      </c>
      <c r="C44" s="20">
        <v>1519714037</v>
      </c>
      <c r="D44" s="34" t="str">
        <f>IFERROR(IF(C44="","",VLOOKUP(C44,المستفيدين!$B:$C,2,FALSE)),"")</f>
        <v>مستفيد74</v>
      </c>
      <c r="E44" s="24" t="s">
        <v>214</v>
      </c>
      <c r="F44" s="34" t="str">
        <f>IFERROR(IF(E44="","",VLOOKUP(E44,الموظفين!$B:$C,2,FALSE)),"")</f>
        <v>موظف36</v>
      </c>
      <c r="G44" s="34" t="str">
        <f>IFERROR(IF(C44="","",VLOOKUP(C44,المستفيدين!$B:$F,5,FALSE)),"")</f>
        <v>مركز إرادة وتمكين لرعاية ذوي الاحتياجات الخاصة (جلمودة)</v>
      </c>
      <c r="H44" s="24" t="s">
        <v>553</v>
      </c>
      <c r="I44" s="24" t="s">
        <v>78</v>
      </c>
      <c r="J44" s="24" t="s">
        <v>1</v>
      </c>
      <c r="K44" s="24" t="s">
        <v>10</v>
      </c>
      <c r="L44" s="25" t="s">
        <v>526</v>
      </c>
    </row>
    <row r="45" spans="1:12" x14ac:dyDescent="0.2">
      <c r="A45" s="21">
        <v>44</v>
      </c>
      <c r="B45" s="22">
        <v>45514</v>
      </c>
      <c r="C45" s="20">
        <v>1149256102</v>
      </c>
      <c r="D45" s="34" t="str">
        <f>IFERROR(IF(C45="","",VLOOKUP(C45,المستفيدين!$B:$C,2,FALSE)),"")</f>
        <v>مستفيد76</v>
      </c>
      <c r="E45" s="20" t="s">
        <v>172</v>
      </c>
      <c r="F45" s="34" t="str">
        <f>IFERROR(IF(E45="","",VLOOKUP(E45,الموظفين!$B:$C,2,FALSE)),"")</f>
        <v>موظف15</v>
      </c>
      <c r="G45" s="34" t="str">
        <f>IFERROR(IF(C45="","",VLOOKUP(C45,المستفيدين!$B:$F,5,FALSE)),"")</f>
        <v>مدرسة إرادة وتمكين لمتلازمة داون (نجد)</v>
      </c>
      <c r="H45" s="24" t="s">
        <v>553</v>
      </c>
      <c r="I45" s="20" t="s">
        <v>78</v>
      </c>
      <c r="J45" s="20" t="s">
        <v>1</v>
      </c>
      <c r="K45" s="20" t="s">
        <v>9</v>
      </c>
      <c r="L45" s="26" t="s">
        <v>526</v>
      </c>
    </row>
    <row r="46" spans="1:12" x14ac:dyDescent="0.2">
      <c r="A46" s="18">
        <v>45</v>
      </c>
      <c r="B46" s="19">
        <v>45514</v>
      </c>
      <c r="C46" s="20">
        <v>1065397512</v>
      </c>
      <c r="D46" s="34" t="str">
        <f>IFERROR(IF(C46="","",VLOOKUP(C46,المستفيدين!$B:$C,2,FALSE)),"")</f>
        <v>مستفيد2</v>
      </c>
      <c r="E46" s="24" t="s">
        <v>208</v>
      </c>
      <c r="F46" s="34" t="str">
        <f>IFERROR(IF(E46="","",VLOOKUP(E46,الموظفين!$B:$C,2,FALSE)),"")</f>
        <v>موظف33</v>
      </c>
      <c r="G46" s="34" t="str">
        <f>IFERROR(IF(C46="","",VLOOKUP(C46,المستفيدين!$B:$F,5,FALSE)),"")</f>
        <v>مدرسة إرادة وتمكين لمتلازمة داون (نجد)</v>
      </c>
      <c r="H46" s="24" t="s">
        <v>553</v>
      </c>
      <c r="I46" s="24" t="s">
        <v>79</v>
      </c>
      <c r="J46" s="24" t="s">
        <v>0</v>
      </c>
      <c r="K46" s="24" t="s">
        <v>9</v>
      </c>
      <c r="L46" s="25" t="s">
        <v>526</v>
      </c>
    </row>
    <row r="47" spans="1:12" x14ac:dyDescent="0.2">
      <c r="A47" s="21">
        <v>46</v>
      </c>
      <c r="B47" s="22">
        <v>45516</v>
      </c>
      <c r="C47" s="20">
        <v>1113590304</v>
      </c>
      <c r="D47" s="34" t="str">
        <f>IFERROR(IF(C47="","",VLOOKUP(C47,المستفيدين!$B:$C,2,FALSE)),"")</f>
        <v>مستفيد186</v>
      </c>
      <c r="E47" s="20" t="s">
        <v>164</v>
      </c>
      <c r="F47" s="34" t="str">
        <f>IFERROR(IF(E47="","",VLOOKUP(E47,الموظفين!$B:$C,2,FALSE)),"")</f>
        <v>موظف11</v>
      </c>
      <c r="G47" s="34" t="str">
        <f>IFERROR(IF(C47="","",VLOOKUP(C47,المستفيدين!$B:$F,5,FALSE)),"")</f>
        <v>مركز إرادة وتمكين لمتلازمة داون (نجد)</v>
      </c>
      <c r="H47" s="24" t="s">
        <v>552</v>
      </c>
      <c r="I47" s="20" t="s">
        <v>81</v>
      </c>
      <c r="J47" s="20" t="s">
        <v>1</v>
      </c>
      <c r="K47" s="20" t="s">
        <v>12</v>
      </c>
      <c r="L47" s="26" t="s">
        <v>51</v>
      </c>
    </row>
    <row r="48" spans="1:12" x14ac:dyDescent="0.2">
      <c r="A48" s="18">
        <v>47</v>
      </c>
      <c r="B48" s="19">
        <v>45516</v>
      </c>
      <c r="C48" s="20">
        <v>1715681493</v>
      </c>
      <c r="D48" s="34" t="str">
        <f>IFERROR(IF(C48="","",VLOOKUP(C48,المستفيدين!$B:$C,2,FALSE)),"")</f>
        <v>مستفيد105</v>
      </c>
      <c r="E48" s="24" t="s">
        <v>330</v>
      </c>
      <c r="F48" s="34" t="str">
        <f>IFERROR(IF(E48="","",VLOOKUP(E48,الموظفين!$B:$C,2,FALSE)),"")</f>
        <v>موظف94</v>
      </c>
      <c r="G48" s="34" t="str">
        <f>IFERROR(IF(C48="","",VLOOKUP(C48,المستفيدين!$B:$F,5,FALSE)),"")</f>
        <v>مركز إرادة وتمكين لمتلازمة داون (نجد)</v>
      </c>
      <c r="H48" s="24" t="s">
        <v>553</v>
      </c>
      <c r="I48" s="24" t="s">
        <v>79</v>
      </c>
      <c r="J48" s="24" t="s">
        <v>1</v>
      </c>
      <c r="K48" s="24" t="s">
        <v>9</v>
      </c>
      <c r="L48" s="25" t="s">
        <v>525</v>
      </c>
    </row>
    <row r="49" spans="1:12" x14ac:dyDescent="0.2">
      <c r="A49" s="21">
        <v>48</v>
      </c>
      <c r="B49" s="22">
        <v>45516</v>
      </c>
      <c r="C49" s="20">
        <v>1371671971</v>
      </c>
      <c r="D49" s="34" t="str">
        <f>IFERROR(IF(C49="","",VLOOKUP(C49,المستفيدين!$B:$C,2,FALSE)),"")</f>
        <v>مستفيد91</v>
      </c>
      <c r="E49" s="20" t="s">
        <v>306</v>
      </c>
      <c r="F49" s="34" t="str">
        <f>IFERROR(IF(E49="","",VLOOKUP(E49,الموظفين!$B:$C,2,FALSE)),"")</f>
        <v>موظف82</v>
      </c>
      <c r="G49" s="34" t="str">
        <f>IFERROR(IF(C49="","",VLOOKUP(C49,المستفيدين!$B:$F,5,FALSE)),"")</f>
        <v>مركز إرادة وتمكين لرعاية ذوي الاحتياجات الخاصة (جلمودة)</v>
      </c>
      <c r="H49" s="24" t="s">
        <v>553</v>
      </c>
      <c r="I49" s="20" t="s">
        <v>79</v>
      </c>
      <c r="J49" s="20" t="s">
        <v>0</v>
      </c>
      <c r="K49" s="20" t="s">
        <v>9</v>
      </c>
      <c r="L49" s="26"/>
    </row>
    <row r="50" spans="1:12" x14ac:dyDescent="0.2">
      <c r="A50" s="18">
        <v>49</v>
      </c>
      <c r="B50" s="19">
        <v>45517</v>
      </c>
      <c r="C50" s="20">
        <v>1744297633</v>
      </c>
      <c r="D50" s="34" t="str">
        <f>IFERROR(IF(C50="","",VLOOKUP(C50,المستفيدين!$B:$C,2,FALSE)),"")</f>
        <v>مستفيد153</v>
      </c>
      <c r="E50" s="24" t="s">
        <v>194</v>
      </c>
      <c r="F50" s="34" t="str">
        <f>IFERROR(IF(E50="","",VLOOKUP(E50,الموظفين!$B:$C,2,FALSE)),"")</f>
        <v>موظف26</v>
      </c>
      <c r="G50" s="34" t="str">
        <f>IFERROR(IF(C50="","",VLOOKUP(C50,المستفيدين!$B:$F,5,FALSE)),"")</f>
        <v>مدرسة إرادة للتعليم (مكة)</v>
      </c>
      <c r="H50" s="24" t="s">
        <v>552</v>
      </c>
      <c r="I50" s="24" t="s">
        <v>80</v>
      </c>
      <c r="J50" s="24" t="s">
        <v>1</v>
      </c>
      <c r="K50" s="24" t="s">
        <v>9</v>
      </c>
      <c r="L50" s="25" t="s">
        <v>525</v>
      </c>
    </row>
    <row r="51" spans="1:12" x14ac:dyDescent="0.2">
      <c r="A51" s="21">
        <v>50</v>
      </c>
      <c r="B51" s="22">
        <v>45517</v>
      </c>
      <c r="C51" s="20">
        <v>1508553395</v>
      </c>
      <c r="D51" s="34" t="str">
        <f>IFERROR(IF(C51="","",VLOOKUP(C51,المستفيدين!$B:$C,2,FALSE)),"")</f>
        <v>مستفيد129</v>
      </c>
      <c r="E51" s="20" t="s">
        <v>334</v>
      </c>
      <c r="F51" s="34" t="str">
        <f>IFERROR(IF(E51="","",VLOOKUP(E51,الموظفين!$B:$C,2,FALSE)),"")</f>
        <v>موظف96</v>
      </c>
      <c r="G51" s="34" t="str">
        <f>IFERROR(IF(C51="","",VLOOKUP(C51,المستفيدين!$B:$F,5,FALSE)),"")</f>
        <v>مدرسة إرادة وتمكين لمتلازمة داون (نجد)</v>
      </c>
      <c r="H51" s="24" t="s">
        <v>553</v>
      </c>
      <c r="I51" s="20" t="s">
        <v>76</v>
      </c>
      <c r="J51" s="20" t="s">
        <v>1</v>
      </c>
      <c r="K51" s="20" t="s">
        <v>10</v>
      </c>
      <c r="L51" s="26"/>
    </row>
    <row r="52" spans="1:12" x14ac:dyDescent="0.2">
      <c r="A52" s="18">
        <v>51</v>
      </c>
      <c r="B52" s="19">
        <v>45519</v>
      </c>
      <c r="C52" s="20">
        <v>1020269730</v>
      </c>
      <c r="D52" s="34" t="str">
        <f>IFERROR(IF(C52="","",VLOOKUP(C52,المستفيدين!$B:$C,2,FALSE)),"")</f>
        <v>مستفيد32</v>
      </c>
      <c r="E52" s="24" t="s">
        <v>262</v>
      </c>
      <c r="F52" s="34" t="str">
        <f>IFERROR(IF(E52="","",VLOOKUP(E52,الموظفين!$B:$C,2,FALSE)),"")</f>
        <v>موظف60</v>
      </c>
      <c r="G52" s="34" t="str">
        <f>IFERROR(IF(C52="","",VLOOKUP(C52,المستفيدين!$B:$F,5,FALSE)),"")</f>
        <v>مدرسة إرادة للتعليم (مكة)</v>
      </c>
      <c r="H52" s="24" t="s">
        <v>553</v>
      </c>
      <c r="I52" s="24" t="s">
        <v>75</v>
      </c>
      <c r="J52" s="24" t="s">
        <v>0</v>
      </c>
      <c r="K52" s="24" t="s">
        <v>9</v>
      </c>
      <c r="L52" s="25" t="s">
        <v>525</v>
      </c>
    </row>
    <row r="53" spans="1:12" x14ac:dyDescent="0.2">
      <c r="A53" s="21">
        <v>52</v>
      </c>
      <c r="B53" s="22">
        <v>45519</v>
      </c>
      <c r="C53" s="20">
        <v>1379794895</v>
      </c>
      <c r="D53" s="34" t="str">
        <f>IFERROR(IF(C53="","",VLOOKUP(C53,المستفيدين!$B:$C,2,FALSE)),"")</f>
        <v>مستفيد78</v>
      </c>
      <c r="E53" s="20" t="s">
        <v>164</v>
      </c>
      <c r="F53" s="34" t="str">
        <f>IFERROR(IF(E53="","",VLOOKUP(E53,الموظفين!$B:$C,2,FALSE)),"")</f>
        <v>موظف11</v>
      </c>
      <c r="G53" s="34" t="str">
        <f>IFERROR(IF(C53="","",VLOOKUP(C53,المستفيدين!$B:$F,5,FALSE)),"")</f>
        <v>مركز إرادة وتمكين للرعاية النهارية (القدس)</v>
      </c>
      <c r="H53" s="24" t="s">
        <v>552</v>
      </c>
      <c r="I53" s="20" t="s">
        <v>81</v>
      </c>
      <c r="J53" s="20" t="s">
        <v>1</v>
      </c>
      <c r="K53" s="20" t="s">
        <v>9</v>
      </c>
      <c r="L53" s="26"/>
    </row>
    <row r="54" spans="1:12" x14ac:dyDescent="0.2">
      <c r="A54" s="18">
        <v>53</v>
      </c>
      <c r="B54" s="19">
        <v>45520</v>
      </c>
      <c r="C54" s="20">
        <v>1618104695</v>
      </c>
      <c r="D54" s="34" t="str">
        <f>IFERROR(IF(C54="","",VLOOKUP(C54,المستفيدين!$B:$C,2,FALSE)),"")</f>
        <v>مستفيد36</v>
      </c>
      <c r="E54" s="24" t="s">
        <v>224</v>
      </c>
      <c r="F54" s="34" t="str">
        <f>IFERROR(IF(E54="","",VLOOKUP(E54,الموظفين!$B:$C,2,FALSE)),"")</f>
        <v>موظف41</v>
      </c>
      <c r="G54" s="34" t="str">
        <f>IFERROR(IF(C54="","",VLOOKUP(C54,المستفيدين!$B:$F,5,FALSE)),"")</f>
        <v>مدرسة إرادة وتمكين لمتلازمة داون (نجد)</v>
      </c>
      <c r="H54" s="24" t="s">
        <v>553</v>
      </c>
      <c r="I54" s="24" t="s">
        <v>75</v>
      </c>
      <c r="J54" s="24" t="s">
        <v>0</v>
      </c>
      <c r="K54" s="24" t="s">
        <v>10</v>
      </c>
      <c r="L54" s="25"/>
    </row>
    <row r="55" spans="1:12" x14ac:dyDescent="0.2">
      <c r="A55" s="21">
        <v>54</v>
      </c>
      <c r="B55" s="22">
        <v>45520</v>
      </c>
      <c r="C55" s="20">
        <v>1909062660</v>
      </c>
      <c r="D55" s="34" t="str">
        <f>IFERROR(IF(C55="","",VLOOKUP(C55,المستفيدين!$B:$C,2,FALSE)),"")</f>
        <v>مستفيد195</v>
      </c>
      <c r="E55" s="20" t="s">
        <v>238</v>
      </c>
      <c r="F55" s="34" t="str">
        <f>IFERROR(IF(E55="","",VLOOKUP(E55,الموظفين!$B:$C,2,FALSE)),"")</f>
        <v>موظف48</v>
      </c>
      <c r="G55" s="34" t="str">
        <f>IFERROR(IF(C55="","",VLOOKUP(C55,المستفيدين!$B:$F,5,FALSE)),"")</f>
        <v>مدرسة إرادة للتعليم (مكة)</v>
      </c>
      <c r="H55" s="24" t="s">
        <v>553</v>
      </c>
      <c r="I55" s="20" t="s">
        <v>78</v>
      </c>
      <c r="J55" s="20" t="s">
        <v>1</v>
      </c>
      <c r="K55" s="20" t="s">
        <v>10</v>
      </c>
      <c r="L55" s="26" t="s">
        <v>526</v>
      </c>
    </row>
    <row r="56" spans="1:12" x14ac:dyDescent="0.2">
      <c r="A56" s="18">
        <v>55</v>
      </c>
      <c r="B56" s="19">
        <v>45521</v>
      </c>
      <c r="C56" s="20">
        <v>1531942049</v>
      </c>
      <c r="D56" s="34" t="str">
        <f>IFERROR(IF(C56="","",VLOOKUP(C56,المستفيدين!$B:$C,2,FALSE)),"")</f>
        <v>مستفيد35</v>
      </c>
      <c r="E56" s="24" t="s">
        <v>172</v>
      </c>
      <c r="F56" s="34" t="str">
        <f>IFERROR(IF(E56="","",VLOOKUP(E56,الموظفين!$B:$C,2,FALSE)),"")</f>
        <v>موظف15</v>
      </c>
      <c r="G56" s="34" t="str">
        <f>IFERROR(IF(C56="","",VLOOKUP(C56,المستفيدين!$B:$F,5,FALSE)),"")</f>
        <v>مدرسة إرادة وتمكين لمتلازمة داون (نجد)</v>
      </c>
      <c r="H56" s="24" t="s">
        <v>553</v>
      </c>
      <c r="I56" s="24" t="s">
        <v>78</v>
      </c>
      <c r="J56" s="24" t="s">
        <v>1</v>
      </c>
      <c r="K56" s="24" t="s">
        <v>9</v>
      </c>
      <c r="L56" s="25"/>
    </row>
    <row r="57" spans="1:12" x14ac:dyDescent="0.2">
      <c r="A57" s="21">
        <v>56</v>
      </c>
      <c r="B57" s="22">
        <v>45521</v>
      </c>
      <c r="C57" s="20">
        <v>1707584852</v>
      </c>
      <c r="D57" s="34" t="str">
        <f>IFERROR(IF(C57="","",VLOOKUP(C57,المستفيدين!$B:$C,2,FALSE)),"")</f>
        <v>مستفيد115</v>
      </c>
      <c r="E57" s="20" t="s">
        <v>274</v>
      </c>
      <c r="F57" s="34" t="str">
        <f>IFERROR(IF(E57="","",VLOOKUP(E57,الموظفين!$B:$C,2,FALSE)),"")</f>
        <v>موظف66</v>
      </c>
      <c r="G57" s="34" t="str">
        <f>IFERROR(IF(C57="","",VLOOKUP(C57,المستفيدين!$B:$F,5,FALSE)),"")</f>
        <v>مدرسة إرادة للتعليم (مكة)</v>
      </c>
      <c r="H57" s="24" t="s">
        <v>553</v>
      </c>
      <c r="I57" s="20" t="s">
        <v>74</v>
      </c>
      <c r="J57" s="20" t="s">
        <v>1</v>
      </c>
      <c r="K57" s="20" t="s">
        <v>10</v>
      </c>
      <c r="L57" s="26" t="s">
        <v>51</v>
      </c>
    </row>
    <row r="58" spans="1:12" x14ac:dyDescent="0.2">
      <c r="A58" s="18">
        <v>57</v>
      </c>
      <c r="B58" s="19">
        <v>45521</v>
      </c>
      <c r="C58" s="20">
        <v>1079496892</v>
      </c>
      <c r="D58" s="34" t="str">
        <f>IFERROR(IF(C58="","",VLOOKUP(C58,المستفيدين!$B:$C,2,FALSE)),"")</f>
        <v>مستفيد144</v>
      </c>
      <c r="E58" s="24" t="s">
        <v>278</v>
      </c>
      <c r="F58" s="34" t="str">
        <f>IFERROR(IF(E58="","",VLOOKUP(E58,الموظفين!$B:$C,2,FALSE)),"")</f>
        <v>موظف68</v>
      </c>
      <c r="G58" s="34" t="str">
        <f>IFERROR(IF(C58="","",VLOOKUP(C58,المستفيدين!$B:$F,5,FALSE)),"")</f>
        <v>مدرسة إرادة وتمكين لمتلازمة داون (نجد)</v>
      </c>
      <c r="H58" s="24" t="s">
        <v>552</v>
      </c>
      <c r="I58" s="24" t="s">
        <v>81</v>
      </c>
      <c r="J58" s="24" t="s">
        <v>0</v>
      </c>
      <c r="K58" s="24" t="s">
        <v>9</v>
      </c>
      <c r="L58" s="25" t="s">
        <v>526</v>
      </c>
    </row>
    <row r="59" spans="1:12" x14ac:dyDescent="0.2">
      <c r="A59" s="21">
        <v>58</v>
      </c>
      <c r="B59" s="22">
        <v>45522</v>
      </c>
      <c r="C59" s="20">
        <v>1525548329</v>
      </c>
      <c r="D59" s="34" t="str">
        <f>IFERROR(IF(C59="","",VLOOKUP(C59,المستفيدين!$B:$C,2,FALSE)),"")</f>
        <v>مستفيد187</v>
      </c>
      <c r="E59" s="20" t="s">
        <v>200</v>
      </c>
      <c r="F59" s="34" t="str">
        <f>IFERROR(IF(E59="","",VLOOKUP(E59,الموظفين!$B:$C,2,FALSE)),"")</f>
        <v>موظف29</v>
      </c>
      <c r="G59" s="34" t="str">
        <f>IFERROR(IF(C59="","",VLOOKUP(C59,المستفيدين!$B:$F,5,FALSE)),"")</f>
        <v>مركز إرادة وتمكين لرعاية ذوي الاحتياجات الخاصة (جلمودة)</v>
      </c>
      <c r="H59" s="24" t="s">
        <v>552</v>
      </c>
      <c r="I59" s="20" t="s">
        <v>556</v>
      </c>
      <c r="J59" s="20" t="s">
        <v>0</v>
      </c>
      <c r="K59" s="20" t="s">
        <v>9</v>
      </c>
      <c r="L59" s="26"/>
    </row>
    <row r="60" spans="1:12" x14ac:dyDescent="0.2">
      <c r="A60" s="18">
        <v>59</v>
      </c>
      <c r="B60" s="19">
        <v>45522</v>
      </c>
      <c r="C60" s="20">
        <v>1231607400</v>
      </c>
      <c r="D60" s="34" t="str">
        <f>IFERROR(IF(C60="","",VLOOKUP(C60,المستفيدين!$B:$C,2,FALSE)),"")</f>
        <v>مستفيد11</v>
      </c>
      <c r="E60" s="24" t="s">
        <v>328</v>
      </c>
      <c r="F60" s="34" t="str">
        <f>IFERROR(IF(E60="","",VLOOKUP(E60,الموظفين!$B:$C,2,FALSE)),"")</f>
        <v>موظف93</v>
      </c>
      <c r="G60" s="34" t="str">
        <f>IFERROR(IF(C60="","",VLOOKUP(C60,المستفيدين!$B:$F,5,FALSE)),"")</f>
        <v>مركز إرادة وتمكين لمتلازمة داون (نجد)</v>
      </c>
      <c r="H60" s="24" t="s">
        <v>553</v>
      </c>
      <c r="I60" s="24" t="s">
        <v>77</v>
      </c>
      <c r="J60" s="24" t="s">
        <v>0</v>
      </c>
      <c r="K60" s="24" t="s">
        <v>12</v>
      </c>
      <c r="L60" s="25" t="s">
        <v>525</v>
      </c>
    </row>
    <row r="61" spans="1:12" x14ac:dyDescent="0.2">
      <c r="A61" s="21">
        <v>60</v>
      </c>
      <c r="B61" s="22">
        <v>45522</v>
      </c>
      <c r="C61" s="20">
        <v>1110215725</v>
      </c>
      <c r="D61" s="34" t="str">
        <f>IFERROR(IF(C61="","",VLOOKUP(C61,المستفيدين!$B:$C,2,FALSE)),"")</f>
        <v>مستفيد34</v>
      </c>
      <c r="E61" s="20" t="s">
        <v>250</v>
      </c>
      <c r="F61" s="34" t="str">
        <f>IFERROR(IF(E61="","",VLOOKUP(E61,الموظفين!$B:$C,2,FALSE)),"")</f>
        <v>موظف54</v>
      </c>
      <c r="G61" s="34" t="str">
        <f>IFERROR(IF(C61="","",VLOOKUP(C61,المستفيدين!$B:$F,5,FALSE)),"")</f>
        <v>مركز إرادة وتمكين لرعاية ذوي الاحتياجات الخاصة (جلمودة)</v>
      </c>
      <c r="H61" s="24" t="s">
        <v>553</v>
      </c>
      <c r="I61" s="20" t="s">
        <v>79</v>
      </c>
      <c r="J61" s="20" t="s">
        <v>1</v>
      </c>
      <c r="K61" s="20" t="s">
        <v>9</v>
      </c>
      <c r="L61" s="26"/>
    </row>
    <row r="62" spans="1:12" x14ac:dyDescent="0.2">
      <c r="A62" s="18">
        <v>61</v>
      </c>
      <c r="B62" s="19">
        <v>45525</v>
      </c>
      <c r="C62" s="20">
        <v>1543372068</v>
      </c>
      <c r="D62" s="34" t="str">
        <f>IFERROR(IF(C62="","",VLOOKUP(C62,المستفيدين!$B:$C,2,FALSE)),"")</f>
        <v>مستفيد132</v>
      </c>
      <c r="E62" s="24" t="s">
        <v>200</v>
      </c>
      <c r="F62" s="34" t="str">
        <f>IFERROR(IF(E62="","",VLOOKUP(E62,الموظفين!$B:$C,2,FALSE)),"")</f>
        <v>موظف29</v>
      </c>
      <c r="G62" s="34" t="str">
        <f>IFERROR(IF(C62="","",VLOOKUP(C62,المستفيدين!$B:$F,5,FALSE)),"")</f>
        <v>مركز إرادة وتمكين للرعاية النهارية (القدس)</v>
      </c>
      <c r="H62" s="24" t="s">
        <v>552</v>
      </c>
      <c r="I62" s="24" t="s">
        <v>556</v>
      </c>
      <c r="J62" s="24" t="s">
        <v>0</v>
      </c>
      <c r="K62" s="24" t="s">
        <v>11</v>
      </c>
      <c r="L62" s="25" t="s">
        <v>525</v>
      </c>
    </row>
    <row r="63" spans="1:12" x14ac:dyDescent="0.2">
      <c r="A63" s="21">
        <v>62</v>
      </c>
      <c r="B63" s="22">
        <v>45529</v>
      </c>
      <c r="C63" s="20">
        <v>1035556284</v>
      </c>
      <c r="D63" s="34" t="str">
        <f>IFERROR(IF(C63="","",VLOOKUP(C63,المستفيدين!$B:$C,2,FALSE)),"")</f>
        <v>مستفيد40</v>
      </c>
      <c r="E63" s="20" t="s">
        <v>214</v>
      </c>
      <c r="F63" s="34" t="str">
        <f>IFERROR(IF(E63="","",VLOOKUP(E63,الموظفين!$B:$C,2,FALSE)),"")</f>
        <v>موظف36</v>
      </c>
      <c r="G63" s="34" t="str">
        <f>IFERROR(IF(C63="","",VLOOKUP(C63,المستفيدين!$B:$F,5,FALSE)),"")</f>
        <v>مركز إرادة وتمكين لرعاية ذوي الاحتياجات الخاصة (جلمودة)</v>
      </c>
      <c r="H63" s="24" t="s">
        <v>553</v>
      </c>
      <c r="I63" s="20" t="s">
        <v>78</v>
      </c>
      <c r="J63" s="20" t="s">
        <v>1</v>
      </c>
      <c r="K63" s="20" t="s">
        <v>9</v>
      </c>
      <c r="L63" s="26"/>
    </row>
    <row r="64" spans="1:12" x14ac:dyDescent="0.2">
      <c r="A64" s="18">
        <v>63</v>
      </c>
      <c r="B64" s="19">
        <v>45530</v>
      </c>
      <c r="C64" s="20">
        <v>1914106815</v>
      </c>
      <c r="D64" s="34" t="str">
        <f>IFERROR(IF(C64="","",VLOOKUP(C64,المستفيدين!$B:$C,2,FALSE)),"")</f>
        <v>مستفيد174</v>
      </c>
      <c r="E64" s="24" t="s">
        <v>230</v>
      </c>
      <c r="F64" s="34" t="str">
        <f>IFERROR(IF(E64="","",VLOOKUP(E64,الموظفين!$B:$C,2,FALSE)),"")</f>
        <v>موظف44</v>
      </c>
      <c r="G64" s="34" t="str">
        <f>IFERROR(IF(C64="","",VLOOKUP(C64,المستفيدين!$B:$F,5,FALSE)),"")</f>
        <v>مدرسة إرادة للتعليم (مكة)</v>
      </c>
      <c r="H64" s="24" t="s">
        <v>553</v>
      </c>
      <c r="I64" s="24" t="s">
        <v>74</v>
      </c>
      <c r="J64" s="24" t="s">
        <v>0</v>
      </c>
      <c r="K64" s="24" t="s">
        <v>12</v>
      </c>
      <c r="L64" s="25"/>
    </row>
    <row r="65" spans="1:12" x14ac:dyDescent="0.2">
      <c r="A65" s="21">
        <v>64</v>
      </c>
      <c r="B65" s="22">
        <v>45531</v>
      </c>
      <c r="C65" s="20">
        <v>1696333011</v>
      </c>
      <c r="D65" s="34" t="str">
        <f>IFERROR(IF(C65="","",VLOOKUP(C65,المستفيدين!$B:$C,2,FALSE)),"")</f>
        <v>مستفيد175</v>
      </c>
      <c r="E65" s="20" t="s">
        <v>69</v>
      </c>
      <c r="F65" s="34" t="str">
        <f>IFERROR(IF(E65="","",VLOOKUP(E65,الموظفين!$B:$C,2,FALSE)),"")</f>
        <v>موظف3</v>
      </c>
      <c r="G65" s="34" t="str">
        <f>IFERROR(IF(C65="","",VLOOKUP(C65,المستفيدين!$B:$F,5,FALSE)),"")</f>
        <v>مركز إرادة وتمكين للرعاية النهارية (القدس)</v>
      </c>
      <c r="H65" s="24" t="s">
        <v>553</v>
      </c>
      <c r="I65" s="20" t="s">
        <v>75</v>
      </c>
      <c r="J65" s="20" t="s">
        <v>1</v>
      </c>
      <c r="K65" s="20" t="s">
        <v>10</v>
      </c>
      <c r="L65" s="26"/>
    </row>
    <row r="66" spans="1:12" x14ac:dyDescent="0.2">
      <c r="A66" s="18">
        <v>65</v>
      </c>
      <c r="B66" s="19">
        <v>45531</v>
      </c>
      <c r="C66" s="20">
        <v>1635473065</v>
      </c>
      <c r="D66" s="34" t="str">
        <f>IFERROR(IF(C66="","",VLOOKUP(C66,المستفيدين!$B:$C,2,FALSE)),"")</f>
        <v>مستفيد98</v>
      </c>
      <c r="E66" s="24" t="s">
        <v>334</v>
      </c>
      <c r="F66" s="34" t="str">
        <f>IFERROR(IF(E66="","",VLOOKUP(E66,الموظفين!$B:$C,2,FALSE)),"")</f>
        <v>موظف96</v>
      </c>
      <c r="G66" s="34" t="str">
        <f>IFERROR(IF(C66="","",VLOOKUP(C66,المستفيدين!$B:$F,5,FALSE)),"")</f>
        <v>مدرسة إرادة وتمكين لمتلازمة داون (نجد)</v>
      </c>
      <c r="H66" s="24" t="s">
        <v>553</v>
      </c>
      <c r="I66" s="24" t="s">
        <v>76</v>
      </c>
      <c r="J66" s="24" t="s">
        <v>1</v>
      </c>
      <c r="K66" s="24" t="s">
        <v>12</v>
      </c>
      <c r="L66" s="25"/>
    </row>
    <row r="67" spans="1:12" x14ac:dyDescent="0.2">
      <c r="A67" s="21">
        <v>66</v>
      </c>
      <c r="B67" s="22">
        <v>45537</v>
      </c>
      <c r="C67" s="20">
        <v>1640872800</v>
      </c>
      <c r="D67" s="34" t="str">
        <f>IFERROR(IF(C67="","",VLOOKUP(C67,المستفيدين!$B:$C,2,FALSE)),"")</f>
        <v>مستفيد173</v>
      </c>
      <c r="E67" s="20" t="s">
        <v>166</v>
      </c>
      <c r="F67" s="34" t="str">
        <f>IFERROR(IF(E67="","",VLOOKUP(E67,الموظفين!$B:$C,2,FALSE)),"")</f>
        <v>موظف12</v>
      </c>
      <c r="G67" s="34" t="str">
        <f>IFERROR(IF(C67="","",VLOOKUP(C67,المستفيدين!$B:$F,5,FALSE)),"")</f>
        <v>مركز إرادة وتمكين لرعاية ذوي الاحتياجات الخاصة (جلمودة)</v>
      </c>
      <c r="H67" s="24" t="s">
        <v>552</v>
      </c>
      <c r="I67" s="20" t="s">
        <v>81</v>
      </c>
      <c r="J67" s="20" t="s">
        <v>1</v>
      </c>
      <c r="K67" s="20" t="s">
        <v>9</v>
      </c>
      <c r="L67" s="26" t="s">
        <v>524</v>
      </c>
    </row>
    <row r="68" spans="1:12" x14ac:dyDescent="0.2">
      <c r="A68" s="18">
        <v>67</v>
      </c>
      <c r="B68" s="19">
        <v>45542</v>
      </c>
      <c r="C68" s="20">
        <v>1345489113</v>
      </c>
      <c r="D68" s="34" t="str">
        <f>IFERROR(IF(C68="","",VLOOKUP(C68,المستفيدين!$B:$C,2,FALSE)),"")</f>
        <v>مستفيد124</v>
      </c>
      <c r="E68" s="24" t="s">
        <v>278</v>
      </c>
      <c r="F68" s="34" t="str">
        <f>IFERROR(IF(E68="","",VLOOKUP(E68,الموظفين!$B:$C,2,FALSE)),"")</f>
        <v>موظف68</v>
      </c>
      <c r="G68" s="34" t="str">
        <f>IFERROR(IF(C68="","",VLOOKUP(C68,المستفيدين!$B:$F,5,FALSE)),"")</f>
        <v>مركز إرادة وتمكين لرعاية ذوي الاحتياجات الخاصة (جلمودة)</v>
      </c>
      <c r="H68" s="24" t="s">
        <v>552</v>
      </c>
      <c r="I68" s="24" t="s">
        <v>81</v>
      </c>
      <c r="J68" s="24" t="s">
        <v>0</v>
      </c>
      <c r="K68" s="24" t="s">
        <v>12</v>
      </c>
      <c r="L68" s="25"/>
    </row>
    <row r="69" spans="1:12" x14ac:dyDescent="0.2">
      <c r="A69" s="21">
        <v>68</v>
      </c>
      <c r="B69" s="22">
        <v>45542</v>
      </c>
      <c r="C69" s="20">
        <v>1095920856</v>
      </c>
      <c r="D69" s="34" t="str">
        <f>IFERROR(IF(C69="","",VLOOKUP(C69,المستفيدين!$B:$C,2,FALSE)),"")</f>
        <v>مستفيد21</v>
      </c>
      <c r="E69" s="20" t="s">
        <v>196</v>
      </c>
      <c r="F69" s="34" t="str">
        <f>IFERROR(IF(E69="","",VLOOKUP(E69,الموظفين!$B:$C,2,FALSE)),"")</f>
        <v>موظف27</v>
      </c>
      <c r="G69" s="34" t="str">
        <f>IFERROR(IF(C69="","",VLOOKUP(C69,المستفيدين!$B:$F,5,FALSE)),"")</f>
        <v>مركز إرادة وتمكين لرعاية ذوي الاحتياجات الخاصة (جلمودة)</v>
      </c>
      <c r="H69" s="24" t="s">
        <v>553</v>
      </c>
      <c r="I69" s="20" t="s">
        <v>77</v>
      </c>
      <c r="J69" s="20" t="s">
        <v>1</v>
      </c>
      <c r="K69" s="20" t="s">
        <v>12</v>
      </c>
      <c r="L69" s="26" t="s">
        <v>524</v>
      </c>
    </row>
    <row r="70" spans="1:12" x14ac:dyDescent="0.2">
      <c r="A70" s="18">
        <v>69</v>
      </c>
      <c r="B70" s="19">
        <v>45545</v>
      </c>
      <c r="C70" s="20">
        <v>1239383239</v>
      </c>
      <c r="D70" s="34" t="str">
        <f>IFERROR(IF(C70="","",VLOOKUP(C70,المستفيدين!$B:$C,2,FALSE)),"")</f>
        <v>مستفيد13</v>
      </c>
      <c r="E70" s="24" t="s">
        <v>264</v>
      </c>
      <c r="F70" s="34" t="str">
        <f>IFERROR(IF(E70="","",VLOOKUP(E70,الموظفين!$B:$C,2,FALSE)),"")</f>
        <v>موظف61</v>
      </c>
      <c r="G70" s="34" t="str">
        <f>IFERROR(IF(C70="","",VLOOKUP(C70,المستفيدين!$B:$F,5,FALSE)),"")</f>
        <v>مركز إرادة وتمكين لرعاية ذوي الاحتياجات الخاصة (جلمودة)</v>
      </c>
      <c r="H70" s="24" t="s">
        <v>553</v>
      </c>
      <c r="I70" s="24" t="s">
        <v>76</v>
      </c>
      <c r="J70" s="24" t="s">
        <v>0</v>
      </c>
      <c r="K70" s="24" t="s">
        <v>12</v>
      </c>
      <c r="L70" s="25" t="s">
        <v>523</v>
      </c>
    </row>
    <row r="71" spans="1:12" x14ac:dyDescent="0.2">
      <c r="A71" s="21">
        <v>70</v>
      </c>
      <c r="B71" s="22">
        <v>45545</v>
      </c>
      <c r="C71" s="20">
        <v>1744297633</v>
      </c>
      <c r="D71" s="34" t="str">
        <f>IFERROR(IF(C71="","",VLOOKUP(C71,المستفيدين!$B:$C,2,FALSE)),"")</f>
        <v>مستفيد153</v>
      </c>
      <c r="E71" s="20" t="s">
        <v>192</v>
      </c>
      <c r="F71" s="34" t="str">
        <f>IFERROR(IF(E71="","",VLOOKUP(E71,الموظفين!$B:$C,2,FALSE)),"")</f>
        <v>موظف25</v>
      </c>
      <c r="G71" s="34" t="str">
        <f>IFERROR(IF(C71="","",VLOOKUP(C71,المستفيدين!$B:$F,5,FALSE)),"")</f>
        <v>مدرسة إرادة للتعليم (مكة)</v>
      </c>
      <c r="H71" s="24" t="s">
        <v>553</v>
      </c>
      <c r="I71" s="20" t="s">
        <v>75</v>
      </c>
      <c r="J71" s="20" t="s">
        <v>1</v>
      </c>
      <c r="K71" s="20" t="s">
        <v>11</v>
      </c>
      <c r="L71" s="26"/>
    </row>
    <row r="72" spans="1:12" x14ac:dyDescent="0.2">
      <c r="A72" s="18">
        <v>71</v>
      </c>
      <c r="B72" s="19">
        <v>45546</v>
      </c>
      <c r="C72" s="20">
        <v>1247447562</v>
      </c>
      <c r="D72" s="34" t="str">
        <f>IFERROR(IF(C72="","",VLOOKUP(C72,المستفيدين!$B:$C,2,FALSE)),"")</f>
        <v>مستفيد89</v>
      </c>
      <c r="E72" s="24" t="s">
        <v>272</v>
      </c>
      <c r="F72" s="34" t="str">
        <f>IFERROR(IF(E72="","",VLOOKUP(E72,الموظفين!$B:$C,2,FALSE)),"")</f>
        <v>موظف65</v>
      </c>
      <c r="G72" s="34" t="str">
        <f>IFERROR(IF(C72="","",VLOOKUP(C72,المستفيدين!$B:$F,5,FALSE)),"")</f>
        <v>مدرسة إرادة للتعليم (مكة)</v>
      </c>
      <c r="H72" s="24" t="s">
        <v>553</v>
      </c>
      <c r="I72" s="24" t="s">
        <v>78</v>
      </c>
      <c r="J72" s="24" t="s">
        <v>1</v>
      </c>
      <c r="K72" s="24" t="s">
        <v>9</v>
      </c>
      <c r="L72" s="25" t="s">
        <v>525</v>
      </c>
    </row>
    <row r="73" spans="1:12" x14ac:dyDescent="0.2">
      <c r="A73" s="21">
        <v>72</v>
      </c>
      <c r="B73" s="22">
        <v>45547</v>
      </c>
      <c r="C73" s="20">
        <v>1216832990</v>
      </c>
      <c r="D73" s="34" t="str">
        <f>IFERROR(IF(C73="","",VLOOKUP(C73,المستفيدين!$B:$C,2,FALSE)),"")</f>
        <v>مستفيد176</v>
      </c>
      <c r="E73" s="20" t="s">
        <v>254</v>
      </c>
      <c r="F73" s="34" t="str">
        <f>IFERROR(IF(E73="","",VLOOKUP(E73,الموظفين!$B:$C,2,FALSE)),"")</f>
        <v>موظف56</v>
      </c>
      <c r="G73" s="34" t="str">
        <f>IFERROR(IF(C73="","",VLOOKUP(C73,المستفيدين!$B:$F,5,FALSE)),"")</f>
        <v>مركز إرادة وتمكين للرعاية النهارية (القدس)</v>
      </c>
      <c r="H73" s="24" t="s">
        <v>553</v>
      </c>
      <c r="I73" s="20" t="s">
        <v>75</v>
      </c>
      <c r="J73" s="20" t="s">
        <v>0</v>
      </c>
      <c r="K73" s="20" t="s">
        <v>9</v>
      </c>
      <c r="L73" s="26"/>
    </row>
    <row r="74" spans="1:12" x14ac:dyDescent="0.2">
      <c r="A74" s="18">
        <v>73</v>
      </c>
      <c r="B74" s="19">
        <v>45552</v>
      </c>
      <c r="C74" s="20">
        <v>1253511077</v>
      </c>
      <c r="D74" s="34" t="str">
        <f>IFERROR(IF(C74="","",VLOOKUP(C74,المستفيدين!$B:$C,2,FALSE)),"")</f>
        <v>مستفيد64</v>
      </c>
      <c r="E74" s="24" t="s">
        <v>254</v>
      </c>
      <c r="F74" s="34" t="str">
        <f>IFERROR(IF(E74="","",VLOOKUP(E74,الموظفين!$B:$C,2,FALSE)),"")</f>
        <v>موظف56</v>
      </c>
      <c r="G74" s="34" t="str">
        <f>IFERROR(IF(C74="","",VLOOKUP(C74,المستفيدين!$B:$F,5,FALSE)),"")</f>
        <v>مدرسة إرادة للتعليم (مكة)</v>
      </c>
      <c r="H74" s="24" t="s">
        <v>553</v>
      </c>
      <c r="I74" s="24" t="s">
        <v>75</v>
      </c>
      <c r="J74" s="24" t="s">
        <v>0</v>
      </c>
      <c r="K74" s="24" t="s">
        <v>9</v>
      </c>
      <c r="L74" s="25"/>
    </row>
    <row r="75" spans="1:12" x14ac:dyDescent="0.2">
      <c r="A75" s="21">
        <v>74</v>
      </c>
      <c r="B75" s="22">
        <v>45554</v>
      </c>
      <c r="C75" s="20">
        <v>1845701828</v>
      </c>
      <c r="D75" s="34" t="str">
        <f>IFERROR(IF(C75="","",VLOOKUP(C75,المستفيدين!$B:$C,2,FALSE)),"")</f>
        <v>مستفيد192</v>
      </c>
      <c r="E75" s="20" t="s">
        <v>268</v>
      </c>
      <c r="F75" s="34" t="str">
        <f>IFERROR(IF(E75="","",VLOOKUP(E75,الموظفين!$B:$C,2,FALSE)),"")</f>
        <v>موظف63</v>
      </c>
      <c r="G75" s="34" t="str">
        <f>IFERROR(IF(C75="","",VLOOKUP(C75,المستفيدين!$B:$F,5,FALSE)),"")</f>
        <v>مركز إرادة وتمكين للرعاية النهارية (القدس)</v>
      </c>
      <c r="H75" s="24" t="s">
        <v>553</v>
      </c>
      <c r="I75" s="20" t="s">
        <v>77</v>
      </c>
      <c r="J75" s="20" t="s">
        <v>0</v>
      </c>
      <c r="K75" s="20" t="s">
        <v>12</v>
      </c>
      <c r="L75" s="26" t="s">
        <v>51</v>
      </c>
    </row>
    <row r="76" spans="1:12" x14ac:dyDescent="0.2">
      <c r="A76" s="18">
        <v>75</v>
      </c>
      <c r="B76" s="19">
        <v>45554</v>
      </c>
      <c r="C76" s="20">
        <v>1057659923</v>
      </c>
      <c r="D76" s="34" t="str">
        <f>IFERROR(IF(C76="","",VLOOKUP(C76,المستفيدين!$B:$C,2,FALSE)),"")</f>
        <v>مستفيد26</v>
      </c>
      <c r="E76" s="24" t="s">
        <v>320</v>
      </c>
      <c r="F76" s="34" t="str">
        <f>IFERROR(IF(E76="","",VLOOKUP(E76,الموظفين!$B:$C,2,FALSE)),"")</f>
        <v>موظف89</v>
      </c>
      <c r="G76" s="34" t="str">
        <f>IFERROR(IF(C76="","",VLOOKUP(C76,المستفيدين!$B:$F,5,FALSE)),"")</f>
        <v>مدرسة إرادة للتعليم (مكة)</v>
      </c>
      <c r="H76" s="24" t="s">
        <v>553</v>
      </c>
      <c r="I76" s="24" t="s">
        <v>77</v>
      </c>
      <c r="J76" s="24" t="s">
        <v>1</v>
      </c>
      <c r="K76" s="24" t="s">
        <v>9</v>
      </c>
      <c r="L76" s="25"/>
    </row>
    <row r="77" spans="1:12" x14ac:dyDescent="0.2">
      <c r="A77" s="21">
        <v>76</v>
      </c>
      <c r="B77" s="22">
        <v>45559</v>
      </c>
      <c r="C77" s="20">
        <v>1742902647</v>
      </c>
      <c r="D77" s="34" t="str">
        <f>IFERROR(IF(C77="","",VLOOKUP(C77,المستفيدين!$B:$C,2,FALSE)),"")</f>
        <v>مستفيد109</v>
      </c>
      <c r="E77" s="20" t="s">
        <v>268</v>
      </c>
      <c r="F77" s="34" t="str">
        <f>IFERROR(IF(E77="","",VLOOKUP(E77,الموظفين!$B:$C,2,FALSE)),"")</f>
        <v>موظف63</v>
      </c>
      <c r="G77" s="34" t="str">
        <f>IFERROR(IF(C77="","",VLOOKUP(C77,المستفيدين!$B:$F,5,FALSE)),"")</f>
        <v>مركز إرادة وتمكين لرعاية ذوي الاحتياجات الخاصة (جلمودة)</v>
      </c>
      <c r="H77" s="24" t="s">
        <v>553</v>
      </c>
      <c r="I77" s="20" t="s">
        <v>77</v>
      </c>
      <c r="J77" s="20" t="s">
        <v>0</v>
      </c>
      <c r="K77" s="20" t="s">
        <v>11</v>
      </c>
      <c r="L77" s="26" t="s">
        <v>51</v>
      </c>
    </row>
    <row r="78" spans="1:12" x14ac:dyDescent="0.2">
      <c r="A78" s="18">
        <v>77</v>
      </c>
      <c r="B78" s="19">
        <v>45561</v>
      </c>
      <c r="C78" s="20">
        <v>1224071000</v>
      </c>
      <c r="D78" s="34" t="str">
        <f>IFERROR(IF(C78="","",VLOOKUP(C78,المستفيدين!$B:$C,2,FALSE)),"")</f>
        <v>مستفيد150</v>
      </c>
      <c r="E78" s="24" t="s">
        <v>262</v>
      </c>
      <c r="F78" s="34" t="str">
        <f>IFERROR(IF(E78="","",VLOOKUP(E78,الموظفين!$B:$C,2,FALSE)),"")</f>
        <v>موظف60</v>
      </c>
      <c r="G78" s="34" t="str">
        <f>IFERROR(IF(C78="","",VLOOKUP(C78,المستفيدين!$B:$F,5,FALSE)),"")</f>
        <v>مركز إرادة وتمكين لمتلازمة داون (نجد)</v>
      </c>
      <c r="H78" s="24" t="s">
        <v>553</v>
      </c>
      <c r="I78" s="24" t="s">
        <v>75</v>
      </c>
      <c r="J78" s="24" t="s">
        <v>0</v>
      </c>
      <c r="K78" s="24" t="s">
        <v>9</v>
      </c>
      <c r="L78" s="25" t="s">
        <v>526</v>
      </c>
    </row>
    <row r="79" spans="1:12" x14ac:dyDescent="0.2">
      <c r="A79" s="21">
        <v>78</v>
      </c>
      <c r="B79" s="22">
        <v>45561</v>
      </c>
      <c r="C79" s="20">
        <v>1983951447</v>
      </c>
      <c r="D79" s="34" t="str">
        <f>IFERROR(IF(C79="","",VLOOKUP(C79,المستفيدين!$B:$C,2,FALSE)),"")</f>
        <v>مستفيد72</v>
      </c>
      <c r="E79" s="20" t="s">
        <v>338</v>
      </c>
      <c r="F79" s="34" t="str">
        <f>IFERROR(IF(E79="","",VLOOKUP(E79,الموظفين!$B:$C,2,FALSE)),"")</f>
        <v>موظف98</v>
      </c>
      <c r="G79" s="34" t="str">
        <f>IFERROR(IF(C79="","",VLOOKUP(C79,المستفيدين!$B:$F,5,FALSE)),"")</f>
        <v>مركز إرادة وتمكين لرعاية ذوي الاحتياجات الخاصة (جلمودة)</v>
      </c>
      <c r="H79" s="24" t="s">
        <v>552</v>
      </c>
      <c r="I79" s="20" t="s">
        <v>81</v>
      </c>
      <c r="J79" s="20" t="s">
        <v>1</v>
      </c>
      <c r="K79" s="20" t="s">
        <v>9</v>
      </c>
      <c r="L79" s="26" t="s">
        <v>523</v>
      </c>
    </row>
    <row r="80" spans="1:12" x14ac:dyDescent="0.2">
      <c r="A80" s="18">
        <v>79</v>
      </c>
      <c r="B80" s="19">
        <v>45561</v>
      </c>
      <c r="C80" s="20">
        <v>1371671971</v>
      </c>
      <c r="D80" s="34" t="str">
        <f>IFERROR(IF(C80="","",VLOOKUP(C80,المستفيدين!$B:$C,2,FALSE)),"")</f>
        <v>مستفيد91</v>
      </c>
      <c r="E80" s="24" t="s">
        <v>208</v>
      </c>
      <c r="F80" s="34" t="str">
        <f>IFERROR(IF(E80="","",VLOOKUP(E80,الموظفين!$B:$C,2,FALSE)),"")</f>
        <v>موظف33</v>
      </c>
      <c r="G80" s="34" t="str">
        <f>IFERROR(IF(C80="","",VLOOKUP(C80,المستفيدين!$B:$F,5,FALSE)),"")</f>
        <v>مركز إرادة وتمكين لرعاية ذوي الاحتياجات الخاصة (جلمودة)</v>
      </c>
      <c r="H80" s="24" t="s">
        <v>553</v>
      </c>
      <c r="I80" s="24" t="s">
        <v>79</v>
      </c>
      <c r="J80" s="24" t="s">
        <v>0</v>
      </c>
      <c r="K80" s="24" t="s">
        <v>9</v>
      </c>
      <c r="L80" s="25"/>
    </row>
    <row r="81" spans="1:12" x14ac:dyDescent="0.2">
      <c r="A81" s="21">
        <v>80</v>
      </c>
      <c r="B81" s="22">
        <v>45563</v>
      </c>
      <c r="C81" s="20">
        <v>1773160728</v>
      </c>
      <c r="D81" s="34" t="str">
        <f>IFERROR(IF(C81="","",VLOOKUP(C81,المستفيدين!$B:$C,2,FALSE)),"")</f>
        <v>مستفيد161</v>
      </c>
      <c r="E81" s="20" t="s">
        <v>238</v>
      </c>
      <c r="F81" s="34" t="str">
        <f>IFERROR(IF(E81="","",VLOOKUP(E81,الموظفين!$B:$C,2,FALSE)),"")</f>
        <v>موظف48</v>
      </c>
      <c r="G81" s="34" t="str">
        <f>IFERROR(IF(C81="","",VLOOKUP(C81,المستفيدين!$B:$F,5,FALSE)),"")</f>
        <v>مركز إرادة وتمكين لمتلازمة داون (نجد)</v>
      </c>
      <c r="H81" s="24" t="s">
        <v>553</v>
      </c>
      <c r="I81" s="20" t="s">
        <v>78</v>
      </c>
      <c r="J81" s="20" t="s">
        <v>1</v>
      </c>
      <c r="K81" s="20" t="s">
        <v>9</v>
      </c>
      <c r="L81" s="26"/>
    </row>
    <row r="82" spans="1:12" x14ac:dyDescent="0.2">
      <c r="A82" s="18">
        <v>81</v>
      </c>
      <c r="B82" s="19">
        <v>45566</v>
      </c>
      <c r="C82" s="20">
        <v>1087747431</v>
      </c>
      <c r="D82" s="34" t="str">
        <f>IFERROR(IF(C82="","",VLOOKUP(C82,المستفيدين!$B:$C,2,FALSE)),"")</f>
        <v>مستفيد108</v>
      </c>
      <c r="E82" s="24" t="s">
        <v>228</v>
      </c>
      <c r="F82" s="34" t="str">
        <f>IFERROR(IF(E82="","",VLOOKUP(E82,الموظفين!$B:$C,2,FALSE)),"")</f>
        <v>موظف43</v>
      </c>
      <c r="G82" s="34" t="str">
        <f>IFERROR(IF(C82="","",VLOOKUP(C82,المستفيدين!$B:$F,5,FALSE)),"")</f>
        <v>مركز إرادة وتمكين لمتلازمة داون (نجد)</v>
      </c>
      <c r="H82" s="24" t="s">
        <v>553</v>
      </c>
      <c r="I82" s="24" t="s">
        <v>76</v>
      </c>
      <c r="J82" s="24" t="s">
        <v>0</v>
      </c>
      <c r="K82" s="24" t="s">
        <v>9</v>
      </c>
      <c r="L82" s="25"/>
    </row>
    <row r="83" spans="1:12" x14ac:dyDescent="0.2">
      <c r="A83" s="21">
        <v>82</v>
      </c>
      <c r="B83" s="22">
        <v>45567</v>
      </c>
      <c r="C83" s="20">
        <v>1932054889</v>
      </c>
      <c r="D83" s="34" t="str">
        <f>IFERROR(IF(C83="","",VLOOKUP(C83,المستفيدين!$B:$C,2,FALSE)),"")</f>
        <v>مستفيد167</v>
      </c>
      <c r="E83" s="20" t="s">
        <v>232</v>
      </c>
      <c r="F83" s="34" t="str">
        <f>IFERROR(IF(E83="","",VLOOKUP(E83,الموظفين!$B:$C,2,FALSE)),"")</f>
        <v>موظف45</v>
      </c>
      <c r="G83" s="34" t="str">
        <f>IFERROR(IF(C83="","",VLOOKUP(C83,المستفيدين!$B:$F,5,FALSE)),"")</f>
        <v>مركز إرادة وتمكين للرعاية النهارية (القدس)</v>
      </c>
      <c r="H83" s="24" t="s">
        <v>552</v>
      </c>
      <c r="I83" s="20" t="s">
        <v>80</v>
      </c>
      <c r="J83" s="20" t="s">
        <v>0</v>
      </c>
      <c r="K83" s="20" t="s">
        <v>12</v>
      </c>
      <c r="L83" s="26" t="s">
        <v>523</v>
      </c>
    </row>
    <row r="84" spans="1:12" x14ac:dyDescent="0.2">
      <c r="A84" s="18">
        <v>83</v>
      </c>
      <c r="B84" s="19">
        <v>45568</v>
      </c>
      <c r="C84" s="20">
        <v>1207180707</v>
      </c>
      <c r="D84" s="34" t="str">
        <f>IFERROR(IF(C84="","",VLOOKUP(C84,المستفيدين!$B:$C,2,FALSE)),"")</f>
        <v>مستفيد182</v>
      </c>
      <c r="E84" s="24" t="s">
        <v>214</v>
      </c>
      <c r="F84" s="34" t="str">
        <f>IFERROR(IF(E84="","",VLOOKUP(E84,الموظفين!$B:$C,2,FALSE)),"")</f>
        <v>موظف36</v>
      </c>
      <c r="G84" s="34" t="str">
        <f>IFERROR(IF(C84="","",VLOOKUP(C84,المستفيدين!$B:$F,5,FALSE)),"")</f>
        <v>مدرسة إرادة للتعليم (مكة)</v>
      </c>
      <c r="H84" s="24" t="s">
        <v>553</v>
      </c>
      <c r="I84" s="24" t="s">
        <v>78</v>
      </c>
      <c r="J84" s="24" t="s">
        <v>1</v>
      </c>
      <c r="K84" s="24" t="s">
        <v>9</v>
      </c>
      <c r="L84" s="25"/>
    </row>
    <row r="85" spans="1:12" x14ac:dyDescent="0.2">
      <c r="A85" s="21">
        <v>84</v>
      </c>
      <c r="B85" s="22">
        <v>45568</v>
      </c>
      <c r="C85" s="20">
        <v>1519714037</v>
      </c>
      <c r="D85" s="34" t="str">
        <f>IFERROR(IF(C85="","",VLOOKUP(C85,المستفيدين!$B:$C,2,FALSE)),"")</f>
        <v>مستفيد74</v>
      </c>
      <c r="E85" s="20" t="s">
        <v>194</v>
      </c>
      <c r="F85" s="34" t="str">
        <f>IFERROR(IF(E85="","",VLOOKUP(E85,الموظفين!$B:$C,2,FALSE)),"")</f>
        <v>موظف26</v>
      </c>
      <c r="G85" s="34" t="str">
        <f>IFERROR(IF(C85="","",VLOOKUP(C85,المستفيدين!$B:$F,5,FALSE)),"")</f>
        <v>مركز إرادة وتمكين لرعاية ذوي الاحتياجات الخاصة (جلمودة)</v>
      </c>
      <c r="H85" s="24" t="s">
        <v>552</v>
      </c>
      <c r="I85" s="20" t="s">
        <v>80</v>
      </c>
      <c r="J85" s="20" t="s">
        <v>1</v>
      </c>
      <c r="K85" s="20" t="s">
        <v>9</v>
      </c>
      <c r="L85" s="26" t="s">
        <v>51</v>
      </c>
    </row>
    <row r="86" spans="1:12" x14ac:dyDescent="0.2">
      <c r="A86" s="18">
        <v>85</v>
      </c>
      <c r="B86" s="19">
        <v>45569</v>
      </c>
      <c r="C86" s="20">
        <v>1345489113</v>
      </c>
      <c r="D86" s="34" t="str">
        <f>IFERROR(IF(C86="","",VLOOKUP(C86,المستفيدين!$B:$C,2,FALSE)),"")</f>
        <v>مستفيد124</v>
      </c>
      <c r="E86" s="24" t="s">
        <v>170</v>
      </c>
      <c r="F86" s="34" t="str">
        <f>IFERROR(IF(E86="","",VLOOKUP(E86,الموظفين!$B:$C,2,FALSE)),"")</f>
        <v>موظف14</v>
      </c>
      <c r="G86" s="34" t="str">
        <f>IFERROR(IF(C86="","",VLOOKUP(C86,المستفيدين!$B:$F,5,FALSE)),"")</f>
        <v>مركز إرادة وتمكين لرعاية ذوي الاحتياجات الخاصة (جلمودة)</v>
      </c>
      <c r="H86" s="24" t="s">
        <v>553</v>
      </c>
      <c r="I86" s="24" t="s">
        <v>76</v>
      </c>
      <c r="J86" s="24" t="s">
        <v>0</v>
      </c>
      <c r="K86" s="24" t="s">
        <v>10</v>
      </c>
      <c r="L86" s="25"/>
    </row>
    <row r="87" spans="1:12" x14ac:dyDescent="0.2">
      <c r="A87" s="21">
        <v>86</v>
      </c>
      <c r="B87" s="22">
        <v>45574</v>
      </c>
      <c r="C87" s="20">
        <v>1124422216</v>
      </c>
      <c r="D87" s="34" t="str">
        <f>IFERROR(IF(C87="","",VLOOKUP(C87,المستفيدين!$B:$C,2,FALSE)),"")</f>
        <v>مستفيد5</v>
      </c>
      <c r="E87" s="20" t="s">
        <v>150</v>
      </c>
      <c r="F87" s="34" t="str">
        <f>IFERROR(IF(E87="","",VLOOKUP(E87,الموظفين!$B:$C,2,FALSE)),"")</f>
        <v>موظف4</v>
      </c>
      <c r="G87" s="34" t="str">
        <f>IFERROR(IF(C87="","",VLOOKUP(C87,المستفيدين!$B:$F,5,FALSE)),"")</f>
        <v>مركز إرادة وتمكين لمتلازمة داون (نجد)</v>
      </c>
      <c r="H87" s="24" t="s">
        <v>553</v>
      </c>
      <c r="I87" s="20" t="s">
        <v>77</v>
      </c>
      <c r="J87" s="20" t="s">
        <v>0</v>
      </c>
      <c r="K87" s="20" t="s">
        <v>9</v>
      </c>
      <c r="L87" s="26"/>
    </row>
    <row r="88" spans="1:12" x14ac:dyDescent="0.2">
      <c r="A88" s="18">
        <v>87</v>
      </c>
      <c r="B88" s="19">
        <v>45574</v>
      </c>
      <c r="C88" s="20">
        <v>1889143921</v>
      </c>
      <c r="D88" s="34" t="str">
        <f>IFERROR(IF(C88="","",VLOOKUP(C88,المستفيدين!$B:$C,2,FALSE)),"")</f>
        <v>مستفيد6</v>
      </c>
      <c r="E88" s="24" t="s">
        <v>186</v>
      </c>
      <c r="F88" s="34" t="str">
        <f>IFERROR(IF(E88="","",VLOOKUP(E88,الموظفين!$B:$C,2,FALSE)),"")</f>
        <v>موظف22</v>
      </c>
      <c r="G88" s="34" t="str">
        <f>IFERROR(IF(C88="","",VLOOKUP(C88,المستفيدين!$B:$F,5,FALSE)),"")</f>
        <v>مركز إرادة وتمكين لرعاية ذوي الاحتياجات الخاصة (جلمودة)</v>
      </c>
      <c r="H88" s="24" t="s">
        <v>553</v>
      </c>
      <c r="I88" s="24" t="s">
        <v>76</v>
      </c>
      <c r="J88" s="24" t="s">
        <v>0</v>
      </c>
      <c r="K88" s="24" t="s">
        <v>9</v>
      </c>
      <c r="L88" s="25"/>
    </row>
    <row r="89" spans="1:12" x14ac:dyDescent="0.2">
      <c r="A89" s="21">
        <v>88</v>
      </c>
      <c r="B89" s="22">
        <v>45576</v>
      </c>
      <c r="C89" s="20">
        <v>1648463946</v>
      </c>
      <c r="D89" s="34" t="str">
        <f>IFERROR(IF(C89="","",VLOOKUP(C89,المستفيدين!$B:$C,2,FALSE)),"")</f>
        <v>مستفيد130</v>
      </c>
      <c r="E89" s="20" t="s">
        <v>316</v>
      </c>
      <c r="F89" s="34" t="str">
        <f>IFERROR(IF(E89="","",VLOOKUP(E89,الموظفين!$B:$C,2,FALSE)),"")</f>
        <v>موظف87</v>
      </c>
      <c r="G89" s="34" t="str">
        <f>IFERROR(IF(C89="","",VLOOKUP(C89,المستفيدين!$B:$F,5,FALSE)),"")</f>
        <v>مركز إرادة وتمكين لمتلازمة داون (نجد)</v>
      </c>
      <c r="H89" s="24" t="s">
        <v>552</v>
      </c>
      <c r="I89" s="20" t="s">
        <v>81</v>
      </c>
      <c r="J89" s="20" t="s">
        <v>0</v>
      </c>
      <c r="K89" s="20" t="s">
        <v>12</v>
      </c>
      <c r="L89" s="26" t="s">
        <v>526</v>
      </c>
    </row>
    <row r="90" spans="1:12" x14ac:dyDescent="0.2">
      <c r="A90" s="18">
        <v>89</v>
      </c>
      <c r="B90" s="19">
        <v>45580</v>
      </c>
      <c r="C90" s="20">
        <v>1253511077</v>
      </c>
      <c r="D90" s="34" t="str">
        <f>IFERROR(IF(C90="","",VLOOKUP(C90,المستفيدين!$B:$C,2,FALSE)),"")</f>
        <v>مستفيد64</v>
      </c>
      <c r="E90" s="24" t="s">
        <v>166</v>
      </c>
      <c r="F90" s="34" t="str">
        <f>IFERROR(IF(E90="","",VLOOKUP(E90,الموظفين!$B:$C,2,FALSE)),"")</f>
        <v>موظف12</v>
      </c>
      <c r="G90" s="34" t="str">
        <f>IFERROR(IF(C90="","",VLOOKUP(C90,المستفيدين!$B:$F,5,FALSE)),"")</f>
        <v>مدرسة إرادة للتعليم (مكة)</v>
      </c>
      <c r="H90" s="24" t="s">
        <v>552</v>
      </c>
      <c r="I90" s="24" t="s">
        <v>81</v>
      </c>
      <c r="J90" s="24" t="s">
        <v>1</v>
      </c>
      <c r="K90" s="24" t="s">
        <v>9</v>
      </c>
      <c r="L90" s="25"/>
    </row>
    <row r="91" spans="1:12" x14ac:dyDescent="0.2">
      <c r="A91" s="21">
        <v>90</v>
      </c>
      <c r="B91" s="22">
        <v>45580</v>
      </c>
      <c r="C91" s="20">
        <v>1744297633</v>
      </c>
      <c r="D91" s="34" t="str">
        <f>IFERROR(IF(C91="","",VLOOKUP(C91,المستفيدين!$B:$C,2,FALSE)),"")</f>
        <v>مستفيد153</v>
      </c>
      <c r="E91" s="20" t="s">
        <v>268</v>
      </c>
      <c r="F91" s="34" t="str">
        <f>IFERROR(IF(E91="","",VLOOKUP(E91,الموظفين!$B:$C,2,FALSE)),"")</f>
        <v>موظف63</v>
      </c>
      <c r="G91" s="34" t="str">
        <f>IFERROR(IF(C91="","",VLOOKUP(C91,المستفيدين!$B:$F,5,FALSE)),"")</f>
        <v>مدرسة إرادة للتعليم (مكة)</v>
      </c>
      <c r="H91" s="24" t="s">
        <v>553</v>
      </c>
      <c r="I91" s="20" t="s">
        <v>77</v>
      </c>
      <c r="J91" s="20" t="s">
        <v>0</v>
      </c>
      <c r="K91" s="20" t="s">
        <v>10</v>
      </c>
      <c r="L91" s="26"/>
    </row>
    <row r="92" spans="1:12" x14ac:dyDescent="0.2">
      <c r="A92" s="18">
        <v>91</v>
      </c>
      <c r="B92" s="19">
        <v>45583</v>
      </c>
      <c r="C92" s="20">
        <v>1009443870</v>
      </c>
      <c r="D92" s="34" t="str">
        <f>IFERROR(IF(C92="","",VLOOKUP(C92,المستفيدين!$B:$C,2,FALSE)),"")</f>
        <v>مستفيد42</v>
      </c>
      <c r="E92" s="24" t="s">
        <v>178</v>
      </c>
      <c r="F92" s="34" t="str">
        <f>IFERROR(IF(E92="","",VLOOKUP(E92,الموظفين!$B:$C,2,FALSE)),"")</f>
        <v>موظف18</v>
      </c>
      <c r="G92" s="34" t="str">
        <f>IFERROR(IF(C92="","",VLOOKUP(C92,المستفيدين!$B:$F,5,FALSE)),"")</f>
        <v>مركز إرادة وتمكين لمتلازمة داون (نجد)</v>
      </c>
      <c r="H92" s="24" t="s">
        <v>553</v>
      </c>
      <c r="I92" s="24" t="s">
        <v>78</v>
      </c>
      <c r="J92" s="24" t="s">
        <v>1</v>
      </c>
      <c r="K92" s="24" t="s">
        <v>9</v>
      </c>
      <c r="L92" s="25" t="s">
        <v>51</v>
      </c>
    </row>
    <row r="93" spans="1:12" x14ac:dyDescent="0.2">
      <c r="A93" s="21">
        <v>92</v>
      </c>
      <c r="B93" s="22">
        <v>45583</v>
      </c>
      <c r="C93" s="20">
        <v>1392511676</v>
      </c>
      <c r="D93" s="34" t="str">
        <f>IFERROR(IF(C93="","",VLOOKUP(C93,المستفيدين!$B:$C,2,FALSE)),"")</f>
        <v>مستفيد179</v>
      </c>
      <c r="E93" s="20" t="s">
        <v>322</v>
      </c>
      <c r="F93" s="34" t="str">
        <f>IFERROR(IF(E93="","",VLOOKUP(E93,الموظفين!$B:$C,2,FALSE)),"")</f>
        <v>موظف90</v>
      </c>
      <c r="G93" s="34" t="str">
        <f>IFERROR(IF(C93="","",VLOOKUP(C93,المستفيدين!$B:$F,5,FALSE)),"")</f>
        <v>مركز إرادة وتمكين للرعاية النهارية (القدس)</v>
      </c>
      <c r="H93" s="24" t="s">
        <v>552</v>
      </c>
      <c r="I93" s="20" t="s">
        <v>80</v>
      </c>
      <c r="J93" s="20" t="s">
        <v>0</v>
      </c>
      <c r="K93" s="20" t="s">
        <v>9</v>
      </c>
      <c r="L93" s="26" t="s">
        <v>523</v>
      </c>
    </row>
    <row r="94" spans="1:12" x14ac:dyDescent="0.2">
      <c r="A94" s="18">
        <v>93</v>
      </c>
      <c r="B94" s="19">
        <v>45584</v>
      </c>
      <c r="C94" s="20">
        <v>1061601642</v>
      </c>
      <c r="D94" s="34" t="str">
        <f>IFERROR(IF(C94="","",VLOOKUP(C94,المستفيدين!$B:$C,2,FALSE)),"")</f>
        <v>مستفيد39</v>
      </c>
      <c r="E94" s="24" t="s">
        <v>312</v>
      </c>
      <c r="F94" s="34" t="str">
        <f>IFERROR(IF(E94="","",VLOOKUP(E94,الموظفين!$B:$C,2,FALSE)),"")</f>
        <v>موظف85</v>
      </c>
      <c r="G94" s="34" t="str">
        <f>IFERROR(IF(C94="","",VLOOKUP(C94,المستفيدين!$B:$F,5,FALSE)),"")</f>
        <v>مركز إرادة وتمكين لمتلازمة داون (نجد)</v>
      </c>
      <c r="H94" s="24" t="s">
        <v>552</v>
      </c>
      <c r="I94" s="24" t="s">
        <v>81</v>
      </c>
      <c r="J94" s="24" t="s">
        <v>1</v>
      </c>
      <c r="K94" s="24" t="s">
        <v>9</v>
      </c>
      <c r="L94" s="25" t="s">
        <v>524</v>
      </c>
    </row>
    <row r="95" spans="1:12" x14ac:dyDescent="0.2">
      <c r="A95" s="21">
        <v>94</v>
      </c>
      <c r="B95" s="22">
        <v>45585</v>
      </c>
      <c r="C95" s="20">
        <v>1859263783</v>
      </c>
      <c r="D95" s="34" t="str">
        <f>IFERROR(IF(C95="","",VLOOKUP(C95,المستفيدين!$B:$C,2,FALSE)),"")</f>
        <v>مستفيد33</v>
      </c>
      <c r="E95" s="20" t="s">
        <v>286</v>
      </c>
      <c r="F95" s="34" t="str">
        <f>IFERROR(IF(E95="","",VLOOKUP(E95,الموظفين!$B:$C,2,FALSE)),"")</f>
        <v>موظف72</v>
      </c>
      <c r="G95" s="34" t="str">
        <f>IFERROR(IF(C95="","",VLOOKUP(C95,المستفيدين!$B:$F,5,FALSE)),"")</f>
        <v>مدرسة إرادة للتعليم (مكة)</v>
      </c>
      <c r="H95" s="24" t="s">
        <v>553</v>
      </c>
      <c r="I95" s="20" t="s">
        <v>77</v>
      </c>
      <c r="J95" s="20" t="s">
        <v>0</v>
      </c>
      <c r="K95" s="20" t="s">
        <v>10</v>
      </c>
      <c r="L95" s="26"/>
    </row>
    <row r="96" spans="1:12" x14ac:dyDescent="0.2">
      <c r="A96" s="18">
        <v>95</v>
      </c>
      <c r="B96" s="19">
        <v>45591</v>
      </c>
      <c r="C96" s="20">
        <v>1079496892</v>
      </c>
      <c r="D96" s="34" t="str">
        <f>IFERROR(IF(C96="","",VLOOKUP(C96,المستفيدين!$B:$C,2,FALSE)),"")</f>
        <v>مستفيد144</v>
      </c>
      <c r="E96" s="24" t="s">
        <v>170</v>
      </c>
      <c r="F96" s="34" t="str">
        <f>IFERROR(IF(E96="","",VLOOKUP(E96,الموظفين!$B:$C,2,FALSE)),"")</f>
        <v>موظف14</v>
      </c>
      <c r="G96" s="34" t="str">
        <f>IFERROR(IF(C96="","",VLOOKUP(C96,المستفيدين!$B:$F,5,FALSE)),"")</f>
        <v>مدرسة إرادة وتمكين لمتلازمة داون (نجد)</v>
      </c>
      <c r="H96" s="24" t="s">
        <v>553</v>
      </c>
      <c r="I96" s="24" t="s">
        <v>76</v>
      </c>
      <c r="J96" s="24" t="s">
        <v>0</v>
      </c>
      <c r="K96" s="24" t="s">
        <v>9</v>
      </c>
      <c r="L96" s="25" t="s">
        <v>51</v>
      </c>
    </row>
    <row r="97" spans="1:12" x14ac:dyDescent="0.2">
      <c r="A97" s="21">
        <v>96</v>
      </c>
      <c r="B97" s="22">
        <v>45593</v>
      </c>
      <c r="C97" s="20">
        <v>1445520895</v>
      </c>
      <c r="D97" s="34" t="str">
        <f>IFERROR(IF(C97="","",VLOOKUP(C97,المستفيدين!$B:$C,2,FALSE)),"")</f>
        <v>مستفيد56</v>
      </c>
      <c r="E97" s="20" t="s">
        <v>250</v>
      </c>
      <c r="F97" s="34" t="str">
        <f>IFERROR(IF(E97="","",VLOOKUP(E97,الموظفين!$B:$C,2,FALSE)),"")</f>
        <v>موظف54</v>
      </c>
      <c r="G97" s="34" t="str">
        <f>IFERROR(IF(C97="","",VLOOKUP(C97,المستفيدين!$B:$F,5,FALSE)),"")</f>
        <v>مركز إرادة وتمكين للرعاية النهارية (القدس)</v>
      </c>
      <c r="H97" s="24" t="s">
        <v>553</v>
      </c>
      <c r="I97" s="20" t="s">
        <v>79</v>
      </c>
      <c r="J97" s="20" t="s">
        <v>1</v>
      </c>
      <c r="K97" s="20" t="s">
        <v>12</v>
      </c>
      <c r="L97" s="26"/>
    </row>
    <row r="98" spans="1:12" x14ac:dyDescent="0.2">
      <c r="A98" s="18">
        <v>97</v>
      </c>
      <c r="B98" s="19">
        <v>45595</v>
      </c>
      <c r="C98" s="20">
        <v>1690864686</v>
      </c>
      <c r="D98" s="34" t="str">
        <f>IFERROR(IF(C98="","",VLOOKUP(C98,المستفيدين!$B:$C,2,FALSE)),"")</f>
        <v>مستفيد141</v>
      </c>
      <c r="E98" s="24" t="s">
        <v>250</v>
      </c>
      <c r="F98" s="34" t="str">
        <f>IFERROR(IF(E98="","",VLOOKUP(E98,الموظفين!$B:$C,2,FALSE)),"")</f>
        <v>موظف54</v>
      </c>
      <c r="G98" s="34" t="str">
        <f>IFERROR(IF(C98="","",VLOOKUP(C98,المستفيدين!$B:$F,5,FALSE)),"")</f>
        <v>مدرسة إرادة وتمكين لمتلازمة داون (نجد)</v>
      </c>
      <c r="H98" s="24" t="s">
        <v>553</v>
      </c>
      <c r="I98" s="24" t="s">
        <v>79</v>
      </c>
      <c r="J98" s="24" t="s">
        <v>1</v>
      </c>
      <c r="K98" s="24" t="s">
        <v>9</v>
      </c>
      <c r="L98" s="25" t="s">
        <v>51</v>
      </c>
    </row>
    <row r="99" spans="1:12" x14ac:dyDescent="0.2">
      <c r="A99" s="21">
        <v>98</v>
      </c>
      <c r="B99" s="22">
        <v>45598</v>
      </c>
      <c r="C99" s="20">
        <v>1715340689</v>
      </c>
      <c r="D99" s="34" t="str">
        <f>IFERROR(IF(C99="","",VLOOKUP(C99,المستفيدين!$B:$C,2,FALSE)),"")</f>
        <v>مستفيد102</v>
      </c>
      <c r="E99" s="20" t="s">
        <v>256</v>
      </c>
      <c r="F99" s="34" t="str">
        <f>IFERROR(IF(E99="","",VLOOKUP(E99,الموظفين!$B:$C,2,FALSE)),"")</f>
        <v>موظف57</v>
      </c>
      <c r="G99" s="34" t="str">
        <f>IFERROR(IF(C99="","",VLOOKUP(C99,المستفيدين!$B:$F,5,FALSE)),"")</f>
        <v>مدرسة إرادة للتعليم (مكة)</v>
      </c>
      <c r="H99" s="24" t="s">
        <v>553</v>
      </c>
      <c r="I99" s="20" t="s">
        <v>74</v>
      </c>
      <c r="J99" s="20" t="s">
        <v>1</v>
      </c>
      <c r="K99" s="20" t="s">
        <v>11</v>
      </c>
      <c r="L99" s="26" t="s">
        <v>51</v>
      </c>
    </row>
    <row r="100" spans="1:12" x14ac:dyDescent="0.2">
      <c r="A100" s="18">
        <v>99</v>
      </c>
      <c r="B100" s="19">
        <v>45599</v>
      </c>
      <c r="C100" s="20">
        <v>1252971687</v>
      </c>
      <c r="D100" s="34" t="str">
        <f>IFERROR(IF(C100="","",VLOOKUP(C100,المستفيدين!$B:$C,2,FALSE)),"")</f>
        <v>مستفيد30</v>
      </c>
      <c r="E100" s="24" t="s">
        <v>202</v>
      </c>
      <c r="F100" s="34" t="str">
        <f>IFERROR(IF(E100="","",VLOOKUP(E100,الموظفين!$B:$C,2,FALSE)),"")</f>
        <v>موظف30</v>
      </c>
      <c r="G100" s="34" t="str">
        <f>IFERROR(IF(C100="","",VLOOKUP(C100,المستفيدين!$B:$F,5,FALSE)),"")</f>
        <v>مدرسة إرادة للتعليم (مكة)</v>
      </c>
      <c r="H100" s="24" t="s">
        <v>553</v>
      </c>
      <c r="I100" s="24" t="s">
        <v>77</v>
      </c>
      <c r="J100" s="24" t="s">
        <v>0</v>
      </c>
      <c r="K100" s="24" t="s">
        <v>9</v>
      </c>
      <c r="L100" s="25" t="s">
        <v>525</v>
      </c>
    </row>
    <row r="101" spans="1:12" x14ac:dyDescent="0.2">
      <c r="A101" s="21">
        <v>100</v>
      </c>
      <c r="B101" s="22">
        <v>45599</v>
      </c>
      <c r="C101" s="20">
        <v>1017688451</v>
      </c>
      <c r="D101" s="34" t="str">
        <f>IFERROR(IF(C101="","",VLOOKUP(C101,المستفيدين!$B:$C,2,FALSE)),"")</f>
        <v>مستفيد52</v>
      </c>
      <c r="E101" s="20" t="s">
        <v>306</v>
      </c>
      <c r="F101" s="34" t="str">
        <f>IFERROR(IF(E101="","",VLOOKUP(E101,الموظفين!$B:$C,2,FALSE)),"")</f>
        <v>موظف82</v>
      </c>
      <c r="G101" s="34" t="str">
        <f>IFERROR(IF(C101="","",VLOOKUP(C101,المستفيدين!$B:$F,5,FALSE)),"")</f>
        <v>مركز إرادة وتمكين لرعاية ذوي الاحتياجات الخاصة (جلمودة)</v>
      </c>
      <c r="H101" s="24" t="s">
        <v>553</v>
      </c>
      <c r="I101" s="20" t="s">
        <v>79</v>
      </c>
      <c r="J101" s="20" t="s">
        <v>0</v>
      </c>
      <c r="K101" s="20" t="s">
        <v>12</v>
      </c>
      <c r="L101" s="26"/>
    </row>
    <row r="102" spans="1:12" x14ac:dyDescent="0.2">
      <c r="A102" s="18">
        <v>101</v>
      </c>
      <c r="B102" s="19">
        <v>45602</v>
      </c>
      <c r="C102" s="20">
        <v>1239383239</v>
      </c>
      <c r="D102" s="34" t="str">
        <f>IFERROR(IF(C102="","",VLOOKUP(C102,المستفيدين!$B:$C,2,FALSE)),"")</f>
        <v>مستفيد13</v>
      </c>
      <c r="E102" s="24" t="s">
        <v>262</v>
      </c>
      <c r="F102" s="34" t="str">
        <f>IFERROR(IF(E102="","",VLOOKUP(E102,الموظفين!$B:$C,2,FALSE)),"")</f>
        <v>موظف60</v>
      </c>
      <c r="G102" s="34" t="str">
        <f>IFERROR(IF(C102="","",VLOOKUP(C102,المستفيدين!$B:$F,5,FALSE)),"")</f>
        <v>مركز إرادة وتمكين لرعاية ذوي الاحتياجات الخاصة (جلمودة)</v>
      </c>
      <c r="H102" s="24" t="s">
        <v>553</v>
      </c>
      <c r="I102" s="24" t="s">
        <v>75</v>
      </c>
      <c r="J102" s="24" t="s">
        <v>0</v>
      </c>
      <c r="K102" s="24" t="s">
        <v>9</v>
      </c>
      <c r="L102" s="25"/>
    </row>
    <row r="103" spans="1:12" x14ac:dyDescent="0.2">
      <c r="A103" s="21">
        <v>102</v>
      </c>
      <c r="B103" s="22">
        <v>45603</v>
      </c>
      <c r="C103" s="20">
        <v>1025469854</v>
      </c>
      <c r="D103" s="34" t="str">
        <f>IFERROR(IF(C103="","",VLOOKUP(C103,المستفيدين!$B:$C,2,FALSE)),"")</f>
        <v>مستفيد1</v>
      </c>
      <c r="E103" s="20" t="s">
        <v>288</v>
      </c>
      <c r="F103" s="34" t="str">
        <f>IFERROR(IF(E103="","",VLOOKUP(E103,الموظفين!$B:$C,2,FALSE)),"")</f>
        <v>موظف73</v>
      </c>
      <c r="G103" s="34" t="str">
        <f>IFERROR(IF(C103="","",VLOOKUP(C103,المستفيدين!$B:$F,5,FALSE)),"")</f>
        <v>مركز إرادة وتمكين للرعاية النهارية (القدس)</v>
      </c>
      <c r="H103" s="24" t="s">
        <v>552</v>
      </c>
      <c r="I103" s="20" t="s">
        <v>81</v>
      </c>
      <c r="J103" s="20" t="s">
        <v>1</v>
      </c>
      <c r="K103" s="20" t="s">
        <v>9</v>
      </c>
      <c r="L103" s="26" t="s">
        <v>524</v>
      </c>
    </row>
    <row r="104" spans="1:12" x14ac:dyDescent="0.2">
      <c r="A104" s="18">
        <v>103</v>
      </c>
      <c r="B104" s="19">
        <v>45603</v>
      </c>
      <c r="C104" s="20">
        <v>1817449144</v>
      </c>
      <c r="D104" s="34" t="str">
        <f>IFERROR(IF(C104="","",VLOOKUP(C104,المستفيدين!$B:$C,2,FALSE)),"")</f>
        <v>مستفيد177</v>
      </c>
      <c r="E104" s="24" t="s">
        <v>320</v>
      </c>
      <c r="F104" s="34" t="str">
        <f>IFERROR(IF(E104="","",VLOOKUP(E104,الموظفين!$B:$C,2,FALSE)),"")</f>
        <v>موظف89</v>
      </c>
      <c r="G104" s="34" t="str">
        <f>IFERROR(IF(C104="","",VLOOKUP(C104,المستفيدين!$B:$F,5,FALSE)),"")</f>
        <v>مركز إرادة وتمكين لرعاية ذوي الاحتياجات الخاصة (جلمودة)</v>
      </c>
      <c r="H104" s="24" t="s">
        <v>553</v>
      </c>
      <c r="I104" s="24" t="s">
        <v>77</v>
      </c>
      <c r="J104" s="24" t="s">
        <v>1</v>
      </c>
      <c r="K104" s="24" t="s">
        <v>12</v>
      </c>
      <c r="L104" s="25"/>
    </row>
    <row r="105" spans="1:12" x14ac:dyDescent="0.2">
      <c r="A105" s="21">
        <v>104</v>
      </c>
      <c r="B105" s="22">
        <v>45604</v>
      </c>
      <c r="C105" s="20">
        <v>1611059558</v>
      </c>
      <c r="D105" s="34" t="str">
        <f>IFERROR(IF(C105="","",VLOOKUP(C105,المستفيدين!$B:$C,2,FALSE)),"")</f>
        <v>مستفيد22</v>
      </c>
      <c r="E105" s="20" t="s">
        <v>248</v>
      </c>
      <c r="F105" s="34" t="str">
        <f>IFERROR(IF(E105="","",VLOOKUP(E105,الموظفين!$B:$C,2,FALSE)),"")</f>
        <v>موظف53</v>
      </c>
      <c r="G105" s="34" t="str">
        <f>IFERROR(IF(C105="","",VLOOKUP(C105,المستفيدين!$B:$F,5,FALSE)),"")</f>
        <v>مركز إرادة وتمكين لمتلازمة داون (نجد)</v>
      </c>
      <c r="H105" s="24" t="s">
        <v>553</v>
      </c>
      <c r="I105" s="20" t="s">
        <v>75</v>
      </c>
      <c r="J105" s="20" t="s">
        <v>0</v>
      </c>
      <c r="K105" s="20" t="s">
        <v>9</v>
      </c>
      <c r="L105" s="26" t="s">
        <v>524</v>
      </c>
    </row>
    <row r="106" spans="1:12" x14ac:dyDescent="0.2">
      <c r="A106" s="18">
        <v>105</v>
      </c>
      <c r="B106" s="19">
        <v>45604</v>
      </c>
      <c r="C106" s="20">
        <v>1742902647</v>
      </c>
      <c r="D106" s="34" t="str">
        <f>IFERROR(IF(C106="","",VLOOKUP(C106,المستفيدين!$B:$C,2,FALSE)),"")</f>
        <v>مستفيد109</v>
      </c>
      <c r="E106" s="24" t="s">
        <v>246</v>
      </c>
      <c r="F106" s="34" t="str">
        <f>IFERROR(IF(E106="","",VLOOKUP(E106,الموظفين!$B:$C,2,FALSE)),"")</f>
        <v>موظف52</v>
      </c>
      <c r="G106" s="34" t="str">
        <f>IFERROR(IF(C106="","",VLOOKUP(C106,المستفيدين!$B:$F,5,FALSE)),"")</f>
        <v>مركز إرادة وتمكين لرعاية ذوي الاحتياجات الخاصة (جلمودة)</v>
      </c>
      <c r="H106" s="24" t="s">
        <v>553</v>
      </c>
      <c r="I106" s="24" t="s">
        <v>77</v>
      </c>
      <c r="J106" s="24" t="s">
        <v>0</v>
      </c>
      <c r="K106" s="24" t="s">
        <v>10</v>
      </c>
      <c r="L106" s="25"/>
    </row>
    <row r="107" spans="1:12" x14ac:dyDescent="0.2">
      <c r="A107" s="21">
        <v>106</v>
      </c>
      <c r="B107" s="22">
        <v>45606</v>
      </c>
      <c r="C107" s="20">
        <v>1273952500</v>
      </c>
      <c r="D107" s="34" t="str">
        <f>IFERROR(IF(C107="","",VLOOKUP(C107,المستفيدين!$B:$C,2,FALSE)),"")</f>
        <v>مستفيد184</v>
      </c>
      <c r="E107" s="20" t="s">
        <v>176</v>
      </c>
      <c r="F107" s="34" t="str">
        <f>IFERROR(IF(E107="","",VLOOKUP(E107,الموظفين!$B:$C,2,FALSE)),"")</f>
        <v>موظف17</v>
      </c>
      <c r="G107" s="34" t="str">
        <f>IFERROR(IF(C107="","",VLOOKUP(C107,المستفيدين!$B:$F,5,FALSE)),"")</f>
        <v>مركز إرادة وتمكين لرعاية ذوي الاحتياجات الخاصة (جلمودة)</v>
      </c>
      <c r="H107" s="24" t="s">
        <v>553</v>
      </c>
      <c r="I107" s="20" t="s">
        <v>76</v>
      </c>
      <c r="J107" s="20" t="s">
        <v>0</v>
      </c>
      <c r="K107" s="20" t="s">
        <v>9</v>
      </c>
      <c r="L107" s="26"/>
    </row>
    <row r="108" spans="1:12" x14ac:dyDescent="0.2">
      <c r="A108" s="18">
        <v>107</v>
      </c>
      <c r="B108" s="19">
        <v>45607</v>
      </c>
      <c r="C108" s="20">
        <v>1699191393</v>
      </c>
      <c r="D108" s="34" t="str">
        <f>IFERROR(IF(C108="","",VLOOKUP(C108,المستفيدين!$B:$C,2,FALSE)),"")</f>
        <v>مستفيد116</v>
      </c>
      <c r="E108" s="24" t="s">
        <v>264</v>
      </c>
      <c r="F108" s="34" t="str">
        <f>IFERROR(IF(E108="","",VLOOKUP(E108,الموظفين!$B:$C,2,FALSE)),"")</f>
        <v>موظف61</v>
      </c>
      <c r="G108" s="34" t="str">
        <f>IFERROR(IF(C108="","",VLOOKUP(C108,المستفيدين!$B:$F,5,FALSE)),"")</f>
        <v>مركز إرادة وتمكين لرعاية ذوي الاحتياجات الخاصة (جلمودة)</v>
      </c>
      <c r="H108" s="24" t="s">
        <v>553</v>
      </c>
      <c r="I108" s="24" t="s">
        <v>76</v>
      </c>
      <c r="J108" s="24" t="s">
        <v>0</v>
      </c>
      <c r="K108" s="24" t="s">
        <v>12</v>
      </c>
      <c r="L108" s="25"/>
    </row>
    <row r="109" spans="1:12" x14ac:dyDescent="0.2">
      <c r="A109" s="21">
        <v>108</v>
      </c>
      <c r="B109" s="22">
        <v>45607</v>
      </c>
      <c r="C109" s="20">
        <v>1597351109</v>
      </c>
      <c r="D109" s="34" t="str">
        <f>IFERROR(IF(C109="","",VLOOKUP(C109,المستفيدين!$B:$C,2,FALSE)),"")</f>
        <v>مستفيد38</v>
      </c>
      <c r="E109" s="20" t="s">
        <v>242</v>
      </c>
      <c r="F109" s="34" t="str">
        <f>IFERROR(IF(E109="","",VLOOKUP(E109,الموظفين!$B:$C,2,FALSE)),"")</f>
        <v>موظف50</v>
      </c>
      <c r="G109" s="34" t="str">
        <f>IFERROR(IF(C109="","",VLOOKUP(C109,المستفيدين!$B:$F,5,FALSE)),"")</f>
        <v>مركز إرادة وتمكين للرعاية النهارية (القدس)</v>
      </c>
      <c r="H109" s="24" t="s">
        <v>553</v>
      </c>
      <c r="I109" s="20" t="s">
        <v>78</v>
      </c>
      <c r="J109" s="20" t="s">
        <v>1</v>
      </c>
      <c r="K109" s="20" t="s">
        <v>9</v>
      </c>
      <c r="L109" s="26" t="s">
        <v>525</v>
      </c>
    </row>
    <row r="110" spans="1:12" x14ac:dyDescent="0.2">
      <c r="A110" s="18">
        <v>109</v>
      </c>
      <c r="B110" s="19">
        <v>45607</v>
      </c>
      <c r="C110" s="20">
        <v>1648463946</v>
      </c>
      <c r="D110" s="34" t="str">
        <f>IFERROR(IF(C110="","",VLOOKUP(C110,المستفيدين!$B:$C,2,FALSE)),"")</f>
        <v>مستفيد130</v>
      </c>
      <c r="E110" s="24" t="s">
        <v>246</v>
      </c>
      <c r="F110" s="34" t="str">
        <f>IFERROR(IF(E110="","",VLOOKUP(E110,الموظفين!$B:$C,2,FALSE)),"")</f>
        <v>موظف52</v>
      </c>
      <c r="G110" s="34" t="str">
        <f>IFERROR(IF(C110="","",VLOOKUP(C110,المستفيدين!$B:$F,5,FALSE)),"")</f>
        <v>مركز إرادة وتمكين لمتلازمة داون (نجد)</v>
      </c>
      <c r="H110" s="24" t="s">
        <v>553</v>
      </c>
      <c r="I110" s="24" t="s">
        <v>77</v>
      </c>
      <c r="J110" s="24" t="s">
        <v>0</v>
      </c>
      <c r="K110" s="24" t="s">
        <v>9</v>
      </c>
      <c r="L110" s="25"/>
    </row>
    <row r="111" spans="1:12" x14ac:dyDescent="0.2">
      <c r="A111" s="21">
        <v>110</v>
      </c>
      <c r="B111" s="22">
        <v>45612</v>
      </c>
      <c r="C111" s="20">
        <v>1812303672</v>
      </c>
      <c r="D111" s="34" t="str">
        <f>IFERROR(IF(C111="","",VLOOKUP(C111,المستفيدين!$B:$C,2,FALSE)),"")</f>
        <v>مستفيد100</v>
      </c>
      <c r="E111" s="20" t="s">
        <v>204</v>
      </c>
      <c r="F111" s="34" t="str">
        <f>IFERROR(IF(E111="","",VLOOKUP(E111,الموظفين!$B:$C,2,FALSE)),"")</f>
        <v>موظف31</v>
      </c>
      <c r="G111" s="34" t="str">
        <f>IFERROR(IF(C111="","",VLOOKUP(C111,المستفيدين!$B:$F,5,FALSE)),"")</f>
        <v>مدرسة إرادة للتعليم (مكة)</v>
      </c>
      <c r="H111" s="24" t="s">
        <v>552</v>
      </c>
      <c r="I111" s="20" t="s">
        <v>81</v>
      </c>
      <c r="J111" s="20" t="s">
        <v>1</v>
      </c>
      <c r="K111" s="20" t="s">
        <v>9</v>
      </c>
      <c r="L111" s="26" t="s">
        <v>526</v>
      </c>
    </row>
    <row r="112" spans="1:12" x14ac:dyDescent="0.2">
      <c r="A112" s="18">
        <v>111</v>
      </c>
      <c r="B112" s="19">
        <v>45619</v>
      </c>
      <c r="C112" s="20">
        <v>1763354093</v>
      </c>
      <c r="D112" s="34" t="str">
        <f>IFERROR(IF(C112="","",VLOOKUP(C112,المستفيدين!$B:$C,2,FALSE)),"")</f>
        <v>مستفيد10</v>
      </c>
      <c r="E112" s="24" t="s">
        <v>278</v>
      </c>
      <c r="F112" s="34" t="str">
        <f>IFERROR(IF(E112="","",VLOOKUP(E112,الموظفين!$B:$C,2,FALSE)),"")</f>
        <v>موظف68</v>
      </c>
      <c r="G112" s="34" t="str">
        <f>IFERROR(IF(C112="","",VLOOKUP(C112,المستفيدين!$B:$F,5,FALSE)),"")</f>
        <v>مركز إرادة وتمكين للرعاية النهارية (القدس)</v>
      </c>
      <c r="H112" s="24" t="s">
        <v>552</v>
      </c>
      <c r="I112" s="24" t="s">
        <v>81</v>
      </c>
      <c r="J112" s="24" t="s">
        <v>0</v>
      </c>
      <c r="K112" s="24" t="s">
        <v>11</v>
      </c>
      <c r="L112" s="25" t="s">
        <v>51</v>
      </c>
    </row>
    <row r="113" spans="1:12" x14ac:dyDescent="0.2">
      <c r="A113" s="21">
        <v>112</v>
      </c>
      <c r="B113" s="22">
        <v>45620</v>
      </c>
      <c r="C113" s="20">
        <v>1055787167</v>
      </c>
      <c r="D113" s="34" t="str">
        <f>IFERROR(IF(C113="","",VLOOKUP(C113,المستفيدين!$B:$C,2,FALSE)),"")</f>
        <v>مستفيد134</v>
      </c>
      <c r="E113" s="20" t="s">
        <v>268</v>
      </c>
      <c r="F113" s="34" t="str">
        <f>IFERROR(IF(E113="","",VLOOKUP(E113,الموظفين!$B:$C,2,FALSE)),"")</f>
        <v>موظف63</v>
      </c>
      <c r="G113" s="34" t="str">
        <f>IFERROR(IF(C113="","",VLOOKUP(C113,المستفيدين!$B:$F,5,FALSE)),"")</f>
        <v>مركز إرادة وتمكين لرعاية ذوي الاحتياجات الخاصة (جلمودة)</v>
      </c>
      <c r="H113" s="24" t="s">
        <v>553</v>
      </c>
      <c r="I113" s="20" t="s">
        <v>77</v>
      </c>
      <c r="J113" s="20" t="s">
        <v>0</v>
      </c>
      <c r="K113" s="20" t="s">
        <v>9</v>
      </c>
      <c r="L113" s="26"/>
    </row>
    <row r="114" spans="1:12" x14ac:dyDescent="0.2">
      <c r="A114" s="18">
        <v>113</v>
      </c>
      <c r="B114" s="19">
        <v>45620</v>
      </c>
      <c r="C114" s="20">
        <v>1909062660</v>
      </c>
      <c r="D114" s="34" t="str">
        <f>IFERROR(IF(C114="","",VLOOKUP(C114,المستفيدين!$B:$C,2,FALSE)),"")</f>
        <v>مستفيد195</v>
      </c>
      <c r="E114" s="24" t="s">
        <v>336</v>
      </c>
      <c r="F114" s="34" t="str">
        <f>IFERROR(IF(E114="","",VLOOKUP(E114,الموظفين!$B:$C,2,FALSE)),"")</f>
        <v>موظف97</v>
      </c>
      <c r="G114" s="34" t="str">
        <f>IFERROR(IF(C114="","",VLOOKUP(C114,المستفيدين!$B:$F,5,FALSE)),"")</f>
        <v>مدرسة إرادة للتعليم (مكة)</v>
      </c>
      <c r="H114" s="24" t="s">
        <v>553</v>
      </c>
      <c r="I114" s="24" t="s">
        <v>78</v>
      </c>
      <c r="J114" s="24" t="s">
        <v>0</v>
      </c>
      <c r="K114" s="24" t="s">
        <v>9</v>
      </c>
      <c r="L114" s="25" t="s">
        <v>526</v>
      </c>
    </row>
    <row r="115" spans="1:12" x14ac:dyDescent="0.2">
      <c r="A115" s="21">
        <v>114</v>
      </c>
      <c r="B115" s="22">
        <v>45621</v>
      </c>
      <c r="C115" s="20">
        <v>1096348523</v>
      </c>
      <c r="D115" s="34" t="str">
        <f>IFERROR(IF(C115="","",VLOOKUP(C115,المستفيدين!$B:$C,2,FALSE)),"")</f>
        <v>مستفيد4</v>
      </c>
      <c r="E115" s="20" t="s">
        <v>172</v>
      </c>
      <c r="F115" s="34" t="str">
        <f>IFERROR(IF(E115="","",VLOOKUP(E115,الموظفين!$B:$C,2,FALSE)),"")</f>
        <v>موظف15</v>
      </c>
      <c r="G115" s="34" t="str">
        <f>IFERROR(IF(C115="","",VLOOKUP(C115,المستفيدين!$B:$F,5,FALSE)),"")</f>
        <v>مدرسة إرادة للتعليم (مكة)</v>
      </c>
      <c r="H115" s="24" t="s">
        <v>553</v>
      </c>
      <c r="I115" s="20" t="s">
        <v>78</v>
      </c>
      <c r="J115" s="20" t="s">
        <v>1</v>
      </c>
      <c r="K115" s="20" t="s">
        <v>9</v>
      </c>
      <c r="L115" s="26" t="s">
        <v>523</v>
      </c>
    </row>
    <row r="116" spans="1:12" x14ac:dyDescent="0.2">
      <c r="A116" s="18">
        <v>115</v>
      </c>
      <c r="B116" s="19">
        <v>45623</v>
      </c>
      <c r="C116" s="20">
        <v>1700680764</v>
      </c>
      <c r="D116" s="34" t="str">
        <f>IFERROR(IF(C116="","",VLOOKUP(C116,المستفيدين!$B:$C,2,FALSE)),"")</f>
        <v>مستفيد97</v>
      </c>
      <c r="E116" s="24" t="s">
        <v>206</v>
      </c>
      <c r="F116" s="34" t="str">
        <f>IFERROR(IF(E116="","",VLOOKUP(E116,الموظفين!$B:$C,2,FALSE)),"")</f>
        <v>موظف32</v>
      </c>
      <c r="G116" s="34" t="str">
        <f>IFERROR(IF(C116="","",VLOOKUP(C116,المستفيدين!$B:$F,5,FALSE)),"")</f>
        <v>مركز إرادة وتمكين لرعاية ذوي الاحتياجات الخاصة (جلمودة)</v>
      </c>
      <c r="H116" s="24" t="s">
        <v>552</v>
      </c>
      <c r="I116" s="24" t="s">
        <v>556</v>
      </c>
      <c r="J116" s="24" t="s">
        <v>1</v>
      </c>
      <c r="K116" s="24" t="s">
        <v>9</v>
      </c>
      <c r="L116" s="25"/>
    </row>
    <row r="117" spans="1:12" x14ac:dyDescent="0.2">
      <c r="A117" s="21">
        <v>116</v>
      </c>
      <c r="B117" s="22">
        <v>45624</v>
      </c>
      <c r="C117" s="20">
        <v>1739588802</v>
      </c>
      <c r="D117" s="34" t="str">
        <f>IFERROR(IF(C117="","",VLOOKUP(C117,المستفيدين!$B:$C,2,FALSE)),"")</f>
        <v>مستفيد101</v>
      </c>
      <c r="E117" s="20" t="s">
        <v>302</v>
      </c>
      <c r="F117" s="34" t="str">
        <f>IFERROR(IF(E117="","",VLOOKUP(E117,الموظفين!$B:$C,2,FALSE)),"")</f>
        <v>موظف80</v>
      </c>
      <c r="G117" s="34" t="str">
        <f>IFERROR(IF(C117="","",VLOOKUP(C117,المستفيدين!$B:$F,5,FALSE)),"")</f>
        <v>مدرسة إرادة للتعليم (مكة)</v>
      </c>
      <c r="H117" s="24" t="s">
        <v>552</v>
      </c>
      <c r="I117" s="20" t="s">
        <v>81</v>
      </c>
      <c r="J117" s="20" t="s">
        <v>1</v>
      </c>
      <c r="K117" s="20" t="s">
        <v>9</v>
      </c>
      <c r="L117" s="26" t="s">
        <v>523</v>
      </c>
    </row>
    <row r="118" spans="1:12" x14ac:dyDescent="0.2">
      <c r="A118" s="18">
        <v>117</v>
      </c>
      <c r="B118" s="19">
        <v>45624</v>
      </c>
      <c r="C118" s="20">
        <v>1093177984</v>
      </c>
      <c r="D118" s="34" t="str">
        <f>IFERROR(IF(C118="","",VLOOKUP(C118,المستفيدين!$B:$C,2,FALSE)),"")</f>
        <v>مستفيد159</v>
      </c>
      <c r="E118" s="24" t="s">
        <v>240</v>
      </c>
      <c r="F118" s="34" t="str">
        <f>IFERROR(IF(E118="","",VLOOKUP(E118,الموظفين!$B:$C,2,FALSE)),"")</f>
        <v>موظف49</v>
      </c>
      <c r="G118" s="34" t="str">
        <f>IFERROR(IF(C118="","",VLOOKUP(C118,المستفيدين!$B:$F,5,FALSE)),"")</f>
        <v>مدرسة إرادة وتمكين لمتلازمة داون (نجد)</v>
      </c>
      <c r="H118" s="24" t="s">
        <v>552</v>
      </c>
      <c r="I118" s="24" t="s">
        <v>555</v>
      </c>
      <c r="J118" s="24" t="s">
        <v>0</v>
      </c>
      <c r="K118" s="24" t="s">
        <v>10</v>
      </c>
      <c r="L118" s="25" t="s">
        <v>523</v>
      </c>
    </row>
    <row r="119" spans="1:12" x14ac:dyDescent="0.2">
      <c r="A119" s="21">
        <v>118</v>
      </c>
      <c r="B119" s="22">
        <v>45624</v>
      </c>
      <c r="C119" s="20">
        <v>1253511077</v>
      </c>
      <c r="D119" s="34" t="str">
        <f>IFERROR(IF(C119="","",VLOOKUP(C119,المستفيدين!$B:$C,2,FALSE)),"")</f>
        <v>مستفيد64</v>
      </c>
      <c r="E119" s="20" t="s">
        <v>222</v>
      </c>
      <c r="F119" s="34" t="str">
        <f>IFERROR(IF(E119="","",VLOOKUP(E119,الموظفين!$B:$C,2,FALSE)),"")</f>
        <v>موظف40</v>
      </c>
      <c r="G119" s="34" t="str">
        <f>IFERROR(IF(C119="","",VLOOKUP(C119,المستفيدين!$B:$F,5,FALSE)),"")</f>
        <v>مدرسة إرادة للتعليم (مكة)</v>
      </c>
      <c r="H119" s="24" t="s">
        <v>553</v>
      </c>
      <c r="I119" s="20" t="s">
        <v>74</v>
      </c>
      <c r="J119" s="20" t="s">
        <v>0</v>
      </c>
      <c r="K119" s="20" t="s">
        <v>11</v>
      </c>
      <c r="L119" s="26"/>
    </row>
    <row r="120" spans="1:12" x14ac:dyDescent="0.2">
      <c r="A120" s="18">
        <v>119</v>
      </c>
      <c r="B120" s="19">
        <v>45625</v>
      </c>
      <c r="C120" s="20">
        <v>1751252727</v>
      </c>
      <c r="D120" s="34" t="str">
        <f>IFERROR(IF(C120="","",VLOOKUP(C120,المستفيدين!$B:$C,2,FALSE)),"")</f>
        <v>مستفيد131</v>
      </c>
      <c r="E120" s="24" t="s">
        <v>312</v>
      </c>
      <c r="F120" s="34" t="str">
        <f>IFERROR(IF(E120="","",VLOOKUP(E120,الموظفين!$B:$C,2,FALSE)),"")</f>
        <v>موظف85</v>
      </c>
      <c r="G120" s="34" t="str">
        <f>IFERROR(IF(C120="","",VLOOKUP(C120,المستفيدين!$B:$F,5,FALSE)),"")</f>
        <v>مركز إرادة وتمكين للرعاية النهارية (القدس)</v>
      </c>
      <c r="H120" s="24" t="s">
        <v>552</v>
      </c>
      <c r="I120" s="24" t="s">
        <v>81</v>
      </c>
      <c r="J120" s="24" t="s">
        <v>1</v>
      </c>
      <c r="K120" s="24" t="s">
        <v>11</v>
      </c>
      <c r="L120" s="25" t="s">
        <v>526</v>
      </c>
    </row>
    <row r="121" spans="1:12" x14ac:dyDescent="0.2">
      <c r="A121" s="21">
        <v>120</v>
      </c>
      <c r="B121" s="22">
        <v>45626</v>
      </c>
      <c r="C121" s="20">
        <v>1715681493</v>
      </c>
      <c r="D121" s="34" t="str">
        <f>IFERROR(IF(C121="","",VLOOKUP(C121,المستفيدين!$B:$C,2,FALSE)),"")</f>
        <v>مستفيد105</v>
      </c>
      <c r="E121" s="20" t="s">
        <v>330</v>
      </c>
      <c r="F121" s="34" t="str">
        <f>IFERROR(IF(E121="","",VLOOKUP(E121,الموظفين!$B:$C,2,FALSE)),"")</f>
        <v>موظف94</v>
      </c>
      <c r="G121" s="34" t="str">
        <f>IFERROR(IF(C121="","",VLOOKUP(C121,المستفيدين!$B:$F,5,FALSE)),"")</f>
        <v>مركز إرادة وتمكين لمتلازمة داون (نجد)</v>
      </c>
      <c r="H121" s="24" t="s">
        <v>553</v>
      </c>
      <c r="I121" s="20" t="s">
        <v>79</v>
      </c>
      <c r="J121" s="20" t="s">
        <v>1</v>
      </c>
      <c r="K121" s="20" t="s">
        <v>9</v>
      </c>
      <c r="L121" s="26" t="s">
        <v>523</v>
      </c>
    </row>
    <row r="122" spans="1:12" x14ac:dyDescent="0.2">
      <c r="A122" s="18">
        <v>121</v>
      </c>
      <c r="B122" s="19">
        <v>45630</v>
      </c>
      <c r="C122" s="20">
        <v>1151017514</v>
      </c>
      <c r="D122" s="34" t="str">
        <f>IFERROR(IF(C122="","",VLOOKUP(C122,المستفيدين!$B:$C,2,FALSE)),"")</f>
        <v>مستفيد24</v>
      </c>
      <c r="E122" s="24" t="s">
        <v>230</v>
      </c>
      <c r="F122" s="34" t="str">
        <f>IFERROR(IF(E122="","",VLOOKUP(E122,الموظفين!$B:$C,2,FALSE)),"")</f>
        <v>موظف44</v>
      </c>
      <c r="G122" s="34" t="str">
        <f>IFERROR(IF(C122="","",VLOOKUP(C122,المستفيدين!$B:$F,5,FALSE)),"")</f>
        <v>مركز إرادة وتمكين للرعاية النهارية (القدس)</v>
      </c>
      <c r="H122" s="24" t="s">
        <v>553</v>
      </c>
      <c r="I122" s="24" t="s">
        <v>74</v>
      </c>
      <c r="J122" s="24" t="s">
        <v>0</v>
      </c>
      <c r="K122" s="24" t="s">
        <v>9</v>
      </c>
      <c r="L122" s="25" t="s">
        <v>523</v>
      </c>
    </row>
    <row r="123" spans="1:12" x14ac:dyDescent="0.2">
      <c r="A123" s="21">
        <v>122</v>
      </c>
      <c r="B123" s="22">
        <v>45631</v>
      </c>
      <c r="C123" s="20">
        <v>1866489709</v>
      </c>
      <c r="D123" s="34" t="str">
        <f>IFERROR(IF(C123="","",VLOOKUP(C123,المستفيدين!$B:$C,2,FALSE)),"")</f>
        <v>مستفيد196</v>
      </c>
      <c r="E123" s="20" t="s">
        <v>244</v>
      </c>
      <c r="F123" s="34" t="str">
        <f>IFERROR(IF(E123="","",VLOOKUP(E123,الموظفين!$B:$C,2,FALSE)),"")</f>
        <v>موظف51</v>
      </c>
      <c r="G123" s="34" t="str">
        <f>IFERROR(IF(C123="","",VLOOKUP(C123,المستفيدين!$B:$F,5,FALSE)),"")</f>
        <v>مركز إرادة وتمكين للرعاية النهارية (القدس)</v>
      </c>
      <c r="H123" s="24" t="s">
        <v>553</v>
      </c>
      <c r="I123" s="20" t="s">
        <v>74</v>
      </c>
      <c r="J123" s="20" t="s">
        <v>0</v>
      </c>
      <c r="K123" s="20" t="s">
        <v>10</v>
      </c>
      <c r="L123" s="26" t="s">
        <v>525</v>
      </c>
    </row>
    <row r="124" spans="1:12" x14ac:dyDescent="0.2">
      <c r="A124" s="18">
        <v>123</v>
      </c>
      <c r="B124" s="19">
        <v>45632</v>
      </c>
      <c r="C124" s="20">
        <v>1751252727</v>
      </c>
      <c r="D124" s="34" t="str">
        <f>IFERROR(IF(C124="","",VLOOKUP(C124,المستفيدين!$B:$C,2,FALSE)),"")</f>
        <v>مستفيد131</v>
      </c>
      <c r="E124" s="24" t="s">
        <v>294</v>
      </c>
      <c r="F124" s="34" t="str">
        <f>IFERROR(IF(E124="","",VLOOKUP(E124,الموظفين!$B:$C,2,FALSE)),"")</f>
        <v>موظف76</v>
      </c>
      <c r="G124" s="34" t="str">
        <f>IFERROR(IF(C124="","",VLOOKUP(C124,المستفيدين!$B:$F,5,FALSE)),"")</f>
        <v>مركز إرادة وتمكين للرعاية النهارية (القدس)</v>
      </c>
      <c r="H124" s="24" t="s">
        <v>552</v>
      </c>
      <c r="I124" s="24" t="s">
        <v>81</v>
      </c>
      <c r="J124" s="24" t="s">
        <v>0</v>
      </c>
      <c r="K124" s="24" t="s">
        <v>9</v>
      </c>
      <c r="L124" s="25"/>
    </row>
    <row r="125" spans="1:12" x14ac:dyDescent="0.2">
      <c r="A125" s="21">
        <v>124</v>
      </c>
      <c r="B125" s="22">
        <v>45632</v>
      </c>
      <c r="C125" s="20">
        <v>1224071000</v>
      </c>
      <c r="D125" s="34" t="str">
        <f>IFERROR(IF(C125="","",VLOOKUP(C125,المستفيدين!$B:$C,2,FALSE)),"")</f>
        <v>مستفيد150</v>
      </c>
      <c r="E125" s="20" t="s">
        <v>182</v>
      </c>
      <c r="F125" s="34" t="str">
        <f>IFERROR(IF(E125="","",VLOOKUP(E125,الموظفين!$B:$C,2,FALSE)),"")</f>
        <v>موظف20</v>
      </c>
      <c r="G125" s="34" t="str">
        <f>IFERROR(IF(C125="","",VLOOKUP(C125,المستفيدين!$B:$F,5,FALSE)),"")</f>
        <v>مركز إرادة وتمكين لمتلازمة داون (نجد)</v>
      </c>
      <c r="H125" s="24" t="s">
        <v>553</v>
      </c>
      <c r="I125" s="20" t="s">
        <v>76</v>
      </c>
      <c r="J125" s="20" t="s">
        <v>1</v>
      </c>
      <c r="K125" s="20" t="s">
        <v>9</v>
      </c>
      <c r="L125" s="26"/>
    </row>
    <row r="126" spans="1:12" x14ac:dyDescent="0.2">
      <c r="A126" s="18">
        <v>125</v>
      </c>
      <c r="B126" s="19">
        <v>45637</v>
      </c>
      <c r="C126" s="20">
        <v>1532697741</v>
      </c>
      <c r="D126" s="34" t="str">
        <f>IFERROR(IF(C126="","",VLOOKUP(C126,المستفيدين!$B:$C,2,FALSE)),"")</f>
        <v>مستفيد93</v>
      </c>
      <c r="E126" s="24" t="s">
        <v>274</v>
      </c>
      <c r="F126" s="34" t="str">
        <f>IFERROR(IF(E126="","",VLOOKUP(E126,الموظفين!$B:$C,2,FALSE)),"")</f>
        <v>موظف66</v>
      </c>
      <c r="G126" s="34" t="str">
        <f>IFERROR(IF(C126="","",VLOOKUP(C126,المستفيدين!$B:$F,5,FALSE)),"")</f>
        <v>مركز إرادة وتمكين للرعاية النهارية (القدس)</v>
      </c>
      <c r="H126" s="24" t="s">
        <v>553</v>
      </c>
      <c r="I126" s="24" t="s">
        <v>74</v>
      </c>
      <c r="J126" s="24" t="s">
        <v>1</v>
      </c>
      <c r="K126" s="24" t="s">
        <v>9</v>
      </c>
      <c r="L126" s="25"/>
    </row>
    <row r="127" spans="1:12" x14ac:dyDescent="0.2">
      <c r="A127" s="21">
        <v>126</v>
      </c>
      <c r="B127" s="22">
        <v>45637</v>
      </c>
      <c r="C127" s="20">
        <v>1093177984</v>
      </c>
      <c r="D127" s="34" t="str">
        <f>IFERROR(IF(C127="","",VLOOKUP(C127,المستفيدين!$B:$C,2,FALSE)),"")</f>
        <v>مستفيد159</v>
      </c>
      <c r="E127" s="20" t="s">
        <v>67</v>
      </c>
      <c r="F127" s="34" t="str">
        <f>IFERROR(IF(E127="","",VLOOKUP(E127,الموظفين!$B:$C,2,FALSE)),"")</f>
        <v>موظف1</v>
      </c>
      <c r="G127" s="34" t="str">
        <f>IFERROR(IF(C127="","",VLOOKUP(C127,المستفيدين!$B:$F,5,FALSE)),"")</f>
        <v>مدرسة إرادة وتمكين لمتلازمة داون (نجد)</v>
      </c>
      <c r="H127" s="24" t="s">
        <v>553</v>
      </c>
      <c r="I127" s="20" t="s">
        <v>74</v>
      </c>
      <c r="J127" s="20" t="s">
        <v>0</v>
      </c>
      <c r="K127" s="20" t="s">
        <v>9</v>
      </c>
      <c r="L127" s="26" t="s">
        <v>525</v>
      </c>
    </row>
    <row r="128" spans="1:12" x14ac:dyDescent="0.2">
      <c r="A128" s="18">
        <v>127</v>
      </c>
      <c r="B128" s="19">
        <v>45638</v>
      </c>
      <c r="C128" s="20">
        <v>1116222487</v>
      </c>
      <c r="D128" s="34" t="str">
        <f>IFERROR(IF(C128="","",VLOOKUP(C128,المستفيدين!$B:$C,2,FALSE)),"")</f>
        <v>مستفيد61</v>
      </c>
      <c r="E128" s="24" t="s">
        <v>238</v>
      </c>
      <c r="F128" s="34" t="str">
        <f>IFERROR(IF(E128="","",VLOOKUP(E128,الموظفين!$B:$C,2,FALSE)),"")</f>
        <v>موظف48</v>
      </c>
      <c r="G128" s="34" t="str">
        <f>IFERROR(IF(C128="","",VLOOKUP(C128,المستفيدين!$B:$F,5,FALSE)),"")</f>
        <v>مركز إرادة وتمكين لمتلازمة داون (نجد)</v>
      </c>
      <c r="H128" s="24" t="s">
        <v>553</v>
      </c>
      <c r="I128" s="24" t="s">
        <v>78</v>
      </c>
      <c r="J128" s="24" t="s">
        <v>1</v>
      </c>
      <c r="K128" s="24" t="s">
        <v>12</v>
      </c>
      <c r="L128" s="25"/>
    </row>
    <row r="129" spans="1:12" x14ac:dyDescent="0.2">
      <c r="A129" s="21">
        <v>128</v>
      </c>
      <c r="B129" s="22">
        <v>45639</v>
      </c>
      <c r="C129" s="20">
        <v>1699191393</v>
      </c>
      <c r="D129" s="34" t="str">
        <f>IFERROR(IF(C129="","",VLOOKUP(C129,المستفيدين!$B:$C,2,FALSE)),"")</f>
        <v>مستفيد116</v>
      </c>
      <c r="E129" s="20" t="s">
        <v>170</v>
      </c>
      <c r="F129" s="34" t="str">
        <f>IFERROR(IF(E129="","",VLOOKUP(E129,الموظفين!$B:$C,2,FALSE)),"")</f>
        <v>موظف14</v>
      </c>
      <c r="G129" s="34" t="str">
        <f>IFERROR(IF(C129="","",VLOOKUP(C129,المستفيدين!$B:$F,5,FALSE)),"")</f>
        <v>مركز إرادة وتمكين لرعاية ذوي الاحتياجات الخاصة (جلمودة)</v>
      </c>
      <c r="H129" s="24" t="s">
        <v>553</v>
      </c>
      <c r="I129" s="20" t="s">
        <v>76</v>
      </c>
      <c r="J129" s="20" t="s">
        <v>0</v>
      </c>
      <c r="K129" s="20" t="s">
        <v>12</v>
      </c>
      <c r="L129" s="26"/>
    </row>
    <row r="130" spans="1:12" x14ac:dyDescent="0.2">
      <c r="A130" s="18">
        <v>129</v>
      </c>
      <c r="B130" s="19">
        <v>45639</v>
      </c>
      <c r="C130" s="20">
        <v>1611059558</v>
      </c>
      <c r="D130" s="34" t="str">
        <f>IFERROR(IF(C130="","",VLOOKUP(C130,المستفيدين!$B:$C,2,FALSE)),"")</f>
        <v>مستفيد22</v>
      </c>
      <c r="E130" s="24" t="s">
        <v>166</v>
      </c>
      <c r="F130" s="34" t="str">
        <f>IFERROR(IF(E130="","",VLOOKUP(E130,الموظفين!$B:$C,2,FALSE)),"")</f>
        <v>موظف12</v>
      </c>
      <c r="G130" s="34" t="str">
        <f>IFERROR(IF(C130="","",VLOOKUP(C130,المستفيدين!$B:$F,5,FALSE)),"")</f>
        <v>مركز إرادة وتمكين لمتلازمة داون (نجد)</v>
      </c>
      <c r="H130" s="24" t="s">
        <v>552</v>
      </c>
      <c r="I130" s="24" t="s">
        <v>81</v>
      </c>
      <c r="J130" s="24" t="s">
        <v>1</v>
      </c>
      <c r="K130" s="24" t="s">
        <v>9</v>
      </c>
      <c r="L130" s="25"/>
    </row>
    <row r="131" spans="1:12" x14ac:dyDescent="0.2">
      <c r="A131" s="21">
        <v>130</v>
      </c>
      <c r="B131" s="22">
        <v>45641</v>
      </c>
      <c r="C131" s="20">
        <v>1491276005</v>
      </c>
      <c r="D131" s="34" t="str">
        <f>IFERROR(IF(C131="","",VLOOKUP(C131,المستفيدين!$B:$C,2,FALSE)),"")</f>
        <v>مستفيد73</v>
      </c>
      <c r="E131" s="20" t="s">
        <v>312</v>
      </c>
      <c r="F131" s="34" t="str">
        <f>IFERROR(IF(E131="","",VLOOKUP(E131,الموظفين!$B:$C,2,FALSE)),"")</f>
        <v>موظف85</v>
      </c>
      <c r="G131" s="34" t="str">
        <f>IFERROR(IF(C131="","",VLOOKUP(C131,المستفيدين!$B:$F,5,FALSE)),"")</f>
        <v>مدرسة إرادة للتعليم (مكة)</v>
      </c>
      <c r="H131" s="24" t="s">
        <v>552</v>
      </c>
      <c r="I131" s="20" t="s">
        <v>81</v>
      </c>
      <c r="J131" s="20" t="s">
        <v>1</v>
      </c>
      <c r="K131" s="20" t="s">
        <v>10</v>
      </c>
      <c r="L131" s="26"/>
    </row>
    <row r="132" spans="1:12" x14ac:dyDescent="0.2">
      <c r="A132" s="18">
        <v>131</v>
      </c>
      <c r="B132" s="19">
        <v>45644</v>
      </c>
      <c r="C132" s="20">
        <v>1635473065</v>
      </c>
      <c r="D132" s="34" t="str">
        <f>IFERROR(IF(C132="","",VLOOKUP(C132,المستفيدين!$B:$C,2,FALSE)),"")</f>
        <v>مستفيد98</v>
      </c>
      <c r="E132" s="24" t="s">
        <v>152</v>
      </c>
      <c r="F132" s="34" t="str">
        <f>IFERROR(IF(E132="","",VLOOKUP(E132,الموظفين!$B:$C,2,FALSE)),"")</f>
        <v>موظف5</v>
      </c>
      <c r="G132" s="34" t="str">
        <f>IFERROR(IF(C132="","",VLOOKUP(C132,المستفيدين!$B:$F,5,FALSE)),"")</f>
        <v>مدرسة إرادة وتمكين لمتلازمة داون (نجد)</v>
      </c>
      <c r="H132" s="24" t="s">
        <v>553</v>
      </c>
      <c r="I132" s="24" t="s">
        <v>78</v>
      </c>
      <c r="J132" s="24" t="s">
        <v>1</v>
      </c>
      <c r="K132" s="24" t="s">
        <v>12</v>
      </c>
      <c r="L132" s="25" t="s">
        <v>51</v>
      </c>
    </row>
    <row r="133" spans="1:12" x14ac:dyDescent="0.2">
      <c r="A133" s="21">
        <v>132</v>
      </c>
      <c r="B133" s="22">
        <v>45646</v>
      </c>
      <c r="C133" s="20">
        <v>1284752099</v>
      </c>
      <c r="D133" s="34" t="str">
        <f>IFERROR(IF(C133="","",VLOOKUP(C133,المستفيدين!$B:$C,2,FALSE)),"")</f>
        <v>مستفيد19</v>
      </c>
      <c r="E133" s="20" t="s">
        <v>320</v>
      </c>
      <c r="F133" s="34" t="str">
        <f>IFERROR(IF(E133="","",VLOOKUP(E133,الموظفين!$B:$C,2,FALSE)),"")</f>
        <v>موظف89</v>
      </c>
      <c r="G133" s="34" t="str">
        <f>IFERROR(IF(C133="","",VLOOKUP(C133,المستفيدين!$B:$F,5,FALSE)),"")</f>
        <v>مركز إرادة وتمكين لمتلازمة داون (نجد)</v>
      </c>
      <c r="H133" s="24" t="s">
        <v>553</v>
      </c>
      <c r="I133" s="20" t="s">
        <v>77</v>
      </c>
      <c r="J133" s="20" t="s">
        <v>1</v>
      </c>
      <c r="K133" s="20" t="s">
        <v>9</v>
      </c>
      <c r="L133" s="26" t="s">
        <v>51</v>
      </c>
    </row>
    <row r="134" spans="1:12" x14ac:dyDescent="0.2">
      <c r="A134" s="18">
        <v>133</v>
      </c>
      <c r="B134" s="19">
        <v>45646</v>
      </c>
      <c r="C134" s="20">
        <v>1525548329</v>
      </c>
      <c r="D134" s="34" t="str">
        <f>IFERROR(IF(C134="","",VLOOKUP(C134,المستفيدين!$B:$C,2,FALSE)),"")</f>
        <v>مستفيد187</v>
      </c>
      <c r="E134" s="24" t="s">
        <v>342</v>
      </c>
      <c r="F134" s="34" t="str">
        <f>IFERROR(IF(E134="","",VLOOKUP(E134,الموظفين!$B:$C,2,FALSE)),"")</f>
        <v>موظف100</v>
      </c>
      <c r="G134" s="34" t="str">
        <f>IFERROR(IF(C134="","",VLOOKUP(C134,المستفيدين!$B:$F,5,FALSE)),"")</f>
        <v>مركز إرادة وتمكين لرعاية ذوي الاحتياجات الخاصة (جلمودة)</v>
      </c>
      <c r="H134" s="24" t="s">
        <v>552</v>
      </c>
      <c r="I134" s="24" t="s">
        <v>555</v>
      </c>
      <c r="J134" s="24" t="s">
        <v>1</v>
      </c>
      <c r="K134" s="24" t="s">
        <v>12</v>
      </c>
      <c r="L134" s="25" t="s">
        <v>524</v>
      </c>
    </row>
    <row r="135" spans="1:12" x14ac:dyDescent="0.2">
      <c r="A135" s="21">
        <v>134</v>
      </c>
      <c r="B135" s="22">
        <v>45649</v>
      </c>
      <c r="C135" s="20">
        <v>1205178191</v>
      </c>
      <c r="D135" s="34" t="str">
        <f>IFERROR(IF(C135="","",VLOOKUP(C135,المستفيدين!$B:$C,2,FALSE)),"")</f>
        <v>مستفيد194</v>
      </c>
      <c r="E135" s="20" t="s">
        <v>170</v>
      </c>
      <c r="F135" s="34" t="str">
        <f>IFERROR(IF(E135="","",VLOOKUP(E135,الموظفين!$B:$C,2,FALSE)),"")</f>
        <v>موظف14</v>
      </c>
      <c r="G135" s="34" t="str">
        <f>IFERROR(IF(C135="","",VLOOKUP(C135,المستفيدين!$B:$F,5,FALSE)),"")</f>
        <v>مدرسة إرادة للتعليم (مكة)</v>
      </c>
      <c r="H135" s="24" t="s">
        <v>553</v>
      </c>
      <c r="I135" s="20" t="s">
        <v>76</v>
      </c>
      <c r="J135" s="20" t="s">
        <v>0</v>
      </c>
      <c r="K135" s="20" t="s">
        <v>10</v>
      </c>
      <c r="L135" s="26"/>
    </row>
    <row r="136" spans="1:12" x14ac:dyDescent="0.2">
      <c r="A136" s="18">
        <v>135</v>
      </c>
      <c r="B136" s="19">
        <v>45651</v>
      </c>
      <c r="C136" s="20">
        <v>1932054889</v>
      </c>
      <c r="D136" s="34" t="str">
        <f>IFERROR(IF(C136="","",VLOOKUP(C136,المستفيدين!$B:$C,2,FALSE)),"")</f>
        <v>مستفيد167</v>
      </c>
      <c r="E136" s="24" t="s">
        <v>204</v>
      </c>
      <c r="F136" s="34" t="str">
        <f>IFERROR(IF(E136="","",VLOOKUP(E136,الموظفين!$B:$C,2,FALSE)),"")</f>
        <v>موظف31</v>
      </c>
      <c r="G136" s="34" t="str">
        <f>IFERROR(IF(C136="","",VLOOKUP(C136,المستفيدين!$B:$F,5,FALSE)),"")</f>
        <v>مركز إرادة وتمكين للرعاية النهارية (القدس)</v>
      </c>
      <c r="H136" s="24" t="s">
        <v>552</v>
      </c>
      <c r="I136" s="24" t="s">
        <v>81</v>
      </c>
      <c r="J136" s="24" t="s">
        <v>1</v>
      </c>
      <c r="K136" s="24" t="s">
        <v>9</v>
      </c>
      <c r="L136" s="25" t="s">
        <v>523</v>
      </c>
    </row>
    <row r="137" spans="1:12" x14ac:dyDescent="0.2">
      <c r="A137" s="21">
        <v>136</v>
      </c>
      <c r="B137" s="22">
        <v>45655</v>
      </c>
      <c r="C137" s="20">
        <v>1763354093</v>
      </c>
      <c r="D137" s="34" t="str">
        <f>IFERROR(IF(C137="","",VLOOKUP(C137,المستفيدين!$B:$C,2,FALSE)),"")</f>
        <v>مستفيد10</v>
      </c>
      <c r="E137" s="20" t="s">
        <v>232</v>
      </c>
      <c r="F137" s="34" t="str">
        <f>IFERROR(IF(E137="","",VLOOKUP(E137,الموظفين!$B:$C,2,FALSE)),"")</f>
        <v>موظف45</v>
      </c>
      <c r="G137" s="34" t="str">
        <f>IFERROR(IF(C137="","",VLOOKUP(C137,المستفيدين!$B:$F,5,FALSE)),"")</f>
        <v>مركز إرادة وتمكين للرعاية النهارية (القدس)</v>
      </c>
      <c r="H137" s="24" t="s">
        <v>552</v>
      </c>
      <c r="I137" s="20" t="s">
        <v>80</v>
      </c>
      <c r="J137" s="20" t="s">
        <v>0</v>
      </c>
      <c r="K137" s="20" t="s">
        <v>12</v>
      </c>
      <c r="L137" s="26"/>
    </row>
    <row r="138" spans="1:12" x14ac:dyDescent="0.2">
      <c r="A138" s="18">
        <v>137</v>
      </c>
      <c r="B138" s="19">
        <v>45655</v>
      </c>
      <c r="C138" s="20">
        <v>1543372068</v>
      </c>
      <c r="D138" s="34" t="str">
        <f>IFERROR(IF(C138="","",VLOOKUP(C138,المستفيدين!$B:$C,2,FALSE)),"")</f>
        <v>مستفيد132</v>
      </c>
      <c r="E138" s="24" t="s">
        <v>232</v>
      </c>
      <c r="F138" s="34" t="str">
        <f>IFERROR(IF(E138="","",VLOOKUP(E138,الموظفين!$B:$C,2,FALSE)),"")</f>
        <v>موظف45</v>
      </c>
      <c r="G138" s="34" t="str">
        <f>IFERROR(IF(C138="","",VLOOKUP(C138,المستفيدين!$B:$F,5,FALSE)),"")</f>
        <v>مركز إرادة وتمكين للرعاية النهارية (القدس)</v>
      </c>
      <c r="H138" s="24" t="s">
        <v>552</v>
      </c>
      <c r="I138" s="24" t="s">
        <v>80</v>
      </c>
      <c r="J138" s="24" t="s">
        <v>0</v>
      </c>
      <c r="K138" s="24" t="s">
        <v>9</v>
      </c>
      <c r="L138" s="25" t="s">
        <v>524</v>
      </c>
    </row>
    <row r="139" spans="1:12" x14ac:dyDescent="0.2">
      <c r="A139" s="21">
        <v>138</v>
      </c>
      <c r="B139" s="22">
        <v>45656</v>
      </c>
      <c r="C139" s="20">
        <v>1980725694</v>
      </c>
      <c r="D139" s="34" t="str">
        <f>IFERROR(IF(C139="","",VLOOKUP(C139,المستفيدين!$B:$C,2,FALSE)),"")</f>
        <v>مستفيد189</v>
      </c>
      <c r="E139" s="20" t="s">
        <v>278</v>
      </c>
      <c r="F139" s="34" t="str">
        <f>IFERROR(IF(E139="","",VLOOKUP(E139,الموظفين!$B:$C,2,FALSE)),"")</f>
        <v>موظف68</v>
      </c>
      <c r="G139" s="34" t="str">
        <f>IFERROR(IF(C139="","",VLOOKUP(C139,المستفيدين!$B:$F,5,FALSE)),"")</f>
        <v>مدرسة إرادة للتعليم (مكة)</v>
      </c>
      <c r="H139" s="24" t="s">
        <v>552</v>
      </c>
      <c r="I139" s="20" t="s">
        <v>81</v>
      </c>
      <c r="J139" s="20" t="s">
        <v>0</v>
      </c>
      <c r="K139" s="20" t="s">
        <v>9</v>
      </c>
      <c r="L139" s="26" t="s">
        <v>523</v>
      </c>
    </row>
    <row r="140" spans="1:12" x14ac:dyDescent="0.2">
      <c r="A140" s="18">
        <v>139</v>
      </c>
      <c r="B140" s="19">
        <v>45658</v>
      </c>
      <c r="C140" s="20">
        <v>1742902647</v>
      </c>
      <c r="D140" s="34" t="str">
        <f>IFERROR(IF(C140="","",VLOOKUP(C140,المستفيدين!$B:$C,2,FALSE)),"")</f>
        <v>مستفيد109</v>
      </c>
      <c r="E140" s="24" t="s">
        <v>342</v>
      </c>
      <c r="F140" s="34" t="str">
        <f>IFERROR(IF(E140="","",VLOOKUP(E140,الموظفين!$B:$C,2,FALSE)),"")</f>
        <v>موظف100</v>
      </c>
      <c r="G140" s="34" t="str">
        <f>IFERROR(IF(C140="","",VLOOKUP(C140,المستفيدين!$B:$F,5,FALSE)),"")</f>
        <v>مركز إرادة وتمكين لرعاية ذوي الاحتياجات الخاصة (جلمودة)</v>
      </c>
      <c r="H140" s="24" t="s">
        <v>552</v>
      </c>
      <c r="I140" s="24" t="s">
        <v>555</v>
      </c>
      <c r="J140" s="24" t="s">
        <v>1</v>
      </c>
      <c r="K140" s="24" t="s">
        <v>9</v>
      </c>
      <c r="L140" s="25" t="s">
        <v>523</v>
      </c>
    </row>
    <row r="141" spans="1:12" x14ac:dyDescent="0.2">
      <c r="A141" s="21">
        <v>140</v>
      </c>
      <c r="B141" s="22">
        <v>45661</v>
      </c>
      <c r="C141" s="20">
        <v>1519714037</v>
      </c>
      <c r="D141" s="34" t="str">
        <f>IFERROR(IF(C141="","",VLOOKUP(C141,المستفيدين!$B:$C,2,FALSE)),"")</f>
        <v>مستفيد74</v>
      </c>
      <c r="E141" s="20" t="s">
        <v>150</v>
      </c>
      <c r="F141" s="34" t="str">
        <f>IFERROR(IF(E141="","",VLOOKUP(E141,الموظفين!$B:$C,2,FALSE)),"")</f>
        <v>موظف4</v>
      </c>
      <c r="G141" s="34" t="str">
        <f>IFERROR(IF(C141="","",VLOOKUP(C141,المستفيدين!$B:$F,5,FALSE)),"")</f>
        <v>مركز إرادة وتمكين لرعاية ذوي الاحتياجات الخاصة (جلمودة)</v>
      </c>
      <c r="H141" s="24" t="s">
        <v>553</v>
      </c>
      <c r="I141" s="20" t="s">
        <v>77</v>
      </c>
      <c r="J141" s="20" t="s">
        <v>0</v>
      </c>
      <c r="K141" s="20" t="s">
        <v>9</v>
      </c>
      <c r="L141" s="26"/>
    </row>
    <row r="142" spans="1:12" x14ac:dyDescent="0.2">
      <c r="A142" s="18">
        <v>141</v>
      </c>
      <c r="B142" s="19">
        <v>45663</v>
      </c>
      <c r="C142" s="20">
        <v>1612775609</v>
      </c>
      <c r="D142" s="34" t="str">
        <f>IFERROR(IF(C142="","",VLOOKUP(C142,المستفيدين!$B:$C,2,FALSE)),"")</f>
        <v>مستفيد158</v>
      </c>
      <c r="E142" s="24" t="s">
        <v>170</v>
      </c>
      <c r="F142" s="34" t="str">
        <f>IFERROR(IF(E142="","",VLOOKUP(E142,الموظفين!$B:$C,2,FALSE)),"")</f>
        <v>موظف14</v>
      </c>
      <c r="G142" s="34" t="str">
        <f>IFERROR(IF(C142="","",VLOOKUP(C142,المستفيدين!$B:$F,5,FALSE)),"")</f>
        <v>مركز إرادة وتمكين لمتلازمة داون (نجد)</v>
      </c>
      <c r="H142" s="24" t="s">
        <v>553</v>
      </c>
      <c r="I142" s="24" t="s">
        <v>76</v>
      </c>
      <c r="J142" s="24" t="s">
        <v>0</v>
      </c>
      <c r="K142" s="24" t="s">
        <v>10</v>
      </c>
      <c r="L142" s="25"/>
    </row>
    <row r="143" spans="1:12" x14ac:dyDescent="0.2">
      <c r="A143" s="21">
        <v>142</v>
      </c>
      <c r="B143" s="22">
        <v>45665</v>
      </c>
      <c r="C143" s="20">
        <v>1548238329</v>
      </c>
      <c r="D143" s="34" t="str">
        <f>IFERROR(IF(C143="","",VLOOKUP(C143,المستفيدين!$B:$C,2,FALSE)),"")</f>
        <v>مستفيد178</v>
      </c>
      <c r="E143" s="20" t="s">
        <v>336</v>
      </c>
      <c r="F143" s="34" t="str">
        <f>IFERROR(IF(E143="","",VLOOKUP(E143,الموظفين!$B:$C,2,FALSE)),"")</f>
        <v>موظف97</v>
      </c>
      <c r="G143" s="34" t="str">
        <f>IFERROR(IF(C143="","",VLOOKUP(C143,المستفيدين!$B:$F,5,FALSE)),"")</f>
        <v>مركز إرادة وتمكين لمتلازمة داون (نجد)</v>
      </c>
      <c r="H143" s="24" t="s">
        <v>553</v>
      </c>
      <c r="I143" s="20" t="s">
        <v>78</v>
      </c>
      <c r="J143" s="20" t="s">
        <v>0</v>
      </c>
      <c r="K143" s="20" t="s">
        <v>10</v>
      </c>
      <c r="L143" s="26"/>
    </row>
    <row r="144" spans="1:12" x14ac:dyDescent="0.2">
      <c r="A144" s="18">
        <v>143</v>
      </c>
      <c r="B144" s="19">
        <v>45667</v>
      </c>
      <c r="C144" s="20">
        <v>1124422216</v>
      </c>
      <c r="D144" s="34" t="str">
        <f>IFERROR(IF(C144="","",VLOOKUP(C144,المستفيدين!$B:$C,2,FALSE)),"")</f>
        <v>مستفيد5</v>
      </c>
      <c r="E144" s="24" t="s">
        <v>152</v>
      </c>
      <c r="F144" s="34" t="str">
        <f>IFERROR(IF(E144="","",VLOOKUP(E144,الموظفين!$B:$C,2,FALSE)),"")</f>
        <v>موظف5</v>
      </c>
      <c r="G144" s="34" t="str">
        <f>IFERROR(IF(C144="","",VLOOKUP(C144,المستفيدين!$B:$F,5,FALSE)),"")</f>
        <v>مركز إرادة وتمكين لمتلازمة داون (نجد)</v>
      </c>
      <c r="H144" s="24" t="s">
        <v>553</v>
      </c>
      <c r="I144" s="24" t="s">
        <v>78</v>
      </c>
      <c r="J144" s="24" t="s">
        <v>1</v>
      </c>
      <c r="K144" s="24" t="s">
        <v>12</v>
      </c>
      <c r="L144" s="25"/>
    </row>
    <row r="145" spans="1:12" x14ac:dyDescent="0.2">
      <c r="A145" s="21">
        <v>144</v>
      </c>
      <c r="B145" s="22">
        <v>45667</v>
      </c>
      <c r="C145" s="20">
        <v>1511480692</v>
      </c>
      <c r="D145" s="34" t="str">
        <f>IFERROR(IF(C145="","",VLOOKUP(C145,المستفيدين!$B:$C,2,FALSE)),"")</f>
        <v>مستفيد37</v>
      </c>
      <c r="E145" s="20" t="s">
        <v>222</v>
      </c>
      <c r="F145" s="34" t="str">
        <f>IFERROR(IF(E145="","",VLOOKUP(E145,الموظفين!$B:$C,2,FALSE)),"")</f>
        <v>موظف40</v>
      </c>
      <c r="G145" s="34" t="str">
        <f>IFERROR(IF(C145="","",VLOOKUP(C145,المستفيدين!$B:$F,5,FALSE)),"")</f>
        <v>مدرسة إرادة وتمكين لمتلازمة داون (نجد)</v>
      </c>
      <c r="H145" s="24" t="s">
        <v>553</v>
      </c>
      <c r="I145" s="20" t="s">
        <v>74</v>
      </c>
      <c r="J145" s="20" t="s">
        <v>0</v>
      </c>
      <c r="K145" s="20" t="s">
        <v>9</v>
      </c>
      <c r="L145" s="26"/>
    </row>
    <row r="146" spans="1:12" x14ac:dyDescent="0.2">
      <c r="A146" s="18">
        <v>145</v>
      </c>
      <c r="B146" s="19">
        <v>45668</v>
      </c>
      <c r="C146" s="20">
        <v>1067325708</v>
      </c>
      <c r="D146" s="34" t="str">
        <f>IFERROR(IF(C146="","",VLOOKUP(C146,المستفيدين!$B:$C,2,FALSE)),"")</f>
        <v>مستفيد83</v>
      </c>
      <c r="E146" s="24" t="s">
        <v>232</v>
      </c>
      <c r="F146" s="34" t="str">
        <f>IFERROR(IF(E146="","",VLOOKUP(E146,الموظفين!$B:$C,2,FALSE)),"")</f>
        <v>موظف45</v>
      </c>
      <c r="G146" s="34" t="str">
        <f>IFERROR(IF(C146="","",VLOOKUP(C146,المستفيدين!$B:$F,5,FALSE)),"")</f>
        <v>مدرسة إرادة وتمكين لمتلازمة داون (نجد)</v>
      </c>
      <c r="H146" s="24" t="s">
        <v>552</v>
      </c>
      <c r="I146" s="24" t="s">
        <v>80</v>
      </c>
      <c r="J146" s="24" t="s">
        <v>0</v>
      </c>
      <c r="K146" s="24" t="s">
        <v>9</v>
      </c>
      <c r="L146" s="25"/>
    </row>
    <row r="147" spans="1:12" x14ac:dyDescent="0.2">
      <c r="A147" s="21">
        <v>146</v>
      </c>
      <c r="B147" s="22">
        <v>45669</v>
      </c>
      <c r="C147" s="20">
        <v>1639332291</v>
      </c>
      <c r="D147" s="34" t="str">
        <f>IFERROR(IF(C147="","",VLOOKUP(C147,المستفيدين!$B:$C,2,FALSE)),"")</f>
        <v>مستفيد199</v>
      </c>
      <c r="E147" s="20" t="s">
        <v>210</v>
      </c>
      <c r="F147" s="34" t="str">
        <f>IFERROR(IF(E147="","",VLOOKUP(E147,الموظفين!$B:$C,2,FALSE)),"")</f>
        <v>موظف34</v>
      </c>
      <c r="G147" s="34" t="str">
        <f>IFERROR(IF(C147="","",VLOOKUP(C147,المستفيدين!$B:$F,5,FALSE)),"")</f>
        <v>مدرسة إرادة وتمكين لمتلازمة داون (نجد)</v>
      </c>
      <c r="H147" s="24" t="s">
        <v>553</v>
      </c>
      <c r="I147" s="20" t="s">
        <v>76</v>
      </c>
      <c r="J147" s="20" t="s">
        <v>0</v>
      </c>
      <c r="K147" s="20" t="s">
        <v>11</v>
      </c>
      <c r="L147" s="26"/>
    </row>
    <row r="148" spans="1:12" x14ac:dyDescent="0.2">
      <c r="A148" s="18">
        <v>147</v>
      </c>
      <c r="B148" s="19">
        <v>45670</v>
      </c>
      <c r="C148" s="20">
        <v>1814840095</v>
      </c>
      <c r="D148" s="34" t="str">
        <f>IFERROR(IF(C148="","",VLOOKUP(C148,المستفيدين!$B:$C,2,FALSE)),"")</f>
        <v>مستفيد25</v>
      </c>
      <c r="E148" s="24" t="s">
        <v>220</v>
      </c>
      <c r="F148" s="34" t="str">
        <f>IFERROR(IF(E148="","",VLOOKUP(E148,الموظفين!$B:$C,2,FALSE)),"")</f>
        <v>موظف39</v>
      </c>
      <c r="G148" s="34" t="str">
        <f>IFERROR(IF(C148="","",VLOOKUP(C148,المستفيدين!$B:$F,5,FALSE)),"")</f>
        <v>مركز إرادة وتمكين للرعاية النهارية (القدس)</v>
      </c>
      <c r="H148" s="24" t="s">
        <v>552</v>
      </c>
      <c r="I148" s="24" t="s">
        <v>556</v>
      </c>
      <c r="J148" s="24" t="s">
        <v>1</v>
      </c>
      <c r="K148" s="24" t="s">
        <v>9</v>
      </c>
      <c r="L148" s="25"/>
    </row>
    <row r="149" spans="1:12" x14ac:dyDescent="0.2">
      <c r="A149" s="21">
        <v>148</v>
      </c>
      <c r="B149" s="22">
        <v>45671</v>
      </c>
      <c r="C149" s="20">
        <v>1417717432</v>
      </c>
      <c r="D149" s="34" t="str">
        <f>IFERROR(IF(C149="","",VLOOKUP(C149,المستفيدين!$B:$C,2,FALSE)),"")</f>
        <v>مستفيد110</v>
      </c>
      <c r="E149" s="20" t="s">
        <v>290</v>
      </c>
      <c r="F149" s="34" t="str">
        <f>IFERROR(IF(E149="","",VLOOKUP(E149,الموظفين!$B:$C,2,FALSE)),"")</f>
        <v>موظف74</v>
      </c>
      <c r="G149" s="34" t="str">
        <f>IFERROR(IF(C149="","",VLOOKUP(C149,المستفيدين!$B:$F,5,FALSE)),"")</f>
        <v>مدرسة إرادة وتمكين لمتلازمة داون (نجد)</v>
      </c>
      <c r="H149" s="24" t="s">
        <v>553</v>
      </c>
      <c r="I149" s="20" t="s">
        <v>75</v>
      </c>
      <c r="J149" s="20" t="s">
        <v>1</v>
      </c>
      <c r="K149" s="20" t="s">
        <v>10</v>
      </c>
      <c r="L149" s="26" t="s">
        <v>51</v>
      </c>
    </row>
    <row r="150" spans="1:12" x14ac:dyDescent="0.2">
      <c r="A150" s="18">
        <v>149</v>
      </c>
      <c r="B150" s="19">
        <v>45671</v>
      </c>
      <c r="C150" s="20">
        <v>1648463946</v>
      </c>
      <c r="D150" s="34" t="str">
        <f>IFERROR(IF(C150="","",VLOOKUP(C150,المستفيدين!$B:$C,2,FALSE)),"")</f>
        <v>مستفيد130</v>
      </c>
      <c r="E150" s="24" t="s">
        <v>68</v>
      </c>
      <c r="F150" s="34" t="str">
        <f>IFERROR(IF(E150="","",VLOOKUP(E150,الموظفين!$B:$C,2,FALSE)),"")</f>
        <v>موظف2</v>
      </c>
      <c r="G150" s="34" t="str">
        <f>IFERROR(IF(C150="","",VLOOKUP(C150,المستفيدين!$B:$F,5,FALSE)),"")</f>
        <v>مركز إرادة وتمكين لمتلازمة داون (نجد)</v>
      </c>
      <c r="H150" s="24" t="s">
        <v>553</v>
      </c>
      <c r="I150" s="24" t="s">
        <v>75</v>
      </c>
      <c r="J150" s="24" t="s">
        <v>0</v>
      </c>
      <c r="K150" s="24" t="s">
        <v>12</v>
      </c>
      <c r="L150" s="25" t="s">
        <v>524</v>
      </c>
    </row>
    <row r="151" spans="1:12" x14ac:dyDescent="0.2">
      <c r="A151" s="21">
        <v>150</v>
      </c>
      <c r="B151" s="22">
        <v>45671</v>
      </c>
      <c r="C151" s="20">
        <v>1017688451</v>
      </c>
      <c r="D151" s="34" t="str">
        <f>IFERROR(IF(C151="","",VLOOKUP(C151,المستفيدين!$B:$C,2,FALSE)),"")</f>
        <v>مستفيد52</v>
      </c>
      <c r="E151" s="20" t="s">
        <v>312</v>
      </c>
      <c r="F151" s="34" t="str">
        <f>IFERROR(IF(E151="","",VLOOKUP(E151,الموظفين!$B:$C,2,FALSE)),"")</f>
        <v>موظف85</v>
      </c>
      <c r="G151" s="34" t="str">
        <f>IFERROR(IF(C151="","",VLOOKUP(C151,المستفيدين!$B:$F,5,FALSE)),"")</f>
        <v>مركز إرادة وتمكين لرعاية ذوي الاحتياجات الخاصة (جلمودة)</v>
      </c>
      <c r="H151" s="24" t="s">
        <v>552</v>
      </c>
      <c r="I151" s="20" t="s">
        <v>81</v>
      </c>
      <c r="J151" s="20" t="s">
        <v>1</v>
      </c>
      <c r="K151" s="20" t="s">
        <v>9</v>
      </c>
      <c r="L151" s="26"/>
    </row>
    <row r="152" spans="1:12" x14ac:dyDescent="0.2">
      <c r="A152" s="18">
        <v>151</v>
      </c>
      <c r="B152" s="19">
        <v>45671</v>
      </c>
      <c r="C152" s="20">
        <v>1614390911</v>
      </c>
      <c r="D152" s="34" t="str">
        <f>IFERROR(IF(C152="","",VLOOKUP(C152,المستفيدين!$B:$C,2,FALSE)),"")</f>
        <v>مستفيد149</v>
      </c>
      <c r="E152" s="24" t="s">
        <v>308</v>
      </c>
      <c r="F152" s="34" t="str">
        <f>IFERROR(IF(E152="","",VLOOKUP(E152,الموظفين!$B:$C,2,FALSE)),"")</f>
        <v>موظف83</v>
      </c>
      <c r="G152" s="34" t="str">
        <f>IFERROR(IF(C152="","",VLOOKUP(C152,المستفيدين!$B:$F,5,FALSE)),"")</f>
        <v>مدرسة إرادة للتعليم (مكة)</v>
      </c>
      <c r="H152" s="24" t="s">
        <v>553</v>
      </c>
      <c r="I152" s="24" t="s">
        <v>77</v>
      </c>
      <c r="J152" s="24" t="s">
        <v>0</v>
      </c>
      <c r="K152" s="24" t="s">
        <v>12</v>
      </c>
      <c r="L152" s="25" t="s">
        <v>526</v>
      </c>
    </row>
    <row r="153" spans="1:12" x14ac:dyDescent="0.2">
      <c r="A153" s="21">
        <v>152</v>
      </c>
      <c r="B153" s="22">
        <v>45671</v>
      </c>
      <c r="C153" s="20">
        <v>1225270924</v>
      </c>
      <c r="D153" s="34" t="str">
        <f>IFERROR(IF(C153="","",VLOOKUP(C153,المستفيدين!$B:$C,2,FALSE)),"")</f>
        <v>مستفيد191</v>
      </c>
      <c r="E153" s="20" t="s">
        <v>166</v>
      </c>
      <c r="F153" s="34" t="str">
        <f>IFERROR(IF(E153="","",VLOOKUP(E153,الموظفين!$B:$C,2,FALSE)),"")</f>
        <v>موظف12</v>
      </c>
      <c r="G153" s="34" t="str">
        <f>IFERROR(IF(C153="","",VLOOKUP(C153,المستفيدين!$B:$F,5,FALSE)),"")</f>
        <v>مدرسة إرادة وتمكين لمتلازمة داون (نجد)</v>
      </c>
      <c r="H153" s="24" t="s">
        <v>552</v>
      </c>
      <c r="I153" s="20" t="s">
        <v>81</v>
      </c>
      <c r="J153" s="20" t="s">
        <v>1</v>
      </c>
      <c r="K153" s="20" t="s">
        <v>9</v>
      </c>
      <c r="L153" s="26"/>
    </row>
    <row r="154" spans="1:12" x14ac:dyDescent="0.2">
      <c r="A154" s="18">
        <v>153</v>
      </c>
      <c r="B154" s="19">
        <v>45671</v>
      </c>
      <c r="C154" s="20">
        <v>1618104695</v>
      </c>
      <c r="D154" s="34" t="str">
        <f>IFERROR(IF(C154="","",VLOOKUP(C154,المستفيدين!$B:$C,2,FALSE)),"")</f>
        <v>مستفيد36</v>
      </c>
      <c r="E154" s="24" t="s">
        <v>284</v>
      </c>
      <c r="F154" s="34" t="str">
        <f>IFERROR(IF(E154="","",VLOOKUP(E154,الموظفين!$B:$C,2,FALSE)),"")</f>
        <v>موظف71</v>
      </c>
      <c r="G154" s="34" t="str">
        <f>IFERROR(IF(C154="","",VLOOKUP(C154,المستفيدين!$B:$F,5,FALSE)),"")</f>
        <v>مدرسة إرادة وتمكين لمتلازمة داون (نجد)</v>
      </c>
      <c r="H154" s="24" t="s">
        <v>552</v>
      </c>
      <c r="I154" s="24" t="s">
        <v>555</v>
      </c>
      <c r="J154" s="24" t="s">
        <v>1</v>
      </c>
      <c r="K154" s="24" t="s">
        <v>9</v>
      </c>
      <c r="L154" s="25" t="s">
        <v>51</v>
      </c>
    </row>
    <row r="155" spans="1:12" x14ac:dyDescent="0.2">
      <c r="A155" s="21">
        <v>154</v>
      </c>
      <c r="B155" s="22">
        <v>45673</v>
      </c>
      <c r="C155" s="20">
        <v>1234479307</v>
      </c>
      <c r="D155" s="34" t="str">
        <f>IFERROR(IF(C155="","",VLOOKUP(C155,المستفيدين!$B:$C,2,FALSE)),"")</f>
        <v>مستفيد136</v>
      </c>
      <c r="E155" s="20" t="s">
        <v>186</v>
      </c>
      <c r="F155" s="34" t="str">
        <f>IFERROR(IF(E155="","",VLOOKUP(E155,الموظفين!$B:$C,2,FALSE)),"")</f>
        <v>موظف22</v>
      </c>
      <c r="G155" s="34" t="str">
        <f>IFERROR(IF(C155="","",VLOOKUP(C155,المستفيدين!$B:$F,5,FALSE)),"")</f>
        <v>مركز إرادة وتمكين لمتلازمة داون (نجد)</v>
      </c>
      <c r="H155" s="24" t="s">
        <v>553</v>
      </c>
      <c r="I155" s="20" t="s">
        <v>76</v>
      </c>
      <c r="J155" s="20" t="s">
        <v>0</v>
      </c>
      <c r="K155" s="20" t="s">
        <v>9</v>
      </c>
      <c r="L155" s="26" t="s">
        <v>526</v>
      </c>
    </row>
    <row r="156" spans="1:12" x14ac:dyDescent="0.2">
      <c r="A156" s="18">
        <v>155</v>
      </c>
      <c r="B156" s="19">
        <v>45674</v>
      </c>
      <c r="C156" s="20">
        <v>1463642752</v>
      </c>
      <c r="D156" s="34" t="str">
        <f>IFERROR(IF(C156="","",VLOOKUP(C156,المستفيدين!$B:$C,2,FALSE)),"")</f>
        <v>مستفيد86</v>
      </c>
      <c r="E156" s="24" t="s">
        <v>314</v>
      </c>
      <c r="F156" s="34" t="str">
        <f>IFERROR(IF(E156="","",VLOOKUP(E156,الموظفين!$B:$C,2,FALSE)),"")</f>
        <v>موظف86</v>
      </c>
      <c r="G156" s="34" t="str">
        <f>IFERROR(IF(C156="","",VLOOKUP(C156,المستفيدين!$B:$F,5,FALSE)),"")</f>
        <v>مدرسة إرادة وتمكين لمتلازمة داون (نجد)</v>
      </c>
      <c r="H156" s="24" t="s">
        <v>553</v>
      </c>
      <c r="I156" s="24" t="s">
        <v>77</v>
      </c>
      <c r="J156" s="24" t="s">
        <v>1</v>
      </c>
      <c r="K156" s="24" t="s">
        <v>10</v>
      </c>
      <c r="L156" s="25" t="s">
        <v>51</v>
      </c>
    </row>
    <row r="157" spans="1:12" x14ac:dyDescent="0.2">
      <c r="A157" s="21">
        <v>156</v>
      </c>
      <c r="B157" s="22">
        <v>45676</v>
      </c>
      <c r="C157" s="20">
        <v>1296378535</v>
      </c>
      <c r="D157" s="34" t="str">
        <f>IFERROR(IF(C157="","",VLOOKUP(C157,المستفيدين!$B:$C,2,FALSE)),"")</f>
        <v>مستفيد156</v>
      </c>
      <c r="E157" s="20" t="s">
        <v>308</v>
      </c>
      <c r="F157" s="34" t="str">
        <f>IFERROR(IF(E157="","",VLOOKUP(E157,الموظفين!$B:$C,2,FALSE)),"")</f>
        <v>موظف83</v>
      </c>
      <c r="G157" s="34" t="str">
        <f>IFERROR(IF(C157="","",VLOOKUP(C157,المستفيدين!$B:$F,5,FALSE)),"")</f>
        <v>مركز إرادة وتمكين لمتلازمة داون (نجد)</v>
      </c>
      <c r="H157" s="24" t="s">
        <v>553</v>
      </c>
      <c r="I157" s="20" t="s">
        <v>77</v>
      </c>
      <c r="J157" s="20" t="s">
        <v>0</v>
      </c>
      <c r="K157" s="20" t="s">
        <v>11</v>
      </c>
      <c r="L157" s="26" t="s">
        <v>523</v>
      </c>
    </row>
    <row r="158" spans="1:12" x14ac:dyDescent="0.2">
      <c r="A158" s="18">
        <v>157</v>
      </c>
      <c r="B158" s="19">
        <v>45676</v>
      </c>
      <c r="C158" s="20">
        <v>1371671971</v>
      </c>
      <c r="D158" s="34" t="str">
        <f>IFERROR(IF(C158="","",VLOOKUP(C158,المستفيدين!$B:$C,2,FALSE)),"")</f>
        <v>مستفيد91</v>
      </c>
      <c r="E158" s="24" t="s">
        <v>188</v>
      </c>
      <c r="F158" s="34" t="str">
        <f>IFERROR(IF(E158="","",VLOOKUP(E158,الموظفين!$B:$C,2,FALSE)),"")</f>
        <v>موظف23</v>
      </c>
      <c r="G158" s="34" t="str">
        <f>IFERROR(IF(C158="","",VLOOKUP(C158,المستفيدين!$B:$F,5,FALSE)),"")</f>
        <v>مركز إرادة وتمكين لرعاية ذوي الاحتياجات الخاصة (جلمودة)</v>
      </c>
      <c r="H158" s="24" t="s">
        <v>553</v>
      </c>
      <c r="I158" s="24" t="s">
        <v>79</v>
      </c>
      <c r="J158" s="24" t="s">
        <v>1</v>
      </c>
      <c r="K158" s="24" t="s">
        <v>9</v>
      </c>
      <c r="L158" s="25"/>
    </row>
    <row r="159" spans="1:12" x14ac:dyDescent="0.2">
      <c r="A159" s="21">
        <v>158</v>
      </c>
      <c r="B159" s="22">
        <v>45677</v>
      </c>
      <c r="C159" s="20">
        <v>1079496892</v>
      </c>
      <c r="D159" s="34" t="str">
        <f>IFERROR(IF(C159="","",VLOOKUP(C159,المستفيدين!$B:$C,2,FALSE)),"")</f>
        <v>مستفيد144</v>
      </c>
      <c r="E159" s="20" t="s">
        <v>184</v>
      </c>
      <c r="F159" s="34" t="str">
        <f>IFERROR(IF(E159="","",VLOOKUP(E159,الموظفين!$B:$C,2,FALSE)),"")</f>
        <v>موظف21</v>
      </c>
      <c r="G159" s="34" t="str">
        <f>IFERROR(IF(C159="","",VLOOKUP(C159,المستفيدين!$B:$F,5,FALSE)),"")</f>
        <v>مدرسة إرادة وتمكين لمتلازمة داون (نجد)</v>
      </c>
      <c r="H159" s="24" t="s">
        <v>552</v>
      </c>
      <c r="I159" s="20" t="s">
        <v>80</v>
      </c>
      <c r="J159" s="20" t="s">
        <v>0</v>
      </c>
      <c r="K159" s="20" t="s">
        <v>12</v>
      </c>
      <c r="L159" s="26"/>
    </row>
    <row r="160" spans="1:12" x14ac:dyDescent="0.2">
      <c r="A160" s="18">
        <v>159</v>
      </c>
      <c r="B160" s="19">
        <v>45679</v>
      </c>
      <c r="C160" s="20">
        <v>1648599431</v>
      </c>
      <c r="D160" s="34" t="str">
        <f>IFERROR(IF(C160="","",VLOOKUP(C160,المستفيدين!$B:$C,2,FALSE)),"")</f>
        <v>مستفيد75</v>
      </c>
      <c r="E160" s="24" t="s">
        <v>246</v>
      </c>
      <c r="F160" s="34" t="str">
        <f>IFERROR(IF(E160="","",VLOOKUP(E160,الموظفين!$B:$C,2,FALSE)),"")</f>
        <v>موظف52</v>
      </c>
      <c r="G160" s="34" t="str">
        <f>IFERROR(IF(C160="","",VLOOKUP(C160,المستفيدين!$B:$F,5,FALSE)),"")</f>
        <v>مدرسة إرادة وتمكين لمتلازمة داون (نجد)</v>
      </c>
      <c r="H160" s="24" t="s">
        <v>553</v>
      </c>
      <c r="I160" s="24" t="s">
        <v>77</v>
      </c>
      <c r="J160" s="24" t="s">
        <v>0</v>
      </c>
      <c r="K160" s="24" t="s">
        <v>9</v>
      </c>
      <c r="L160" s="25"/>
    </row>
    <row r="161" spans="1:12" x14ac:dyDescent="0.2">
      <c r="A161" s="21">
        <v>160</v>
      </c>
      <c r="B161" s="22">
        <v>45680</v>
      </c>
      <c r="C161" s="20">
        <v>1124422216</v>
      </c>
      <c r="D161" s="34" t="str">
        <f>IFERROR(IF(C161="","",VLOOKUP(C161,المستفيدين!$B:$C,2,FALSE)),"")</f>
        <v>مستفيد5</v>
      </c>
      <c r="E161" s="20" t="s">
        <v>312</v>
      </c>
      <c r="F161" s="34" t="str">
        <f>IFERROR(IF(E161="","",VLOOKUP(E161,الموظفين!$B:$C,2,FALSE)),"")</f>
        <v>موظف85</v>
      </c>
      <c r="G161" s="34" t="str">
        <f>IFERROR(IF(C161="","",VLOOKUP(C161,المستفيدين!$B:$F,5,FALSE)),"")</f>
        <v>مركز إرادة وتمكين لمتلازمة داون (نجد)</v>
      </c>
      <c r="H161" s="24" t="s">
        <v>552</v>
      </c>
      <c r="I161" s="20" t="s">
        <v>81</v>
      </c>
      <c r="J161" s="20" t="s">
        <v>1</v>
      </c>
      <c r="K161" s="20" t="s">
        <v>9</v>
      </c>
      <c r="L161" s="26" t="s">
        <v>51</v>
      </c>
    </row>
    <row r="162" spans="1:12" x14ac:dyDescent="0.2">
      <c r="A162" s="18">
        <v>161</v>
      </c>
      <c r="B162" s="19">
        <v>45685</v>
      </c>
      <c r="C162" s="20">
        <v>1017688451</v>
      </c>
      <c r="D162" s="34" t="str">
        <f>IFERROR(IF(C162="","",VLOOKUP(C162,المستفيدين!$B:$C,2,FALSE)),"")</f>
        <v>مستفيد52</v>
      </c>
      <c r="E162" s="24" t="s">
        <v>328</v>
      </c>
      <c r="F162" s="34" t="str">
        <f>IFERROR(IF(E162="","",VLOOKUP(E162,الموظفين!$B:$C,2,FALSE)),"")</f>
        <v>موظف93</v>
      </c>
      <c r="G162" s="34" t="str">
        <f>IFERROR(IF(C162="","",VLOOKUP(C162,المستفيدين!$B:$F,5,FALSE)),"")</f>
        <v>مركز إرادة وتمكين لرعاية ذوي الاحتياجات الخاصة (جلمودة)</v>
      </c>
      <c r="H162" s="24" t="s">
        <v>553</v>
      </c>
      <c r="I162" s="24" t="s">
        <v>77</v>
      </c>
      <c r="J162" s="24" t="s">
        <v>0</v>
      </c>
      <c r="K162" s="24" t="s">
        <v>9</v>
      </c>
      <c r="L162" s="25" t="s">
        <v>523</v>
      </c>
    </row>
    <row r="163" spans="1:12" x14ac:dyDescent="0.2">
      <c r="A163" s="21">
        <v>162</v>
      </c>
      <c r="B163" s="22">
        <v>45685</v>
      </c>
      <c r="C163" s="20">
        <v>1441451242</v>
      </c>
      <c r="D163" s="34" t="str">
        <f>IFERROR(IF(C163="","",VLOOKUP(C163,المستفيدين!$B:$C,2,FALSE)),"")</f>
        <v>مستفيد96</v>
      </c>
      <c r="E163" s="20" t="s">
        <v>150</v>
      </c>
      <c r="F163" s="34" t="str">
        <f>IFERROR(IF(E163="","",VLOOKUP(E163,الموظفين!$B:$C,2,FALSE)),"")</f>
        <v>موظف4</v>
      </c>
      <c r="G163" s="34" t="str">
        <f>IFERROR(IF(C163="","",VLOOKUP(C163,المستفيدين!$B:$F,5,FALSE)),"")</f>
        <v>مدرسة إرادة للتعليم (مكة)</v>
      </c>
      <c r="H163" s="24" t="s">
        <v>553</v>
      </c>
      <c r="I163" s="20" t="s">
        <v>77</v>
      </c>
      <c r="J163" s="20" t="s">
        <v>0</v>
      </c>
      <c r="K163" s="20" t="s">
        <v>10</v>
      </c>
      <c r="L163" s="26"/>
    </row>
    <row r="164" spans="1:12" x14ac:dyDescent="0.2">
      <c r="A164" s="18">
        <v>163</v>
      </c>
      <c r="B164" s="19">
        <v>45686</v>
      </c>
      <c r="C164" s="20">
        <v>1149256102</v>
      </c>
      <c r="D164" s="34" t="str">
        <f>IFERROR(IF(C164="","",VLOOKUP(C164,المستفيدين!$B:$C,2,FALSE)),"")</f>
        <v>مستفيد76</v>
      </c>
      <c r="E164" s="24" t="s">
        <v>270</v>
      </c>
      <c r="F164" s="34" t="str">
        <f>IFERROR(IF(E164="","",VLOOKUP(E164,الموظفين!$B:$C,2,FALSE)),"")</f>
        <v>موظف64</v>
      </c>
      <c r="G164" s="34" t="str">
        <f>IFERROR(IF(C164="","",VLOOKUP(C164,المستفيدين!$B:$F,5,FALSE)),"")</f>
        <v>مدرسة إرادة وتمكين لمتلازمة داون (نجد)</v>
      </c>
      <c r="H164" s="24" t="s">
        <v>553</v>
      </c>
      <c r="I164" s="24" t="s">
        <v>77</v>
      </c>
      <c r="J164" s="24" t="s">
        <v>0</v>
      </c>
      <c r="K164" s="24" t="s">
        <v>11</v>
      </c>
      <c r="L164" s="25" t="s">
        <v>51</v>
      </c>
    </row>
    <row r="165" spans="1:12" x14ac:dyDescent="0.2">
      <c r="A165" s="21">
        <v>164</v>
      </c>
      <c r="B165" s="22">
        <v>45687</v>
      </c>
      <c r="C165" s="20">
        <v>1020269730</v>
      </c>
      <c r="D165" s="34" t="str">
        <f>IFERROR(IF(C165="","",VLOOKUP(C165,المستفيدين!$B:$C,2,FALSE)),"")</f>
        <v>مستفيد32</v>
      </c>
      <c r="E165" s="20" t="s">
        <v>208</v>
      </c>
      <c r="F165" s="34" t="str">
        <f>IFERROR(IF(E165="","",VLOOKUP(E165,الموظفين!$B:$C,2,FALSE)),"")</f>
        <v>موظف33</v>
      </c>
      <c r="G165" s="34" t="str">
        <f>IFERROR(IF(C165="","",VLOOKUP(C165,المستفيدين!$B:$F,5,FALSE)),"")</f>
        <v>مدرسة إرادة للتعليم (مكة)</v>
      </c>
      <c r="H165" s="24" t="s">
        <v>553</v>
      </c>
      <c r="I165" s="20" t="s">
        <v>79</v>
      </c>
      <c r="J165" s="20" t="s">
        <v>0</v>
      </c>
      <c r="K165" s="20" t="s">
        <v>9</v>
      </c>
      <c r="L165" s="26" t="s">
        <v>524</v>
      </c>
    </row>
    <row r="166" spans="1:12" x14ac:dyDescent="0.2">
      <c r="A166" s="18">
        <v>165</v>
      </c>
      <c r="B166" s="19">
        <v>45690</v>
      </c>
      <c r="C166" s="20">
        <v>1369869858</v>
      </c>
      <c r="D166" s="34" t="str">
        <f>IFERROR(IF(C166="","",VLOOKUP(C166,المستفيدين!$B:$C,2,FALSE)),"")</f>
        <v>مستفيد55</v>
      </c>
      <c r="E166" s="24" t="s">
        <v>186</v>
      </c>
      <c r="F166" s="34" t="str">
        <f>IFERROR(IF(E166="","",VLOOKUP(E166,الموظفين!$B:$C,2,FALSE)),"")</f>
        <v>موظف22</v>
      </c>
      <c r="G166" s="34" t="str">
        <f>IFERROR(IF(C166="","",VLOOKUP(C166,المستفيدين!$B:$F,5,FALSE)),"")</f>
        <v>مدرسة إرادة للتعليم (مكة)</v>
      </c>
      <c r="H166" s="24" t="s">
        <v>553</v>
      </c>
      <c r="I166" s="24" t="s">
        <v>76</v>
      </c>
      <c r="J166" s="24" t="s">
        <v>0</v>
      </c>
      <c r="K166" s="24" t="s">
        <v>9</v>
      </c>
      <c r="L166" s="25" t="s">
        <v>525</v>
      </c>
    </row>
    <row r="167" spans="1:12" x14ac:dyDescent="0.2">
      <c r="A167" s="21">
        <v>166</v>
      </c>
      <c r="B167" s="22">
        <v>45690</v>
      </c>
      <c r="C167" s="20">
        <v>1215214714</v>
      </c>
      <c r="D167" s="34" t="str">
        <f>IFERROR(IF(C167="","",VLOOKUP(C167,المستفيدين!$B:$C,2,FALSE)),"")</f>
        <v>مستفيد18</v>
      </c>
      <c r="E167" s="20" t="s">
        <v>182</v>
      </c>
      <c r="F167" s="34" t="str">
        <f>IFERROR(IF(E167="","",VLOOKUP(E167,الموظفين!$B:$C,2,FALSE)),"")</f>
        <v>موظف20</v>
      </c>
      <c r="G167" s="34" t="str">
        <f>IFERROR(IF(C167="","",VLOOKUP(C167,المستفيدين!$B:$F,5,FALSE)),"")</f>
        <v>مركز إرادة وتمكين لرعاية ذوي الاحتياجات الخاصة (جلمودة)</v>
      </c>
      <c r="H167" s="24" t="s">
        <v>553</v>
      </c>
      <c r="I167" s="20" t="s">
        <v>76</v>
      </c>
      <c r="J167" s="20" t="s">
        <v>1</v>
      </c>
      <c r="K167" s="20" t="s">
        <v>9</v>
      </c>
      <c r="L167" s="26" t="s">
        <v>524</v>
      </c>
    </row>
    <row r="168" spans="1:12" x14ac:dyDescent="0.2">
      <c r="A168" s="18">
        <v>167</v>
      </c>
      <c r="B168" s="19">
        <v>45691</v>
      </c>
      <c r="C168" s="20">
        <v>1224071000</v>
      </c>
      <c r="D168" s="34" t="str">
        <f>IFERROR(IF(C168="","",VLOOKUP(C168,المستفيدين!$B:$C,2,FALSE)),"")</f>
        <v>مستفيد150</v>
      </c>
      <c r="E168" s="24" t="s">
        <v>200</v>
      </c>
      <c r="F168" s="34" t="str">
        <f>IFERROR(IF(E168="","",VLOOKUP(E168,الموظفين!$B:$C,2,FALSE)),"")</f>
        <v>موظف29</v>
      </c>
      <c r="G168" s="34" t="str">
        <f>IFERROR(IF(C168="","",VLOOKUP(C168,المستفيدين!$B:$F,5,FALSE)),"")</f>
        <v>مركز إرادة وتمكين لمتلازمة داون (نجد)</v>
      </c>
      <c r="H168" s="24" t="s">
        <v>552</v>
      </c>
      <c r="I168" s="24" t="s">
        <v>556</v>
      </c>
      <c r="J168" s="24" t="s">
        <v>0</v>
      </c>
      <c r="K168" s="24" t="s">
        <v>10</v>
      </c>
      <c r="L168" s="25" t="s">
        <v>526</v>
      </c>
    </row>
    <row r="169" spans="1:12" x14ac:dyDescent="0.2">
      <c r="A169" s="21">
        <v>168</v>
      </c>
      <c r="B169" s="22">
        <v>45692</v>
      </c>
      <c r="C169" s="20">
        <v>1069215057</v>
      </c>
      <c r="D169" s="34" t="str">
        <f>IFERROR(IF(C169="","",VLOOKUP(C169,المستفيدين!$B:$C,2,FALSE)),"")</f>
        <v>مستفيد183</v>
      </c>
      <c r="E169" s="20" t="s">
        <v>302</v>
      </c>
      <c r="F169" s="34" t="str">
        <f>IFERROR(IF(E169="","",VLOOKUP(E169,الموظفين!$B:$C,2,FALSE)),"")</f>
        <v>موظف80</v>
      </c>
      <c r="G169" s="34" t="str">
        <f>IFERROR(IF(C169="","",VLOOKUP(C169,المستفيدين!$B:$F,5,FALSE)),"")</f>
        <v>مركز إرادة وتمكين لرعاية ذوي الاحتياجات الخاصة (جلمودة)</v>
      </c>
      <c r="H169" s="24" t="s">
        <v>552</v>
      </c>
      <c r="I169" s="20" t="s">
        <v>81</v>
      </c>
      <c r="J169" s="20" t="s">
        <v>1</v>
      </c>
      <c r="K169" s="20" t="s">
        <v>9</v>
      </c>
      <c r="L169" s="26" t="s">
        <v>523</v>
      </c>
    </row>
    <row r="170" spans="1:12" x14ac:dyDescent="0.2">
      <c r="A170" s="18">
        <v>169</v>
      </c>
      <c r="B170" s="19">
        <v>45694</v>
      </c>
      <c r="C170" s="20">
        <v>1025469854</v>
      </c>
      <c r="D170" s="34" t="str">
        <f>IFERROR(IF(C170="","",VLOOKUP(C170,المستفيدين!$B:$C,2,FALSE)),"")</f>
        <v>مستفيد1</v>
      </c>
      <c r="E170" s="24" t="s">
        <v>248</v>
      </c>
      <c r="F170" s="34" t="str">
        <f>IFERROR(IF(E170="","",VLOOKUP(E170,الموظفين!$B:$C,2,FALSE)),"")</f>
        <v>موظف53</v>
      </c>
      <c r="G170" s="34" t="str">
        <f>IFERROR(IF(C170="","",VLOOKUP(C170,المستفيدين!$B:$F,5,FALSE)),"")</f>
        <v>مركز إرادة وتمكين للرعاية النهارية (القدس)</v>
      </c>
      <c r="H170" s="24" t="s">
        <v>553</v>
      </c>
      <c r="I170" s="24" t="s">
        <v>75</v>
      </c>
      <c r="J170" s="24" t="s">
        <v>0</v>
      </c>
      <c r="K170" s="24" t="s">
        <v>9</v>
      </c>
      <c r="L170" s="25" t="s">
        <v>524</v>
      </c>
    </row>
    <row r="171" spans="1:12" x14ac:dyDescent="0.2">
      <c r="A171" s="21">
        <v>170</v>
      </c>
      <c r="B171" s="22">
        <v>45694</v>
      </c>
      <c r="C171" s="20">
        <v>1480462141</v>
      </c>
      <c r="D171" s="34" t="str">
        <f>IFERROR(IF(C171="","",VLOOKUP(C171,المستفيدين!$B:$C,2,FALSE)),"")</f>
        <v>مستفيد69</v>
      </c>
      <c r="E171" s="20" t="s">
        <v>196</v>
      </c>
      <c r="F171" s="34" t="str">
        <f>IFERROR(IF(E171="","",VLOOKUP(E171,الموظفين!$B:$C,2,FALSE)),"")</f>
        <v>موظف27</v>
      </c>
      <c r="G171" s="34" t="str">
        <f>IFERROR(IF(C171="","",VLOOKUP(C171,المستفيدين!$B:$F,5,FALSE)),"")</f>
        <v>مركز إرادة وتمكين لمتلازمة داون (نجد)</v>
      </c>
      <c r="H171" s="24" t="s">
        <v>553</v>
      </c>
      <c r="I171" s="20" t="s">
        <v>77</v>
      </c>
      <c r="J171" s="20" t="s">
        <v>1</v>
      </c>
      <c r="K171" s="20" t="s">
        <v>12</v>
      </c>
      <c r="L171" s="26" t="s">
        <v>523</v>
      </c>
    </row>
    <row r="172" spans="1:12" x14ac:dyDescent="0.2">
      <c r="A172" s="18">
        <v>171</v>
      </c>
      <c r="B172" s="19">
        <v>45695</v>
      </c>
      <c r="C172" s="20">
        <v>1715681493</v>
      </c>
      <c r="D172" s="34" t="str">
        <f>IFERROR(IF(C172="","",VLOOKUP(C172,المستفيدين!$B:$C,2,FALSE)),"")</f>
        <v>مستفيد105</v>
      </c>
      <c r="E172" s="24" t="s">
        <v>192</v>
      </c>
      <c r="F172" s="34" t="str">
        <f>IFERROR(IF(E172="","",VLOOKUP(E172,الموظفين!$B:$C,2,FALSE)),"")</f>
        <v>موظف25</v>
      </c>
      <c r="G172" s="34" t="str">
        <f>IFERROR(IF(C172="","",VLOOKUP(C172,المستفيدين!$B:$F,5,FALSE)),"")</f>
        <v>مركز إرادة وتمكين لمتلازمة داون (نجد)</v>
      </c>
      <c r="H172" s="24" t="s">
        <v>553</v>
      </c>
      <c r="I172" s="24" t="s">
        <v>75</v>
      </c>
      <c r="J172" s="24" t="s">
        <v>1</v>
      </c>
      <c r="K172" s="24" t="s">
        <v>9</v>
      </c>
      <c r="L172" s="25" t="s">
        <v>51</v>
      </c>
    </row>
    <row r="173" spans="1:12" x14ac:dyDescent="0.2">
      <c r="A173" s="21">
        <v>172</v>
      </c>
      <c r="B173" s="22">
        <v>45697</v>
      </c>
      <c r="C173" s="20">
        <v>1149256102</v>
      </c>
      <c r="D173" s="34" t="str">
        <f>IFERROR(IF(C173="","",VLOOKUP(C173,المستفيدين!$B:$C,2,FALSE)),"")</f>
        <v>مستفيد76</v>
      </c>
      <c r="E173" s="20" t="s">
        <v>196</v>
      </c>
      <c r="F173" s="34" t="str">
        <f>IFERROR(IF(E173="","",VLOOKUP(E173,الموظفين!$B:$C,2,FALSE)),"")</f>
        <v>موظف27</v>
      </c>
      <c r="G173" s="34" t="str">
        <f>IFERROR(IF(C173="","",VLOOKUP(C173,المستفيدين!$B:$F,5,FALSE)),"")</f>
        <v>مدرسة إرادة وتمكين لمتلازمة داون (نجد)</v>
      </c>
      <c r="H173" s="24" t="s">
        <v>553</v>
      </c>
      <c r="I173" s="20" t="s">
        <v>77</v>
      </c>
      <c r="J173" s="20" t="s">
        <v>1</v>
      </c>
      <c r="K173" s="20" t="s">
        <v>10</v>
      </c>
      <c r="L173" s="26"/>
    </row>
    <row r="174" spans="1:12" x14ac:dyDescent="0.2">
      <c r="A174" s="18">
        <v>173</v>
      </c>
      <c r="B174" s="19">
        <v>45704</v>
      </c>
      <c r="C174" s="20">
        <v>1914106815</v>
      </c>
      <c r="D174" s="34" t="str">
        <f>IFERROR(IF(C174="","",VLOOKUP(C174,المستفيدين!$B:$C,2,FALSE)),"")</f>
        <v>مستفيد174</v>
      </c>
      <c r="E174" s="24" t="s">
        <v>234</v>
      </c>
      <c r="F174" s="34" t="str">
        <f>IFERROR(IF(E174="","",VLOOKUP(E174,الموظفين!$B:$C,2,FALSE)),"")</f>
        <v>موظف46</v>
      </c>
      <c r="G174" s="34" t="str">
        <f>IFERROR(IF(C174="","",VLOOKUP(C174,المستفيدين!$B:$F,5,FALSE)),"")</f>
        <v>مدرسة إرادة للتعليم (مكة)</v>
      </c>
      <c r="H174" s="24" t="s">
        <v>553</v>
      </c>
      <c r="I174" s="24" t="s">
        <v>79</v>
      </c>
      <c r="J174" s="24" t="s">
        <v>0</v>
      </c>
      <c r="K174" s="24" t="s">
        <v>10</v>
      </c>
      <c r="L174" s="25" t="s">
        <v>525</v>
      </c>
    </row>
    <row r="175" spans="1:12" x14ac:dyDescent="0.2">
      <c r="A175" s="21">
        <v>174</v>
      </c>
      <c r="B175" s="22">
        <v>45704</v>
      </c>
      <c r="C175" s="20">
        <v>1633482052</v>
      </c>
      <c r="D175" s="34" t="str">
        <f>IFERROR(IF(C175="","",VLOOKUP(C175,المستفيدين!$B:$C,2,FALSE)),"")</f>
        <v>مستفيد127</v>
      </c>
      <c r="E175" s="20" t="s">
        <v>342</v>
      </c>
      <c r="F175" s="34" t="str">
        <f>IFERROR(IF(E175="","",VLOOKUP(E175,الموظفين!$B:$C,2,FALSE)),"")</f>
        <v>موظف100</v>
      </c>
      <c r="G175" s="34" t="str">
        <f>IFERROR(IF(C175="","",VLOOKUP(C175,المستفيدين!$B:$F,5,FALSE)),"")</f>
        <v>مدرسة إرادة وتمكين لمتلازمة داون (نجد)</v>
      </c>
      <c r="H175" s="24" t="s">
        <v>552</v>
      </c>
      <c r="I175" s="20" t="s">
        <v>555</v>
      </c>
      <c r="J175" s="20" t="s">
        <v>1</v>
      </c>
      <c r="K175" s="20" t="s">
        <v>9</v>
      </c>
      <c r="L175" s="26"/>
    </row>
    <row r="176" spans="1:12" x14ac:dyDescent="0.2">
      <c r="A176" s="18">
        <v>175</v>
      </c>
      <c r="B176" s="19">
        <v>45705</v>
      </c>
      <c r="C176" s="20">
        <v>1640872800</v>
      </c>
      <c r="D176" s="34" t="str">
        <f>IFERROR(IF(C176="","",VLOOKUP(C176,المستفيدين!$B:$C,2,FALSE)),"")</f>
        <v>مستفيد173</v>
      </c>
      <c r="E176" s="24" t="s">
        <v>328</v>
      </c>
      <c r="F176" s="34" t="str">
        <f>IFERROR(IF(E176="","",VLOOKUP(E176,الموظفين!$B:$C,2,FALSE)),"")</f>
        <v>موظف93</v>
      </c>
      <c r="G176" s="34" t="str">
        <f>IFERROR(IF(C176="","",VLOOKUP(C176,المستفيدين!$B:$F,5,FALSE)),"")</f>
        <v>مركز إرادة وتمكين لرعاية ذوي الاحتياجات الخاصة (جلمودة)</v>
      </c>
      <c r="H176" s="24" t="s">
        <v>553</v>
      </c>
      <c r="I176" s="24" t="s">
        <v>77</v>
      </c>
      <c r="J176" s="24" t="s">
        <v>0</v>
      </c>
      <c r="K176" s="24" t="s">
        <v>9</v>
      </c>
      <c r="L176" s="25"/>
    </row>
    <row r="177" spans="1:12" x14ac:dyDescent="0.2">
      <c r="A177" s="21">
        <v>176</v>
      </c>
      <c r="B177" s="22">
        <v>45706</v>
      </c>
      <c r="C177" s="20">
        <v>1114109506</v>
      </c>
      <c r="D177" s="34" t="str">
        <f>IFERROR(IF(C177="","",VLOOKUP(C177,المستفيدين!$B:$C,2,FALSE)),"")</f>
        <v>مستفيد104</v>
      </c>
      <c r="E177" s="20" t="s">
        <v>170</v>
      </c>
      <c r="F177" s="34" t="str">
        <f>IFERROR(IF(E177="","",VLOOKUP(E177,الموظفين!$B:$C,2,FALSE)),"")</f>
        <v>موظف14</v>
      </c>
      <c r="G177" s="34" t="str">
        <f>IFERROR(IF(C177="","",VLOOKUP(C177,المستفيدين!$B:$F,5,FALSE)),"")</f>
        <v>مركز إرادة وتمكين لمتلازمة داون (نجد)</v>
      </c>
      <c r="H177" s="24" t="s">
        <v>553</v>
      </c>
      <c r="I177" s="20" t="s">
        <v>76</v>
      </c>
      <c r="J177" s="20" t="s">
        <v>0</v>
      </c>
      <c r="K177" s="20" t="s">
        <v>12</v>
      </c>
      <c r="L177" s="26" t="s">
        <v>524</v>
      </c>
    </row>
    <row r="178" spans="1:12" x14ac:dyDescent="0.2">
      <c r="A178" s="18">
        <v>177</v>
      </c>
      <c r="B178" s="19">
        <v>45707</v>
      </c>
      <c r="C178" s="20">
        <v>1222363290</v>
      </c>
      <c r="D178" s="34" t="str">
        <f>IFERROR(IF(C178="","",VLOOKUP(C178,المستفيدين!$B:$C,2,FALSE)),"")</f>
        <v>مستفيد125</v>
      </c>
      <c r="E178" s="24" t="s">
        <v>224</v>
      </c>
      <c r="F178" s="34" t="str">
        <f>IFERROR(IF(E178="","",VLOOKUP(E178,الموظفين!$B:$C,2,FALSE)),"")</f>
        <v>موظف41</v>
      </c>
      <c r="G178" s="34" t="str">
        <f>IFERROR(IF(C178="","",VLOOKUP(C178,المستفيدين!$B:$F,5,FALSE)),"")</f>
        <v>مركز إرادة وتمكين لرعاية ذوي الاحتياجات الخاصة (جلمودة)</v>
      </c>
      <c r="H178" s="24" t="s">
        <v>553</v>
      </c>
      <c r="I178" s="24" t="s">
        <v>75</v>
      </c>
      <c r="J178" s="24" t="s">
        <v>0</v>
      </c>
      <c r="K178" s="24" t="s">
        <v>12</v>
      </c>
      <c r="L178" s="25" t="s">
        <v>526</v>
      </c>
    </row>
    <row r="179" spans="1:12" x14ac:dyDescent="0.2">
      <c r="A179" s="21">
        <v>178</v>
      </c>
      <c r="B179" s="22">
        <v>45708</v>
      </c>
      <c r="C179" s="20">
        <v>1859263783</v>
      </c>
      <c r="D179" s="34" t="str">
        <f>IFERROR(IF(C179="","",VLOOKUP(C179,المستفيدين!$B:$C,2,FALSE)),"")</f>
        <v>مستفيد33</v>
      </c>
      <c r="E179" s="20" t="s">
        <v>256</v>
      </c>
      <c r="F179" s="34" t="str">
        <f>IFERROR(IF(E179="","",VLOOKUP(E179,الموظفين!$B:$C,2,FALSE)),"")</f>
        <v>موظف57</v>
      </c>
      <c r="G179" s="34" t="str">
        <f>IFERROR(IF(C179="","",VLOOKUP(C179,المستفيدين!$B:$F,5,FALSE)),"")</f>
        <v>مدرسة إرادة للتعليم (مكة)</v>
      </c>
      <c r="H179" s="24" t="s">
        <v>553</v>
      </c>
      <c r="I179" s="20" t="s">
        <v>74</v>
      </c>
      <c r="J179" s="20" t="s">
        <v>1</v>
      </c>
      <c r="K179" s="20" t="s">
        <v>10</v>
      </c>
      <c r="L179" s="26"/>
    </row>
    <row r="180" spans="1:12" x14ac:dyDescent="0.2">
      <c r="A180" s="18">
        <v>179</v>
      </c>
      <c r="B180" s="19">
        <v>45711</v>
      </c>
      <c r="C180" s="20">
        <v>1511480692</v>
      </c>
      <c r="D180" s="34" t="str">
        <f>IFERROR(IF(C180="","",VLOOKUP(C180,المستفيدين!$B:$C,2,FALSE)),"")</f>
        <v>مستفيد37</v>
      </c>
      <c r="E180" s="24" t="s">
        <v>212</v>
      </c>
      <c r="F180" s="34" t="str">
        <f>IFERROR(IF(E180="","",VLOOKUP(E180,الموظفين!$B:$C,2,FALSE)),"")</f>
        <v>موظف35</v>
      </c>
      <c r="G180" s="34" t="str">
        <f>IFERROR(IF(C180="","",VLOOKUP(C180,المستفيدين!$B:$F,5,FALSE)),"")</f>
        <v>مدرسة إرادة وتمكين لمتلازمة داون (نجد)</v>
      </c>
      <c r="H180" s="24" t="s">
        <v>552</v>
      </c>
      <c r="I180" s="24" t="s">
        <v>80</v>
      </c>
      <c r="J180" s="24" t="s">
        <v>0</v>
      </c>
      <c r="K180" s="24" t="s">
        <v>10</v>
      </c>
      <c r="L180" s="25" t="s">
        <v>525</v>
      </c>
    </row>
    <row r="181" spans="1:12" x14ac:dyDescent="0.2">
      <c r="A181" s="21">
        <v>180</v>
      </c>
      <c r="B181" s="22">
        <v>45712</v>
      </c>
      <c r="C181" s="20">
        <v>1772511961</v>
      </c>
      <c r="D181" s="34" t="str">
        <f>IFERROR(IF(C181="","",VLOOKUP(C181,المستفيدين!$B:$C,2,FALSE)),"")</f>
        <v>مستفيد68</v>
      </c>
      <c r="E181" s="20" t="s">
        <v>276</v>
      </c>
      <c r="F181" s="34" t="str">
        <f>IFERROR(IF(E181="","",VLOOKUP(E181,الموظفين!$B:$C,2,FALSE)),"")</f>
        <v>موظف67</v>
      </c>
      <c r="G181" s="34" t="str">
        <f>IFERROR(IF(C181="","",VLOOKUP(C181,المستفيدين!$B:$F,5,FALSE)),"")</f>
        <v>مدرسة إرادة للتعليم (مكة)</v>
      </c>
      <c r="H181" s="24" t="s">
        <v>552</v>
      </c>
      <c r="I181" s="20" t="s">
        <v>80</v>
      </c>
      <c r="J181" s="20" t="s">
        <v>1</v>
      </c>
      <c r="K181" s="20" t="s">
        <v>11</v>
      </c>
      <c r="L181" s="26"/>
    </row>
    <row r="182" spans="1:12" x14ac:dyDescent="0.2">
      <c r="A182" s="18">
        <v>181</v>
      </c>
      <c r="B182" s="19">
        <v>45712</v>
      </c>
      <c r="C182" s="20">
        <v>1337638473</v>
      </c>
      <c r="D182" s="34" t="str">
        <f>IFERROR(IF(C182="","",VLOOKUP(C182,المستفيدين!$B:$C,2,FALSE)),"")</f>
        <v>مستفيد193</v>
      </c>
      <c r="E182" s="24" t="s">
        <v>228</v>
      </c>
      <c r="F182" s="34" t="str">
        <f>IFERROR(IF(E182="","",VLOOKUP(E182,الموظفين!$B:$C,2,FALSE)),"")</f>
        <v>موظف43</v>
      </c>
      <c r="G182" s="34" t="str">
        <f>IFERROR(IF(C182="","",VLOOKUP(C182,المستفيدين!$B:$F,5,FALSE)),"")</f>
        <v>مركز إرادة وتمكين للرعاية النهارية (القدس)</v>
      </c>
      <c r="H182" s="24" t="s">
        <v>553</v>
      </c>
      <c r="I182" s="24" t="s">
        <v>76</v>
      </c>
      <c r="J182" s="24" t="s">
        <v>0</v>
      </c>
      <c r="K182" s="24" t="s">
        <v>9</v>
      </c>
      <c r="L182" s="25" t="s">
        <v>526</v>
      </c>
    </row>
    <row r="183" spans="1:12" x14ac:dyDescent="0.2">
      <c r="A183" s="21">
        <v>182</v>
      </c>
      <c r="B183" s="22">
        <v>45713</v>
      </c>
      <c r="C183" s="20">
        <v>1463642752</v>
      </c>
      <c r="D183" s="34" t="str">
        <f>IFERROR(IF(C183="","",VLOOKUP(C183,المستفيدين!$B:$C,2,FALSE)),"")</f>
        <v>مستفيد86</v>
      </c>
      <c r="E183" s="20" t="s">
        <v>314</v>
      </c>
      <c r="F183" s="34" t="str">
        <f>IFERROR(IF(E183="","",VLOOKUP(E183,الموظفين!$B:$C,2,FALSE)),"")</f>
        <v>موظف86</v>
      </c>
      <c r="G183" s="34" t="str">
        <f>IFERROR(IF(C183="","",VLOOKUP(C183,المستفيدين!$B:$F,5,FALSE)),"")</f>
        <v>مدرسة إرادة وتمكين لمتلازمة داون (نجد)</v>
      </c>
      <c r="H183" s="24" t="s">
        <v>553</v>
      </c>
      <c r="I183" s="20" t="s">
        <v>77</v>
      </c>
      <c r="J183" s="20" t="s">
        <v>1</v>
      </c>
      <c r="K183" s="20" t="s">
        <v>9</v>
      </c>
      <c r="L183" s="26" t="s">
        <v>525</v>
      </c>
    </row>
    <row r="184" spans="1:12" x14ac:dyDescent="0.2">
      <c r="A184" s="18">
        <v>183</v>
      </c>
      <c r="B184" s="19">
        <v>45716</v>
      </c>
      <c r="C184" s="20">
        <v>1909062660</v>
      </c>
      <c r="D184" s="34" t="str">
        <f>IFERROR(IF(C184="","",VLOOKUP(C184,المستفيدين!$B:$C,2,FALSE)),"")</f>
        <v>مستفيد195</v>
      </c>
      <c r="E184" s="24" t="s">
        <v>326</v>
      </c>
      <c r="F184" s="34" t="str">
        <f>IFERROR(IF(E184="","",VLOOKUP(E184,الموظفين!$B:$C,2,FALSE)),"")</f>
        <v>موظف92</v>
      </c>
      <c r="G184" s="34" t="str">
        <f>IFERROR(IF(C184="","",VLOOKUP(C184,المستفيدين!$B:$F,5,FALSE)),"")</f>
        <v>مدرسة إرادة للتعليم (مكة)</v>
      </c>
      <c r="H184" s="24" t="s">
        <v>553</v>
      </c>
      <c r="I184" s="24" t="s">
        <v>79</v>
      </c>
      <c r="J184" s="24" t="s">
        <v>0</v>
      </c>
      <c r="K184" s="24" t="s">
        <v>9</v>
      </c>
      <c r="L184" s="25" t="s">
        <v>524</v>
      </c>
    </row>
    <row r="185" spans="1:12" x14ac:dyDescent="0.2">
      <c r="A185" s="21">
        <v>184</v>
      </c>
      <c r="B185" s="22">
        <v>45717</v>
      </c>
      <c r="C185" s="20">
        <v>1700680764</v>
      </c>
      <c r="D185" s="34" t="str">
        <f>IFERROR(IF(C185="","",VLOOKUP(C185,المستفيدين!$B:$C,2,FALSE)),"")</f>
        <v>مستفيد97</v>
      </c>
      <c r="E185" s="20" t="s">
        <v>274</v>
      </c>
      <c r="F185" s="34" t="str">
        <f>IFERROR(IF(E185="","",VLOOKUP(E185,الموظفين!$B:$C,2,FALSE)),"")</f>
        <v>موظف66</v>
      </c>
      <c r="G185" s="34" t="str">
        <f>IFERROR(IF(C185="","",VLOOKUP(C185,المستفيدين!$B:$F,5,FALSE)),"")</f>
        <v>مركز إرادة وتمكين لرعاية ذوي الاحتياجات الخاصة (جلمودة)</v>
      </c>
      <c r="H185" s="24" t="s">
        <v>553</v>
      </c>
      <c r="I185" s="20" t="s">
        <v>74</v>
      </c>
      <c r="J185" s="20" t="s">
        <v>1</v>
      </c>
      <c r="K185" s="20" t="s">
        <v>11</v>
      </c>
      <c r="L185" s="26"/>
    </row>
    <row r="186" spans="1:12" x14ac:dyDescent="0.2">
      <c r="A186" s="18">
        <v>185</v>
      </c>
      <c r="B186" s="19">
        <v>45718</v>
      </c>
      <c r="C186" s="20">
        <v>1885244360</v>
      </c>
      <c r="D186" s="34" t="str">
        <f>IFERROR(IF(C186="","",VLOOKUP(C186,المستفيدين!$B:$C,2,FALSE)),"")</f>
        <v>مستفيد171</v>
      </c>
      <c r="E186" s="24" t="s">
        <v>290</v>
      </c>
      <c r="F186" s="34" t="str">
        <f>IFERROR(IF(E186="","",VLOOKUP(E186,الموظفين!$B:$C,2,FALSE)),"")</f>
        <v>موظف74</v>
      </c>
      <c r="G186" s="34" t="str">
        <f>IFERROR(IF(C186="","",VLOOKUP(C186,المستفيدين!$B:$F,5,FALSE)),"")</f>
        <v>مركز إرادة وتمكين لمتلازمة داون (نجد)</v>
      </c>
      <c r="H186" s="24" t="s">
        <v>553</v>
      </c>
      <c r="I186" s="24" t="s">
        <v>75</v>
      </c>
      <c r="J186" s="24" t="s">
        <v>1</v>
      </c>
      <c r="K186" s="24" t="s">
        <v>9</v>
      </c>
      <c r="L186" s="25" t="s">
        <v>51</v>
      </c>
    </row>
    <row r="187" spans="1:12" x14ac:dyDescent="0.2">
      <c r="A187" s="21">
        <v>186</v>
      </c>
      <c r="B187" s="22">
        <v>45718</v>
      </c>
      <c r="C187" s="20">
        <v>1911132783</v>
      </c>
      <c r="D187" s="34" t="str">
        <f>IFERROR(IF(C187="","",VLOOKUP(C187,المستفيدين!$B:$C,2,FALSE)),"")</f>
        <v>مستفيد59</v>
      </c>
      <c r="E187" s="20" t="s">
        <v>316</v>
      </c>
      <c r="F187" s="34" t="str">
        <f>IFERROR(IF(E187="","",VLOOKUP(E187,الموظفين!$B:$C,2,FALSE)),"")</f>
        <v>موظف87</v>
      </c>
      <c r="G187" s="34" t="str">
        <f>IFERROR(IF(C187="","",VLOOKUP(C187,المستفيدين!$B:$F,5,FALSE)),"")</f>
        <v>مركز إرادة وتمكين للرعاية النهارية (القدس)</v>
      </c>
      <c r="H187" s="24" t="s">
        <v>552</v>
      </c>
      <c r="I187" s="20" t="s">
        <v>81</v>
      </c>
      <c r="J187" s="20" t="s">
        <v>0</v>
      </c>
      <c r="K187" s="20" t="s">
        <v>9</v>
      </c>
      <c r="L187" s="26"/>
    </row>
    <row r="188" spans="1:12" x14ac:dyDescent="0.2">
      <c r="A188" s="18">
        <v>187</v>
      </c>
      <c r="B188" s="19">
        <v>45719</v>
      </c>
      <c r="C188" s="20">
        <v>1590618188</v>
      </c>
      <c r="D188" s="34" t="str">
        <f>IFERROR(IF(C188="","",VLOOKUP(C188,المستفيدين!$B:$C,2,FALSE)),"")</f>
        <v>مستفيد27</v>
      </c>
      <c r="E188" s="24" t="s">
        <v>158</v>
      </c>
      <c r="F188" s="34" t="str">
        <f>IFERROR(IF(E188="","",VLOOKUP(E188,الموظفين!$B:$C,2,FALSE)),"")</f>
        <v>موظف8</v>
      </c>
      <c r="G188" s="34" t="str">
        <f>IFERROR(IF(C188="","",VLOOKUP(C188,المستفيدين!$B:$F,5,FALSE)),"")</f>
        <v>مدرسة إرادة وتمكين لمتلازمة داون (نجد)</v>
      </c>
      <c r="H188" s="24" t="s">
        <v>553</v>
      </c>
      <c r="I188" s="24" t="s">
        <v>76</v>
      </c>
      <c r="J188" s="24" t="s">
        <v>0</v>
      </c>
      <c r="K188" s="24" t="s">
        <v>9</v>
      </c>
      <c r="L188" s="25" t="s">
        <v>524</v>
      </c>
    </row>
    <row r="189" spans="1:12" x14ac:dyDescent="0.2">
      <c r="A189" s="21">
        <v>188</v>
      </c>
      <c r="B189" s="22">
        <v>45720</v>
      </c>
      <c r="C189" s="20">
        <v>1772511961</v>
      </c>
      <c r="D189" s="34" t="str">
        <f>IFERROR(IF(C189="","",VLOOKUP(C189,المستفيدين!$B:$C,2,FALSE)),"")</f>
        <v>مستفيد68</v>
      </c>
      <c r="E189" s="20" t="s">
        <v>154</v>
      </c>
      <c r="F189" s="34" t="str">
        <f>IFERROR(IF(E189="","",VLOOKUP(E189,الموظفين!$B:$C,2,FALSE)),"")</f>
        <v>موظف6</v>
      </c>
      <c r="G189" s="34" t="str">
        <f>IFERROR(IF(C189="","",VLOOKUP(C189,المستفيدين!$B:$F,5,FALSE)),"")</f>
        <v>مدرسة إرادة للتعليم (مكة)</v>
      </c>
      <c r="H189" s="24" t="s">
        <v>552</v>
      </c>
      <c r="I189" s="20" t="s">
        <v>556</v>
      </c>
      <c r="J189" s="20" t="s">
        <v>0</v>
      </c>
      <c r="K189" s="20" t="s">
        <v>9</v>
      </c>
      <c r="L189" s="26" t="s">
        <v>51</v>
      </c>
    </row>
    <row r="190" spans="1:12" x14ac:dyDescent="0.2">
      <c r="A190" s="18">
        <v>189</v>
      </c>
      <c r="B190" s="19">
        <v>45720</v>
      </c>
      <c r="C190" s="20">
        <v>1181928548</v>
      </c>
      <c r="D190" s="34" t="str">
        <f>IFERROR(IF(C190="","",VLOOKUP(C190,المستفيدين!$B:$C,2,FALSE)),"")</f>
        <v>مستفيد128</v>
      </c>
      <c r="E190" s="24" t="s">
        <v>240</v>
      </c>
      <c r="F190" s="34" t="str">
        <f>IFERROR(IF(E190="","",VLOOKUP(E190,الموظفين!$B:$C,2,FALSE)),"")</f>
        <v>موظف49</v>
      </c>
      <c r="G190" s="34" t="str">
        <f>IFERROR(IF(C190="","",VLOOKUP(C190,المستفيدين!$B:$F,5,FALSE)),"")</f>
        <v>مدرسة إرادة للتعليم (مكة)</v>
      </c>
      <c r="H190" s="24" t="s">
        <v>552</v>
      </c>
      <c r="I190" s="24" t="s">
        <v>556</v>
      </c>
      <c r="J190" s="24" t="s">
        <v>0</v>
      </c>
      <c r="K190" s="24" t="s">
        <v>10</v>
      </c>
      <c r="L190" s="25" t="s">
        <v>526</v>
      </c>
    </row>
    <row r="191" spans="1:12" x14ac:dyDescent="0.2">
      <c r="A191" s="21">
        <v>190</v>
      </c>
      <c r="B191" s="22">
        <v>45721</v>
      </c>
      <c r="C191" s="20">
        <v>1135186222</v>
      </c>
      <c r="D191" s="34" t="str">
        <f>IFERROR(IF(C191="","",VLOOKUP(C191,المستفيدين!$B:$C,2,FALSE)),"")</f>
        <v>مستفيد106</v>
      </c>
      <c r="E191" s="20" t="s">
        <v>328</v>
      </c>
      <c r="F191" s="34" t="str">
        <f>IFERROR(IF(E191="","",VLOOKUP(E191,الموظفين!$B:$C,2,FALSE)),"")</f>
        <v>موظف93</v>
      </c>
      <c r="G191" s="34" t="str">
        <f>IFERROR(IF(C191="","",VLOOKUP(C191,المستفيدين!$B:$F,5,FALSE)),"")</f>
        <v>مدرسة إرادة وتمكين لمتلازمة داون (نجد)</v>
      </c>
      <c r="H191" s="24" t="s">
        <v>553</v>
      </c>
      <c r="I191" s="20" t="s">
        <v>77</v>
      </c>
      <c r="J191" s="20" t="s">
        <v>0</v>
      </c>
      <c r="K191" s="20" t="s">
        <v>12</v>
      </c>
      <c r="L191" s="26" t="s">
        <v>51</v>
      </c>
    </row>
    <row r="192" spans="1:12" x14ac:dyDescent="0.2">
      <c r="A192" s="18">
        <v>191</v>
      </c>
      <c r="B192" s="19">
        <v>45723</v>
      </c>
      <c r="C192" s="20">
        <v>1480462141</v>
      </c>
      <c r="D192" s="34" t="str">
        <f>IFERROR(IF(C192="","",VLOOKUP(C192,المستفيدين!$B:$C,2,FALSE)),"")</f>
        <v>مستفيد69</v>
      </c>
      <c r="E192" s="24" t="s">
        <v>336</v>
      </c>
      <c r="F192" s="34" t="str">
        <f>IFERROR(IF(E192="","",VLOOKUP(E192,الموظفين!$B:$C,2,FALSE)),"")</f>
        <v>موظف97</v>
      </c>
      <c r="G192" s="34" t="str">
        <f>IFERROR(IF(C192="","",VLOOKUP(C192,المستفيدين!$B:$F,5,FALSE)),"")</f>
        <v>مركز إرادة وتمكين لمتلازمة داون (نجد)</v>
      </c>
      <c r="H192" s="24" t="s">
        <v>553</v>
      </c>
      <c r="I192" s="24" t="s">
        <v>78</v>
      </c>
      <c r="J192" s="24" t="s">
        <v>0</v>
      </c>
      <c r="K192" s="24" t="s">
        <v>9</v>
      </c>
      <c r="L192" s="25"/>
    </row>
    <row r="193" spans="1:12" x14ac:dyDescent="0.2">
      <c r="A193" s="21">
        <v>192</v>
      </c>
      <c r="B193" s="22">
        <v>45723</v>
      </c>
      <c r="C193" s="20">
        <v>1065080091</v>
      </c>
      <c r="D193" s="34" t="str">
        <f>IFERROR(IF(C193="","",VLOOKUP(C193,المستفيدين!$B:$C,2,FALSE)),"")</f>
        <v>مستفيد88</v>
      </c>
      <c r="E193" s="20" t="s">
        <v>236</v>
      </c>
      <c r="F193" s="34" t="str">
        <f>IFERROR(IF(E193="","",VLOOKUP(E193,الموظفين!$B:$C,2,FALSE)),"")</f>
        <v>موظف47</v>
      </c>
      <c r="G193" s="34" t="str">
        <f>IFERROR(IF(C193="","",VLOOKUP(C193,المستفيدين!$B:$F,5,FALSE)),"")</f>
        <v>مركز إرادة وتمكين للرعاية النهارية (القدس)</v>
      </c>
      <c r="H193" s="24" t="s">
        <v>553</v>
      </c>
      <c r="I193" s="20" t="s">
        <v>79</v>
      </c>
      <c r="J193" s="20" t="s">
        <v>1</v>
      </c>
      <c r="K193" s="20" t="s">
        <v>9</v>
      </c>
      <c r="L193" s="26"/>
    </row>
    <row r="194" spans="1:12" x14ac:dyDescent="0.2">
      <c r="A194" s="18">
        <v>193</v>
      </c>
      <c r="B194" s="19">
        <v>45727</v>
      </c>
      <c r="C194" s="20">
        <v>1417717432</v>
      </c>
      <c r="D194" s="34" t="str">
        <f>IFERROR(IF(C194="","",VLOOKUP(C194,المستفيدين!$B:$C,2,FALSE)),"")</f>
        <v>مستفيد110</v>
      </c>
      <c r="E194" s="24" t="s">
        <v>204</v>
      </c>
      <c r="F194" s="34" t="str">
        <f>IFERROR(IF(E194="","",VLOOKUP(E194,الموظفين!$B:$C,2,FALSE)),"")</f>
        <v>موظف31</v>
      </c>
      <c r="G194" s="34" t="str">
        <f>IFERROR(IF(C194="","",VLOOKUP(C194,المستفيدين!$B:$F,5,FALSE)),"")</f>
        <v>مدرسة إرادة وتمكين لمتلازمة داون (نجد)</v>
      </c>
      <c r="H194" s="24" t="s">
        <v>552</v>
      </c>
      <c r="I194" s="24" t="s">
        <v>81</v>
      </c>
      <c r="J194" s="24" t="s">
        <v>1</v>
      </c>
      <c r="K194" s="24" t="s">
        <v>9</v>
      </c>
      <c r="L194" s="25" t="s">
        <v>51</v>
      </c>
    </row>
    <row r="195" spans="1:12" x14ac:dyDescent="0.2">
      <c r="A195" s="21">
        <v>194</v>
      </c>
      <c r="B195" s="22">
        <v>45728</v>
      </c>
      <c r="C195" s="20">
        <v>1049921311</v>
      </c>
      <c r="D195" s="34" t="str">
        <f>IFERROR(IF(C195="","",VLOOKUP(C195,المستفيدين!$B:$C,2,FALSE)),"")</f>
        <v>مستفيد133</v>
      </c>
      <c r="E195" s="20" t="s">
        <v>330</v>
      </c>
      <c r="F195" s="34" t="str">
        <f>IFERROR(IF(E195="","",VLOOKUP(E195,الموظفين!$B:$C,2,FALSE)),"")</f>
        <v>موظف94</v>
      </c>
      <c r="G195" s="34" t="str">
        <f>IFERROR(IF(C195="","",VLOOKUP(C195,المستفيدين!$B:$F,5,FALSE)),"")</f>
        <v>مدرسة إرادة للتعليم (مكة)</v>
      </c>
      <c r="H195" s="24" t="s">
        <v>553</v>
      </c>
      <c r="I195" s="20" t="s">
        <v>79</v>
      </c>
      <c r="J195" s="20" t="s">
        <v>1</v>
      </c>
      <c r="K195" s="20" t="s">
        <v>11</v>
      </c>
      <c r="L195" s="26"/>
    </row>
    <row r="196" spans="1:12" x14ac:dyDescent="0.2">
      <c r="A196" s="18">
        <v>195</v>
      </c>
      <c r="B196" s="19">
        <v>45728</v>
      </c>
      <c r="C196" s="20">
        <v>1777789161</v>
      </c>
      <c r="D196" s="34" t="str">
        <f>IFERROR(IF(C196="","",VLOOKUP(C196,المستفيدين!$B:$C,2,FALSE)),"")</f>
        <v>مستفيد12</v>
      </c>
      <c r="E196" s="24" t="s">
        <v>260</v>
      </c>
      <c r="F196" s="34" t="str">
        <f>IFERROR(IF(E196="","",VLOOKUP(E196,الموظفين!$B:$C,2,FALSE)),"")</f>
        <v>موظف59</v>
      </c>
      <c r="G196" s="34" t="str">
        <f>IFERROR(IF(C196="","",VLOOKUP(C196,المستفيدين!$B:$F,5,FALSE)),"")</f>
        <v>مدرسة إرادة للتعليم (مكة)</v>
      </c>
      <c r="H196" s="24" t="s">
        <v>553</v>
      </c>
      <c r="I196" s="24" t="s">
        <v>77</v>
      </c>
      <c r="J196" s="24" t="s">
        <v>0</v>
      </c>
      <c r="K196" s="24" t="s">
        <v>9</v>
      </c>
      <c r="L196" s="25" t="s">
        <v>526</v>
      </c>
    </row>
    <row r="197" spans="1:12" x14ac:dyDescent="0.2">
      <c r="A197" s="21">
        <v>196</v>
      </c>
      <c r="B197" s="22">
        <v>45729</v>
      </c>
      <c r="C197" s="20">
        <v>1976051713</v>
      </c>
      <c r="D197" s="34" t="str">
        <f>IFERROR(IF(C197="","",VLOOKUP(C197,المستفيدين!$B:$C,2,FALSE)),"")</f>
        <v>مستفيد118</v>
      </c>
      <c r="E197" s="20" t="s">
        <v>170</v>
      </c>
      <c r="F197" s="34" t="str">
        <f>IFERROR(IF(E197="","",VLOOKUP(E197,الموظفين!$B:$C,2,FALSE)),"")</f>
        <v>موظف14</v>
      </c>
      <c r="G197" s="34" t="str">
        <f>IFERROR(IF(C197="","",VLOOKUP(C197,المستفيدين!$B:$F,5,FALSE)),"")</f>
        <v>مدرسة إرادة وتمكين لمتلازمة داون (نجد)</v>
      </c>
      <c r="H197" s="24" t="s">
        <v>553</v>
      </c>
      <c r="I197" s="20" t="s">
        <v>76</v>
      </c>
      <c r="J197" s="20" t="s">
        <v>0</v>
      </c>
      <c r="K197" s="20" t="s">
        <v>9</v>
      </c>
      <c r="L197" s="26" t="s">
        <v>524</v>
      </c>
    </row>
    <row r="198" spans="1:12" x14ac:dyDescent="0.2">
      <c r="A198" s="18">
        <v>197</v>
      </c>
      <c r="B198" s="19">
        <v>45730</v>
      </c>
      <c r="C198" s="20">
        <v>1055787167</v>
      </c>
      <c r="D198" s="34" t="str">
        <f>IFERROR(IF(C198="","",VLOOKUP(C198,المستفيدين!$B:$C,2,FALSE)),"")</f>
        <v>مستفيد134</v>
      </c>
      <c r="E198" s="24" t="s">
        <v>202</v>
      </c>
      <c r="F198" s="34" t="str">
        <f>IFERROR(IF(E198="","",VLOOKUP(E198,الموظفين!$B:$C,2,FALSE)),"")</f>
        <v>موظف30</v>
      </c>
      <c r="G198" s="34" t="str">
        <f>IFERROR(IF(C198="","",VLOOKUP(C198,المستفيدين!$B:$F,5,FALSE)),"")</f>
        <v>مركز إرادة وتمكين لرعاية ذوي الاحتياجات الخاصة (جلمودة)</v>
      </c>
      <c r="H198" s="24" t="s">
        <v>553</v>
      </c>
      <c r="I198" s="24" t="s">
        <v>77</v>
      </c>
      <c r="J198" s="24" t="s">
        <v>0</v>
      </c>
      <c r="K198" s="24" t="s">
        <v>9</v>
      </c>
      <c r="L198" s="25" t="s">
        <v>523</v>
      </c>
    </row>
    <row r="199" spans="1:12" x14ac:dyDescent="0.2">
      <c r="A199" s="21">
        <v>198</v>
      </c>
      <c r="B199" s="22">
        <v>45731</v>
      </c>
      <c r="C199" s="20">
        <v>1265180355</v>
      </c>
      <c r="D199" s="34" t="str">
        <f>IFERROR(IF(C199="","",VLOOKUP(C199,المستفيدين!$B:$C,2,FALSE)),"")</f>
        <v>مستفيد157</v>
      </c>
      <c r="E199" s="20" t="s">
        <v>336</v>
      </c>
      <c r="F199" s="34" t="str">
        <f>IFERROR(IF(E199="","",VLOOKUP(E199,الموظفين!$B:$C,2,FALSE)),"")</f>
        <v>موظف97</v>
      </c>
      <c r="G199" s="34" t="str">
        <f>IFERROR(IF(C199="","",VLOOKUP(C199,المستفيدين!$B:$F,5,FALSE)),"")</f>
        <v>مدرسة إرادة للتعليم (مكة)</v>
      </c>
      <c r="H199" s="24" t="s">
        <v>553</v>
      </c>
      <c r="I199" s="20" t="s">
        <v>78</v>
      </c>
      <c r="J199" s="20" t="s">
        <v>0</v>
      </c>
      <c r="K199" s="20" t="s">
        <v>10</v>
      </c>
      <c r="L199" s="26" t="s">
        <v>526</v>
      </c>
    </row>
    <row r="200" spans="1:12" x14ac:dyDescent="0.2">
      <c r="A200" s="18">
        <v>199</v>
      </c>
      <c r="B200" s="19">
        <v>45736</v>
      </c>
      <c r="C200" s="20">
        <v>1026299883</v>
      </c>
      <c r="D200" s="34" t="str">
        <f>IFERROR(IF(C200="","",VLOOKUP(C200,المستفيدين!$B:$C,2,FALSE)),"")</f>
        <v>مستفيد166</v>
      </c>
      <c r="E200" s="24" t="s">
        <v>226</v>
      </c>
      <c r="F200" s="34" t="str">
        <f>IFERROR(IF(E200="","",VLOOKUP(E200,الموظفين!$B:$C,2,FALSE)),"")</f>
        <v>موظف42</v>
      </c>
      <c r="G200" s="34" t="str">
        <f>IFERROR(IF(C200="","",VLOOKUP(C200,المستفيدين!$B:$F,5,FALSE)),"")</f>
        <v>مركز إرادة وتمكين للرعاية النهارية (القدس)</v>
      </c>
      <c r="H200" s="24" t="s">
        <v>552</v>
      </c>
      <c r="I200" s="24" t="s">
        <v>81</v>
      </c>
      <c r="J200" s="24" t="s">
        <v>0</v>
      </c>
      <c r="K200" s="24" t="s">
        <v>9</v>
      </c>
      <c r="L200" s="25"/>
    </row>
    <row r="201" spans="1:12" x14ac:dyDescent="0.2">
      <c r="A201" s="21">
        <v>200</v>
      </c>
      <c r="B201" s="22">
        <v>45737</v>
      </c>
      <c r="C201" s="20">
        <v>1511480692</v>
      </c>
      <c r="D201" s="34" t="str">
        <f>IFERROR(IF(C201="","",VLOOKUP(C201,المستفيدين!$B:$C,2,FALSE)),"")</f>
        <v>مستفيد37</v>
      </c>
      <c r="E201" s="20" t="s">
        <v>286</v>
      </c>
      <c r="F201" s="34" t="str">
        <f>IFERROR(IF(E201="","",VLOOKUP(E201,الموظفين!$B:$C,2,FALSE)),"")</f>
        <v>موظف72</v>
      </c>
      <c r="G201" s="34" t="str">
        <f>IFERROR(IF(C201="","",VLOOKUP(C201,المستفيدين!$B:$F,5,FALSE)),"")</f>
        <v>مدرسة إرادة وتمكين لمتلازمة داون (نجد)</v>
      </c>
      <c r="H201" s="24" t="s">
        <v>553</v>
      </c>
      <c r="I201" s="20" t="s">
        <v>77</v>
      </c>
      <c r="J201" s="20" t="s">
        <v>0</v>
      </c>
      <c r="K201" s="20" t="s">
        <v>9</v>
      </c>
      <c r="L201" s="26"/>
    </row>
    <row r="202" spans="1:12" x14ac:dyDescent="0.2">
      <c r="A202" s="18">
        <v>201</v>
      </c>
      <c r="B202" s="19">
        <v>45738</v>
      </c>
      <c r="C202" s="20">
        <v>1854312995</v>
      </c>
      <c r="D202" s="34" t="str">
        <f>IFERROR(IF(C202="","",VLOOKUP(C202,المستفيدين!$B:$C,2,FALSE)),"")</f>
        <v>مستفيد7</v>
      </c>
      <c r="E202" s="24" t="s">
        <v>342</v>
      </c>
      <c r="F202" s="34" t="str">
        <f>IFERROR(IF(E202="","",VLOOKUP(E202,الموظفين!$B:$C,2,FALSE)),"")</f>
        <v>موظف100</v>
      </c>
      <c r="G202" s="34" t="str">
        <f>IFERROR(IF(C202="","",VLOOKUP(C202,المستفيدين!$B:$F,5,FALSE)),"")</f>
        <v>مدرسة إرادة وتمكين لمتلازمة داون (نجد)</v>
      </c>
      <c r="H202" s="24" t="s">
        <v>552</v>
      </c>
      <c r="I202" s="24" t="s">
        <v>555</v>
      </c>
      <c r="J202" s="24" t="s">
        <v>1</v>
      </c>
      <c r="K202" s="24" t="s">
        <v>11</v>
      </c>
      <c r="L202" s="25"/>
    </row>
    <row r="203" spans="1:12" x14ac:dyDescent="0.2">
      <c r="A203" s="21">
        <v>202</v>
      </c>
      <c r="B203" s="22">
        <v>45740</v>
      </c>
      <c r="C203" s="20">
        <v>1750266812</v>
      </c>
      <c r="D203" s="34" t="str">
        <f>IFERROR(IF(C203="","",VLOOKUP(C203,المستفيدين!$B:$C,2,FALSE)),"")</f>
        <v>مستفيد145</v>
      </c>
      <c r="E203" s="20" t="s">
        <v>178</v>
      </c>
      <c r="F203" s="34" t="str">
        <f>IFERROR(IF(E203="","",VLOOKUP(E203,الموظفين!$B:$C,2,FALSE)),"")</f>
        <v>موظف18</v>
      </c>
      <c r="G203" s="34" t="str">
        <f>IFERROR(IF(C203="","",VLOOKUP(C203,المستفيدين!$B:$F,5,FALSE)),"")</f>
        <v>مدرسة إرادة وتمكين لمتلازمة داون (نجد)</v>
      </c>
      <c r="H203" s="24" t="s">
        <v>553</v>
      </c>
      <c r="I203" s="20" t="s">
        <v>78</v>
      </c>
      <c r="J203" s="20" t="s">
        <v>1</v>
      </c>
      <c r="K203" s="20" t="s">
        <v>9</v>
      </c>
      <c r="L203" s="26" t="s">
        <v>525</v>
      </c>
    </row>
    <row r="204" spans="1:12" x14ac:dyDescent="0.2">
      <c r="A204" s="18">
        <v>203</v>
      </c>
      <c r="B204" s="19">
        <v>45740</v>
      </c>
      <c r="C204" s="20">
        <v>1839924869</v>
      </c>
      <c r="D204" s="34" t="str">
        <f>IFERROR(IF(C204="","",VLOOKUP(C204,المستفيدين!$B:$C,2,FALSE)),"")</f>
        <v>مستفيد14</v>
      </c>
      <c r="E204" s="24" t="s">
        <v>312</v>
      </c>
      <c r="F204" s="34" t="str">
        <f>IFERROR(IF(E204="","",VLOOKUP(E204,الموظفين!$B:$C,2,FALSE)),"")</f>
        <v>موظف85</v>
      </c>
      <c r="G204" s="34" t="str">
        <f>IFERROR(IF(C204="","",VLOOKUP(C204,المستفيدين!$B:$F,5,FALSE)),"")</f>
        <v>مدرسة إرادة وتمكين لمتلازمة داون (نجد)</v>
      </c>
      <c r="H204" s="24" t="s">
        <v>552</v>
      </c>
      <c r="I204" s="24" t="s">
        <v>81</v>
      </c>
      <c r="J204" s="24" t="s">
        <v>1</v>
      </c>
      <c r="K204" s="24" t="s">
        <v>9</v>
      </c>
      <c r="L204" s="25" t="s">
        <v>523</v>
      </c>
    </row>
    <row r="205" spans="1:12" x14ac:dyDescent="0.2">
      <c r="A205" s="21">
        <v>204</v>
      </c>
      <c r="B205" s="22">
        <v>45740</v>
      </c>
      <c r="C205" s="20">
        <v>1643206666</v>
      </c>
      <c r="D205" s="34" t="str">
        <f>IFERROR(IF(C205="","",VLOOKUP(C205,المستفيدين!$B:$C,2,FALSE)),"")</f>
        <v>مستفيد95</v>
      </c>
      <c r="E205" s="20" t="s">
        <v>254</v>
      </c>
      <c r="F205" s="34" t="str">
        <f>IFERROR(IF(E205="","",VLOOKUP(E205,الموظفين!$B:$C,2,FALSE)),"")</f>
        <v>موظف56</v>
      </c>
      <c r="G205" s="34" t="str">
        <f>IFERROR(IF(C205="","",VLOOKUP(C205,المستفيدين!$B:$F,5,FALSE)),"")</f>
        <v>مركز إرادة وتمكين لمتلازمة داون (نجد)</v>
      </c>
      <c r="H205" s="24" t="s">
        <v>553</v>
      </c>
      <c r="I205" s="20" t="s">
        <v>75</v>
      </c>
      <c r="J205" s="20" t="s">
        <v>0</v>
      </c>
      <c r="K205" s="20" t="s">
        <v>10</v>
      </c>
      <c r="L205" s="26"/>
    </row>
    <row r="206" spans="1:12" x14ac:dyDescent="0.2">
      <c r="A206" s="18">
        <v>205</v>
      </c>
      <c r="B206" s="19">
        <v>45743</v>
      </c>
      <c r="C206" s="20">
        <v>1680947465</v>
      </c>
      <c r="D206" s="34" t="str">
        <f>IFERROR(IF(C206="","",VLOOKUP(C206,المستفيدين!$B:$C,2,FALSE)),"")</f>
        <v>مستفيد84</v>
      </c>
      <c r="E206" s="24" t="s">
        <v>214</v>
      </c>
      <c r="F206" s="34" t="str">
        <f>IFERROR(IF(E206="","",VLOOKUP(E206,الموظفين!$B:$C,2,FALSE)),"")</f>
        <v>موظف36</v>
      </c>
      <c r="G206" s="34" t="str">
        <f>IFERROR(IF(C206="","",VLOOKUP(C206,المستفيدين!$B:$F,5,FALSE)),"")</f>
        <v>مركز إرادة وتمكين لمتلازمة داون (نجد)</v>
      </c>
      <c r="H206" s="24" t="s">
        <v>553</v>
      </c>
      <c r="I206" s="24" t="s">
        <v>78</v>
      </c>
      <c r="J206" s="24" t="s">
        <v>1</v>
      </c>
      <c r="K206" s="24" t="s">
        <v>9</v>
      </c>
      <c r="L206" s="25" t="s">
        <v>525</v>
      </c>
    </row>
    <row r="207" spans="1:12" x14ac:dyDescent="0.2">
      <c r="A207" s="21">
        <v>206</v>
      </c>
      <c r="B207" s="22">
        <v>45743</v>
      </c>
      <c r="C207" s="20">
        <v>1410729757</v>
      </c>
      <c r="D207" s="34" t="str">
        <f>IFERROR(IF(C207="","",VLOOKUP(C207,المستفيدين!$B:$C,2,FALSE)),"")</f>
        <v>مستفيد70</v>
      </c>
      <c r="E207" s="20" t="s">
        <v>284</v>
      </c>
      <c r="F207" s="34" t="str">
        <f>IFERROR(IF(E207="","",VLOOKUP(E207,الموظفين!$B:$C,2,FALSE)),"")</f>
        <v>موظف71</v>
      </c>
      <c r="G207" s="34" t="str">
        <f>IFERROR(IF(C207="","",VLOOKUP(C207,المستفيدين!$B:$F,5,FALSE)),"")</f>
        <v>مركز إرادة وتمكين لمتلازمة داون (نجد)</v>
      </c>
      <c r="H207" s="24" t="s">
        <v>552</v>
      </c>
      <c r="I207" s="20" t="s">
        <v>555</v>
      </c>
      <c r="J207" s="20" t="s">
        <v>1</v>
      </c>
      <c r="K207" s="20" t="s">
        <v>9</v>
      </c>
      <c r="L207" s="26" t="s">
        <v>51</v>
      </c>
    </row>
    <row r="208" spans="1:12" x14ac:dyDescent="0.2">
      <c r="A208" s="18">
        <v>207</v>
      </c>
      <c r="B208" s="19">
        <v>45744</v>
      </c>
      <c r="C208" s="20">
        <v>1069215057</v>
      </c>
      <c r="D208" s="34" t="str">
        <f>IFERROR(IF(C208="","",VLOOKUP(C208,المستفيدين!$B:$C,2,FALSE)),"")</f>
        <v>مستفيد183</v>
      </c>
      <c r="E208" s="24" t="s">
        <v>172</v>
      </c>
      <c r="F208" s="34" t="str">
        <f>IFERROR(IF(E208="","",VLOOKUP(E208,الموظفين!$B:$C,2,FALSE)),"")</f>
        <v>موظف15</v>
      </c>
      <c r="G208" s="34" t="str">
        <f>IFERROR(IF(C208="","",VLOOKUP(C208,المستفيدين!$B:$F,5,FALSE)),"")</f>
        <v>مركز إرادة وتمكين لرعاية ذوي الاحتياجات الخاصة (جلمودة)</v>
      </c>
      <c r="H208" s="24" t="s">
        <v>553</v>
      </c>
      <c r="I208" s="24" t="s">
        <v>78</v>
      </c>
      <c r="J208" s="24" t="s">
        <v>1</v>
      </c>
      <c r="K208" s="24" t="s">
        <v>12</v>
      </c>
      <c r="L208" s="25"/>
    </row>
    <row r="209" spans="1:12" x14ac:dyDescent="0.2">
      <c r="A209" s="21">
        <v>208</v>
      </c>
      <c r="B209" s="22">
        <v>45746</v>
      </c>
      <c r="C209" s="20">
        <v>1525548329</v>
      </c>
      <c r="D209" s="34" t="str">
        <f>IFERROR(IF(C209="","",VLOOKUP(C209,المستفيدين!$B:$C,2,FALSE)),"")</f>
        <v>مستفيد187</v>
      </c>
      <c r="E209" s="20" t="s">
        <v>226</v>
      </c>
      <c r="F209" s="34" t="str">
        <f>IFERROR(IF(E209="","",VLOOKUP(E209,الموظفين!$B:$C,2,FALSE)),"")</f>
        <v>موظف42</v>
      </c>
      <c r="G209" s="34" t="str">
        <f>IFERROR(IF(C209="","",VLOOKUP(C209,المستفيدين!$B:$F,5,FALSE)),"")</f>
        <v>مركز إرادة وتمكين لرعاية ذوي الاحتياجات الخاصة (جلمودة)</v>
      </c>
      <c r="H209" s="24" t="s">
        <v>552</v>
      </c>
      <c r="I209" s="20" t="s">
        <v>81</v>
      </c>
      <c r="J209" s="20" t="s">
        <v>0</v>
      </c>
      <c r="K209" s="20" t="s">
        <v>11</v>
      </c>
      <c r="L209" s="26" t="s">
        <v>526</v>
      </c>
    </row>
    <row r="210" spans="1:12" x14ac:dyDescent="0.2">
      <c r="A210" s="18">
        <v>209</v>
      </c>
      <c r="B210" s="19">
        <v>45747</v>
      </c>
      <c r="C210" s="20">
        <v>1025469854</v>
      </c>
      <c r="D210" s="34" t="str">
        <f>IFERROR(IF(C210="","",VLOOKUP(C210,المستفيدين!$B:$C,2,FALSE)),"")</f>
        <v>مستفيد1</v>
      </c>
      <c r="E210" s="24" t="s">
        <v>230</v>
      </c>
      <c r="F210" s="34" t="str">
        <f>IFERROR(IF(E210="","",VLOOKUP(E210,الموظفين!$B:$C,2,FALSE)),"")</f>
        <v>موظف44</v>
      </c>
      <c r="G210" s="34" t="str">
        <f>IFERROR(IF(C210="","",VLOOKUP(C210,المستفيدين!$B:$F,5,FALSE)),"")</f>
        <v>مركز إرادة وتمكين للرعاية النهارية (القدس)</v>
      </c>
      <c r="H210" s="24" t="s">
        <v>553</v>
      </c>
      <c r="I210" s="24" t="s">
        <v>74</v>
      </c>
      <c r="J210" s="24" t="s">
        <v>0</v>
      </c>
      <c r="K210" s="24" t="s">
        <v>10</v>
      </c>
      <c r="L210" s="25"/>
    </row>
    <row r="211" spans="1:12" x14ac:dyDescent="0.2">
      <c r="A211" s="21">
        <v>210</v>
      </c>
      <c r="B211" s="22">
        <v>45747</v>
      </c>
      <c r="C211" s="20">
        <v>1508553395</v>
      </c>
      <c r="D211" s="34" t="str">
        <f>IFERROR(IF(C211="","",VLOOKUP(C211,المستفيدين!$B:$C,2,FALSE)),"")</f>
        <v>مستفيد129</v>
      </c>
      <c r="E211" s="20" t="s">
        <v>306</v>
      </c>
      <c r="F211" s="34" t="str">
        <f>IFERROR(IF(E211="","",VLOOKUP(E211,الموظفين!$B:$C,2,FALSE)),"")</f>
        <v>موظف82</v>
      </c>
      <c r="G211" s="34" t="str">
        <f>IFERROR(IF(C211="","",VLOOKUP(C211,المستفيدين!$B:$F,5,FALSE)),"")</f>
        <v>مدرسة إرادة وتمكين لمتلازمة داون (نجد)</v>
      </c>
      <c r="H211" s="24" t="s">
        <v>553</v>
      </c>
      <c r="I211" s="20" t="s">
        <v>79</v>
      </c>
      <c r="J211" s="20" t="s">
        <v>0</v>
      </c>
      <c r="K211" s="20" t="s">
        <v>10</v>
      </c>
      <c r="L211" s="26" t="s">
        <v>525</v>
      </c>
    </row>
    <row r="212" spans="1:12" x14ac:dyDescent="0.2">
      <c r="A212" s="18">
        <v>211</v>
      </c>
      <c r="B212" s="19">
        <v>45750</v>
      </c>
      <c r="C212" s="20">
        <v>1739588802</v>
      </c>
      <c r="D212" s="34" t="str">
        <f>IFERROR(IF(C212="","",VLOOKUP(C212,المستفيدين!$B:$C,2,FALSE)),"")</f>
        <v>مستفيد101</v>
      </c>
      <c r="E212" s="24" t="s">
        <v>272</v>
      </c>
      <c r="F212" s="34" t="str">
        <f>IFERROR(IF(E212="","",VLOOKUP(E212,الموظفين!$B:$C,2,FALSE)),"")</f>
        <v>موظف65</v>
      </c>
      <c r="G212" s="34" t="str">
        <f>IFERROR(IF(C212="","",VLOOKUP(C212,المستفيدين!$B:$F,5,FALSE)),"")</f>
        <v>مدرسة إرادة للتعليم (مكة)</v>
      </c>
      <c r="H212" s="24" t="s">
        <v>553</v>
      </c>
      <c r="I212" s="24" t="s">
        <v>78</v>
      </c>
      <c r="J212" s="24" t="s">
        <v>1</v>
      </c>
      <c r="K212" s="24" t="s">
        <v>9</v>
      </c>
      <c r="L212" s="25" t="s">
        <v>524</v>
      </c>
    </row>
    <row r="213" spans="1:12" x14ac:dyDescent="0.2">
      <c r="A213" s="21">
        <v>212</v>
      </c>
      <c r="B213" s="22">
        <v>45753</v>
      </c>
      <c r="C213" s="20">
        <v>1234479307</v>
      </c>
      <c r="D213" s="34" t="str">
        <f>IFERROR(IF(C213="","",VLOOKUP(C213,المستفيدين!$B:$C,2,FALSE)),"")</f>
        <v>مستفيد136</v>
      </c>
      <c r="E213" s="20" t="s">
        <v>310</v>
      </c>
      <c r="F213" s="34" t="str">
        <f>IFERROR(IF(E213="","",VLOOKUP(E213,الموظفين!$B:$C,2,FALSE)),"")</f>
        <v>موظف84</v>
      </c>
      <c r="G213" s="34" t="str">
        <f>IFERROR(IF(C213="","",VLOOKUP(C213,المستفيدين!$B:$F,5,FALSE)),"")</f>
        <v>مركز إرادة وتمكين لمتلازمة داون (نجد)</v>
      </c>
      <c r="H213" s="24" t="s">
        <v>553</v>
      </c>
      <c r="I213" s="20" t="s">
        <v>79</v>
      </c>
      <c r="J213" s="20" t="s">
        <v>1</v>
      </c>
      <c r="K213" s="20" t="s">
        <v>10</v>
      </c>
      <c r="L213" s="26" t="s">
        <v>523</v>
      </c>
    </row>
    <row r="214" spans="1:12" x14ac:dyDescent="0.2">
      <c r="A214" s="18">
        <v>213</v>
      </c>
      <c r="B214" s="19">
        <v>45754</v>
      </c>
      <c r="C214" s="20">
        <v>1376850558</v>
      </c>
      <c r="D214" s="34" t="str">
        <f>IFERROR(IF(C214="","",VLOOKUP(C214,المستفيدين!$B:$C,2,FALSE)),"")</f>
        <v>مستفيد43</v>
      </c>
      <c r="E214" s="24" t="s">
        <v>264</v>
      </c>
      <c r="F214" s="34" t="str">
        <f>IFERROR(IF(E214="","",VLOOKUP(E214,الموظفين!$B:$C,2,FALSE)),"")</f>
        <v>موظف61</v>
      </c>
      <c r="G214" s="34" t="str">
        <f>IFERROR(IF(C214="","",VLOOKUP(C214,المستفيدين!$B:$F,5,FALSE)),"")</f>
        <v>مركز إرادة وتمكين لرعاية ذوي الاحتياجات الخاصة (جلمودة)</v>
      </c>
      <c r="H214" s="24" t="s">
        <v>553</v>
      </c>
      <c r="I214" s="24" t="s">
        <v>76</v>
      </c>
      <c r="J214" s="24" t="s">
        <v>0</v>
      </c>
      <c r="K214" s="24" t="s">
        <v>9</v>
      </c>
      <c r="L214" s="25" t="s">
        <v>525</v>
      </c>
    </row>
    <row r="215" spans="1:12" x14ac:dyDescent="0.2">
      <c r="A215" s="21">
        <v>214</v>
      </c>
      <c r="B215" s="22">
        <v>45755</v>
      </c>
      <c r="C215" s="20">
        <v>1093177984</v>
      </c>
      <c r="D215" s="34" t="str">
        <f>IFERROR(IF(C215="","",VLOOKUP(C215,المستفيدين!$B:$C,2,FALSE)),"")</f>
        <v>مستفيد159</v>
      </c>
      <c r="E215" s="20" t="s">
        <v>336</v>
      </c>
      <c r="F215" s="34" t="str">
        <f>IFERROR(IF(E215="","",VLOOKUP(E215,الموظفين!$B:$C,2,FALSE)),"")</f>
        <v>موظف97</v>
      </c>
      <c r="G215" s="34" t="str">
        <f>IFERROR(IF(C215="","",VLOOKUP(C215,المستفيدين!$B:$F,5,FALSE)),"")</f>
        <v>مدرسة إرادة وتمكين لمتلازمة داون (نجد)</v>
      </c>
      <c r="H215" s="24" t="s">
        <v>553</v>
      </c>
      <c r="I215" s="20" t="s">
        <v>78</v>
      </c>
      <c r="J215" s="20" t="s">
        <v>0</v>
      </c>
      <c r="K215" s="20" t="s">
        <v>9</v>
      </c>
      <c r="L215" s="26"/>
    </row>
    <row r="216" spans="1:12" x14ac:dyDescent="0.2">
      <c r="A216" s="18">
        <v>215</v>
      </c>
      <c r="B216" s="19">
        <v>45757</v>
      </c>
      <c r="C216" s="20">
        <v>1124422216</v>
      </c>
      <c r="D216" s="34" t="str">
        <f>IFERROR(IF(C216="","",VLOOKUP(C216,المستفيدين!$B:$C,2,FALSE)),"")</f>
        <v>مستفيد5</v>
      </c>
      <c r="E216" s="24" t="s">
        <v>318</v>
      </c>
      <c r="F216" s="34" t="str">
        <f>IFERROR(IF(E216="","",VLOOKUP(E216,الموظفين!$B:$C,2,FALSE)),"")</f>
        <v>موظف88</v>
      </c>
      <c r="G216" s="34" t="str">
        <f>IFERROR(IF(C216="","",VLOOKUP(C216,المستفيدين!$B:$F,5,FALSE)),"")</f>
        <v>مركز إرادة وتمكين لمتلازمة داون (نجد)</v>
      </c>
      <c r="H216" s="24" t="s">
        <v>552</v>
      </c>
      <c r="I216" s="24" t="s">
        <v>555</v>
      </c>
      <c r="J216" s="24" t="s">
        <v>1</v>
      </c>
      <c r="K216" s="24" t="s">
        <v>11</v>
      </c>
      <c r="L216" s="25"/>
    </row>
    <row r="217" spans="1:12" x14ac:dyDescent="0.2">
      <c r="A217" s="21">
        <v>216</v>
      </c>
      <c r="B217" s="22">
        <v>45758</v>
      </c>
      <c r="C217" s="20">
        <v>1506829260</v>
      </c>
      <c r="D217" s="34" t="str">
        <f>IFERROR(IF(C217="","",VLOOKUP(C217,المستفيدين!$B:$C,2,FALSE)),"")</f>
        <v>مستفيد181</v>
      </c>
      <c r="E217" s="20" t="s">
        <v>218</v>
      </c>
      <c r="F217" s="34" t="str">
        <f>IFERROR(IF(E217="","",VLOOKUP(E217,الموظفين!$B:$C,2,FALSE)),"")</f>
        <v>موظف38</v>
      </c>
      <c r="G217" s="34" t="str">
        <f>IFERROR(IF(C217="","",VLOOKUP(C217,المستفيدين!$B:$F,5,FALSE)),"")</f>
        <v>مركز إرادة وتمكين للرعاية النهارية (القدس)</v>
      </c>
      <c r="H217" s="24" t="s">
        <v>553</v>
      </c>
      <c r="I217" s="20" t="s">
        <v>75</v>
      </c>
      <c r="J217" s="20" t="s">
        <v>1</v>
      </c>
      <c r="K217" s="20" t="s">
        <v>9</v>
      </c>
      <c r="L217" s="26" t="s">
        <v>524</v>
      </c>
    </row>
    <row r="218" spans="1:12" x14ac:dyDescent="0.2">
      <c r="A218" s="18">
        <v>217</v>
      </c>
      <c r="B218" s="19">
        <v>45760</v>
      </c>
      <c r="C218" s="20">
        <v>1239383239</v>
      </c>
      <c r="D218" s="34" t="str">
        <f>IFERROR(IF(C218="","",VLOOKUP(C218,المستفيدين!$B:$C,2,FALSE)),"")</f>
        <v>مستفيد13</v>
      </c>
      <c r="E218" s="24" t="s">
        <v>296</v>
      </c>
      <c r="F218" s="34" t="str">
        <f>IFERROR(IF(E218="","",VLOOKUP(E218,الموظفين!$B:$C,2,FALSE)),"")</f>
        <v>موظف77</v>
      </c>
      <c r="G218" s="34" t="str">
        <f>IFERROR(IF(C218="","",VLOOKUP(C218,المستفيدين!$B:$F,5,FALSE)),"")</f>
        <v>مركز إرادة وتمكين لرعاية ذوي الاحتياجات الخاصة (جلمودة)</v>
      </c>
      <c r="H218" s="24" t="s">
        <v>553</v>
      </c>
      <c r="I218" s="24" t="s">
        <v>74</v>
      </c>
      <c r="J218" s="24" t="s">
        <v>1</v>
      </c>
      <c r="K218" s="24" t="s">
        <v>11</v>
      </c>
      <c r="L218" s="25"/>
    </row>
    <row r="219" spans="1:12" x14ac:dyDescent="0.2">
      <c r="A219" s="21">
        <v>218</v>
      </c>
      <c r="B219" s="22">
        <v>45762</v>
      </c>
      <c r="C219" s="20">
        <v>1488518976</v>
      </c>
      <c r="D219" s="34" t="str">
        <f>IFERROR(IF(C219="","",VLOOKUP(C219,المستفيدين!$B:$C,2,FALSE)),"")</f>
        <v>مستفيد17</v>
      </c>
      <c r="E219" s="20" t="s">
        <v>330</v>
      </c>
      <c r="F219" s="34" t="str">
        <f>IFERROR(IF(E219="","",VLOOKUP(E219,الموظفين!$B:$C,2,FALSE)),"")</f>
        <v>موظف94</v>
      </c>
      <c r="G219" s="34" t="str">
        <f>IFERROR(IF(C219="","",VLOOKUP(C219,المستفيدين!$B:$F,5,FALSE)),"")</f>
        <v>مدرسة إرادة وتمكين لمتلازمة داون (نجد)</v>
      </c>
      <c r="H219" s="24" t="s">
        <v>553</v>
      </c>
      <c r="I219" s="20" t="s">
        <v>79</v>
      </c>
      <c r="J219" s="20" t="s">
        <v>1</v>
      </c>
      <c r="K219" s="20" t="s">
        <v>11</v>
      </c>
      <c r="L219" s="26" t="s">
        <v>51</v>
      </c>
    </row>
    <row r="220" spans="1:12" x14ac:dyDescent="0.2">
      <c r="A220" s="18">
        <v>219</v>
      </c>
      <c r="B220" s="19">
        <v>45762</v>
      </c>
      <c r="C220" s="20">
        <v>1371671971</v>
      </c>
      <c r="D220" s="34" t="str">
        <f>IFERROR(IF(C220="","",VLOOKUP(C220,المستفيدين!$B:$C,2,FALSE)),"")</f>
        <v>مستفيد91</v>
      </c>
      <c r="E220" s="24" t="s">
        <v>308</v>
      </c>
      <c r="F220" s="34" t="str">
        <f>IFERROR(IF(E220="","",VLOOKUP(E220,الموظفين!$B:$C,2,FALSE)),"")</f>
        <v>موظف83</v>
      </c>
      <c r="G220" s="34" t="str">
        <f>IFERROR(IF(C220="","",VLOOKUP(C220,المستفيدين!$B:$F,5,FALSE)),"")</f>
        <v>مركز إرادة وتمكين لرعاية ذوي الاحتياجات الخاصة (جلمودة)</v>
      </c>
      <c r="H220" s="24" t="s">
        <v>553</v>
      </c>
      <c r="I220" s="24" t="s">
        <v>77</v>
      </c>
      <c r="J220" s="24" t="s">
        <v>0</v>
      </c>
      <c r="K220" s="24" t="s">
        <v>12</v>
      </c>
      <c r="L220" s="25" t="s">
        <v>524</v>
      </c>
    </row>
    <row r="221" spans="1:12" x14ac:dyDescent="0.2">
      <c r="A221" s="21">
        <v>220</v>
      </c>
      <c r="B221" s="22">
        <v>45766</v>
      </c>
      <c r="C221" s="20">
        <v>1445520895</v>
      </c>
      <c r="D221" s="34" t="str">
        <f>IFERROR(IF(C221="","",VLOOKUP(C221,المستفيدين!$B:$C,2,FALSE)),"")</f>
        <v>مستفيد56</v>
      </c>
      <c r="E221" s="20" t="s">
        <v>246</v>
      </c>
      <c r="F221" s="34" t="str">
        <f>IFERROR(IF(E221="","",VLOOKUP(E221,الموظفين!$B:$C,2,FALSE)),"")</f>
        <v>موظف52</v>
      </c>
      <c r="G221" s="34" t="str">
        <f>IFERROR(IF(C221="","",VLOOKUP(C221,المستفيدين!$B:$F,5,FALSE)),"")</f>
        <v>مركز إرادة وتمكين للرعاية النهارية (القدس)</v>
      </c>
      <c r="H221" s="24" t="s">
        <v>553</v>
      </c>
      <c r="I221" s="20" t="s">
        <v>77</v>
      </c>
      <c r="J221" s="20" t="s">
        <v>0</v>
      </c>
      <c r="K221" s="20" t="s">
        <v>9</v>
      </c>
      <c r="L221" s="26" t="s">
        <v>51</v>
      </c>
    </row>
    <row r="222" spans="1:12" x14ac:dyDescent="0.2">
      <c r="A222" s="18">
        <v>221</v>
      </c>
      <c r="B222" s="19">
        <v>45766</v>
      </c>
      <c r="C222" s="20">
        <v>1723683973</v>
      </c>
      <c r="D222" s="34" t="str">
        <f>IFERROR(IF(C222="","",VLOOKUP(C222,المستفيدين!$B:$C,2,FALSE)),"")</f>
        <v>مستفيد152</v>
      </c>
      <c r="E222" s="24" t="s">
        <v>240</v>
      </c>
      <c r="F222" s="34" t="str">
        <f>IFERROR(IF(E222="","",VLOOKUP(E222,الموظفين!$B:$C,2,FALSE)),"")</f>
        <v>موظف49</v>
      </c>
      <c r="G222" s="34" t="str">
        <f>IFERROR(IF(C222="","",VLOOKUP(C222,المستفيدين!$B:$F,5,FALSE)),"")</f>
        <v>مركز إرادة وتمكين لمتلازمة داون (نجد)</v>
      </c>
      <c r="H222" s="24" t="s">
        <v>552</v>
      </c>
      <c r="I222" s="24" t="s">
        <v>555</v>
      </c>
      <c r="J222" s="24" t="s">
        <v>0</v>
      </c>
      <c r="K222" s="24" t="s">
        <v>12</v>
      </c>
      <c r="L222" s="25" t="s">
        <v>524</v>
      </c>
    </row>
    <row r="223" spans="1:12" x14ac:dyDescent="0.2">
      <c r="A223" s="21">
        <v>222</v>
      </c>
      <c r="B223" s="22">
        <v>45766</v>
      </c>
      <c r="C223" s="20">
        <v>1020269730</v>
      </c>
      <c r="D223" s="34" t="str">
        <f>IFERROR(IF(C223="","",VLOOKUP(C223,المستفيدين!$B:$C,2,FALSE)),"")</f>
        <v>مستفيد32</v>
      </c>
      <c r="E223" s="20" t="s">
        <v>262</v>
      </c>
      <c r="F223" s="34" t="str">
        <f>IFERROR(IF(E223="","",VLOOKUP(E223,الموظفين!$B:$C,2,FALSE)),"")</f>
        <v>موظف60</v>
      </c>
      <c r="G223" s="34" t="str">
        <f>IFERROR(IF(C223="","",VLOOKUP(C223,المستفيدين!$B:$F,5,FALSE)),"")</f>
        <v>مدرسة إرادة للتعليم (مكة)</v>
      </c>
      <c r="H223" s="24" t="s">
        <v>553</v>
      </c>
      <c r="I223" s="20" t="s">
        <v>75</v>
      </c>
      <c r="J223" s="20" t="s">
        <v>0</v>
      </c>
      <c r="K223" s="20" t="s">
        <v>12</v>
      </c>
      <c r="L223" s="26" t="s">
        <v>51</v>
      </c>
    </row>
    <row r="224" spans="1:12" x14ac:dyDescent="0.2">
      <c r="A224" s="18">
        <v>223</v>
      </c>
      <c r="B224" s="19">
        <v>45767</v>
      </c>
      <c r="C224" s="20">
        <v>1090991477</v>
      </c>
      <c r="D224" s="34" t="str">
        <f>IFERROR(IF(C224="","",VLOOKUP(C224,المستفيدين!$B:$C,2,FALSE)),"")</f>
        <v>مستفيد135</v>
      </c>
      <c r="E224" s="24" t="s">
        <v>318</v>
      </c>
      <c r="F224" s="34" t="str">
        <f>IFERROR(IF(E224="","",VLOOKUP(E224,الموظفين!$B:$C,2,FALSE)),"")</f>
        <v>موظف88</v>
      </c>
      <c r="G224" s="34" t="str">
        <f>IFERROR(IF(C224="","",VLOOKUP(C224,المستفيدين!$B:$F,5,FALSE)),"")</f>
        <v>مركز إرادة وتمكين للرعاية النهارية (القدس)</v>
      </c>
      <c r="H224" s="24" t="s">
        <v>552</v>
      </c>
      <c r="I224" s="24" t="s">
        <v>555</v>
      </c>
      <c r="J224" s="24" t="s">
        <v>1</v>
      </c>
      <c r="K224" s="24" t="s">
        <v>9</v>
      </c>
      <c r="L224" s="25"/>
    </row>
    <row r="225" spans="1:12" x14ac:dyDescent="0.2">
      <c r="A225" s="21">
        <v>224</v>
      </c>
      <c r="B225" s="22">
        <v>45767</v>
      </c>
      <c r="C225" s="20">
        <v>1525548329</v>
      </c>
      <c r="D225" s="34" t="str">
        <f>IFERROR(IF(C225="","",VLOOKUP(C225,المستفيدين!$B:$C,2,FALSE)),"")</f>
        <v>مستفيد187</v>
      </c>
      <c r="E225" s="20" t="s">
        <v>266</v>
      </c>
      <c r="F225" s="34" t="str">
        <f>IFERROR(IF(E225="","",VLOOKUP(E225,الموظفين!$B:$C,2,FALSE)),"")</f>
        <v>موظف62</v>
      </c>
      <c r="G225" s="34" t="str">
        <f>IFERROR(IF(C225="","",VLOOKUP(C225,المستفيدين!$B:$F,5,FALSE)),"")</f>
        <v>مركز إرادة وتمكين لرعاية ذوي الاحتياجات الخاصة (جلمودة)</v>
      </c>
      <c r="H225" s="24" t="s">
        <v>553</v>
      </c>
      <c r="I225" s="20" t="s">
        <v>78</v>
      </c>
      <c r="J225" s="20" t="s">
        <v>0</v>
      </c>
      <c r="K225" s="20" t="s">
        <v>9</v>
      </c>
      <c r="L225" s="26"/>
    </row>
    <row r="226" spans="1:12" x14ac:dyDescent="0.2">
      <c r="A226" s="18">
        <v>225</v>
      </c>
      <c r="B226" s="19">
        <v>45769</v>
      </c>
      <c r="C226" s="20">
        <v>1228939605</v>
      </c>
      <c r="D226" s="34" t="str">
        <f>IFERROR(IF(C226="","",VLOOKUP(C226,المستفيدين!$B:$C,2,FALSE)),"")</f>
        <v>مستفيد54</v>
      </c>
      <c r="E226" s="24" t="s">
        <v>300</v>
      </c>
      <c r="F226" s="34" t="str">
        <f>IFERROR(IF(E226="","",VLOOKUP(E226,الموظفين!$B:$C,2,FALSE)),"")</f>
        <v>موظف79</v>
      </c>
      <c r="G226" s="34" t="str">
        <f>IFERROR(IF(C226="","",VLOOKUP(C226,المستفيدين!$B:$F,5,FALSE)),"")</f>
        <v>مدرسة إرادة للتعليم (مكة)</v>
      </c>
      <c r="H226" s="24" t="s">
        <v>553</v>
      </c>
      <c r="I226" s="24" t="s">
        <v>77</v>
      </c>
      <c r="J226" s="24" t="s">
        <v>1</v>
      </c>
      <c r="K226" s="24" t="s">
        <v>9</v>
      </c>
      <c r="L226" s="25" t="s">
        <v>526</v>
      </c>
    </row>
    <row r="227" spans="1:12" x14ac:dyDescent="0.2">
      <c r="A227" s="21">
        <v>226</v>
      </c>
      <c r="B227" s="22">
        <v>45769</v>
      </c>
      <c r="C227" s="20">
        <v>1144287415</v>
      </c>
      <c r="D227" s="34" t="str">
        <f>IFERROR(IF(C227="","",VLOOKUP(C227,المستفيدين!$B:$C,2,FALSE)),"")</f>
        <v>مستفيد146</v>
      </c>
      <c r="E227" s="20" t="s">
        <v>200</v>
      </c>
      <c r="F227" s="34" t="str">
        <f>IFERROR(IF(E227="","",VLOOKUP(E227,الموظفين!$B:$C,2,FALSE)),"")</f>
        <v>موظف29</v>
      </c>
      <c r="G227" s="34" t="str">
        <f>IFERROR(IF(C227="","",VLOOKUP(C227,المستفيدين!$B:$F,5,FALSE)),"")</f>
        <v>مركز إرادة وتمكين لرعاية ذوي الاحتياجات الخاصة (جلمودة)</v>
      </c>
      <c r="H227" s="24" t="s">
        <v>552</v>
      </c>
      <c r="I227" s="20" t="s">
        <v>555</v>
      </c>
      <c r="J227" s="20" t="s">
        <v>0</v>
      </c>
      <c r="K227" s="20" t="s">
        <v>12</v>
      </c>
      <c r="L227" s="26" t="s">
        <v>523</v>
      </c>
    </row>
    <row r="228" spans="1:12" x14ac:dyDescent="0.2">
      <c r="A228" s="18">
        <v>227</v>
      </c>
      <c r="B228" s="19">
        <v>45770</v>
      </c>
      <c r="C228" s="20">
        <v>1239383239</v>
      </c>
      <c r="D228" s="34" t="str">
        <f>IFERROR(IF(C228="","",VLOOKUP(C228,المستفيدين!$B:$C,2,FALSE)),"")</f>
        <v>مستفيد13</v>
      </c>
      <c r="E228" s="24" t="s">
        <v>306</v>
      </c>
      <c r="F228" s="34" t="str">
        <f>IFERROR(IF(E228="","",VLOOKUP(E228,الموظفين!$B:$C,2,FALSE)),"")</f>
        <v>موظف82</v>
      </c>
      <c r="G228" s="34" t="str">
        <f>IFERROR(IF(C228="","",VLOOKUP(C228,المستفيدين!$B:$F,5,FALSE)),"")</f>
        <v>مركز إرادة وتمكين لرعاية ذوي الاحتياجات الخاصة (جلمودة)</v>
      </c>
      <c r="H228" s="24" t="s">
        <v>553</v>
      </c>
      <c r="I228" s="24" t="s">
        <v>79</v>
      </c>
      <c r="J228" s="24" t="s">
        <v>0</v>
      </c>
      <c r="K228" s="24" t="s">
        <v>11</v>
      </c>
      <c r="L228" s="25" t="s">
        <v>523</v>
      </c>
    </row>
    <row r="229" spans="1:12" x14ac:dyDescent="0.2">
      <c r="A229" s="21">
        <v>228</v>
      </c>
      <c r="B229" s="22">
        <v>45770</v>
      </c>
      <c r="C229" s="20">
        <v>1017688451</v>
      </c>
      <c r="D229" s="34" t="str">
        <f>IFERROR(IF(C229="","",VLOOKUP(C229,المستفيدين!$B:$C,2,FALSE)),"")</f>
        <v>مستفيد52</v>
      </c>
      <c r="E229" s="20" t="s">
        <v>228</v>
      </c>
      <c r="F229" s="34" t="str">
        <f>IFERROR(IF(E229="","",VLOOKUP(E229,الموظفين!$B:$C,2,FALSE)),"")</f>
        <v>موظف43</v>
      </c>
      <c r="G229" s="34" t="str">
        <f>IFERROR(IF(C229="","",VLOOKUP(C229,المستفيدين!$B:$F,5,FALSE)),"")</f>
        <v>مركز إرادة وتمكين لرعاية ذوي الاحتياجات الخاصة (جلمودة)</v>
      </c>
      <c r="H229" s="24" t="s">
        <v>553</v>
      </c>
      <c r="I229" s="20" t="s">
        <v>76</v>
      </c>
      <c r="J229" s="20" t="s">
        <v>0</v>
      </c>
      <c r="K229" s="20" t="s">
        <v>10</v>
      </c>
      <c r="L229" s="26" t="s">
        <v>526</v>
      </c>
    </row>
    <row r="230" spans="1:12" x14ac:dyDescent="0.2">
      <c r="A230" s="18">
        <v>229</v>
      </c>
      <c r="B230" s="19">
        <v>45771</v>
      </c>
      <c r="C230" s="20">
        <v>1098792726</v>
      </c>
      <c r="D230" s="34" t="str">
        <f>IFERROR(IF(C230="","",VLOOKUP(C230,المستفيدين!$B:$C,2,FALSE)),"")</f>
        <v>مستفيد140</v>
      </c>
      <c r="E230" s="24" t="s">
        <v>288</v>
      </c>
      <c r="F230" s="34" t="str">
        <f>IFERROR(IF(E230="","",VLOOKUP(E230,الموظفين!$B:$C,2,FALSE)),"")</f>
        <v>موظف73</v>
      </c>
      <c r="G230" s="34" t="str">
        <f>IFERROR(IF(C230="","",VLOOKUP(C230,المستفيدين!$B:$F,5,FALSE)),"")</f>
        <v>مدرسة إرادة وتمكين لمتلازمة داون (نجد)</v>
      </c>
      <c r="H230" s="24" t="s">
        <v>552</v>
      </c>
      <c r="I230" s="24" t="s">
        <v>81</v>
      </c>
      <c r="J230" s="24" t="s">
        <v>1</v>
      </c>
      <c r="K230" s="24" t="s">
        <v>12</v>
      </c>
      <c r="L230" s="25" t="s">
        <v>51</v>
      </c>
    </row>
    <row r="231" spans="1:12" x14ac:dyDescent="0.2">
      <c r="A231" s="21">
        <v>230</v>
      </c>
      <c r="B231" s="22">
        <v>45771</v>
      </c>
      <c r="C231" s="20">
        <v>1069735216</v>
      </c>
      <c r="D231" s="34" t="str">
        <f>IFERROR(IF(C231="","",VLOOKUP(C231,المستفيدين!$B:$C,2,FALSE)),"")</f>
        <v>مستفيد3</v>
      </c>
      <c r="E231" s="20" t="s">
        <v>216</v>
      </c>
      <c r="F231" s="34" t="str">
        <f>IFERROR(IF(E231="","",VLOOKUP(E231,الموظفين!$B:$C,2,FALSE)),"")</f>
        <v>موظف37</v>
      </c>
      <c r="G231" s="34" t="str">
        <f>IFERROR(IF(C231="","",VLOOKUP(C231,المستفيدين!$B:$F,5,FALSE)),"")</f>
        <v>مركز إرادة وتمكين للرعاية النهارية (القدس)</v>
      </c>
      <c r="H231" s="24" t="s">
        <v>552</v>
      </c>
      <c r="I231" s="20" t="s">
        <v>81</v>
      </c>
      <c r="J231" s="20" t="s">
        <v>1</v>
      </c>
      <c r="K231" s="20" t="s">
        <v>9</v>
      </c>
      <c r="L231" s="26" t="s">
        <v>523</v>
      </c>
    </row>
    <row r="232" spans="1:12" x14ac:dyDescent="0.2">
      <c r="A232" s="18">
        <v>231</v>
      </c>
      <c r="B232" s="19">
        <v>45772</v>
      </c>
      <c r="C232" s="20">
        <v>1687244119</v>
      </c>
      <c r="D232" s="34" t="str">
        <f>IFERROR(IF(C232="","",VLOOKUP(C232,المستفيدين!$B:$C,2,FALSE)),"")</f>
        <v>مستفيد154</v>
      </c>
      <c r="E232" s="24" t="s">
        <v>342</v>
      </c>
      <c r="F232" s="34" t="str">
        <f>IFERROR(IF(E232="","",VLOOKUP(E232,الموظفين!$B:$C,2,FALSE)),"")</f>
        <v>موظف100</v>
      </c>
      <c r="G232" s="34" t="str">
        <f>IFERROR(IF(C232="","",VLOOKUP(C232,المستفيدين!$B:$F,5,FALSE)),"")</f>
        <v>مركز إرادة وتمكين للرعاية النهارية (القدس)</v>
      </c>
      <c r="H232" s="24" t="s">
        <v>552</v>
      </c>
      <c r="I232" s="24" t="s">
        <v>555</v>
      </c>
      <c r="J232" s="24" t="s">
        <v>1</v>
      </c>
      <c r="K232" s="24" t="s">
        <v>9</v>
      </c>
      <c r="L232" s="25" t="s">
        <v>525</v>
      </c>
    </row>
    <row r="233" spans="1:12" x14ac:dyDescent="0.2">
      <c r="A233" s="21">
        <v>232</v>
      </c>
      <c r="B233" s="22">
        <v>45776</v>
      </c>
      <c r="C233" s="20">
        <v>1687244119</v>
      </c>
      <c r="D233" s="34" t="str">
        <f>IFERROR(IF(C233="","",VLOOKUP(C233,المستفيدين!$B:$C,2,FALSE)),"")</f>
        <v>مستفيد154</v>
      </c>
      <c r="E233" s="20" t="s">
        <v>158</v>
      </c>
      <c r="F233" s="34" t="str">
        <f>IFERROR(IF(E233="","",VLOOKUP(E233,الموظفين!$B:$C,2,FALSE)),"")</f>
        <v>موظف8</v>
      </c>
      <c r="G233" s="34" t="str">
        <f>IFERROR(IF(C233="","",VLOOKUP(C233,المستفيدين!$B:$F,5,FALSE)),"")</f>
        <v>مركز إرادة وتمكين للرعاية النهارية (القدس)</v>
      </c>
      <c r="H233" s="24" t="s">
        <v>553</v>
      </c>
      <c r="I233" s="20" t="s">
        <v>76</v>
      </c>
      <c r="J233" s="20" t="s">
        <v>0</v>
      </c>
      <c r="K233" s="20" t="s">
        <v>10</v>
      </c>
      <c r="L233" s="26" t="s">
        <v>51</v>
      </c>
    </row>
    <row r="234" spans="1:12" x14ac:dyDescent="0.2">
      <c r="A234" s="18">
        <v>233</v>
      </c>
      <c r="B234" s="19">
        <v>45777</v>
      </c>
      <c r="C234" s="20">
        <v>1284752099</v>
      </c>
      <c r="D234" s="34" t="str">
        <f>IFERROR(IF(C234="","",VLOOKUP(C234,المستفيدين!$B:$C,2,FALSE)),"")</f>
        <v>مستفيد19</v>
      </c>
      <c r="E234" s="24" t="s">
        <v>334</v>
      </c>
      <c r="F234" s="34" t="str">
        <f>IFERROR(IF(E234="","",VLOOKUP(E234,الموظفين!$B:$C,2,FALSE)),"")</f>
        <v>موظف96</v>
      </c>
      <c r="G234" s="34" t="str">
        <f>IFERROR(IF(C234="","",VLOOKUP(C234,المستفيدين!$B:$F,5,FALSE)),"")</f>
        <v>مركز إرادة وتمكين لمتلازمة داون (نجد)</v>
      </c>
      <c r="H234" s="24" t="s">
        <v>553</v>
      </c>
      <c r="I234" s="24" t="s">
        <v>76</v>
      </c>
      <c r="J234" s="24" t="s">
        <v>1</v>
      </c>
      <c r="K234" s="24" t="s">
        <v>11</v>
      </c>
      <c r="L234" s="25"/>
    </row>
    <row r="235" spans="1:12" x14ac:dyDescent="0.2">
      <c r="A235" s="21">
        <v>234</v>
      </c>
      <c r="B235" s="22">
        <v>45780</v>
      </c>
      <c r="C235" s="20">
        <v>1225270924</v>
      </c>
      <c r="D235" s="34" t="str">
        <f>IFERROR(IF(C235="","",VLOOKUP(C235,المستفيدين!$B:$C,2,FALSE)),"")</f>
        <v>مستفيد191</v>
      </c>
      <c r="E235" s="20" t="s">
        <v>312</v>
      </c>
      <c r="F235" s="34" t="str">
        <f>IFERROR(IF(E235="","",VLOOKUP(E235,الموظفين!$B:$C,2,FALSE)),"")</f>
        <v>موظف85</v>
      </c>
      <c r="G235" s="34" t="str">
        <f>IFERROR(IF(C235="","",VLOOKUP(C235,المستفيدين!$B:$F,5,FALSE)),"")</f>
        <v>مدرسة إرادة وتمكين لمتلازمة داون (نجد)</v>
      </c>
      <c r="H235" s="24" t="s">
        <v>552</v>
      </c>
      <c r="I235" s="20" t="s">
        <v>81</v>
      </c>
      <c r="J235" s="20" t="s">
        <v>1</v>
      </c>
      <c r="K235" s="20" t="s">
        <v>9</v>
      </c>
      <c r="L235" s="26"/>
    </row>
    <row r="236" spans="1:12" x14ac:dyDescent="0.2">
      <c r="A236" s="18">
        <v>235</v>
      </c>
      <c r="B236" s="19">
        <v>45782</v>
      </c>
      <c r="C236" s="20">
        <v>1009443870</v>
      </c>
      <c r="D236" s="34" t="str">
        <f>IFERROR(IF(C236="","",VLOOKUP(C236,المستفيدين!$B:$C,2,FALSE)),"")</f>
        <v>مستفيد42</v>
      </c>
      <c r="E236" s="24" t="s">
        <v>240</v>
      </c>
      <c r="F236" s="34" t="str">
        <f>IFERROR(IF(E236="","",VLOOKUP(E236,الموظفين!$B:$C,2,FALSE)),"")</f>
        <v>موظف49</v>
      </c>
      <c r="G236" s="34" t="str">
        <f>IFERROR(IF(C236="","",VLOOKUP(C236,المستفيدين!$B:$F,5,FALSE)),"")</f>
        <v>مركز إرادة وتمكين لمتلازمة داون (نجد)</v>
      </c>
      <c r="H236" s="24" t="s">
        <v>552</v>
      </c>
      <c r="I236" s="24" t="s">
        <v>555</v>
      </c>
      <c r="J236" s="24" t="s">
        <v>0</v>
      </c>
      <c r="K236" s="24" t="s">
        <v>12</v>
      </c>
      <c r="L236" s="25" t="s">
        <v>51</v>
      </c>
    </row>
    <row r="237" spans="1:12" x14ac:dyDescent="0.2">
      <c r="A237" s="21">
        <v>236</v>
      </c>
      <c r="B237" s="22">
        <v>45783</v>
      </c>
      <c r="C237" s="20">
        <v>1672893974</v>
      </c>
      <c r="D237" s="34" t="str">
        <f>IFERROR(IF(C237="","",VLOOKUP(C237,المستفيدين!$B:$C,2,FALSE)),"")</f>
        <v>مستفيد148</v>
      </c>
      <c r="E237" s="20" t="s">
        <v>204</v>
      </c>
      <c r="F237" s="34" t="str">
        <f>IFERROR(IF(E237="","",VLOOKUP(E237,الموظفين!$B:$C,2,FALSE)),"")</f>
        <v>موظف31</v>
      </c>
      <c r="G237" s="34" t="str">
        <f>IFERROR(IF(C237="","",VLOOKUP(C237,المستفيدين!$B:$F,5,FALSE)),"")</f>
        <v>مركز إرادة وتمكين لمتلازمة داون (نجد)</v>
      </c>
      <c r="H237" s="24" t="s">
        <v>552</v>
      </c>
      <c r="I237" s="20" t="s">
        <v>81</v>
      </c>
      <c r="J237" s="20" t="s">
        <v>1</v>
      </c>
      <c r="K237" s="20" t="s">
        <v>9</v>
      </c>
      <c r="L237" s="26"/>
    </row>
    <row r="238" spans="1:12" x14ac:dyDescent="0.2">
      <c r="A238" s="18">
        <v>237</v>
      </c>
      <c r="B238" s="19">
        <v>45788</v>
      </c>
      <c r="C238" s="20">
        <v>1228837751</v>
      </c>
      <c r="D238" s="34" t="str">
        <f>IFERROR(IF(C238="","",VLOOKUP(C238,المستفيدين!$B:$C,2,FALSE)),"")</f>
        <v>مستفيد58</v>
      </c>
      <c r="E238" s="24" t="s">
        <v>254</v>
      </c>
      <c r="F238" s="34" t="str">
        <f>IFERROR(IF(E238="","",VLOOKUP(E238,الموظفين!$B:$C,2,FALSE)),"")</f>
        <v>موظف56</v>
      </c>
      <c r="G238" s="34" t="str">
        <f>IFERROR(IF(C238="","",VLOOKUP(C238,المستفيدين!$B:$F,5,FALSE)),"")</f>
        <v>مدرسة إرادة وتمكين لمتلازمة داون (نجد)</v>
      </c>
      <c r="H238" s="24" t="s">
        <v>553</v>
      </c>
      <c r="I238" s="24" t="s">
        <v>75</v>
      </c>
      <c r="J238" s="24" t="s">
        <v>0</v>
      </c>
      <c r="K238" s="24" t="s">
        <v>9</v>
      </c>
      <c r="L238" s="25"/>
    </row>
    <row r="239" spans="1:12" x14ac:dyDescent="0.2">
      <c r="A239" s="21">
        <v>238</v>
      </c>
      <c r="B239" s="22">
        <v>45789</v>
      </c>
      <c r="C239" s="20">
        <v>1854312995</v>
      </c>
      <c r="D239" s="34" t="str">
        <f>IFERROR(IF(C239="","",VLOOKUP(C239,المستفيدين!$B:$C,2,FALSE)),"")</f>
        <v>مستفيد7</v>
      </c>
      <c r="E239" s="20" t="s">
        <v>158</v>
      </c>
      <c r="F239" s="34" t="str">
        <f>IFERROR(IF(E239="","",VLOOKUP(E239,الموظفين!$B:$C,2,FALSE)),"")</f>
        <v>موظف8</v>
      </c>
      <c r="G239" s="34" t="str">
        <f>IFERROR(IF(C239="","",VLOOKUP(C239,المستفيدين!$B:$F,5,FALSE)),"")</f>
        <v>مدرسة إرادة وتمكين لمتلازمة داون (نجد)</v>
      </c>
      <c r="H239" s="24" t="s">
        <v>553</v>
      </c>
      <c r="I239" s="20" t="s">
        <v>76</v>
      </c>
      <c r="J239" s="20" t="s">
        <v>0</v>
      </c>
      <c r="K239" s="20" t="s">
        <v>11</v>
      </c>
      <c r="L239" s="26" t="s">
        <v>524</v>
      </c>
    </row>
    <row r="240" spans="1:12" x14ac:dyDescent="0.2">
      <c r="A240" s="18">
        <v>239</v>
      </c>
      <c r="B240" s="19">
        <v>45790</v>
      </c>
      <c r="C240" s="20">
        <v>1120965748</v>
      </c>
      <c r="D240" s="34" t="str">
        <f>IFERROR(IF(C240="","",VLOOKUP(C240,المستفيدين!$B:$C,2,FALSE)),"")</f>
        <v>مستفيد169</v>
      </c>
      <c r="E240" s="24" t="s">
        <v>162</v>
      </c>
      <c r="F240" s="34" t="str">
        <f>IFERROR(IF(E240="","",VLOOKUP(E240,الموظفين!$B:$C,2,FALSE)),"")</f>
        <v>موظف10</v>
      </c>
      <c r="G240" s="34" t="str">
        <f>IFERROR(IF(C240="","",VLOOKUP(C240,المستفيدين!$B:$F,5,FALSE)),"")</f>
        <v>مركز إرادة وتمكين لمتلازمة داون (نجد)</v>
      </c>
      <c r="H240" s="24" t="s">
        <v>553</v>
      </c>
      <c r="I240" s="24" t="s">
        <v>76</v>
      </c>
      <c r="J240" s="24" t="s">
        <v>0</v>
      </c>
      <c r="K240" s="24" t="s">
        <v>10</v>
      </c>
      <c r="L240" s="25"/>
    </row>
    <row r="241" spans="1:12" x14ac:dyDescent="0.2">
      <c r="A241" s="21">
        <v>240</v>
      </c>
      <c r="B241" s="22">
        <v>45790</v>
      </c>
      <c r="C241" s="20">
        <v>1441451242</v>
      </c>
      <c r="D241" s="34" t="str">
        <f>IFERROR(IF(C241="","",VLOOKUP(C241,المستفيدين!$B:$C,2,FALSE)),"")</f>
        <v>مستفيد96</v>
      </c>
      <c r="E241" s="20" t="s">
        <v>296</v>
      </c>
      <c r="F241" s="34" t="str">
        <f>IFERROR(IF(E241="","",VLOOKUP(E241,الموظفين!$B:$C,2,FALSE)),"")</f>
        <v>موظف77</v>
      </c>
      <c r="G241" s="34" t="str">
        <f>IFERROR(IF(C241="","",VLOOKUP(C241,المستفيدين!$B:$F,5,FALSE)),"")</f>
        <v>مدرسة إرادة للتعليم (مكة)</v>
      </c>
      <c r="H241" s="24" t="s">
        <v>553</v>
      </c>
      <c r="I241" s="20" t="s">
        <v>74</v>
      </c>
      <c r="J241" s="20" t="s">
        <v>1</v>
      </c>
      <c r="K241" s="20" t="s">
        <v>9</v>
      </c>
      <c r="L241" s="26"/>
    </row>
    <row r="242" spans="1:12" x14ac:dyDescent="0.2">
      <c r="A242" s="18">
        <v>241</v>
      </c>
      <c r="B242" s="19">
        <v>45790</v>
      </c>
      <c r="C242" s="20">
        <v>1110215725</v>
      </c>
      <c r="D242" s="34" t="str">
        <f>IFERROR(IF(C242="","",VLOOKUP(C242,المستفيدين!$B:$C,2,FALSE)),"")</f>
        <v>مستفيد34</v>
      </c>
      <c r="E242" s="24" t="s">
        <v>232</v>
      </c>
      <c r="F242" s="34" t="str">
        <f>IFERROR(IF(E242="","",VLOOKUP(E242,الموظفين!$B:$C,2,FALSE)),"")</f>
        <v>موظف45</v>
      </c>
      <c r="G242" s="34" t="str">
        <f>IFERROR(IF(C242="","",VLOOKUP(C242,المستفيدين!$B:$F,5,FALSE)),"")</f>
        <v>مركز إرادة وتمكين لرعاية ذوي الاحتياجات الخاصة (جلمودة)</v>
      </c>
      <c r="H242" s="24" t="s">
        <v>552</v>
      </c>
      <c r="I242" s="24" t="s">
        <v>80</v>
      </c>
      <c r="J242" s="24" t="s">
        <v>0</v>
      </c>
      <c r="K242" s="24" t="s">
        <v>12</v>
      </c>
      <c r="L242" s="25" t="s">
        <v>51</v>
      </c>
    </row>
    <row r="243" spans="1:12" x14ac:dyDescent="0.2">
      <c r="A243" s="21">
        <v>242</v>
      </c>
      <c r="B243" s="22">
        <v>45791</v>
      </c>
      <c r="C243" s="20">
        <v>1992868682</v>
      </c>
      <c r="D243" s="34" t="str">
        <f>IFERROR(IF(C243="","",VLOOKUP(C243,المستفيدين!$B:$C,2,FALSE)),"")</f>
        <v>مستفيد65</v>
      </c>
      <c r="E243" s="20" t="s">
        <v>264</v>
      </c>
      <c r="F243" s="34" t="str">
        <f>IFERROR(IF(E243="","",VLOOKUP(E243,الموظفين!$B:$C,2,FALSE)),"")</f>
        <v>موظف61</v>
      </c>
      <c r="G243" s="34" t="str">
        <f>IFERROR(IF(C243="","",VLOOKUP(C243,المستفيدين!$B:$F,5,FALSE)),"")</f>
        <v>مركز إرادة وتمكين لرعاية ذوي الاحتياجات الخاصة (جلمودة)</v>
      </c>
      <c r="H243" s="24" t="s">
        <v>553</v>
      </c>
      <c r="I243" s="20" t="s">
        <v>76</v>
      </c>
      <c r="J243" s="20" t="s">
        <v>0</v>
      </c>
      <c r="K243" s="20" t="s">
        <v>9</v>
      </c>
      <c r="L243" s="26" t="s">
        <v>524</v>
      </c>
    </row>
    <row r="244" spans="1:12" x14ac:dyDescent="0.2">
      <c r="A244" s="18">
        <v>243</v>
      </c>
      <c r="B244" s="19">
        <v>45791</v>
      </c>
      <c r="C244" s="20">
        <v>1222363290</v>
      </c>
      <c r="D244" s="34" t="str">
        <f>IFERROR(IF(C244="","",VLOOKUP(C244,المستفيدين!$B:$C,2,FALSE)),"")</f>
        <v>مستفيد125</v>
      </c>
      <c r="E244" s="24" t="s">
        <v>308</v>
      </c>
      <c r="F244" s="34" t="str">
        <f>IFERROR(IF(E244="","",VLOOKUP(E244,الموظفين!$B:$C,2,FALSE)),"")</f>
        <v>موظف83</v>
      </c>
      <c r="G244" s="34" t="str">
        <f>IFERROR(IF(C244="","",VLOOKUP(C244,المستفيدين!$B:$F,5,FALSE)),"")</f>
        <v>مركز إرادة وتمكين لرعاية ذوي الاحتياجات الخاصة (جلمودة)</v>
      </c>
      <c r="H244" s="24" t="s">
        <v>553</v>
      </c>
      <c r="I244" s="24" t="s">
        <v>77</v>
      </c>
      <c r="J244" s="24" t="s">
        <v>0</v>
      </c>
      <c r="K244" s="24" t="s">
        <v>12</v>
      </c>
      <c r="L244" s="25"/>
    </row>
    <row r="245" spans="1:12" x14ac:dyDescent="0.2">
      <c r="A245" s="21">
        <v>244</v>
      </c>
      <c r="B245" s="22">
        <v>45794</v>
      </c>
      <c r="C245" s="20">
        <v>1590142031</v>
      </c>
      <c r="D245" s="34" t="str">
        <f>IFERROR(IF(C245="","",VLOOKUP(C245,المستفيدين!$B:$C,2,FALSE)),"")</f>
        <v>مستفيد123</v>
      </c>
      <c r="E245" s="20" t="s">
        <v>172</v>
      </c>
      <c r="F245" s="34" t="str">
        <f>IFERROR(IF(E245="","",VLOOKUP(E245,الموظفين!$B:$C,2,FALSE)),"")</f>
        <v>موظف15</v>
      </c>
      <c r="G245" s="34" t="str">
        <f>IFERROR(IF(C245="","",VLOOKUP(C245,المستفيدين!$B:$F,5,FALSE)),"")</f>
        <v>مركز إرادة وتمكين لرعاية ذوي الاحتياجات الخاصة (جلمودة)</v>
      </c>
      <c r="H245" s="24" t="s">
        <v>553</v>
      </c>
      <c r="I245" s="20" t="s">
        <v>78</v>
      </c>
      <c r="J245" s="20" t="s">
        <v>1</v>
      </c>
      <c r="K245" s="20" t="s">
        <v>9</v>
      </c>
      <c r="L245" s="26" t="s">
        <v>524</v>
      </c>
    </row>
    <row r="246" spans="1:12" x14ac:dyDescent="0.2">
      <c r="A246" s="18">
        <v>245</v>
      </c>
      <c r="B246" s="19">
        <v>45797</v>
      </c>
      <c r="C246" s="20">
        <v>1980725694</v>
      </c>
      <c r="D246" s="34" t="str">
        <f>IFERROR(IF(C246="","",VLOOKUP(C246,المستفيدين!$B:$C,2,FALSE)),"")</f>
        <v>مستفيد189</v>
      </c>
      <c r="E246" s="24" t="s">
        <v>318</v>
      </c>
      <c r="F246" s="34" t="str">
        <f>IFERROR(IF(E246="","",VLOOKUP(E246,الموظفين!$B:$C,2,FALSE)),"")</f>
        <v>موظف88</v>
      </c>
      <c r="G246" s="34" t="str">
        <f>IFERROR(IF(C246="","",VLOOKUP(C246,المستفيدين!$B:$F,5,FALSE)),"")</f>
        <v>مدرسة إرادة للتعليم (مكة)</v>
      </c>
      <c r="H246" s="24" t="s">
        <v>552</v>
      </c>
      <c r="I246" s="24" t="s">
        <v>556</v>
      </c>
      <c r="J246" s="24" t="s">
        <v>1</v>
      </c>
      <c r="K246" s="24" t="s">
        <v>9</v>
      </c>
      <c r="L246" s="25"/>
    </row>
    <row r="247" spans="1:12" x14ac:dyDescent="0.2">
      <c r="A247" s="21">
        <v>246</v>
      </c>
      <c r="B247" s="22">
        <v>45797</v>
      </c>
      <c r="C247" s="20">
        <v>1932054889</v>
      </c>
      <c r="D247" s="34" t="str">
        <f>IFERROR(IF(C247="","",VLOOKUP(C247,المستفيدين!$B:$C,2,FALSE)),"")</f>
        <v>مستفيد167</v>
      </c>
      <c r="E247" s="20" t="s">
        <v>218</v>
      </c>
      <c r="F247" s="34" t="str">
        <f>IFERROR(IF(E247="","",VLOOKUP(E247,الموظفين!$B:$C,2,FALSE)),"")</f>
        <v>موظف38</v>
      </c>
      <c r="G247" s="34" t="str">
        <f>IFERROR(IF(C247="","",VLOOKUP(C247,المستفيدين!$B:$F,5,FALSE)),"")</f>
        <v>مركز إرادة وتمكين للرعاية النهارية (القدس)</v>
      </c>
      <c r="H247" s="24" t="s">
        <v>553</v>
      </c>
      <c r="I247" s="20" t="s">
        <v>75</v>
      </c>
      <c r="J247" s="20" t="s">
        <v>1</v>
      </c>
      <c r="K247" s="20" t="s">
        <v>9</v>
      </c>
      <c r="L247" s="26"/>
    </row>
    <row r="248" spans="1:12" x14ac:dyDescent="0.2">
      <c r="A248" s="18">
        <v>247</v>
      </c>
      <c r="B248" s="19">
        <v>45798</v>
      </c>
      <c r="C248" s="20">
        <v>1093177984</v>
      </c>
      <c r="D248" s="34" t="str">
        <f>IFERROR(IF(C248="","",VLOOKUP(C248,المستفيدين!$B:$C,2,FALSE)),"")</f>
        <v>مستفيد159</v>
      </c>
      <c r="E248" s="24" t="s">
        <v>176</v>
      </c>
      <c r="F248" s="34" t="str">
        <f>IFERROR(IF(E248="","",VLOOKUP(E248,الموظفين!$B:$C,2,FALSE)),"")</f>
        <v>موظف17</v>
      </c>
      <c r="G248" s="34" t="str">
        <f>IFERROR(IF(C248="","",VLOOKUP(C248,المستفيدين!$B:$F,5,FALSE)),"")</f>
        <v>مدرسة إرادة وتمكين لمتلازمة داون (نجد)</v>
      </c>
      <c r="H248" s="24" t="s">
        <v>553</v>
      </c>
      <c r="I248" s="24" t="s">
        <v>76</v>
      </c>
      <c r="J248" s="24" t="s">
        <v>0</v>
      </c>
      <c r="K248" s="24" t="s">
        <v>11</v>
      </c>
      <c r="L248" s="25" t="s">
        <v>524</v>
      </c>
    </row>
    <row r="249" spans="1:12" x14ac:dyDescent="0.2">
      <c r="A249" s="21">
        <v>248</v>
      </c>
      <c r="B249" s="22">
        <v>45798</v>
      </c>
      <c r="C249" s="20">
        <v>1532697741</v>
      </c>
      <c r="D249" s="34" t="str">
        <f>IFERROR(IF(C249="","",VLOOKUP(C249,المستفيدين!$B:$C,2,FALSE)),"")</f>
        <v>مستفيد93</v>
      </c>
      <c r="E249" s="20" t="s">
        <v>210</v>
      </c>
      <c r="F249" s="34" t="str">
        <f>IFERROR(IF(E249="","",VLOOKUP(E249,الموظفين!$B:$C,2,FALSE)),"")</f>
        <v>موظف34</v>
      </c>
      <c r="G249" s="34" t="str">
        <f>IFERROR(IF(C249="","",VLOOKUP(C249,المستفيدين!$B:$F,5,FALSE)),"")</f>
        <v>مركز إرادة وتمكين للرعاية النهارية (القدس)</v>
      </c>
      <c r="H249" s="24" t="s">
        <v>553</v>
      </c>
      <c r="I249" s="20" t="s">
        <v>76</v>
      </c>
      <c r="J249" s="20" t="s">
        <v>0</v>
      </c>
      <c r="K249" s="20" t="s">
        <v>9</v>
      </c>
      <c r="L249" s="26" t="s">
        <v>525</v>
      </c>
    </row>
    <row r="250" spans="1:12" x14ac:dyDescent="0.2">
      <c r="A250" s="18">
        <v>249</v>
      </c>
      <c r="B250" s="19">
        <v>45800</v>
      </c>
      <c r="C250" s="20">
        <v>1231607400</v>
      </c>
      <c r="D250" s="34" t="str">
        <f>IFERROR(IF(C250="","",VLOOKUP(C250,المستفيدين!$B:$C,2,FALSE)),"")</f>
        <v>مستفيد11</v>
      </c>
      <c r="E250" s="24" t="s">
        <v>304</v>
      </c>
      <c r="F250" s="34" t="str">
        <f>IFERROR(IF(E250="","",VLOOKUP(E250,الموظفين!$B:$C,2,FALSE)),"")</f>
        <v>موظف81</v>
      </c>
      <c r="G250" s="34" t="str">
        <f>IFERROR(IF(C250="","",VLOOKUP(C250,المستفيدين!$B:$F,5,FALSE)),"")</f>
        <v>مركز إرادة وتمكين لمتلازمة داون (نجد)</v>
      </c>
      <c r="H250" s="24" t="s">
        <v>553</v>
      </c>
      <c r="I250" s="24" t="s">
        <v>77</v>
      </c>
      <c r="J250" s="24" t="s">
        <v>0</v>
      </c>
      <c r="K250" s="24" t="s">
        <v>12</v>
      </c>
      <c r="L250" s="25" t="s">
        <v>526</v>
      </c>
    </row>
    <row r="251" spans="1:12" x14ac:dyDescent="0.2">
      <c r="A251" s="21">
        <v>250</v>
      </c>
      <c r="B251" s="22">
        <v>45801</v>
      </c>
      <c r="C251" s="20">
        <v>1463642752</v>
      </c>
      <c r="D251" s="34" t="str">
        <f>IFERROR(IF(C251="","",VLOOKUP(C251,المستفيدين!$B:$C,2,FALSE)),"")</f>
        <v>مستفيد86</v>
      </c>
      <c r="E251" s="20" t="s">
        <v>324</v>
      </c>
      <c r="F251" s="34" t="str">
        <f>IFERROR(IF(E251="","",VLOOKUP(E251,الموظفين!$B:$C,2,FALSE)),"")</f>
        <v>موظف91</v>
      </c>
      <c r="G251" s="34" t="str">
        <f>IFERROR(IF(C251="","",VLOOKUP(C251,المستفيدين!$B:$F,5,FALSE)),"")</f>
        <v>مدرسة إرادة وتمكين لمتلازمة داون (نجد)</v>
      </c>
      <c r="H251" s="24" t="s">
        <v>553</v>
      </c>
      <c r="I251" s="20" t="s">
        <v>77</v>
      </c>
      <c r="J251" s="20" t="s">
        <v>1</v>
      </c>
      <c r="K251" s="20" t="s">
        <v>9</v>
      </c>
      <c r="L251" s="26"/>
    </row>
    <row r="252" spans="1:12" x14ac:dyDescent="0.2">
      <c r="A252" s="18">
        <v>251</v>
      </c>
      <c r="B252" s="19">
        <v>45801</v>
      </c>
      <c r="C252" s="20">
        <v>1113591668</v>
      </c>
      <c r="D252" s="34" t="str">
        <f>IFERROR(IF(C252="","",VLOOKUP(C252,المستفيدين!$B:$C,2,FALSE)),"")</f>
        <v>مستفيد60</v>
      </c>
      <c r="E252" s="24" t="s">
        <v>334</v>
      </c>
      <c r="F252" s="34" t="str">
        <f>IFERROR(IF(E252="","",VLOOKUP(E252,الموظفين!$B:$C,2,FALSE)),"")</f>
        <v>موظف96</v>
      </c>
      <c r="G252" s="34" t="str">
        <f>IFERROR(IF(C252="","",VLOOKUP(C252,المستفيدين!$B:$F,5,FALSE)),"")</f>
        <v>مركز إرادة وتمكين لرعاية ذوي الاحتياجات الخاصة (جلمودة)</v>
      </c>
      <c r="H252" s="24" t="s">
        <v>553</v>
      </c>
      <c r="I252" s="24" t="s">
        <v>76</v>
      </c>
      <c r="J252" s="24" t="s">
        <v>1</v>
      </c>
      <c r="K252" s="24" t="s">
        <v>12</v>
      </c>
      <c r="L252" s="25" t="s">
        <v>525</v>
      </c>
    </row>
    <row r="253" spans="1:12" x14ac:dyDescent="0.2">
      <c r="A253" s="21">
        <v>252</v>
      </c>
      <c r="B253" s="22">
        <v>45801</v>
      </c>
      <c r="C253" s="20">
        <v>1672893974</v>
      </c>
      <c r="D253" s="34" t="str">
        <f>IFERROR(IF(C253="","",VLOOKUP(C253,المستفيدين!$B:$C,2,FALSE)),"")</f>
        <v>مستفيد148</v>
      </c>
      <c r="E253" s="20" t="s">
        <v>274</v>
      </c>
      <c r="F253" s="34" t="str">
        <f>IFERROR(IF(E253="","",VLOOKUP(E253,الموظفين!$B:$C,2,FALSE)),"")</f>
        <v>موظف66</v>
      </c>
      <c r="G253" s="34" t="str">
        <f>IFERROR(IF(C253="","",VLOOKUP(C253,المستفيدين!$B:$F,5,FALSE)),"")</f>
        <v>مركز إرادة وتمكين لمتلازمة داون (نجد)</v>
      </c>
      <c r="H253" s="24" t="s">
        <v>553</v>
      </c>
      <c r="I253" s="20" t="s">
        <v>74</v>
      </c>
      <c r="J253" s="20" t="s">
        <v>1</v>
      </c>
      <c r="K253" s="20" t="s">
        <v>10</v>
      </c>
      <c r="L253" s="26" t="s">
        <v>51</v>
      </c>
    </row>
    <row r="254" spans="1:12" x14ac:dyDescent="0.2">
      <c r="A254" s="18">
        <v>253</v>
      </c>
      <c r="B254" s="19">
        <v>45802</v>
      </c>
      <c r="C254" s="20">
        <v>1330656105</v>
      </c>
      <c r="D254" s="34" t="str">
        <f>IFERROR(IF(C254="","",VLOOKUP(C254,المستفيدين!$B:$C,2,FALSE)),"")</f>
        <v>مستفيد45</v>
      </c>
      <c r="E254" s="24" t="s">
        <v>69</v>
      </c>
      <c r="F254" s="34" t="str">
        <f>IFERROR(IF(E254="","",VLOOKUP(E254,الموظفين!$B:$C,2,FALSE)),"")</f>
        <v>موظف3</v>
      </c>
      <c r="G254" s="34" t="str">
        <f>IFERROR(IF(C254="","",VLOOKUP(C254,المستفيدين!$B:$F,5,FALSE)),"")</f>
        <v>مركز إرادة وتمكين لمتلازمة داون (نجد)</v>
      </c>
      <c r="H254" s="24" t="s">
        <v>553</v>
      </c>
      <c r="I254" s="24" t="s">
        <v>75</v>
      </c>
      <c r="J254" s="24" t="s">
        <v>1</v>
      </c>
      <c r="K254" s="24" t="s">
        <v>10</v>
      </c>
      <c r="L254" s="25"/>
    </row>
    <row r="255" spans="1:12" x14ac:dyDescent="0.2">
      <c r="A255" s="21">
        <v>254</v>
      </c>
      <c r="B255" s="22">
        <v>45806</v>
      </c>
      <c r="C255" s="20">
        <v>1597351109</v>
      </c>
      <c r="D255" s="34" t="str">
        <f>IFERROR(IF(C255="","",VLOOKUP(C255,المستفيدين!$B:$C,2,FALSE)),"")</f>
        <v>مستفيد38</v>
      </c>
      <c r="E255" s="20" t="s">
        <v>192</v>
      </c>
      <c r="F255" s="34" t="str">
        <f>IFERROR(IF(E255="","",VLOOKUP(E255,الموظفين!$B:$C,2,FALSE)),"")</f>
        <v>موظف25</v>
      </c>
      <c r="G255" s="34" t="str">
        <f>IFERROR(IF(C255="","",VLOOKUP(C255,المستفيدين!$B:$F,5,FALSE)),"")</f>
        <v>مركز إرادة وتمكين للرعاية النهارية (القدس)</v>
      </c>
      <c r="H255" s="24" t="s">
        <v>553</v>
      </c>
      <c r="I255" s="20" t="s">
        <v>75</v>
      </c>
      <c r="J255" s="20" t="s">
        <v>1</v>
      </c>
      <c r="K255" s="20" t="s">
        <v>9</v>
      </c>
      <c r="L255" s="26" t="s">
        <v>526</v>
      </c>
    </row>
    <row r="256" spans="1:12" x14ac:dyDescent="0.2">
      <c r="A256" s="18">
        <v>255</v>
      </c>
      <c r="B256" s="19">
        <v>45807</v>
      </c>
      <c r="C256" s="20">
        <v>1417717432</v>
      </c>
      <c r="D256" s="34" t="str">
        <f>IFERROR(IF(C256="","",VLOOKUP(C256,المستفيدين!$B:$C,2,FALSE)),"")</f>
        <v>مستفيد110</v>
      </c>
      <c r="E256" s="24" t="s">
        <v>254</v>
      </c>
      <c r="F256" s="34" t="str">
        <f>IFERROR(IF(E256="","",VLOOKUP(E256,الموظفين!$B:$C,2,FALSE)),"")</f>
        <v>موظف56</v>
      </c>
      <c r="G256" s="34" t="str">
        <f>IFERROR(IF(C256="","",VLOOKUP(C256,المستفيدين!$B:$F,5,FALSE)),"")</f>
        <v>مدرسة إرادة وتمكين لمتلازمة داون (نجد)</v>
      </c>
      <c r="H256" s="24" t="s">
        <v>553</v>
      </c>
      <c r="I256" s="24" t="s">
        <v>75</v>
      </c>
      <c r="J256" s="24" t="s">
        <v>0</v>
      </c>
      <c r="K256" s="24" t="s">
        <v>10</v>
      </c>
      <c r="L256" s="25" t="s">
        <v>526</v>
      </c>
    </row>
    <row r="257" spans="1:12" x14ac:dyDescent="0.2">
      <c r="A257" s="21">
        <v>256</v>
      </c>
      <c r="B257" s="22">
        <v>45808</v>
      </c>
      <c r="C257" s="20">
        <v>1228837751</v>
      </c>
      <c r="D257" s="34" t="str">
        <f>IFERROR(IF(C257="","",VLOOKUP(C257,المستفيدين!$B:$C,2,FALSE)),"")</f>
        <v>مستفيد58</v>
      </c>
      <c r="E257" s="20" t="s">
        <v>326</v>
      </c>
      <c r="F257" s="34" t="str">
        <f>IFERROR(IF(E257="","",VLOOKUP(E257,الموظفين!$B:$C,2,FALSE)),"")</f>
        <v>موظف92</v>
      </c>
      <c r="G257" s="34" t="str">
        <f>IFERROR(IF(C257="","",VLOOKUP(C257,المستفيدين!$B:$F,5,FALSE)),"")</f>
        <v>مدرسة إرادة وتمكين لمتلازمة داون (نجد)</v>
      </c>
      <c r="H257" s="24" t="s">
        <v>553</v>
      </c>
      <c r="I257" s="20" t="s">
        <v>79</v>
      </c>
      <c r="J257" s="20" t="s">
        <v>0</v>
      </c>
      <c r="K257" s="20" t="s">
        <v>11</v>
      </c>
      <c r="L257" s="26" t="s">
        <v>526</v>
      </c>
    </row>
    <row r="258" spans="1:12" x14ac:dyDescent="0.2">
      <c r="A258" s="18">
        <v>257</v>
      </c>
      <c r="B258" s="19">
        <v>45812</v>
      </c>
      <c r="C258" s="20">
        <v>1801782233</v>
      </c>
      <c r="D258" s="34" t="str">
        <f>IFERROR(IF(C258="","",VLOOKUP(C258,المستفيدين!$B:$C,2,FALSE)),"")</f>
        <v>مستفيد117</v>
      </c>
      <c r="E258" s="24" t="s">
        <v>216</v>
      </c>
      <c r="F258" s="34" t="str">
        <f>IFERROR(IF(E258="","",VLOOKUP(E258,الموظفين!$B:$C,2,FALSE)),"")</f>
        <v>موظف37</v>
      </c>
      <c r="G258" s="34" t="str">
        <f>IFERROR(IF(C258="","",VLOOKUP(C258,المستفيدين!$B:$F,5,FALSE)),"")</f>
        <v>مركز إرادة وتمكين للرعاية النهارية (القدس)</v>
      </c>
      <c r="H258" s="24" t="s">
        <v>552</v>
      </c>
      <c r="I258" s="24" t="s">
        <v>81</v>
      </c>
      <c r="J258" s="24" t="s">
        <v>1</v>
      </c>
      <c r="K258" s="24" t="s">
        <v>9</v>
      </c>
      <c r="L258" s="25" t="s">
        <v>51</v>
      </c>
    </row>
    <row r="259" spans="1:12" x14ac:dyDescent="0.2">
      <c r="A259" s="21">
        <v>258</v>
      </c>
      <c r="B259" s="22">
        <v>45815</v>
      </c>
      <c r="C259" s="20">
        <v>1225270924</v>
      </c>
      <c r="D259" s="34" t="str">
        <f>IFERROR(IF(C259="","",VLOOKUP(C259,المستفيدين!$B:$C,2,FALSE)),"")</f>
        <v>مستفيد191</v>
      </c>
      <c r="E259" s="20" t="s">
        <v>300</v>
      </c>
      <c r="F259" s="34" t="str">
        <f>IFERROR(IF(E259="","",VLOOKUP(E259,الموظفين!$B:$C,2,FALSE)),"")</f>
        <v>موظف79</v>
      </c>
      <c r="G259" s="34" t="str">
        <f>IFERROR(IF(C259="","",VLOOKUP(C259,المستفيدين!$B:$F,5,FALSE)),"")</f>
        <v>مدرسة إرادة وتمكين لمتلازمة داون (نجد)</v>
      </c>
      <c r="H259" s="24" t="s">
        <v>553</v>
      </c>
      <c r="I259" s="20" t="s">
        <v>77</v>
      </c>
      <c r="J259" s="20" t="s">
        <v>1</v>
      </c>
      <c r="K259" s="20" t="s">
        <v>9</v>
      </c>
      <c r="L259" s="26" t="s">
        <v>526</v>
      </c>
    </row>
    <row r="260" spans="1:12" x14ac:dyDescent="0.2">
      <c r="A260" s="18">
        <v>259</v>
      </c>
      <c r="B260" s="19">
        <v>45817</v>
      </c>
      <c r="C260" s="20">
        <v>1234479307</v>
      </c>
      <c r="D260" s="34" t="str">
        <f>IFERROR(IF(C260="","",VLOOKUP(C260,المستفيدين!$B:$C,2,FALSE)),"")</f>
        <v>مستفيد136</v>
      </c>
      <c r="E260" s="24" t="s">
        <v>176</v>
      </c>
      <c r="F260" s="34" t="str">
        <f>IFERROR(IF(E260="","",VLOOKUP(E260,الموظفين!$B:$C,2,FALSE)),"")</f>
        <v>موظف17</v>
      </c>
      <c r="G260" s="34" t="str">
        <f>IFERROR(IF(C260="","",VLOOKUP(C260,المستفيدين!$B:$F,5,FALSE)),"")</f>
        <v>مركز إرادة وتمكين لمتلازمة داون (نجد)</v>
      </c>
      <c r="H260" s="24" t="s">
        <v>553</v>
      </c>
      <c r="I260" s="24" t="s">
        <v>76</v>
      </c>
      <c r="J260" s="24" t="s">
        <v>0</v>
      </c>
      <c r="K260" s="24" t="s">
        <v>9</v>
      </c>
      <c r="L260" s="25"/>
    </row>
    <row r="261" spans="1:12" x14ac:dyDescent="0.2">
      <c r="A261" s="21">
        <v>260</v>
      </c>
      <c r="B261" s="22">
        <v>45819</v>
      </c>
      <c r="C261" s="20">
        <v>1992868682</v>
      </c>
      <c r="D261" s="34" t="str">
        <f>IFERROR(IF(C261="","",VLOOKUP(C261,المستفيدين!$B:$C,2,FALSE)),"")</f>
        <v>مستفيد65</v>
      </c>
      <c r="E261" s="20" t="s">
        <v>172</v>
      </c>
      <c r="F261" s="34" t="str">
        <f>IFERROR(IF(E261="","",VLOOKUP(E261,الموظفين!$B:$C,2,FALSE)),"")</f>
        <v>موظف15</v>
      </c>
      <c r="G261" s="34" t="str">
        <f>IFERROR(IF(C261="","",VLOOKUP(C261,المستفيدين!$B:$F,5,FALSE)),"")</f>
        <v>مركز إرادة وتمكين لرعاية ذوي الاحتياجات الخاصة (جلمودة)</v>
      </c>
      <c r="H261" s="24" t="s">
        <v>553</v>
      </c>
      <c r="I261" s="20" t="s">
        <v>78</v>
      </c>
      <c r="J261" s="20" t="s">
        <v>1</v>
      </c>
      <c r="K261" s="20" t="s">
        <v>11</v>
      </c>
      <c r="L261" s="26"/>
    </row>
    <row r="262" spans="1:12" x14ac:dyDescent="0.2">
      <c r="A262" s="18">
        <v>261</v>
      </c>
      <c r="B262" s="19">
        <v>45820</v>
      </c>
      <c r="C262" s="20">
        <v>1532697741</v>
      </c>
      <c r="D262" s="34" t="str">
        <f>IFERROR(IF(C262="","",VLOOKUP(C262,المستفيدين!$B:$C,2,FALSE)),"")</f>
        <v>مستفيد93</v>
      </c>
      <c r="E262" s="24" t="s">
        <v>178</v>
      </c>
      <c r="F262" s="34" t="str">
        <f>IFERROR(IF(E262="","",VLOOKUP(E262,الموظفين!$B:$C,2,FALSE)),"")</f>
        <v>موظف18</v>
      </c>
      <c r="G262" s="34" t="str">
        <f>IFERROR(IF(C262="","",VLOOKUP(C262,المستفيدين!$B:$F,5,FALSE)),"")</f>
        <v>مركز إرادة وتمكين للرعاية النهارية (القدس)</v>
      </c>
      <c r="H262" s="24" t="s">
        <v>553</v>
      </c>
      <c r="I262" s="24" t="s">
        <v>78</v>
      </c>
      <c r="J262" s="24" t="s">
        <v>1</v>
      </c>
      <c r="K262" s="24" t="s">
        <v>12</v>
      </c>
      <c r="L262" s="25" t="s">
        <v>525</v>
      </c>
    </row>
    <row r="263" spans="1:12" x14ac:dyDescent="0.2">
      <c r="A263" s="21">
        <v>262</v>
      </c>
      <c r="B263" s="22">
        <v>45821</v>
      </c>
      <c r="C263" s="20">
        <v>1580476879</v>
      </c>
      <c r="D263" s="34" t="str">
        <f>IFERROR(IF(C263="","",VLOOKUP(C263,المستفيدين!$B:$C,2,FALSE)),"")</f>
        <v>مستفيد82</v>
      </c>
      <c r="E263" s="20" t="s">
        <v>176</v>
      </c>
      <c r="F263" s="34" t="str">
        <f>IFERROR(IF(E263="","",VLOOKUP(E263,الموظفين!$B:$C,2,FALSE)),"")</f>
        <v>موظف17</v>
      </c>
      <c r="G263" s="34" t="str">
        <f>IFERROR(IF(C263="","",VLOOKUP(C263,المستفيدين!$B:$F,5,FALSE)),"")</f>
        <v>مدرسة إرادة للتعليم (مكة)</v>
      </c>
      <c r="H263" s="24" t="s">
        <v>553</v>
      </c>
      <c r="I263" s="20" t="s">
        <v>76</v>
      </c>
      <c r="J263" s="20" t="s">
        <v>0</v>
      </c>
      <c r="K263" s="20" t="s">
        <v>12</v>
      </c>
      <c r="L263" s="26" t="s">
        <v>525</v>
      </c>
    </row>
    <row r="264" spans="1:12" x14ac:dyDescent="0.2">
      <c r="A264" s="18">
        <v>263</v>
      </c>
      <c r="B264" s="19">
        <v>45821</v>
      </c>
      <c r="C264" s="20">
        <v>1273952500</v>
      </c>
      <c r="D264" s="34" t="str">
        <f>IFERROR(IF(C264="","",VLOOKUP(C264,المستفيدين!$B:$C,2,FALSE)),"")</f>
        <v>مستفيد184</v>
      </c>
      <c r="E264" s="24" t="s">
        <v>304</v>
      </c>
      <c r="F264" s="34" t="str">
        <f>IFERROR(IF(E264="","",VLOOKUP(E264,الموظفين!$B:$C,2,FALSE)),"")</f>
        <v>موظف81</v>
      </c>
      <c r="G264" s="34" t="str">
        <f>IFERROR(IF(C264="","",VLOOKUP(C264,المستفيدين!$B:$F,5,FALSE)),"")</f>
        <v>مركز إرادة وتمكين لرعاية ذوي الاحتياجات الخاصة (جلمودة)</v>
      </c>
      <c r="H264" s="24" t="s">
        <v>553</v>
      </c>
      <c r="I264" s="24" t="s">
        <v>77</v>
      </c>
      <c r="J264" s="24" t="s">
        <v>0</v>
      </c>
      <c r="K264" s="24" t="s">
        <v>9</v>
      </c>
      <c r="L264" s="25"/>
    </row>
    <row r="265" spans="1:12" x14ac:dyDescent="0.2">
      <c r="A265" s="21">
        <v>264</v>
      </c>
      <c r="B265" s="22">
        <v>45821</v>
      </c>
      <c r="C265" s="20">
        <v>1228939605</v>
      </c>
      <c r="D265" s="34" t="str">
        <f>IFERROR(IF(C265="","",VLOOKUP(C265,المستفيدين!$B:$C,2,FALSE)),"")</f>
        <v>مستفيد54</v>
      </c>
      <c r="E265" s="20" t="s">
        <v>190</v>
      </c>
      <c r="F265" s="34" t="str">
        <f>IFERROR(IF(E265="","",VLOOKUP(E265,الموظفين!$B:$C,2,FALSE)),"")</f>
        <v>موظف24</v>
      </c>
      <c r="G265" s="34" t="str">
        <f>IFERROR(IF(C265="","",VLOOKUP(C265,المستفيدين!$B:$F,5,FALSE)),"")</f>
        <v>مدرسة إرادة للتعليم (مكة)</v>
      </c>
      <c r="H265" s="24" t="s">
        <v>552</v>
      </c>
      <c r="I265" s="20" t="s">
        <v>556</v>
      </c>
      <c r="J265" s="20" t="s">
        <v>0</v>
      </c>
      <c r="K265" s="20" t="s">
        <v>10</v>
      </c>
      <c r="L265" s="26"/>
    </row>
    <row r="266" spans="1:12" x14ac:dyDescent="0.2">
      <c r="A266" s="18">
        <v>265</v>
      </c>
      <c r="B266" s="19">
        <v>45823</v>
      </c>
      <c r="C266" s="20">
        <v>1614390911</v>
      </c>
      <c r="D266" s="34" t="str">
        <f>IFERROR(IF(C266="","",VLOOKUP(C266,المستفيدين!$B:$C,2,FALSE)),"")</f>
        <v>مستفيد149</v>
      </c>
      <c r="E266" s="24" t="s">
        <v>254</v>
      </c>
      <c r="F266" s="34" t="str">
        <f>IFERROR(IF(E266="","",VLOOKUP(E266,الموظفين!$B:$C,2,FALSE)),"")</f>
        <v>موظف56</v>
      </c>
      <c r="G266" s="34" t="str">
        <f>IFERROR(IF(C266="","",VLOOKUP(C266,المستفيدين!$B:$F,5,FALSE)),"")</f>
        <v>مدرسة إرادة للتعليم (مكة)</v>
      </c>
      <c r="H266" s="24" t="s">
        <v>553</v>
      </c>
      <c r="I266" s="24" t="s">
        <v>75</v>
      </c>
      <c r="J266" s="24" t="s">
        <v>0</v>
      </c>
      <c r="K266" s="24" t="s">
        <v>10</v>
      </c>
      <c r="L266" s="25" t="s">
        <v>523</v>
      </c>
    </row>
    <row r="267" spans="1:12" x14ac:dyDescent="0.2">
      <c r="A267" s="21">
        <v>266</v>
      </c>
      <c r="B267" s="22">
        <v>45823</v>
      </c>
      <c r="C267" s="20">
        <v>1347584820</v>
      </c>
      <c r="D267" s="34" t="str">
        <f>IFERROR(IF(C267="","",VLOOKUP(C267,المستفيدين!$B:$C,2,FALSE)),"")</f>
        <v>مستفيد9</v>
      </c>
      <c r="E267" s="20" t="s">
        <v>260</v>
      </c>
      <c r="F267" s="34" t="str">
        <f>IFERROR(IF(E267="","",VLOOKUP(E267,الموظفين!$B:$C,2,FALSE)),"")</f>
        <v>موظف59</v>
      </c>
      <c r="G267" s="34" t="str">
        <f>IFERROR(IF(C267="","",VLOOKUP(C267,المستفيدين!$B:$F,5,FALSE)),"")</f>
        <v>مركز إرادة وتمكين للرعاية النهارية (القدس)</v>
      </c>
      <c r="H267" s="24" t="s">
        <v>553</v>
      </c>
      <c r="I267" s="20" t="s">
        <v>77</v>
      </c>
      <c r="J267" s="20" t="s">
        <v>0</v>
      </c>
      <c r="K267" s="20" t="s">
        <v>9</v>
      </c>
      <c r="L267" s="26"/>
    </row>
    <row r="268" spans="1:12" x14ac:dyDescent="0.2">
      <c r="A268" s="18">
        <v>267</v>
      </c>
      <c r="B268" s="19">
        <v>45827</v>
      </c>
      <c r="C268" s="20">
        <v>1087747431</v>
      </c>
      <c r="D268" s="34" t="str">
        <f>IFERROR(IF(C268="","",VLOOKUP(C268,المستفيدين!$B:$C,2,FALSE)),"")</f>
        <v>مستفيد108</v>
      </c>
      <c r="E268" s="24" t="s">
        <v>274</v>
      </c>
      <c r="F268" s="34" t="str">
        <f>IFERROR(IF(E268="","",VLOOKUP(E268,الموظفين!$B:$C,2,FALSE)),"")</f>
        <v>موظف66</v>
      </c>
      <c r="G268" s="34" t="str">
        <f>IFERROR(IF(C268="","",VLOOKUP(C268,المستفيدين!$B:$F,5,FALSE)),"")</f>
        <v>مركز إرادة وتمكين لمتلازمة داون (نجد)</v>
      </c>
      <c r="H268" s="24" t="s">
        <v>553</v>
      </c>
      <c r="I268" s="24" t="s">
        <v>74</v>
      </c>
      <c r="J268" s="24" t="s">
        <v>1</v>
      </c>
      <c r="K268" s="24" t="s">
        <v>9</v>
      </c>
      <c r="L268" s="25" t="s">
        <v>526</v>
      </c>
    </row>
    <row r="269" spans="1:12" x14ac:dyDescent="0.2">
      <c r="A269" s="21">
        <v>268</v>
      </c>
      <c r="B269" s="22">
        <v>45828</v>
      </c>
      <c r="C269" s="20">
        <v>1714015460</v>
      </c>
      <c r="D269" s="34" t="str">
        <f>IFERROR(IF(C269="","",VLOOKUP(C269,المستفيدين!$B:$C,2,FALSE)),"")</f>
        <v>مستفيد151</v>
      </c>
      <c r="E269" s="20" t="s">
        <v>69</v>
      </c>
      <c r="F269" s="34" t="str">
        <f>IFERROR(IF(E269="","",VLOOKUP(E269,الموظفين!$B:$C,2,FALSE)),"")</f>
        <v>موظف3</v>
      </c>
      <c r="G269" s="34" t="str">
        <f>IFERROR(IF(C269="","",VLOOKUP(C269,المستفيدين!$B:$F,5,FALSE)),"")</f>
        <v>مركز إرادة وتمكين للرعاية النهارية (القدس)</v>
      </c>
      <c r="H269" s="24" t="s">
        <v>553</v>
      </c>
      <c r="I269" s="20" t="s">
        <v>75</v>
      </c>
      <c r="J269" s="20" t="s">
        <v>1</v>
      </c>
      <c r="K269" s="20" t="s">
        <v>11</v>
      </c>
      <c r="L269" s="26" t="s">
        <v>51</v>
      </c>
    </row>
    <row r="270" spans="1:12" x14ac:dyDescent="0.2">
      <c r="A270" s="18">
        <v>269</v>
      </c>
      <c r="B270" s="19">
        <v>45828</v>
      </c>
      <c r="C270" s="20">
        <v>1207180707</v>
      </c>
      <c r="D270" s="34" t="str">
        <f>IFERROR(IF(C270="","",VLOOKUP(C270,المستفيدين!$B:$C,2,FALSE)),"")</f>
        <v>مستفيد182</v>
      </c>
      <c r="E270" s="24" t="s">
        <v>270</v>
      </c>
      <c r="F270" s="34" t="str">
        <f>IFERROR(IF(E270="","",VLOOKUP(E270,الموظفين!$B:$C,2,FALSE)),"")</f>
        <v>موظف64</v>
      </c>
      <c r="G270" s="34" t="str">
        <f>IFERROR(IF(C270="","",VLOOKUP(C270,المستفيدين!$B:$F,5,FALSE)),"")</f>
        <v>مدرسة إرادة للتعليم (مكة)</v>
      </c>
      <c r="H270" s="24" t="s">
        <v>553</v>
      </c>
      <c r="I270" s="24" t="s">
        <v>77</v>
      </c>
      <c r="J270" s="24" t="s">
        <v>0</v>
      </c>
      <c r="K270" s="24" t="s">
        <v>10</v>
      </c>
      <c r="L270" s="25"/>
    </row>
    <row r="271" spans="1:12" x14ac:dyDescent="0.2">
      <c r="A271" s="21">
        <v>270</v>
      </c>
      <c r="B271" s="22">
        <v>45829</v>
      </c>
      <c r="C271" s="20">
        <v>1065080091</v>
      </c>
      <c r="D271" s="34" t="str">
        <f>IFERROR(IF(C271="","",VLOOKUP(C271,المستفيدين!$B:$C,2,FALSE)),"")</f>
        <v>مستفيد88</v>
      </c>
      <c r="E271" s="20" t="s">
        <v>182</v>
      </c>
      <c r="F271" s="34" t="str">
        <f>IFERROR(IF(E271="","",VLOOKUP(E271,الموظفين!$B:$C,2,FALSE)),"")</f>
        <v>موظف20</v>
      </c>
      <c r="G271" s="34" t="str">
        <f>IFERROR(IF(C271="","",VLOOKUP(C271,المستفيدين!$B:$F,5,FALSE)),"")</f>
        <v>مركز إرادة وتمكين للرعاية النهارية (القدس)</v>
      </c>
      <c r="H271" s="24" t="s">
        <v>553</v>
      </c>
      <c r="I271" s="20" t="s">
        <v>76</v>
      </c>
      <c r="J271" s="20" t="s">
        <v>1</v>
      </c>
      <c r="K271" s="20" t="s">
        <v>9</v>
      </c>
      <c r="L271" s="26"/>
    </row>
    <row r="272" spans="1:12" x14ac:dyDescent="0.2">
      <c r="A272" s="18">
        <v>271</v>
      </c>
      <c r="B272" s="19">
        <v>45830</v>
      </c>
      <c r="C272" s="20">
        <v>1723683973</v>
      </c>
      <c r="D272" s="34" t="str">
        <f>IFERROR(IF(C272="","",VLOOKUP(C272,المستفيدين!$B:$C,2,FALSE)),"")</f>
        <v>مستفيد152</v>
      </c>
      <c r="E272" s="24" t="s">
        <v>252</v>
      </c>
      <c r="F272" s="34" t="str">
        <f>IFERROR(IF(E272="","",VLOOKUP(E272,الموظفين!$B:$C,2,FALSE)),"")</f>
        <v>موظف55</v>
      </c>
      <c r="G272" s="34" t="str">
        <f>IFERROR(IF(C272="","",VLOOKUP(C272,المستفيدين!$B:$F,5,FALSE)),"")</f>
        <v>مركز إرادة وتمكين لمتلازمة داون (نجد)</v>
      </c>
      <c r="H272" s="24" t="s">
        <v>553</v>
      </c>
      <c r="I272" s="24" t="s">
        <v>77</v>
      </c>
      <c r="J272" s="24" t="s">
        <v>1</v>
      </c>
      <c r="K272" s="24" t="s">
        <v>10</v>
      </c>
      <c r="L272" s="25" t="s">
        <v>51</v>
      </c>
    </row>
    <row r="273" spans="1:12" x14ac:dyDescent="0.2">
      <c r="A273" s="21">
        <v>272</v>
      </c>
      <c r="B273" s="22">
        <v>45832</v>
      </c>
      <c r="C273" s="20">
        <v>1247447562</v>
      </c>
      <c r="D273" s="34" t="str">
        <f>IFERROR(IF(C273="","",VLOOKUP(C273,المستفيدين!$B:$C,2,FALSE)),"")</f>
        <v>مستفيد89</v>
      </c>
      <c r="E273" s="20" t="s">
        <v>182</v>
      </c>
      <c r="F273" s="34" t="str">
        <f>IFERROR(IF(E273="","",VLOOKUP(E273,الموظفين!$B:$C,2,FALSE)),"")</f>
        <v>موظف20</v>
      </c>
      <c r="G273" s="34" t="str">
        <f>IFERROR(IF(C273="","",VLOOKUP(C273,المستفيدين!$B:$F,5,FALSE)),"")</f>
        <v>مدرسة إرادة للتعليم (مكة)</v>
      </c>
      <c r="H273" s="24" t="s">
        <v>553</v>
      </c>
      <c r="I273" s="20" t="s">
        <v>76</v>
      </c>
      <c r="J273" s="20" t="s">
        <v>1</v>
      </c>
      <c r="K273" s="20" t="s">
        <v>11</v>
      </c>
      <c r="L273" s="26"/>
    </row>
    <row r="274" spans="1:12" x14ac:dyDescent="0.2">
      <c r="A274" s="18">
        <v>273</v>
      </c>
      <c r="B274" s="19">
        <v>45837</v>
      </c>
      <c r="C274" s="20">
        <v>1110215725</v>
      </c>
      <c r="D274" s="34" t="str">
        <f>IFERROR(IF(C274="","",VLOOKUP(C274,المستفيدين!$B:$C,2,FALSE)),"")</f>
        <v>مستفيد34</v>
      </c>
      <c r="E274" s="24" t="s">
        <v>258</v>
      </c>
      <c r="F274" s="34" t="str">
        <f>IFERROR(IF(E274="","",VLOOKUP(E274,الموظفين!$B:$C,2,FALSE)),"")</f>
        <v>موظف58</v>
      </c>
      <c r="G274" s="34" t="str">
        <f>IFERROR(IF(C274="","",VLOOKUP(C274,المستفيدين!$B:$F,5,FALSE)),"")</f>
        <v>مركز إرادة وتمكين لرعاية ذوي الاحتياجات الخاصة (جلمودة)</v>
      </c>
      <c r="H274" s="24" t="s">
        <v>552</v>
      </c>
      <c r="I274" s="24" t="s">
        <v>81</v>
      </c>
      <c r="J274" s="24" t="s">
        <v>0</v>
      </c>
      <c r="K274" s="24" t="s">
        <v>9</v>
      </c>
      <c r="L274" s="25" t="s">
        <v>524</v>
      </c>
    </row>
    <row r="275" spans="1:12" x14ac:dyDescent="0.2">
      <c r="A275" s="21">
        <v>274</v>
      </c>
      <c r="B275" s="22">
        <v>45837</v>
      </c>
      <c r="C275" s="20">
        <v>1463642752</v>
      </c>
      <c r="D275" s="34" t="str">
        <f>IFERROR(IF(C275="","",VLOOKUP(C275,المستفيدين!$B:$C,2,FALSE)),"")</f>
        <v>مستفيد86</v>
      </c>
      <c r="E275" s="20" t="s">
        <v>336</v>
      </c>
      <c r="F275" s="34" t="str">
        <f>IFERROR(IF(E275="","",VLOOKUP(E275,الموظفين!$B:$C,2,FALSE)),"")</f>
        <v>موظف97</v>
      </c>
      <c r="G275" s="34" t="str">
        <f>IFERROR(IF(C275="","",VLOOKUP(C275,المستفيدين!$B:$F,5,FALSE)),"")</f>
        <v>مدرسة إرادة وتمكين لمتلازمة داون (نجد)</v>
      </c>
      <c r="H275" s="24" t="s">
        <v>553</v>
      </c>
      <c r="I275" s="20" t="s">
        <v>78</v>
      </c>
      <c r="J275" s="20" t="s">
        <v>0</v>
      </c>
      <c r="K275" s="20" t="s">
        <v>9</v>
      </c>
      <c r="L275" s="26"/>
    </row>
    <row r="276" spans="1:12" x14ac:dyDescent="0.2">
      <c r="A276" s="18">
        <v>275</v>
      </c>
      <c r="B276" s="19">
        <v>45837</v>
      </c>
      <c r="C276" s="20">
        <v>1480462141</v>
      </c>
      <c r="D276" s="34" t="str">
        <f>IFERROR(IF(C276="","",VLOOKUP(C276,المستفيدين!$B:$C,2,FALSE)),"")</f>
        <v>مستفيد69</v>
      </c>
      <c r="E276" s="24" t="s">
        <v>300</v>
      </c>
      <c r="F276" s="34" t="str">
        <f>IFERROR(IF(E276="","",VLOOKUP(E276,الموظفين!$B:$C,2,FALSE)),"")</f>
        <v>موظف79</v>
      </c>
      <c r="G276" s="34" t="str">
        <f>IFERROR(IF(C276="","",VLOOKUP(C276,المستفيدين!$B:$F,5,FALSE)),"")</f>
        <v>مركز إرادة وتمكين لمتلازمة داون (نجد)</v>
      </c>
      <c r="H276" s="24" t="s">
        <v>553</v>
      </c>
      <c r="I276" s="24" t="s">
        <v>77</v>
      </c>
      <c r="J276" s="24" t="s">
        <v>1</v>
      </c>
      <c r="K276" s="24" t="s">
        <v>11</v>
      </c>
      <c r="L276" s="25" t="s">
        <v>523</v>
      </c>
    </row>
    <row r="277" spans="1:12" x14ac:dyDescent="0.2">
      <c r="A277" s="21">
        <v>276</v>
      </c>
      <c r="B277" s="22">
        <v>45840</v>
      </c>
      <c r="C277" s="20">
        <v>1229115953</v>
      </c>
      <c r="D277" s="34" t="str">
        <f>IFERROR(IF(C277="","",VLOOKUP(C277,المستفيدين!$B:$C,2,FALSE)),"")</f>
        <v>مستفيد198</v>
      </c>
      <c r="E277" s="20" t="s">
        <v>336</v>
      </c>
      <c r="F277" s="34" t="str">
        <f>IFERROR(IF(E277="","",VLOOKUP(E277,الموظفين!$B:$C,2,FALSE)),"")</f>
        <v>موظف97</v>
      </c>
      <c r="G277" s="34" t="str">
        <f>IFERROR(IF(C277="","",VLOOKUP(C277,المستفيدين!$B:$F,5,FALSE)),"")</f>
        <v>مركز إرادة وتمكين للرعاية النهارية (القدس)</v>
      </c>
      <c r="H277" s="24" t="s">
        <v>553</v>
      </c>
      <c r="I277" s="20" t="s">
        <v>78</v>
      </c>
      <c r="J277" s="20" t="s">
        <v>0</v>
      </c>
      <c r="K277" s="20" t="s">
        <v>11</v>
      </c>
      <c r="L277" s="26" t="s">
        <v>526</v>
      </c>
    </row>
    <row r="278" spans="1:12" x14ac:dyDescent="0.2">
      <c r="A278" s="18">
        <v>277</v>
      </c>
      <c r="B278" s="19">
        <v>45840</v>
      </c>
      <c r="C278" s="20">
        <v>1889143921</v>
      </c>
      <c r="D278" s="34" t="str">
        <f>IFERROR(IF(C278="","",VLOOKUP(C278,المستفيدين!$B:$C,2,FALSE)),"")</f>
        <v>مستفيد6</v>
      </c>
      <c r="E278" s="24" t="s">
        <v>68</v>
      </c>
      <c r="F278" s="34" t="str">
        <f>IFERROR(IF(E278="","",VLOOKUP(E278,الموظفين!$B:$C,2,FALSE)),"")</f>
        <v>موظف2</v>
      </c>
      <c r="G278" s="34" t="str">
        <f>IFERROR(IF(C278="","",VLOOKUP(C278,المستفيدين!$B:$F,5,FALSE)),"")</f>
        <v>مركز إرادة وتمكين لرعاية ذوي الاحتياجات الخاصة (جلمودة)</v>
      </c>
      <c r="H278" s="24" t="s">
        <v>553</v>
      </c>
      <c r="I278" s="24" t="s">
        <v>75</v>
      </c>
      <c r="J278" s="24" t="s">
        <v>0</v>
      </c>
      <c r="K278" s="24" t="s">
        <v>9</v>
      </c>
      <c r="L278" s="25"/>
    </row>
    <row r="279" spans="1:12" x14ac:dyDescent="0.2">
      <c r="A279" s="21">
        <v>278</v>
      </c>
      <c r="B279" s="22">
        <v>45841</v>
      </c>
      <c r="C279" s="20">
        <v>1151017514</v>
      </c>
      <c r="D279" s="34" t="str">
        <f>IFERROR(IF(C279="","",VLOOKUP(C279,المستفيدين!$B:$C,2,FALSE)),"")</f>
        <v>مستفيد24</v>
      </c>
      <c r="E279" s="20" t="s">
        <v>272</v>
      </c>
      <c r="F279" s="34" t="str">
        <f>IFERROR(IF(E279="","",VLOOKUP(E279,الموظفين!$B:$C,2,FALSE)),"")</f>
        <v>موظف65</v>
      </c>
      <c r="G279" s="34" t="str">
        <f>IFERROR(IF(C279="","",VLOOKUP(C279,المستفيدين!$B:$F,5,FALSE)),"")</f>
        <v>مركز إرادة وتمكين للرعاية النهارية (القدس)</v>
      </c>
      <c r="H279" s="24" t="s">
        <v>553</v>
      </c>
      <c r="I279" s="20" t="s">
        <v>78</v>
      </c>
      <c r="J279" s="20" t="s">
        <v>1</v>
      </c>
      <c r="K279" s="20" t="s">
        <v>11</v>
      </c>
      <c r="L279" s="26"/>
    </row>
    <row r="280" spans="1:12" x14ac:dyDescent="0.2">
      <c r="A280" s="18">
        <v>279</v>
      </c>
      <c r="B280" s="19">
        <v>45842</v>
      </c>
      <c r="C280" s="20">
        <v>1998973443</v>
      </c>
      <c r="D280" s="34" t="str">
        <f>IFERROR(IF(C280="","",VLOOKUP(C280,المستفيدين!$B:$C,2,FALSE)),"")</f>
        <v>مستفيد28</v>
      </c>
      <c r="E280" s="24" t="s">
        <v>182</v>
      </c>
      <c r="F280" s="34" t="str">
        <f>IFERROR(IF(E280="","",VLOOKUP(E280,الموظفين!$B:$C,2,FALSE)),"")</f>
        <v>موظف20</v>
      </c>
      <c r="G280" s="34" t="str">
        <f>IFERROR(IF(C280="","",VLOOKUP(C280,المستفيدين!$B:$F,5,FALSE)),"")</f>
        <v>مدرسة إرادة وتمكين لمتلازمة داون (نجد)</v>
      </c>
      <c r="H280" s="24" t="s">
        <v>553</v>
      </c>
      <c r="I280" s="24" t="s">
        <v>76</v>
      </c>
      <c r="J280" s="24" t="s">
        <v>1</v>
      </c>
      <c r="K280" s="24" t="s">
        <v>11</v>
      </c>
      <c r="L280" s="25" t="s">
        <v>524</v>
      </c>
    </row>
    <row r="281" spans="1:12" x14ac:dyDescent="0.2">
      <c r="A281" s="21">
        <v>280</v>
      </c>
      <c r="B281" s="22">
        <v>45843</v>
      </c>
      <c r="C281" s="20">
        <v>1919727514</v>
      </c>
      <c r="D281" s="34" t="str">
        <f>IFERROR(IF(C281="","",VLOOKUP(C281,المستفيدين!$B:$C,2,FALSE)),"")</f>
        <v>مستفيد170</v>
      </c>
      <c r="E281" s="20" t="s">
        <v>254</v>
      </c>
      <c r="F281" s="34" t="str">
        <f>IFERROR(IF(E281="","",VLOOKUP(E281,الموظفين!$B:$C,2,FALSE)),"")</f>
        <v>موظف56</v>
      </c>
      <c r="G281" s="34" t="str">
        <f>IFERROR(IF(C281="","",VLOOKUP(C281,المستفيدين!$B:$F,5,FALSE)),"")</f>
        <v>مركز إرادة وتمكين لمتلازمة داون (نجد)</v>
      </c>
      <c r="H281" s="24" t="s">
        <v>553</v>
      </c>
      <c r="I281" s="20" t="s">
        <v>75</v>
      </c>
      <c r="J281" s="20" t="s">
        <v>0</v>
      </c>
      <c r="K281" s="20" t="s">
        <v>12</v>
      </c>
      <c r="L281" s="26" t="s">
        <v>525</v>
      </c>
    </row>
    <row r="282" spans="1:12" x14ac:dyDescent="0.2">
      <c r="A282" s="18">
        <v>281</v>
      </c>
      <c r="B282" s="19">
        <v>45844</v>
      </c>
      <c r="C282" s="20">
        <v>1742902647</v>
      </c>
      <c r="D282" s="34" t="str">
        <f>IFERROR(IF(C282="","",VLOOKUP(C282,المستفيدين!$B:$C,2,FALSE)),"")</f>
        <v>مستفيد109</v>
      </c>
      <c r="E282" s="24" t="s">
        <v>300</v>
      </c>
      <c r="F282" s="34" t="str">
        <f>IFERROR(IF(E282="","",VLOOKUP(E282,الموظفين!$B:$C,2,FALSE)),"")</f>
        <v>موظف79</v>
      </c>
      <c r="G282" s="34" t="str">
        <f>IFERROR(IF(C282="","",VLOOKUP(C282,المستفيدين!$B:$F,5,FALSE)),"")</f>
        <v>مركز إرادة وتمكين لرعاية ذوي الاحتياجات الخاصة (جلمودة)</v>
      </c>
      <c r="H282" s="24" t="s">
        <v>553</v>
      </c>
      <c r="I282" s="24" t="s">
        <v>77</v>
      </c>
      <c r="J282" s="24" t="s">
        <v>1</v>
      </c>
      <c r="K282" s="24" t="s">
        <v>12</v>
      </c>
      <c r="L282" s="25"/>
    </row>
    <row r="283" spans="1:12" x14ac:dyDescent="0.2">
      <c r="A283" s="21">
        <v>282</v>
      </c>
      <c r="B283" s="22">
        <v>45846</v>
      </c>
      <c r="C283" s="20">
        <v>1371671971</v>
      </c>
      <c r="D283" s="34" t="str">
        <f>IFERROR(IF(C283="","",VLOOKUP(C283,المستفيدين!$B:$C,2,FALSE)),"")</f>
        <v>مستفيد91</v>
      </c>
      <c r="E283" s="20" t="s">
        <v>232</v>
      </c>
      <c r="F283" s="34" t="str">
        <f>IFERROR(IF(E283="","",VLOOKUP(E283,الموظفين!$B:$C,2,FALSE)),"")</f>
        <v>موظف45</v>
      </c>
      <c r="G283" s="34" t="str">
        <f>IFERROR(IF(C283="","",VLOOKUP(C283,المستفيدين!$B:$F,5,FALSE)),"")</f>
        <v>مركز إرادة وتمكين لرعاية ذوي الاحتياجات الخاصة (جلمودة)</v>
      </c>
      <c r="H283" s="24" t="s">
        <v>552</v>
      </c>
      <c r="I283" s="20" t="s">
        <v>80</v>
      </c>
      <c r="J283" s="20" t="s">
        <v>0</v>
      </c>
      <c r="K283" s="20" t="s">
        <v>12</v>
      </c>
      <c r="L283" s="26" t="s">
        <v>526</v>
      </c>
    </row>
    <row r="284" spans="1:12" x14ac:dyDescent="0.2">
      <c r="A284" s="18">
        <v>283</v>
      </c>
      <c r="B284" s="19">
        <v>45847</v>
      </c>
      <c r="C284" s="20">
        <v>1376850558</v>
      </c>
      <c r="D284" s="34" t="str">
        <f>IFERROR(IF(C284="","",VLOOKUP(C284,المستفيدين!$B:$C,2,FALSE)),"")</f>
        <v>مستفيد43</v>
      </c>
      <c r="E284" s="24" t="s">
        <v>68</v>
      </c>
      <c r="F284" s="34" t="str">
        <f>IFERROR(IF(E284="","",VLOOKUP(E284,الموظفين!$B:$C,2,FALSE)),"")</f>
        <v>موظف2</v>
      </c>
      <c r="G284" s="34" t="str">
        <f>IFERROR(IF(C284="","",VLOOKUP(C284,المستفيدين!$B:$F,5,FALSE)),"")</f>
        <v>مركز إرادة وتمكين لرعاية ذوي الاحتياجات الخاصة (جلمودة)</v>
      </c>
      <c r="H284" s="24" t="s">
        <v>553</v>
      </c>
      <c r="I284" s="24" t="s">
        <v>75</v>
      </c>
      <c r="J284" s="24" t="s">
        <v>0</v>
      </c>
      <c r="K284" s="24" t="s">
        <v>12</v>
      </c>
      <c r="L284" s="25"/>
    </row>
    <row r="285" spans="1:12" x14ac:dyDescent="0.2">
      <c r="A285" s="21">
        <v>284</v>
      </c>
      <c r="B285" s="22">
        <v>45850</v>
      </c>
      <c r="C285" s="20">
        <v>1618104695</v>
      </c>
      <c r="D285" s="34" t="str">
        <f>IFERROR(IF(C285="","",VLOOKUP(C285,المستفيدين!$B:$C,2,FALSE)),"")</f>
        <v>مستفيد36</v>
      </c>
      <c r="E285" s="20" t="s">
        <v>67</v>
      </c>
      <c r="F285" s="34" t="str">
        <f>IFERROR(IF(E285="","",VLOOKUP(E285,الموظفين!$B:$C,2,FALSE)),"")</f>
        <v>موظف1</v>
      </c>
      <c r="G285" s="34" t="str">
        <f>IFERROR(IF(C285="","",VLOOKUP(C285,المستفيدين!$B:$F,5,FALSE)),"")</f>
        <v>مدرسة إرادة وتمكين لمتلازمة داون (نجد)</v>
      </c>
      <c r="H285" s="24" t="s">
        <v>553</v>
      </c>
      <c r="I285" s="20" t="s">
        <v>74</v>
      </c>
      <c r="J285" s="20" t="s">
        <v>0</v>
      </c>
      <c r="K285" s="20" t="s">
        <v>9</v>
      </c>
      <c r="L285" s="26" t="s">
        <v>526</v>
      </c>
    </row>
    <row r="286" spans="1:12" x14ac:dyDescent="0.2">
      <c r="A286" s="18">
        <v>285</v>
      </c>
      <c r="B286" s="19">
        <v>45850</v>
      </c>
      <c r="C286" s="20">
        <v>1612775609</v>
      </c>
      <c r="D286" s="34" t="str">
        <f>IFERROR(IF(C286="","",VLOOKUP(C286,المستفيدين!$B:$C,2,FALSE)),"")</f>
        <v>مستفيد158</v>
      </c>
      <c r="E286" s="24" t="s">
        <v>68</v>
      </c>
      <c r="F286" s="34" t="str">
        <f>IFERROR(IF(E286="","",VLOOKUP(E286,الموظفين!$B:$C,2,FALSE)),"")</f>
        <v>موظف2</v>
      </c>
      <c r="G286" s="34" t="str">
        <f>IFERROR(IF(C286="","",VLOOKUP(C286,المستفيدين!$B:$F,5,FALSE)),"")</f>
        <v>مركز إرادة وتمكين لمتلازمة داون (نجد)</v>
      </c>
      <c r="H286" s="24" t="s">
        <v>553</v>
      </c>
      <c r="I286" s="24" t="s">
        <v>75</v>
      </c>
      <c r="J286" s="24" t="s">
        <v>0</v>
      </c>
      <c r="K286" s="24" t="s">
        <v>9</v>
      </c>
      <c r="L286" s="25" t="s">
        <v>523</v>
      </c>
    </row>
    <row r="287" spans="1:12" x14ac:dyDescent="0.2">
      <c r="A287" s="21">
        <v>286</v>
      </c>
      <c r="B287" s="22">
        <v>45851</v>
      </c>
      <c r="C287" s="20">
        <v>1752444255</v>
      </c>
      <c r="D287" s="34" t="str">
        <f>IFERROR(IF(C287="","",VLOOKUP(C287,المستفيدين!$B:$C,2,FALSE)),"")</f>
        <v>مستفيد81</v>
      </c>
      <c r="E287" s="20" t="s">
        <v>248</v>
      </c>
      <c r="F287" s="34" t="str">
        <f>IFERROR(IF(E287="","",VLOOKUP(E287,الموظفين!$B:$C,2,FALSE)),"")</f>
        <v>موظف53</v>
      </c>
      <c r="G287" s="34" t="str">
        <f>IFERROR(IF(C287="","",VLOOKUP(C287,المستفيدين!$B:$F,5,FALSE)),"")</f>
        <v>مركز إرادة وتمكين لرعاية ذوي الاحتياجات الخاصة (جلمودة)</v>
      </c>
      <c r="H287" s="24" t="s">
        <v>553</v>
      </c>
      <c r="I287" s="20" t="s">
        <v>75</v>
      </c>
      <c r="J287" s="20" t="s">
        <v>0</v>
      </c>
      <c r="K287" s="20" t="s">
        <v>10</v>
      </c>
      <c r="L287" s="26" t="s">
        <v>525</v>
      </c>
    </row>
    <row r="288" spans="1:12" x14ac:dyDescent="0.2">
      <c r="A288" s="18">
        <v>287</v>
      </c>
      <c r="B288" s="19">
        <v>45852</v>
      </c>
      <c r="C288" s="20">
        <v>1079496892</v>
      </c>
      <c r="D288" s="34" t="str">
        <f>IFERROR(IF(C288="","",VLOOKUP(C288,المستفيدين!$B:$C,2,FALSE)),"")</f>
        <v>مستفيد144</v>
      </c>
      <c r="E288" s="24" t="s">
        <v>216</v>
      </c>
      <c r="F288" s="34" t="str">
        <f>IFERROR(IF(E288="","",VLOOKUP(E288,الموظفين!$B:$C,2,FALSE)),"")</f>
        <v>موظف37</v>
      </c>
      <c r="G288" s="34" t="str">
        <f>IFERROR(IF(C288="","",VLOOKUP(C288,المستفيدين!$B:$F,5,FALSE)),"")</f>
        <v>مدرسة إرادة وتمكين لمتلازمة داون (نجد)</v>
      </c>
      <c r="H288" s="24" t="s">
        <v>552</v>
      </c>
      <c r="I288" s="24" t="s">
        <v>81</v>
      </c>
      <c r="J288" s="24" t="s">
        <v>1</v>
      </c>
      <c r="K288" s="24" t="s">
        <v>9</v>
      </c>
      <c r="L288" s="25" t="s">
        <v>523</v>
      </c>
    </row>
    <row r="289" spans="1:12" x14ac:dyDescent="0.2">
      <c r="A289" s="21">
        <v>288</v>
      </c>
      <c r="B289" s="22">
        <v>45853</v>
      </c>
      <c r="C289" s="20">
        <v>1009443870</v>
      </c>
      <c r="D289" s="34" t="str">
        <f>IFERROR(IF(C289="","",VLOOKUP(C289,المستفيدين!$B:$C,2,FALSE)),"")</f>
        <v>مستفيد42</v>
      </c>
      <c r="E289" s="20" t="s">
        <v>262</v>
      </c>
      <c r="F289" s="34" t="str">
        <f>IFERROR(IF(E289="","",VLOOKUP(E289,الموظفين!$B:$C,2,FALSE)),"")</f>
        <v>موظف60</v>
      </c>
      <c r="G289" s="34" t="str">
        <f>IFERROR(IF(C289="","",VLOOKUP(C289,المستفيدين!$B:$F,5,FALSE)),"")</f>
        <v>مركز إرادة وتمكين لمتلازمة داون (نجد)</v>
      </c>
      <c r="H289" s="24" t="s">
        <v>553</v>
      </c>
      <c r="I289" s="20" t="s">
        <v>75</v>
      </c>
      <c r="J289" s="20" t="s">
        <v>0</v>
      </c>
      <c r="K289" s="20" t="s">
        <v>9</v>
      </c>
      <c r="L289" s="26"/>
    </row>
    <row r="290" spans="1:12" x14ac:dyDescent="0.2">
      <c r="A290" s="18">
        <v>289</v>
      </c>
      <c r="B290" s="19">
        <v>45853</v>
      </c>
      <c r="C290" s="20">
        <v>1096348523</v>
      </c>
      <c r="D290" s="34" t="str">
        <f>IFERROR(IF(C290="","",VLOOKUP(C290,المستفيدين!$B:$C,2,FALSE)),"")</f>
        <v>مستفيد4</v>
      </c>
      <c r="E290" s="24" t="s">
        <v>268</v>
      </c>
      <c r="F290" s="34" t="str">
        <f>IFERROR(IF(E290="","",VLOOKUP(E290,الموظفين!$B:$C,2,FALSE)),"")</f>
        <v>موظف63</v>
      </c>
      <c r="G290" s="34" t="str">
        <f>IFERROR(IF(C290="","",VLOOKUP(C290,المستفيدين!$B:$F,5,FALSE)),"")</f>
        <v>مدرسة إرادة للتعليم (مكة)</v>
      </c>
      <c r="H290" s="24" t="s">
        <v>553</v>
      </c>
      <c r="I290" s="24" t="s">
        <v>77</v>
      </c>
      <c r="J290" s="24" t="s">
        <v>0</v>
      </c>
      <c r="K290" s="24" t="s">
        <v>9</v>
      </c>
      <c r="L290" s="25"/>
    </row>
    <row r="291" spans="1:12" x14ac:dyDescent="0.2">
      <c r="A291" s="21">
        <v>290</v>
      </c>
      <c r="B291" s="22">
        <v>45854</v>
      </c>
      <c r="C291" s="20">
        <v>1838907615</v>
      </c>
      <c r="D291" s="34" t="str">
        <f>IFERROR(IF(C291="","",VLOOKUP(C291,المستفيدين!$B:$C,2,FALSE)),"")</f>
        <v>مستفيد29</v>
      </c>
      <c r="E291" s="20" t="s">
        <v>296</v>
      </c>
      <c r="F291" s="34" t="str">
        <f>IFERROR(IF(E291="","",VLOOKUP(E291,الموظفين!$B:$C,2,FALSE)),"")</f>
        <v>موظف77</v>
      </c>
      <c r="G291" s="34" t="str">
        <f>IFERROR(IF(C291="","",VLOOKUP(C291,المستفيدين!$B:$F,5,FALSE)),"")</f>
        <v>مركز إرادة وتمكين لرعاية ذوي الاحتياجات الخاصة (جلمودة)</v>
      </c>
      <c r="H291" s="24" t="s">
        <v>553</v>
      </c>
      <c r="I291" s="20" t="s">
        <v>74</v>
      </c>
      <c r="J291" s="20" t="s">
        <v>1</v>
      </c>
      <c r="K291" s="20" t="s">
        <v>9</v>
      </c>
      <c r="L291" s="26" t="s">
        <v>525</v>
      </c>
    </row>
    <row r="292" spans="1:12" x14ac:dyDescent="0.2">
      <c r="A292" s="18">
        <v>291</v>
      </c>
      <c r="B292" s="19">
        <v>45856</v>
      </c>
      <c r="C292" s="20">
        <v>1095920856</v>
      </c>
      <c r="D292" s="34" t="str">
        <f>IFERROR(IF(C292="","",VLOOKUP(C292,المستفيدين!$B:$C,2,FALSE)),"")</f>
        <v>مستفيد21</v>
      </c>
      <c r="E292" s="24" t="s">
        <v>288</v>
      </c>
      <c r="F292" s="34" t="str">
        <f>IFERROR(IF(E292="","",VLOOKUP(E292,الموظفين!$B:$C,2,FALSE)),"")</f>
        <v>موظف73</v>
      </c>
      <c r="G292" s="34" t="str">
        <f>IFERROR(IF(C292="","",VLOOKUP(C292,المستفيدين!$B:$F,5,FALSE)),"")</f>
        <v>مركز إرادة وتمكين لرعاية ذوي الاحتياجات الخاصة (جلمودة)</v>
      </c>
      <c r="H292" s="24" t="s">
        <v>552</v>
      </c>
      <c r="I292" s="24" t="s">
        <v>81</v>
      </c>
      <c r="J292" s="24" t="s">
        <v>1</v>
      </c>
      <c r="K292" s="24" t="s">
        <v>12</v>
      </c>
      <c r="L292" s="25" t="s">
        <v>51</v>
      </c>
    </row>
    <row r="293" spans="1:12" x14ac:dyDescent="0.2">
      <c r="A293" s="21">
        <v>292</v>
      </c>
      <c r="B293" s="22">
        <v>45856</v>
      </c>
      <c r="C293" s="20">
        <v>1773160728</v>
      </c>
      <c r="D293" s="34" t="str">
        <f>IFERROR(IF(C293="","",VLOOKUP(C293,المستفيدين!$B:$C,2,FALSE)),"")</f>
        <v>مستفيد161</v>
      </c>
      <c r="E293" s="20" t="s">
        <v>288</v>
      </c>
      <c r="F293" s="34" t="str">
        <f>IFERROR(IF(E293="","",VLOOKUP(E293,الموظفين!$B:$C,2,FALSE)),"")</f>
        <v>موظف73</v>
      </c>
      <c r="G293" s="34" t="str">
        <f>IFERROR(IF(C293="","",VLOOKUP(C293,المستفيدين!$B:$F,5,FALSE)),"")</f>
        <v>مركز إرادة وتمكين لمتلازمة داون (نجد)</v>
      </c>
      <c r="H293" s="24" t="s">
        <v>552</v>
      </c>
      <c r="I293" s="20" t="s">
        <v>81</v>
      </c>
      <c r="J293" s="20" t="s">
        <v>1</v>
      </c>
      <c r="K293" s="20" t="s">
        <v>9</v>
      </c>
      <c r="L293" s="26"/>
    </row>
    <row r="294" spans="1:12" x14ac:dyDescent="0.2">
      <c r="A294" s="18">
        <v>293</v>
      </c>
      <c r="B294" s="19">
        <v>45858</v>
      </c>
      <c r="C294" s="20">
        <v>1216832990</v>
      </c>
      <c r="D294" s="34" t="str">
        <f>IFERROR(IF(C294="","",VLOOKUP(C294,المستفيدين!$B:$C,2,FALSE)),"")</f>
        <v>مستفيد176</v>
      </c>
      <c r="E294" s="24" t="s">
        <v>230</v>
      </c>
      <c r="F294" s="34" t="str">
        <f>IFERROR(IF(E294="","",VLOOKUP(E294,الموظفين!$B:$C,2,FALSE)),"")</f>
        <v>موظف44</v>
      </c>
      <c r="G294" s="34" t="str">
        <f>IFERROR(IF(C294="","",VLOOKUP(C294,المستفيدين!$B:$F,5,FALSE)),"")</f>
        <v>مركز إرادة وتمكين للرعاية النهارية (القدس)</v>
      </c>
      <c r="H294" s="24" t="s">
        <v>553</v>
      </c>
      <c r="I294" s="24" t="s">
        <v>74</v>
      </c>
      <c r="J294" s="24" t="s">
        <v>0</v>
      </c>
      <c r="K294" s="24" t="s">
        <v>11</v>
      </c>
      <c r="L294" s="25"/>
    </row>
    <row r="295" spans="1:12" x14ac:dyDescent="0.2">
      <c r="A295" s="21">
        <v>294</v>
      </c>
      <c r="B295" s="22">
        <v>45860</v>
      </c>
      <c r="C295" s="20">
        <v>1114109506</v>
      </c>
      <c r="D295" s="34" t="str">
        <f>IFERROR(IF(C295="","",VLOOKUP(C295,المستفيدين!$B:$C,2,FALSE)),"")</f>
        <v>مستفيد104</v>
      </c>
      <c r="E295" s="20" t="s">
        <v>172</v>
      </c>
      <c r="F295" s="34" t="str">
        <f>IFERROR(IF(E295="","",VLOOKUP(E295,الموظفين!$B:$C,2,FALSE)),"")</f>
        <v>موظف15</v>
      </c>
      <c r="G295" s="34" t="str">
        <f>IFERROR(IF(C295="","",VLOOKUP(C295,المستفيدين!$B:$F,5,FALSE)),"")</f>
        <v>مركز إرادة وتمكين لمتلازمة داون (نجد)</v>
      </c>
      <c r="H295" s="24" t="s">
        <v>553</v>
      </c>
      <c r="I295" s="20" t="s">
        <v>78</v>
      </c>
      <c r="J295" s="20" t="s">
        <v>1</v>
      </c>
      <c r="K295" s="20" t="s">
        <v>9</v>
      </c>
      <c r="L295" s="26"/>
    </row>
    <row r="296" spans="1:12" x14ac:dyDescent="0.2">
      <c r="A296" s="18">
        <v>295</v>
      </c>
      <c r="B296" s="19">
        <v>45860</v>
      </c>
      <c r="C296" s="20">
        <v>1273952500</v>
      </c>
      <c r="D296" s="34" t="str">
        <f>IFERROR(IF(C296="","",VLOOKUP(C296,المستفيدين!$B:$C,2,FALSE)),"")</f>
        <v>مستفيد184</v>
      </c>
      <c r="E296" s="24" t="s">
        <v>342</v>
      </c>
      <c r="F296" s="34" t="str">
        <f>IFERROR(IF(E296="","",VLOOKUP(E296,الموظفين!$B:$C,2,FALSE)),"")</f>
        <v>موظف100</v>
      </c>
      <c r="G296" s="34" t="str">
        <f>IFERROR(IF(C296="","",VLOOKUP(C296,المستفيدين!$B:$F,5,FALSE)),"")</f>
        <v>مركز إرادة وتمكين لرعاية ذوي الاحتياجات الخاصة (جلمودة)</v>
      </c>
      <c r="H296" s="24" t="s">
        <v>552</v>
      </c>
      <c r="I296" s="24" t="s">
        <v>555</v>
      </c>
      <c r="J296" s="24" t="s">
        <v>1</v>
      </c>
      <c r="K296" s="24" t="s">
        <v>10</v>
      </c>
      <c r="L296" s="25"/>
    </row>
    <row r="297" spans="1:12" x14ac:dyDescent="0.2">
      <c r="A297" s="21">
        <v>296</v>
      </c>
      <c r="B297" s="22">
        <v>45861</v>
      </c>
      <c r="C297" s="20">
        <v>1854312995</v>
      </c>
      <c r="D297" s="34" t="str">
        <f>IFERROR(IF(C297="","",VLOOKUP(C297,المستفيدين!$B:$C,2,FALSE)),"")</f>
        <v>مستفيد7</v>
      </c>
      <c r="E297" s="20" t="s">
        <v>232</v>
      </c>
      <c r="F297" s="34" t="str">
        <f>IFERROR(IF(E297="","",VLOOKUP(E297,الموظفين!$B:$C,2,FALSE)),"")</f>
        <v>موظف45</v>
      </c>
      <c r="G297" s="34" t="str">
        <f>IFERROR(IF(C297="","",VLOOKUP(C297,المستفيدين!$B:$F,5,FALSE)),"")</f>
        <v>مدرسة إرادة وتمكين لمتلازمة داون (نجد)</v>
      </c>
      <c r="H297" s="24" t="s">
        <v>552</v>
      </c>
      <c r="I297" s="20" t="s">
        <v>80</v>
      </c>
      <c r="J297" s="20" t="s">
        <v>0</v>
      </c>
      <c r="K297" s="20" t="s">
        <v>10</v>
      </c>
      <c r="L297" s="26"/>
    </row>
    <row r="298" spans="1:12" x14ac:dyDescent="0.2">
      <c r="A298" s="18">
        <v>297</v>
      </c>
      <c r="B298" s="19">
        <v>45862</v>
      </c>
      <c r="C298" s="20">
        <v>1976051713</v>
      </c>
      <c r="D298" s="34" t="str">
        <f>IFERROR(IF(C298="","",VLOOKUP(C298,المستفيدين!$B:$C,2,FALSE)),"")</f>
        <v>مستفيد118</v>
      </c>
      <c r="E298" s="24" t="s">
        <v>274</v>
      </c>
      <c r="F298" s="34" t="str">
        <f>IFERROR(IF(E298="","",VLOOKUP(E298,الموظفين!$B:$C,2,FALSE)),"")</f>
        <v>موظف66</v>
      </c>
      <c r="G298" s="34" t="str">
        <f>IFERROR(IF(C298="","",VLOOKUP(C298,المستفيدين!$B:$F,5,FALSE)),"")</f>
        <v>مدرسة إرادة وتمكين لمتلازمة داون (نجد)</v>
      </c>
      <c r="H298" s="24" t="s">
        <v>553</v>
      </c>
      <c r="I298" s="24" t="s">
        <v>74</v>
      </c>
      <c r="J298" s="24" t="s">
        <v>1</v>
      </c>
      <c r="K298" s="24" t="s">
        <v>9</v>
      </c>
      <c r="L298" s="25"/>
    </row>
    <row r="299" spans="1:12" x14ac:dyDescent="0.2">
      <c r="A299" s="21">
        <v>298</v>
      </c>
      <c r="B299" s="22">
        <v>45862</v>
      </c>
      <c r="C299" s="20">
        <v>1704919362</v>
      </c>
      <c r="D299" s="34" t="str">
        <f>IFERROR(IF(C299="","",VLOOKUP(C299,المستفيدين!$B:$C,2,FALSE)),"")</f>
        <v>مستفيد107</v>
      </c>
      <c r="E299" s="20" t="s">
        <v>262</v>
      </c>
      <c r="F299" s="34" t="str">
        <f>IFERROR(IF(E299="","",VLOOKUP(E299,الموظفين!$B:$C,2,FALSE)),"")</f>
        <v>موظف60</v>
      </c>
      <c r="G299" s="34" t="str">
        <f>IFERROR(IF(C299="","",VLOOKUP(C299,المستفيدين!$B:$F,5,FALSE)),"")</f>
        <v>مركز إرادة وتمكين للرعاية النهارية (القدس)</v>
      </c>
      <c r="H299" s="24" t="s">
        <v>553</v>
      </c>
      <c r="I299" s="20" t="s">
        <v>75</v>
      </c>
      <c r="J299" s="20" t="s">
        <v>0</v>
      </c>
      <c r="K299" s="20" t="s">
        <v>9</v>
      </c>
      <c r="L299" s="26" t="s">
        <v>525</v>
      </c>
    </row>
    <row r="300" spans="1:12" x14ac:dyDescent="0.2">
      <c r="A300" s="18">
        <v>299</v>
      </c>
      <c r="B300" s="19">
        <v>45863</v>
      </c>
      <c r="C300" s="20">
        <v>1296378535</v>
      </c>
      <c r="D300" s="34" t="str">
        <f>IFERROR(IF(C300="","",VLOOKUP(C300,المستفيدين!$B:$C,2,FALSE)),"")</f>
        <v>مستفيد156</v>
      </c>
      <c r="E300" s="24" t="s">
        <v>264</v>
      </c>
      <c r="F300" s="34" t="str">
        <f>IFERROR(IF(E300="","",VLOOKUP(E300,الموظفين!$B:$C,2,FALSE)),"")</f>
        <v>موظف61</v>
      </c>
      <c r="G300" s="34" t="str">
        <f>IFERROR(IF(C300="","",VLOOKUP(C300,المستفيدين!$B:$F,5,FALSE)),"")</f>
        <v>مركز إرادة وتمكين لمتلازمة داون (نجد)</v>
      </c>
      <c r="H300" s="24" t="s">
        <v>553</v>
      </c>
      <c r="I300" s="24" t="s">
        <v>76</v>
      </c>
      <c r="J300" s="24" t="s">
        <v>0</v>
      </c>
      <c r="K300" s="24" t="s">
        <v>9</v>
      </c>
      <c r="L300" s="25"/>
    </row>
    <row r="301" spans="1:12" x14ac:dyDescent="0.2">
      <c r="A301" s="21">
        <v>300</v>
      </c>
      <c r="B301" s="22">
        <v>45865</v>
      </c>
      <c r="C301" s="20">
        <v>1330656105</v>
      </c>
      <c r="D301" s="34" t="str">
        <f>IFERROR(IF(C301="","",VLOOKUP(C301,المستفيدين!$B:$C,2,FALSE)),"")</f>
        <v>مستفيد45</v>
      </c>
      <c r="E301" s="20" t="s">
        <v>312</v>
      </c>
      <c r="F301" s="34" t="str">
        <f>IFERROR(IF(E301="","",VLOOKUP(E301,الموظفين!$B:$C,2,FALSE)),"")</f>
        <v>موظف85</v>
      </c>
      <c r="G301" s="34" t="str">
        <f>IFERROR(IF(C301="","",VLOOKUP(C301,المستفيدين!$B:$F,5,FALSE)),"")</f>
        <v>مركز إرادة وتمكين لمتلازمة داون (نجد)</v>
      </c>
      <c r="H301" s="24" t="s">
        <v>552</v>
      </c>
      <c r="I301" s="20" t="s">
        <v>81</v>
      </c>
      <c r="J301" s="20" t="s">
        <v>1</v>
      </c>
      <c r="K301" s="20" t="s">
        <v>11</v>
      </c>
      <c r="L301" s="26" t="s">
        <v>525</v>
      </c>
    </row>
    <row r="302" spans="1:12" x14ac:dyDescent="0.2">
      <c r="A302" s="18">
        <v>301</v>
      </c>
      <c r="B302" s="19">
        <v>45866</v>
      </c>
      <c r="C302" s="20">
        <v>1224071000</v>
      </c>
      <c r="D302" s="34" t="str">
        <f>IFERROR(IF(C302="","",VLOOKUP(C302,المستفيدين!$B:$C,2,FALSE)),"")</f>
        <v>مستفيد150</v>
      </c>
      <c r="E302" s="24" t="s">
        <v>246</v>
      </c>
      <c r="F302" s="34" t="str">
        <f>IFERROR(IF(E302="","",VLOOKUP(E302,الموظفين!$B:$C,2,FALSE)),"")</f>
        <v>موظف52</v>
      </c>
      <c r="G302" s="34" t="str">
        <f>IFERROR(IF(C302="","",VLOOKUP(C302,المستفيدين!$B:$F,5,FALSE)),"")</f>
        <v>مركز إرادة وتمكين لمتلازمة داون (نجد)</v>
      </c>
      <c r="H302" s="24" t="s">
        <v>553</v>
      </c>
      <c r="I302" s="24" t="s">
        <v>77</v>
      </c>
      <c r="J302" s="24" t="s">
        <v>0</v>
      </c>
      <c r="K302" s="24" t="s">
        <v>9</v>
      </c>
      <c r="L302" s="25" t="s">
        <v>526</v>
      </c>
    </row>
    <row r="303" spans="1:12" x14ac:dyDescent="0.2">
      <c r="A303" s="21">
        <v>302</v>
      </c>
      <c r="B303" s="22">
        <v>45866</v>
      </c>
      <c r="C303" s="20">
        <v>1216832990</v>
      </c>
      <c r="D303" s="34" t="str">
        <f>IFERROR(IF(C303="","",VLOOKUP(C303,المستفيدين!$B:$C,2,FALSE)),"")</f>
        <v>مستفيد176</v>
      </c>
      <c r="E303" s="20" t="s">
        <v>308</v>
      </c>
      <c r="F303" s="34" t="str">
        <f>IFERROR(IF(E303="","",VLOOKUP(E303,الموظفين!$B:$C,2,FALSE)),"")</f>
        <v>موظف83</v>
      </c>
      <c r="G303" s="34" t="str">
        <f>IFERROR(IF(C303="","",VLOOKUP(C303,المستفيدين!$B:$F,5,FALSE)),"")</f>
        <v>مركز إرادة وتمكين للرعاية النهارية (القدس)</v>
      </c>
      <c r="H303" s="24" t="s">
        <v>553</v>
      </c>
      <c r="I303" s="20" t="s">
        <v>77</v>
      </c>
      <c r="J303" s="20" t="s">
        <v>0</v>
      </c>
      <c r="K303" s="20" t="s">
        <v>9</v>
      </c>
      <c r="L303" s="26"/>
    </row>
    <row r="304" spans="1:12" x14ac:dyDescent="0.2">
      <c r="A304" s="18">
        <v>303</v>
      </c>
      <c r="B304" s="19">
        <v>45868</v>
      </c>
      <c r="C304" s="20">
        <v>1533996899</v>
      </c>
      <c r="D304" s="34" t="str">
        <f>IFERROR(IF(C304="","",VLOOKUP(C304,المستفيدين!$B:$C,2,FALSE)),"")</f>
        <v>مستفيد79</v>
      </c>
      <c r="E304" s="24" t="s">
        <v>330</v>
      </c>
      <c r="F304" s="34" t="str">
        <f>IFERROR(IF(E304="","",VLOOKUP(E304,الموظفين!$B:$C,2,FALSE)),"")</f>
        <v>موظف94</v>
      </c>
      <c r="G304" s="34" t="str">
        <f>IFERROR(IF(C304="","",VLOOKUP(C304,المستفيدين!$B:$F,5,FALSE)),"")</f>
        <v>مركز إرادة وتمكين لرعاية ذوي الاحتياجات الخاصة (جلمودة)</v>
      </c>
      <c r="H304" s="24" t="s">
        <v>553</v>
      </c>
      <c r="I304" s="24" t="s">
        <v>79</v>
      </c>
      <c r="J304" s="24" t="s">
        <v>1</v>
      </c>
      <c r="K304" s="24" t="s">
        <v>9</v>
      </c>
      <c r="L304" s="25" t="s">
        <v>51</v>
      </c>
    </row>
    <row r="305" spans="1:12" x14ac:dyDescent="0.2">
      <c r="A305" s="21">
        <v>304</v>
      </c>
      <c r="B305" s="22">
        <v>45871</v>
      </c>
      <c r="C305" s="20">
        <v>1093177984</v>
      </c>
      <c r="D305" s="34" t="str">
        <f>IFERROR(IF(C305="","",VLOOKUP(C305,المستفيدين!$B:$C,2,FALSE)),"")</f>
        <v>مستفيد159</v>
      </c>
      <c r="E305" s="20" t="s">
        <v>236</v>
      </c>
      <c r="F305" s="34" t="str">
        <f>IFERROR(IF(E305="","",VLOOKUP(E305,الموظفين!$B:$C,2,FALSE)),"")</f>
        <v>موظف47</v>
      </c>
      <c r="G305" s="34" t="str">
        <f>IFERROR(IF(C305="","",VLOOKUP(C305,المستفيدين!$B:$F,5,FALSE)),"")</f>
        <v>مدرسة إرادة وتمكين لمتلازمة داون (نجد)</v>
      </c>
      <c r="H305" s="24" t="s">
        <v>553</v>
      </c>
      <c r="I305" s="20" t="s">
        <v>79</v>
      </c>
      <c r="J305" s="20" t="s">
        <v>1</v>
      </c>
      <c r="K305" s="20" t="s">
        <v>9</v>
      </c>
      <c r="L305" s="26"/>
    </row>
    <row r="306" spans="1:12" x14ac:dyDescent="0.2">
      <c r="A306" s="18">
        <v>305</v>
      </c>
      <c r="B306" s="19">
        <v>45872</v>
      </c>
      <c r="C306" s="20">
        <v>1347584820</v>
      </c>
      <c r="D306" s="34" t="str">
        <f>IFERROR(IF(C306="","",VLOOKUP(C306,المستفيدين!$B:$C,2,FALSE)),"")</f>
        <v>مستفيد9</v>
      </c>
      <c r="E306" s="24" t="s">
        <v>150</v>
      </c>
      <c r="F306" s="34" t="str">
        <f>IFERROR(IF(E306="","",VLOOKUP(E306,الموظفين!$B:$C,2,FALSE)),"")</f>
        <v>موظف4</v>
      </c>
      <c r="G306" s="34" t="str">
        <f>IFERROR(IF(C306="","",VLOOKUP(C306,المستفيدين!$B:$F,5,FALSE)),"")</f>
        <v>مركز إرادة وتمكين للرعاية النهارية (القدس)</v>
      </c>
      <c r="H306" s="24" t="s">
        <v>553</v>
      </c>
      <c r="I306" s="24" t="s">
        <v>77</v>
      </c>
      <c r="J306" s="24" t="s">
        <v>0</v>
      </c>
      <c r="K306" s="24" t="s">
        <v>11</v>
      </c>
      <c r="L306" s="25" t="s">
        <v>526</v>
      </c>
    </row>
    <row r="307" spans="1:12" x14ac:dyDescent="0.2">
      <c r="A307" s="21">
        <v>306</v>
      </c>
      <c r="B307" s="22">
        <v>45873</v>
      </c>
      <c r="C307" s="20">
        <v>1502704604</v>
      </c>
      <c r="D307" s="34" t="str">
        <f>IFERROR(IF(C307="","",VLOOKUP(C307,المستفيدين!$B:$C,2,FALSE)),"")</f>
        <v>مستفيد180</v>
      </c>
      <c r="E307" s="20" t="s">
        <v>222</v>
      </c>
      <c r="F307" s="34" t="str">
        <f>IFERROR(IF(E307="","",VLOOKUP(E307,الموظفين!$B:$C,2,FALSE)),"")</f>
        <v>موظف40</v>
      </c>
      <c r="G307" s="34" t="str">
        <f>IFERROR(IF(C307="","",VLOOKUP(C307,المستفيدين!$B:$F,5,FALSE)),"")</f>
        <v>مدرسة إرادة وتمكين لمتلازمة داون (نجد)</v>
      </c>
      <c r="H307" s="24" t="s">
        <v>553</v>
      </c>
      <c r="I307" s="20" t="s">
        <v>74</v>
      </c>
      <c r="J307" s="20" t="s">
        <v>0</v>
      </c>
      <c r="K307" s="20" t="s">
        <v>9</v>
      </c>
      <c r="L307" s="26" t="s">
        <v>524</v>
      </c>
    </row>
    <row r="308" spans="1:12" x14ac:dyDescent="0.2">
      <c r="A308" s="18">
        <v>307</v>
      </c>
      <c r="B308" s="19">
        <v>45873</v>
      </c>
      <c r="C308" s="20">
        <v>1025469854</v>
      </c>
      <c r="D308" s="34" t="str">
        <f>IFERROR(IF(C308="","",VLOOKUP(C308,المستفيدين!$B:$C,2,FALSE)),"")</f>
        <v>مستفيد1</v>
      </c>
      <c r="E308" s="24" t="s">
        <v>248</v>
      </c>
      <c r="F308" s="34" t="str">
        <f>IFERROR(IF(E308="","",VLOOKUP(E308,الموظفين!$B:$C,2,FALSE)),"")</f>
        <v>موظف53</v>
      </c>
      <c r="G308" s="34" t="str">
        <f>IFERROR(IF(C308="","",VLOOKUP(C308,المستفيدين!$B:$F,5,FALSE)),"")</f>
        <v>مركز إرادة وتمكين للرعاية النهارية (القدس)</v>
      </c>
      <c r="H308" s="24" t="s">
        <v>553</v>
      </c>
      <c r="I308" s="24" t="s">
        <v>75</v>
      </c>
      <c r="J308" s="24" t="s">
        <v>0</v>
      </c>
      <c r="K308" s="24" t="s">
        <v>11</v>
      </c>
      <c r="L308" s="25"/>
    </row>
    <row r="309" spans="1:12" x14ac:dyDescent="0.2">
      <c r="A309" s="21">
        <v>308</v>
      </c>
      <c r="B309" s="22">
        <v>45874</v>
      </c>
      <c r="C309" s="20">
        <v>1680947465</v>
      </c>
      <c r="D309" s="34" t="str">
        <f>IFERROR(IF(C309="","",VLOOKUP(C309,المستفيدين!$B:$C,2,FALSE)),"")</f>
        <v>مستفيد84</v>
      </c>
      <c r="E309" s="20" t="s">
        <v>69</v>
      </c>
      <c r="F309" s="34" t="str">
        <f>IFERROR(IF(E309="","",VLOOKUP(E309,الموظفين!$B:$C,2,FALSE)),"")</f>
        <v>موظف3</v>
      </c>
      <c r="G309" s="34" t="str">
        <f>IFERROR(IF(C309="","",VLOOKUP(C309,المستفيدين!$B:$F,5,FALSE)),"")</f>
        <v>مركز إرادة وتمكين لمتلازمة داون (نجد)</v>
      </c>
      <c r="H309" s="24" t="s">
        <v>553</v>
      </c>
      <c r="I309" s="20" t="s">
        <v>75</v>
      </c>
      <c r="J309" s="20" t="s">
        <v>1</v>
      </c>
      <c r="K309" s="20" t="s">
        <v>9</v>
      </c>
      <c r="L309" s="26" t="s">
        <v>525</v>
      </c>
    </row>
    <row r="310" spans="1:12" x14ac:dyDescent="0.2">
      <c r="A310" s="18">
        <v>309</v>
      </c>
      <c r="B310" s="19">
        <v>45874</v>
      </c>
      <c r="C310" s="20">
        <v>1932054889</v>
      </c>
      <c r="D310" s="34" t="str">
        <f>IFERROR(IF(C310="","",VLOOKUP(C310,المستفيدين!$B:$C,2,FALSE)),"")</f>
        <v>مستفيد167</v>
      </c>
      <c r="E310" s="24" t="s">
        <v>218</v>
      </c>
      <c r="F310" s="34" t="str">
        <f>IFERROR(IF(E310="","",VLOOKUP(E310,الموظفين!$B:$C,2,FALSE)),"")</f>
        <v>موظف38</v>
      </c>
      <c r="G310" s="34" t="str">
        <f>IFERROR(IF(C310="","",VLOOKUP(C310,المستفيدين!$B:$F,5,FALSE)),"")</f>
        <v>مركز إرادة وتمكين للرعاية النهارية (القدس)</v>
      </c>
      <c r="H310" s="24" t="s">
        <v>553</v>
      </c>
      <c r="I310" s="24" t="s">
        <v>75</v>
      </c>
      <c r="J310" s="24" t="s">
        <v>1</v>
      </c>
      <c r="K310" s="24" t="s">
        <v>9</v>
      </c>
      <c r="L310" s="25"/>
    </row>
    <row r="311" spans="1:12" x14ac:dyDescent="0.2">
      <c r="A311" s="21">
        <v>310</v>
      </c>
      <c r="B311" s="22">
        <v>45875</v>
      </c>
      <c r="C311" s="20">
        <v>1239970649</v>
      </c>
      <c r="D311" s="34" t="str">
        <f>IFERROR(IF(C311="","",VLOOKUP(C311,المستفيدين!$B:$C,2,FALSE)),"")</f>
        <v>مستفيد87</v>
      </c>
      <c r="E311" s="20" t="s">
        <v>296</v>
      </c>
      <c r="F311" s="34" t="str">
        <f>IFERROR(IF(E311="","",VLOOKUP(E311,الموظفين!$B:$C,2,FALSE)),"")</f>
        <v>موظف77</v>
      </c>
      <c r="G311" s="34" t="str">
        <f>IFERROR(IF(C311="","",VLOOKUP(C311,المستفيدين!$B:$F,5,FALSE)),"")</f>
        <v>مدرسة إرادة للتعليم (مكة)</v>
      </c>
      <c r="H311" s="24" t="s">
        <v>553</v>
      </c>
      <c r="I311" s="20" t="s">
        <v>74</v>
      </c>
      <c r="J311" s="20" t="s">
        <v>1</v>
      </c>
      <c r="K311" s="20" t="s">
        <v>10</v>
      </c>
      <c r="L311" s="26" t="s">
        <v>51</v>
      </c>
    </row>
    <row r="312" spans="1:12" x14ac:dyDescent="0.2">
      <c r="A312" s="18">
        <v>311</v>
      </c>
      <c r="B312" s="19">
        <v>45875</v>
      </c>
      <c r="C312" s="20">
        <v>1762847665</v>
      </c>
      <c r="D312" s="34" t="str">
        <f>IFERROR(IF(C312="","",VLOOKUP(C312,المستفيدين!$B:$C,2,FALSE)),"")</f>
        <v>مستفيد138</v>
      </c>
      <c r="E312" s="24" t="s">
        <v>264</v>
      </c>
      <c r="F312" s="34" t="str">
        <f>IFERROR(IF(E312="","",VLOOKUP(E312,الموظفين!$B:$C,2,FALSE)),"")</f>
        <v>موظف61</v>
      </c>
      <c r="G312" s="34" t="str">
        <f>IFERROR(IF(C312="","",VLOOKUP(C312,المستفيدين!$B:$F,5,FALSE)),"")</f>
        <v>مدرسة إرادة وتمكين لمتلازمة داون (نجد)</v>
      </c>
      <c r="H312" s="24" t="s">
        <v>553</v>
      </c>
      <c r="I312" s="24" t="s">
        <v>76</v>
      </c>
      <c r="J312" s="24" t="s">
        <v>0</v>
      </c>
      <c r="K312" s="24" t="s">
        <v>9</v>
      </c>
      <c r="L312" s="25" t="s">
        <v>523</v>
      </c>
    </row>
    <row r="313" spans="1:12" x14ac:dyDescent="0.2">
      <c r="A313" s="21">
        <v>312</v>
      </c>
      <c r="B313" s="22">
        <v>45876</v>
      </c>
      <c r="C313" s="20">
        <v>1633482052</v>
      </c>
      <c r="D313" s="34" t="str">
        <f>IFERROR(IF(C313="","",VLOOKUP(C313,المستفيدين!$B:$C,2,FALSE)),"")</f>
        <v>مستفيد127</v>
      </c>
      <c r="E313" s="20" t="s">
        <v>188</v>
      </c>
      <c r="F313" s="34" t="str">
        <f>IFERROR(IF(E313="","",VLOOKUP(E313,الموظفين!$B:$C,2,FALSE)),"")</f>
        <v>موظف23</v>
      </c>
      <c r="G313" s="34" t="str">
        <f>IFERROR(IF(C313="","",VLOOKUP(C313,المستفيدين!$B:$F,5,FALSE)),"")</f>
        <v>مدرسة إرادة وتمكين لمتلازمة داون (نجد)</v>
      </c>
      <c r="H313" s="24" t="s">
        <v>553</v>
      </c>
      <c r="I313" s="20" t="s">
        <v>79</v>
      </c>
      <c r="J313" s="20" t="s">
        <v>1</v>
      </c>
      <c r="K313" s="20" t="s">
        <v>9</v>
      </c>
      <c r="L313" s="26"/>
    </row>
    <row r="314" spans="1:12" x14ac:dyDescent="0.2">
      <c r="A314" s="18">
        <v>313</v>
      </c>
      <c r="B314" s="19">
        <v>45880</v>
      </c>
      <c r="C314" s="20">
        <v>1234479307</v>
      </c>
      <c r="D314" s="34" t="str">
        <f>IFERROR(IF(C314="","",VLOOKUP(C314,المستفيدين!$B:$C,2,FALSE)),"")</f>
        <v>مستفيد136</v>
      </c>
      <c r="E314" s="24" t="s">
        <v>276</v>
      </c>
      <c r="F314" s="34" t="str">
        <f>IFERROR(IF(E314="","",VLOOKUP(E314,الموظفين!$B:$C,2,FALSE)),"")</f>
        <v>موظف67</v>
      </c>
      <c r="G314" s="34" t="str">
        <f>IFERROR(IF(C314="","",VLOOKUP(C314,المستفيدين!$B:$F,5,FALSE)),"")</f>
        <v>مركز إرادة وتمكين لمتلازمة داون (نجد)</v>
      </c>
      <c r="H314" s="24" t="s">
        <v>552</v>
      </c>
      <c r="I314" s="24" t="s">
        <v>80</v>
      </c>
      <c r="J314" s="24" t="s">
        <v>1</v>
      </c>
      <c r="K314" s="24" t="s">
        <v>10</v>
      </c>
      <c r="L314" s="25" t="s">
        <v>51</v>
      </c>
    </row>
    <row r="315" spans="1:12" x14ac:dyDescent="0.2">
      <c r="A315" s="21">
        <v>314</v>
      </c>
      <c r="B315" s="22">
        <v>45881</v>
      </c>
      <c r="C315" s="20">
        <v>1688005726</v>
      </c>
      <c r="D315" s="34" t="str">
        <f>IFERROR(IF(C315="","",VLOOKUP(C315,المستفيدين!$B:$C,2,FALSE)),"")</f>
        <v>مستفيد16</v>
      </c>
      <c r="E315" s="20" t="s">
        <v>152</v>
      </c>
      <c r="F315" s="34" t="str">
        <f>IFERROR(IF(E315="","",VLOOKUP(E315,الموظفين!$B:$C,2,FALSE)),"")</f>
        <v>موظف5</v>
      </c>
      <c r="G315" s="34" t="str">
        <f>IFERROR(IF(C315="","",VLOOKUP(C315,المستفيدين!$B:$F,5,FALSE)),"")</f>
        <v>مركز إرادة وتمكين لرعاية ذوي الاحتياجات الخاصة (جلمودة)</v>
      </c>
      <c r="H315" s="24" t="s">
        <v>553</v>
      </c>
      <c r="I315" s="20" t="s">
        <v>78</v>
      </c>
      <c r="J315" s="20" t="s">
        <v>1</v>
      </c>
      <c r="K315" s="20" t="s">
        <v>9</v>
      </c>
      <c r="L315" s="26"/>
    </row>
    <row r="316" spans="1:12" x14ac:dyDescent="0.2">
      <c r="A316" s="18">
        <v>315</v>
      </c>
      <c r="B316" s="19">
        <v>45882</v>
      </c>
      <c r="C316" s="20">
        <v>1224071000</v>
      </c>
      <c r="D316" s="34" t="str">
        <f>IFERROR(IF(C316="","",VLOOKUP(C316,المستفيدين!$B:$C,2,FALSE)),"")</f>
        <v>مستفيد150</v>
      </c>
      <c r="E316" s="24" t="s">
        <v>186</v>
      </c>
      <c r="F316" s="34" t="str">
        <f>IFERROR(IF(E316="","",VLOOKUP(E316,الموظفين!$B:$C,2,FALSE)),"")</f>
        <v>موظف22</v>
      </c>
      <c r="G316" s="34" t="str">
        <f>IFERROR(IF(C316="","",VLOOKUP(C316,المستفيدين!$B:$F,5,FALSE)),"")</f>
        <v>مركز إرادة وتمكين لمتلازمة داون (نجد)</v>
      </c>
      <c r="H316" s="24" t="s">
        <v>553</v>
      </c>
      <c r="I316" s="24" t="s">
        <v>76</v>
      </c>
      <c r="J316" s="24" t="s">
        <v>0</v>
      </c>
      <c r="K316" s="24" t="s">
        <v>10</v>
      </c>
      <c r="L316" s="25"/>
    </row>
    <row r="317" spans="1:12" x14ac:dyDescent="0.2">
      <c r="A317" s="21">
        <v>316</v>
      </c>
      <c r="B317" s="22">
        <v>45884</v>
      </c>
      <c r="C317" s="20">
        <v>1228939605</v>
      </c>
      <c r="D317" s="34" t="str">
        <f>IFERROR(IF(C317="","",VLOOKUP(C317,المستفيدين!$B:$C,2,FALSE)),"")</f>
        <v>مستفيد54</v>
      </c>
      <c r="E317" s="20" t="s">
        <v>288</v>
      </c>
      <c r="F317" s="34" t="str">
        <f>IFERROR(IF(E317="","",VLOOKUP(E317,الموظفين!$B:$C,2,FALSE)),"")</f>
        <v>موظف73</v>
      </c>
      <c r="G317" s="34" t="str">
        <f>IFERROR(IF(C317="","",VLOOKUP(C317,المستفيدين!$B:$F,5,FALSE)),"")</f>
        <v>مدرسة إرادة للتعليم (مكة)</v>
      </c>
      <c r="H317" s="24" t="s">
        <v>552</v>
      </c>
      <c r="I317" s="20" t="s">
        <v>81</v>
      </c>
      <c r="J317" s="20" t="s">
        <v>1</v>
      </c>
      <c r="K317" s="20" t="s">
        <v>9</v>
      </c>
      <c r="L317" s="26" t="s">
        <v>525</v>
      </c>
    </row>
    <row r="318" spans="1:12" x14ac:dyDescent="0.2">
      <c r="A318" s="18">
        <v>317</v>
      </c>
      <c r="B318" s="19">
        <v>45885</v>
      </c>
      <c r="C318" s="20">
        <v>1680947465</v>
      </c>
      <c r="D318" s="34" t="str">
        <f>IFERROR(IF(C318="","",VLOOKUP(C318,المستفيدين!$B:$C,2,FALSE)),"")</f>
        <v>مستفيد84</v>
      </c>
      <c r="E318" s="24" t="s">
        <v>276</v>
      </c>
      <c r="F318" s="34" t="str">
        <f>IFERROR(IF(E318="","",VLOOKUP(E318,الموظفين!$B:$C,2,FALSE)),"")</f>
        <v>موظف67</v>
      </c>
      <c r="G318" s="34" t="str">
        <f>IFERROR(IF(C318="","",VLOOKUP(C318,المستفيدين!$B:$F,5,FALSE)),"")</f>
        <v>مركز إرادة وتمكين لمتلازمة داون (نجد)</v>
      </c>
      <c r="H318" s="24" t="s">
        <v>552</v>
      </c>
      <c r="I318" s="24" t="s">
        <v>80</v>
      </c>
      <c r="J318" s="24" t="s">
        <v>1</v>
      </c>
      <c r="K318" s="24" t="s">
        <v>9</v>
      </c>
      <c r="L318" s="25" t="s">
        <v>524</v>
      </c>
    </row>
    <row r="319" spans="1:12" x14ac:dyDescent="0.2">
      <c r="A319" s="21">
        <v>318</v>
      </c>
      <c r="B319" s="22">
        <v>45886</v>
      </c>
      <c r="C319" s="20">
        <v>1763354093</v>
      </c>
      <c r="D319" s="34" t="str">
        <f>IFERROR(IF(C319="","",VLOOKUP(C319,المستفيدين!$B:$C,2,FALSE)),"")</f>
        <v>مستفيد10</v>
      </c>
      <c r="E319" s="20" t="s">
        <v>338</v>
      </c>
      <c r="F319" s="34" t="str">
        <f>IFERROR(IF(E319="","",VLOOKUP(E319,الموظفين!$B:$C,2,FALSE)),"")</f>
        <v>موظف98</v>
      </c>
      <c r="G319" s="34" t="str">
        <f>IFERROR(IF(C319="","",VLOOKUP(C319,المستفيدين!$B:$F,5,FALSE)),"")</f>
        <v>مركز إرادة وتمكين للرعاية النهارية (القدس)</v>
      </c>
      <c r="H319" s="24" t="s">
        <v>552</v>
      </c>
      <c r="I319" s="20" t="s">
        <v>81</v>
      </c>
      <c r="J319" s="20" t="s">
        <v>1</v>
      </c>
      <c r="K319" s="20" t="s">
        <v>9</v>
      </c>
      <c r="L319" s="26" t="s">
        <v>524</v>
      </c>
    </row>
    <row r="320" spans="1:12" x14ac:dyDescent="0.2">
      <c r="A320" s="18">
        <v>319</v>
      </c>
      <c r="B320" s="19">
        <v>45887</v>
      </c>
      <c r="C320" s="20">
        <v>1253511077</v>
      </c>
      <c r="D320" s="34" t="str">
        <f>IFERROR(IF(C320="","",VLOOKUP(C320,المستفيدين!$B:$C,2,FALSE)),"")</f>
        <v>مستفيد64</v>
      </c>
      <c r="E320" s="24" t="s">
        <v>298</v>
      </c>
      <c r="F320" s="34" t="str">
        <f>IFERROR(IF(E320="","",VLOOKUP(E320,الموظفين!$B:$C,2,FALSE)),"")</f>
        <v>موظف78</v>
      </c>
      <c r="G320" s="34" t="str">
        <f>IFERROR(IF(C320="","",VLOOKUP(C320,المستفيدين!$B:$F,5,FALSE)),"")</f>
        <v>مدرسة إرادة للتعليم (مكة)</v>
      </c>
      <c r="H320" s="24" t="s">
        <v>553</v>
      </c>
      <c r="I320" s="24" t="s">
        <v>75</v>
      </c>
      <c r="J320" s="24" t="s">
        <v>1</v>
      </c>
      <c r="K320" s="24" t="s">
        <v>12</v>
      </c>
      <c r="L320" s="25" t="s">
        <v>526</v>
      </c>
    </row>
    <row r="321" spans="1:12" x14ac:dyDescent="0.2">
      <c r="A321" s="21">
        <v>320</v>
      </c>
      <c r="B321" s="22">
        <v>45888</v>
      </c>
      <c r="C321" s="20">
        <v>1715340689</v>
      </c>
      <c r="D321" s="34" t="str">
        <f>IFERROR(IF(C321="","",VLOOKUP(C321,المستفيدين!$B:$C,2,FALSE)),"")</f>
        <v>مستفيد102</v>
      </c>
      <c r="E321" s="20" t="s">
        <v>176</v>
      </c>
      <c r="F321" s="34" t="str">
        <f>IFERROR(IF(E321="","",VLOOKUP(E321,الموظفين!$B:$C,2,FALSE)),"")</f>
        <v>موظف17</v>
      </c>
      <c r="G321" s="34" t="str">
        <f>IFERROR(IF(C321="","",VLOOKUP(C321,المستفيدين!$B:$F,5,FALSE)),"")</f>
        <v>مدرسة إرادة للتعليم (مكة)</v>
      </c>
      <c r="H321" s="24" t="s">
        <v>553</v>
      </c>
      <c r="I321" s="20" t="s">
        <v>76</v>
      </c>
      <c r="J321" s="20" t="s">
        <v>0</v>
      </c>
      <c r="K321" s="20" t="s">
        <v>10</v>
      </c>
      <c r="L321" s="26" t="s">
        <v>523</v>
      </c>
    </row>
    <row r="322" spans="1:12" x14ac:dyDescent="0.2">
      <c r="A322" s="18">
        <v>321</v>
      </c>
      <c r="B322" s="19">
        <v>45890</v>
      </c>
      <c r="C322" s="20">
        <v>1050635578</v>
      </c>
      <c r="D322" s="34" t="str">
        <f>IFERROR(IF(C322="","",VLOOKUP(C322,المستفيدين!$B:$C,2,FALSE)),"")</f>
        <v>مستفيد23</v>
      </c>
      <c r="E322" s="24" t="s">
        <v>340</v>
      </c>
      <c r="F322" s="34" t="str">
        <f>IFERROR(IF(E322="","",VLOOKUP(E322,الموظفين!$B:$C,2,FALSE)),"")</f>
        <v>موظف99</v>
      </c>
      <c r="G322" s="34" t="str">
        <f>IFERROR(IF(C322="","",VLOOKUP(C322,المستفيدين!$B:$F,5,FALSE)),"")</f>
        <v>مدرسة إرادة للتعليم (مكة)</v>
      </c>
      <c r="H322" s="24" t="s">
        <v>552</v>
      </c>
      <c r="I322" s="24" t="s">
        <v>555</v>
      </c>
      <c r="J322" s="24" t="s">
        <v>1</v>
      </c>
      <c r="K322" s="24" t="s">
        <v>9</v>
      </c>
      <c r="L322" s="25"/>
    </row>
    <row r="323" spans="1:12" x14ac:dyDescent="0.2">
      <c r="A323" s="21">
        <v>322</v>
      </c>
      <c r="B323" s="22">
        <v>45891</v>
      </c>
      <c r="C323" s="20">
        <v>1580476879</v>
      </c>
      <c r="D323" s="34" t="str">
        <f>IFERROR(IF(C323="","",VLOOKUP(C323,المستفيدين!$B:$C,2,FALSE)),"")</f>
        <v>مستفيد82</v>
      </c>
      <c r="E323" s="20" t="s">
        <v>288</v>
      </c>
      <c r="F323" s="34" t="str">
        <f>IFERROR(IF(E323="","",VLOOKUP(E323,الموظفين!$B:$C,2,FALSE)),"")</f>
        <v>موظف73</v>
      </c>
      <c r="G323" s="34" t="str">
        <f>IFERROR(IF(C323="","",VLOOKUP(C323,المستفيدين!$B:$F,5,FALSE)),"")</f>
        <v>مدرسة إرادة للتعليم (مكة)</v>
      </c>
      <c r="H323" s="24" t="s">
        <v>552</v>
      </c>
      <c r="I323" s="20" t="s">
        <v>81</v>
      </c>
      <c r="J323" s="20" t="s">
        <v>1</v>
      </c>
      <c r="K323" s="20" t="s">
        <v>10</v>
      </c>
      <c r="L323" s="26"/>
    </row>
    <row r="324" spans="1:12" x14ac:dyDescent="0.2">
      <c r="A324" s="18">
        <v>323</v>
      </c>
      <c r="B324" s="19">
        <v>45892</v>
      </c>
      <c r="C324" s="20">
        <v>1919727514</v>
      </c>
      <c r="D324" s="34" t="str">
        <f>IFERROR(IF(C324="","",VLOOKUP(C324,المستفيدين!$B:$C,2,FALSE)),"")</f>
        <v>مستفيد170</v>
      </c>
      <c r="E324" s="24" t="s">
        <v>212</v>
      </c>
      <c r="F324" s="34" t="str">
        <f>IFERROR(IF(E324="","",VLOOKUP(E324,الموظفين!$B:$C,2,FALSE)),"")</f>
        <v>موظف35</v>
      </c>
      <c r="G324" s="34" t="str">
        <f>IFERROR(IF(C324="","",VLOOKUP(C324,المستفيدين!$B:$F,5,FALSE)),"")</f>
        <v>مركز إرادة وتمكين لمتلازمة داون (نجد)</v>
      </c>
      <c r="H324" s="24" t="s">
        <v>552</v>
      </c>
      <c r="I324" s="24" t="s">
        <v>80</v>
      </c>
      <c r="J324" s="24" t="s">
        <v>0</v>
      </c>
      <c r="K324" s="24" t="s">
        <v>11</v>
      </c>
      <c r="L324" s="25"/>
    </row>
    <row r="325" spans="1:12" x14ac:dyDescent="0.2">
      <c r="A325" s="21">
        <v>324</v>
      </c>
      <c r="B325" s="22">
        <v>45894</v>
      </c>
      <c r="C325" s="20">
        <v>1369201926</v>
      </c>
      <c r="D325" s="34" t="str">
        <f>IFERROR(IF(C325="","",VLOOKUP(C325,المستفيدين!$B:$C,2,FALSE)),"")</f>
        <v>مستفيد168</v>
      </c>
      <c r="E325" s="20" t="s">
        <v>310</v>
      </c>
      <c r="F325" s="34" t="str">
        <f>IFERROR(IF(E325="","",VLOOKUP(E325,الموظفين!$B:$C,2,FALSE)),"")</f>
        <v>موظف84</v>
      </c>
      <c r="G325" s="34" t="str">
        <f>IFERROR(IF(C325="","",VLOOKUP(C325,المستفيدين!$B:$F,5,FALSE)),"")</f>
        <v>مركز إرادة وتمكين لمتلازمة داون (نجد)</v>
      </c>
      <c r="H325" s="24" t="s">
        <v>553</v>
      </c>
      <c r="I325" s="20" t="s">
        <v>79</v>
      </c>
      <c r="J325" s="20" t="s">
        <v>1</v>
      </c>
      <c r="K325" s="20" t="s">
        <v>9</v>
      </c>
      <c r="L325" s="26" t="s">
        <v>51</v>
      </c>
    </row>
    <row r="326" spans="1:12" x14ac:dyDescent="0.2">
      <c r="A326" s="18">
        <v>325</v>
      </c>
      <c r="B326" s="19">
        <v>45896</v>
      </c>
      <c r="C326" s="20">
        <v>1812303672</v>
      </c>
      <c r="D326" s="34" t="str">
        <f>IFERROR(IF(C326="","",VLOOKUP(C326,المستفيدين!$B:$C,2,FALSE)),"")</f>
        <v>مستفيد100</v>
      </c>
      <c r="E326" s="24" t="s">
        <v>292</v>
      </c>
      <c r="F326" s="34" t="str">
        <f>IFERROR(IF(E326="","",VLOOKUP(E326,الموظفين!$B:$C,2,FALSE)),"")</f>
        <v>موظف75</v>
      </c>
      <c r="G326" s="34" t="str">
        <f>IFERROR(IF(C326="","",VLOOKUP(C326,المستفيدين!$B:$F,5,FALSE)),"")</f>
        <v>مدرسة إرادة للتعليم (مكة)</v>
      </c>
      <c r="H326" s="24" t="s">
        <v>553</v>
      </c>
      <c r="I326" s="24" t="s">
        <v>75</v>
      </c>
      <c r="J326" s="24" t="s">
        <v>1</v>
      </c>
      <c r="K326" s="24" t="s">
        <v>10</v>
      </c>
      <c r="L326" s="25"/>
    </row>
    <row r="327" spans="1:12" x14ac:dyDescent="0.2">
      <c r="A327" s="21">
        <v>326</v>
      </c>
      <c r="B327" s="22">
        <v>45896</v>
      </c>
      <c r="C327" s="20">
        <v>1151017514</v>
      </c>
      <c r="D327" s="34" t="str">
        <f>IFERROR(IF(C327="","",VLOOKUP(C327,المستفيدين!$B:$C,2,FALSE)),"")</f>
        <v>مستفيد24</v>
      </c>
      <c r="E327" s="20" t="s">
        <v>242</v>
      </c>
      <c r="F327" s="34" t="str">
        <f>IFERROR(IF(E327="","",VLOOKUP(E327,الموظفين!$B:$C,2,FALSE)),"")</f>
        <v>موظف50</v>
      </c>
      <c r="G327" s="34" t="str">
        <f>IFERROR(IF(C327="","",VLOOKUP(C327,المستفيدين!$B:$F,5,FALSE)),"")</f>
        <v>مركز إرادة وتمكين للرعاية النهارية (القدس)</v>
      </c>
      <c r="H327" s="24" t="s">
        <v>553</v>
      </c>
      <c r="I327" s="20" t="s">
        <v>78</v>
      </c>
      <c r="J327" s="20" t="s">
        <v>1</v>
      </c>
      <c r="K327" s="20" t="s">
        <v>9</v>
      </c>
      <c r="L327" s="26"/>
    </row>
    <row r="328" spans="1:12" x14ac:dyDescent="0.2">
      <c r="A328" s="18">
        <v>327</v>
      </c>
      <c r="B328" s="19">
        <v>45897</v>
      </c>
      <c r="C328" s="20">
        <v>1672893974</v>
      </c>
      <c r="D328" s="34" t="str">
        <f>IFERROR(IF(C328="","",VLOOKUP(C328,المستفيدين!$B:$C,2,FALSE)),"")</f>
        <v>مستفيد148</v>
      </c>
      <c r="E328" s="24" t="s">
        <v>330</v>
      </c>
      <c r="F328" s="34" t="str">
        <f>IFERROR(IF(E328="","",VLOOKUP(E328,الموظفين!$B:$C,2,FALSE)),"")</f>
        <v>موظف94</v>
      </c>
      <c r="G328" s="34" t="str">
        <f>IFERROR(IF(C328="","",VLOOKUP(C328,المستفيدين!$B:$F,5,FALSE)),"")</f>
        <v>مركز إرادة وتمكين لمتلازمة داون (نجد)</v>
      </c>
      <c r="H328" s="24" t="s">
        <v>553</v>
      </c>
      <c r="I328" s="24" t="s">
        <v>79</v>
      </c>
      <c r="J328" s="24" t="s">
        <v>1</v>
      </c>
      <c r="K328" s="24" t="s">
        <v>9</v>
      </c>
      <c r="L328" s="25"/>
    </row>
    <row r="329" spans="1:12" x14ac:dyDescent="0.2">
      <c r="A329" s="21">
        <v>328</v>
      </c>
      <c r="B329" s="22">
        <v>45898</v>
      </c>
      <c r="C329" s="20">
        <v>1491276005</v>
      </c>
      <c r="D329" s="34" t="str">
        <f>IFERROR(IF(C329="","",VLOOKUP(C329,المستفيدين!$B:$C,2,FALSE)),"")</f>
        <v>مستفيد73</v>
      </c>
      <c r="E329" s="20" t="s">
        <v>322</v>
      </c>
      <c r="F329" s="34" t="str">
        <f>IFERROR(IF(E329="","",VLOOKUP(E329,الموظفين!$B:$C,2,FALSE)),"")</f>
        <v>موظف90</v>
      </c>
      <c r="G329" s="34" t="str">
        <f>IFERROR(IF(C329="","",VLOOKUP(C329,المستفيدين!$B:$F,5,FALSE)),"")</f>
        <v>مدرسة إرادة للتعليم (مكة)</v>
      </c>
      <c r="H329" s="24" t="s">
        <v>552</v>
      </c>
      <c r="I329" s="20" t="s">
        <v>80</v>
      </c>
      <c r="J329" s="20" t="s">
        <v>0</v>
      </c>
      <c r="K329" s="20" t="s">
        <v>10</v>
      </c>
      <c r="L329" s="26"/>
    </row>
    <row r="330" spans="1:12" x14ac:dyDescent="0.2">
      <c r="A330" s="18">
        <v>329</v>
      </c>
      <c r="B330" s="19">
        <v>45903</v>
      </c>
      <c r="C330" s="20">
        <v>1480462141</v>
      </c>
      <c r="D330" s="34" t="str">
        <f>IFERROR(IF(C330="","",VLOOKUP(C330,المستفيدين!$B:$C,2,FALSE)),"")</f>
        <v>مستفيد69</v>
      </c>
      <c r="E330" s="24" t="s">
        <v>304</v>
      </c>
      <c r="F330" s="34" t="str">
        <f>IFERROR(IF(E330="","",VLOOKUP(E330,الموظفين!$B:$C,2,FALSE)),"")</f>
        <v>موظف81</v>
      </c>
      <c r="G330" s="34" t="str">
        <f>IFERROR(IF(C330="","",VLOOKUP(C330,المستفيدين!$B:$F,5,FALSE)),"")</f>
        <v>مركز إرادة وتمكين لمتلازمة داون (نجد)</v>
      </c>
      <c r="H330" s="24" t="s">
        <v>553</v>
      </c>
      <c r="I330" s="24" t="s">
        <v>77</v>
      </c>
      <c r="J330" s="24" t="s">
        <v>0</v>
      </c>
      <c r="K330" s="24" t="s">
        <v>11</v>
      </c>
      <c r="L330" s="25" t="s">
        <v>523</v>
      </c>
    </row>
    <row r="331" spans="1:12" x14ac:dyDescent="0.2">
      <c r="A331" s="21">
        <v>330</v>
      </c>
      <c r="B331" s="22">
        <v>45904</v>
      </c>
      <c r="C331" s="20">
        <v>1866489709</v>
      </c>
      <c r="D331" s="34" t="str">
        <f>IFERROR(IF(C331="","",VLOOKUP(C331,المستفيدين!$B:$C,2,FALSE)),"")</f>
        <v>مستفيد196</v>
      </c>
      <c r="E331" s="20" t="s">
        <v>302</v>
      </c>
      <c r="F331" s="34" t="str">
        <f>IFERROR(IF(E331="","",VLOOKUP(E331,الموظفين!$B:$C,2,FALSE)),"")</f>
        <v>موظف80</v>
      </c>
      <c r="G331" s="34" t="str">
        <f>IFERROR(IF(C331="","",VLOOKUP(C331,المستفيدين!$B:$F,5,FALSE)),"")</f>
        <v>مركز إرادة وتمكين للرعاية النهارية (القدس)</v>
      </c>
      <c r="H331" s="24" t="s">
        <v>552</v>
      </c>
      <c r="I331" s="20" t="s">
        <v>81</v>
      </c>
      <c r="J331" s="20" t="s">
        <v>1</v>
      </c>
      <c r="K331" s="20" t="s">
        <v>9</v>
      </c>
      <c r="L331" s="26"/>
    </row>
    <row r="332" spans="1:12" x14ac:dyDescent="0.2">
      <c r="A332" s="18">
        <v>331</v>
      </c>
      <c r="B332" s="19">
        <v>45904</v>
      </c>
      <c r="C332" s="20">
        <v>1093177984</v>
      </c>
      <c r="D332" s="34" t="str">
        <f>IFERROR(IF(C332="","",VLOOKUP(C332,المستفيدين!$B:$C,2,FALSE)),"")</f>
        <v>مستفيد159</v>
      </c>
      <c r="E332" s="24" t="s">
        <v>182</v>
      </c>
      <c r="F332" s="34" t="str">
        <f>IFERROR(IF(E332="","",VLOOKUP(E332,الموظفين!$B:$C,2,FALSE)),"")</f>
        <v>موظف20</v>
      </c>
      <c r="G332" s="34" t="str">
        <f>IFERROR(IF(C332="","",VLOOKUP(C332,المستفيدين!$B:$F,5,FALSE)),"")</f>
        <v>مدرسة إرادة وتمكين لمتلازمة داون (نجد)</v>
      </c>
      <c r="H332" s="24" t="s">
        <v>553</v>
      </c>
      <c r="I332" s="24" t="s">
        <v>76</v>
      </c>
      <c r="J332" s="24" t="s">
        <v>1</v>
      </c>
      <c r="K332" s="24" t="s">
        <v>12</v>
      </c>
      <c r="L332" s="25"/>
    </row>
    <row r="333" spans="1:12" x14ac:dyDescent="0.2">
      <c r="A333" s="21">
        <v>332</v>
      </c>
      <c r="B333" s="22">
        <v>45905</v>
      </c>
      <c r="C333" s="20">
        <v>1525548329</v>
      </c>
      <c r="D333" s="34" t="str">
        <f>IFERROR(IF(C333="","",VLOOKUP(C333,المستفيدين!$B:$C,2,FALSE)),"")</f>
        <v>مستفيد187</v>
      </c>
      <c r="E333" s="20" t="s">
        <v>178</v>
      </c>
      <c r="F333" s="34" t="str">
        <f>IFERROR(IF(E333="","",VLOOKUP(E333,الموظفين!$B:$C,2,FALSE)),"")</f>
        <v>موظف18</v>
      </c>
      <c r="G333" s="34" t="str">
        <f>IFERROR(IF(C333="","",VLOOKUP(C333,المستفيدين!$B:$F,5,FALSE)),"")</f>
        <v>مركز إرادة وتمكين لرعاية ذوي الاحتياجات الخاصة (جلمودة)</v>
      </c>
      <c r="H333" s="24" t="s">
        <v>553</v>
      </c>
      <c r="I333" s="20" t="s">
        <v>78</v>
      </c>
      <c r="J333" s="20" t="s">
        <v>1</v>
      </c>
      <c r="K333" s="20" t="s">
        <v>12</v>
      </c>
      <c r="L333" s="26" t="s">
        <v>51</v>
      </c>
    </row>
    <row r="334" spans="1:12" x14ac:dyDescent="0.2">
      <c r="A334" s="18">
        <v>333</v>
      </c>
      <c r="B334" s="19">
        <v>45905</v>
      </c>
      <c r="C334" s="20">
        <v>1253511077</v>
      </c>
      <c r="D334" s="34" t="str">
        <f>IFERROR(IF(C334="","",VLOOKUP(C334,المستفيدين!$B:$C,2,FALSE)),"")</f>
        <v>مستفيد64</v>
      </c>
      <c r="E334" s="24" t="s">
        <v>220</v>
      </c>
      <c r="F334" s="34" t="str">
        <f>IFERROR(IF(E334="","",VLOOKUP(E334,الموظفين!$B:$C,2,FALSE)),"")</f>
        <v>موظف39</v>
      </c>
      <c r="G334" s="34" t="str">
        <f>IFERROR(IF(C334="","",VLOOKUP(C334,المستفيدين!$B:$F,5,FALSE)),"")</f>
        <v>مدرسة إرادة للتعليم (مكة)</v>
      </c>
      <c r="H334" s="24" t="s">
        <v>552</v>
      </c>
      <c r="I334" s="24" t="s">
        <v>556</v>
      </c>
      <c r="J334" s="24" t="s">
        <v>1</v>
      </c>
      <c r="K334" s="24" t="s">
        <v>9</v>
      </c>
      <c r="L334" s="25" t="s">
        <v>523</v>
      </c>
    </row>
    <row r="335" spans="1:12" x14ac:dyDescent="0.2">
      <c r="A335" s="21">
        <v>334</v>
      </c>
      <c r="B335" s="22">
        <v>45906</v>
      </c>
      <c r="C335" s="20">
        <v>1147655592</v>
      </c>
      <c r="D335" s="34" t="str">
        <f>IFERROR(IF(C335="","",VLOOKUP(C335,المستفيدين!$B:$C,2,FALSE)),"")</f>
        <v>مستفيد165</v>
      </c>
      <c r="E335" s="20" t="s">
        <v>280</v>
      </c>
      <c r="F335" s="34" t="str">
        <f>IFERROR(IF(E335="","",VLOOKUP(E335,الموظفين!$B:$C,2,FALSE)),"")</f>
        <v>موظف69</v>
      </c>
      <c r="G335" s="34" t="str">
        <f>IFERROR(IF(C335="","",VLOOKUP(C335,المستفيدين!$B:$F,5,FALSE)),"")</f>
        <v>مركز إرادة وتمكين لرعاية ذوي الاحتياجات الخاصة (جلمودة)</v>
      </c>
      <c r="H335" s="24" t="s">
        <v>553</v>
      </c>
      <c r="I335" s="20" t="s">
        <v>75</v>
      </c>
      <c r="J335" s="20" t="s">
        <v>1</v>
      </c>
      <c r="K335" s="20" t="s">
        <v>9</v>
      </c>
      <c r="L335" s="26"/>
    </row>
    <row r="336" spans="1:12" x14ac:dyDescent="0.2">
      <c r="A336" s="18">
        <v>335</v>
      </c>
      <c r="B336" s="19">
        <v>45907</v>
      </c>
      <c r="C336" s="20">
        <v>1285596817</v>
      </c>
      <c r="D336" s="34" t="str">
        <f>IFERROR(IF(C336="","",VLOOKUP(C336,المستفيدين!$B:$C,2,FALSE)),"")</f>
        <v>مستفيد188</v>
      </c>
      <c r="E336" s="24" t="s">
        <v>176</v>
      </c>
      <c r="F336" s="34" t="str">
        <f>IFERROR(IF(E336="","",VLOOKUP(E336,الموظفين!$B:$C,2,FALSE)),"")</f>
        <v>موظف17</v>
      </c>
      <c r="G336" s="34" t="str">
        <f>IFERROR(IF(C336="","",VLOOKUP(C336,المستفيدين!$B:$F,5,FALSE)),"")</f>
        <v>مركز إرادة وتمكين لمتلازمة داون (نجد)</v>
      </c>
      <c r="H336" s="24" t="s">
        <v>553</v>
      </c>
      <c r="I336" s="24" t="s">
        <v>76</v>
      </c>
      <c r="J336" s="24" t="s">
        <v>0</v>
      </c>
      <c r="K336" s="24" t="s">
        <v>11</v>
      </c>
      <c r="L336" s="25" t="s">
        <v>524</v>
      </c>
    </row>
    <row r="337" spans="1:12" x14ac:dyDescent="0.2">
      <c r="A337" s="21">
        <v>336</v>
      </c>
      <c r="B337" s="22">
        <v>45909</v>
      </c>
      <c r="C337" s="20">
        <v>1525548329</v>
      </c>
      <c r="D337" s="34" t="str">
        <f>IFERROR(IF(C337="","",VLOOKUP(C337,المستفيدين!$B:$C,2,FALSE)),"")</f>
        <v>مستفيد187</v>
      </c>
      <c r="E337" s="20" t="s">
        <v>244</v>
      </c>
      <c r="F337" s="34" t="str">
        <f>IFERROR(IF(E337="","",VLOOKUP(E337,الموظفين!$B:$C,2,FALSE)),"")</f>
        <v>موظف51</v>
      </c>
      <c r="G337" s="34" t="str">
        <f>IFERROR(IF(C337="","",VLOOKUP(C337,المستفيدين!$B:$F,5,FALSE)),"")</f>
        <v>مركز إرادة وتمكين لرعاية ذوي الاحتياجات الخاصة (جلمودة)</v>
      </c>
      <c r="H337" s="24" t="s">
        <v>553</v>
      </c>
      <c r="I337" s="20" t="s">
        <v>74</v>
      </c>
      <c r="J337" s="20" t="s">
        <v>0</v>
      </c>
      <c r="K337" s="20" t="s">
        <v>11</v>
      </c>
      <c r="L337" s="26" t="s">
        <v>524</v>
      </c>
    </row>
    <row r="338" spans="1:12" x14ac:dyDescent="0.2">
      <c r="A338" s="18">
        <v>337</v>
      </c>
      <c r="B338" s="19">
        <v>45913</v>
      </c>
      <c r="C338" s="20">
        <v>1113590304</v>
      </c>
      <c r="D338" s="34" t="str">
        <f>IFERROR(IF(C338="","",VLOOKUP(C338,المستفيدين!$B:$C,2,FALSE)),"")</f>
        <v>مستفيد186</v>
      </c>
      <c r="E338" s="24" t="s">
        <v>244</v>
      </c>
      <c r="F338" s="34" t="str">
        <f>IFERROR(IF(E338="","",VLOOKUP(E338,الموظفين!$B:$C,2,FALSE)),"")</f>
        <v>موظف51</v>
      </c>
      <c r="G338" s="34" t="str">
        <f>IFERROR(IF(C338="","",VLOOKUP(C338,المستفيدين!$B:$F,5,FALSE)),"")</f>
        <v>مركز إرادة وتمكين لمتلازمة داون (نجد)</v>
      </c>
      <c r="H338" s="24" t="s">
        <v>553</v>
      </c>
      <c r="I338" s="24" t="s">
        <v>74</v>
      </c>
      <c r="J338" s="24" t="s">
        <v>0</v>
      </c>
      <c r="K338" s="24" t="s">
        <v>12</v>
      </c>
      <c r="L338" s="25"/>
    </row>
    <row r="339" spans="1:12" x14ac:dyDescent="0.2">
      <c r="A339" s="21">
        <v>338</v>
      </c>
      <c r="B339" s="22">
        <v>45915</v>
      </c>
      <c r="C339" s="20">
        <v>1055787167</v>
      </c>
      <c r="D339" s="34" t="str">
        <f>IFERROR(IF(C339="","",VLOOKUP(C339,المستفيدين!$B:$C,2,FALSE)),"")</f>
        <v>مستفيد134</v>
      </c>
      <c r="E339" s="20" t="s">
        <v>334</v>
      </c>
      <c r="F339" s="34" t="str">
        <f>IFERROR(IF(E339="","",VLOOKUP(E339,الموظفين!$B:$C,2,FALSE)),"")</f>
        <v>موظف96</v>
      </c>
      <c r="G339" s="34" t="str">
        <f>IFERROR(IF(C339="","",VLOOKUP(C339,المستفيدين!$B:$F,5,FALSE)),"")</f>
        <v>مركز إرادة وتمكين لرعاية ذوي الاحتياجات الخاصة (جلمودة)</v>
      </c>
      <c r="H339" s="24" t="s">
        <v>553</v>
      </c>
      <c r="I339" s="20" t="s">
        <v>76</v>
      </c>
      <c r="J339" s="20" t="s">
        <v>1</v>
      </c>
      <c r="K339" s="20" t="s">
        <v>10</v>
      </c>
      <c r="L339" s="26"/>
    </row>
    <row r="340" spans="1:12" x14ac:dyDescent="0.2">
      <c r="A340" s="18">
        <v>339</v>
      </c>
      <c r="B340" s="19">
        <v>45915</v>
      </c>
      <c r="C340" s="20">
        <v>1441451242</v>
      </c>
      <c r="D340" s="34" t="str">
        <f>IFERROR(IF(C340="","",VLOOKUP(C340,المستفيدين!$B:$C,2,FALSE)),"")</f>
        <v>مستفيد96</v>
      </c>
      <c r="E340" s="24" t="s">
        <v>248</v>
      </c>
      <c r="F340" s="34" t="str">
        <f>IFERROR(IF(E340="","",VLOOKUP(E340,الموظفين!$B:$C,2,FALSE)),"")</f>
        <v>موظف53</v>
      </c>
      <c r="G340" s="34" t="str">
        <f>IFERROR(IF(C340="","",VLOOKUP(C340,المستفيدين!$B:$F,5,FALSE)),"")</f>
        <v>مدرسة إرادة للتعليم (مكة)</v>
      </c>
      <c r="H340" s="24" t="s">
        <v>553</v>
      </c>
      <c r="I340" s="24" t="s">
        <v>75</v>
      </c>
      <c r="J340" s="24" t="s">
        <v>0</v>
      </c>
      <c r="K340" s="24" t="s">
        <v>9</v>
      </c>
      <c r="L340" s="25"/>
    </row>
    <row r="341" spans="1:12" x14ac:dyDescent="0.2">
      <c r="A341" s="21">
        <v>340</v>
      </c>
      <c r="B341" s="22">
        <v>45915</v>
      </c>
      <c r="C341" s="20">
        <v>1104352550</v>
      </c>
      <c r="D341" s="34" t="str">
        <f>IFERROR(IF(C341="","",VLOOKUP(C341,المستفيدين!$B:$C,2,FALSE)),"")</f>
        <v>مستفيد77</v>
      </c>
      <c r="E341" s="20" t="s">
        <v>312</v>
      </c>
      <c r="F341" s="34" t="str">
        <f>IFERROR(IF(E341="","",VLOOKUP(E341,الموظفين!$B:$C,2,FALSE)),"")</f>
        <v>موظف85</v>
      </c>
      <c r="G341" s="34" t="str">
        <f>IFERROR(IF(C341="","",VLOOKUP(C341,المستفيدين!$B:$F,5,FALSE)),"")</f>
        <v>مدرسة إرادة وتمكين لمتلازمة داون (نجد)</v>
      </c>
      <c r="H341" s="24" t="s">
        <v>552</v>
      </c>
      <c r="I341" s="20" t="s">
        <v>81</v>
      </c>
      <c r="J341" s="20" t="s">
        <v>1</v>
      </c>
      <c r="K341" s="20" t="s">
        <v>11</v>
      </c>
      <c r="L341" s="26"/>
    </row>
    <row r="342" spans="1:12" x14ac:dyDescent="0.2">
      <c r="A342" s="18">
        <v>341</v>
      </c>
      <c r="B342" s="19">
        <v>45915</v>
      </c>
      <c r="C342" s="20">
        <v>1580476879</v>
      </c>
      <c r="D342" s="34" t="str">
        <f>IFERROR(IF(C342="","",VLOOKUP(C342,المستفيدين!$B:$C,2,FALSE)),"")</f>
        <v>مستفيد82</v>
      </c>
      <c r="E342" s="24" t="s">
        <v>258</v>
      </c>
      <c r="F342" s="34" t="str">
        <f>IFERROR(IF(E342="","",VLOOKUP(E342,الموظفين!$B:$C,2,FALSE)),"")</f>
        <v>موظف58</v>
      </c>
      <c r="G342" s="34" t="str">
        <f>IFERROR(IF(C342="","",VLOOKUP(C342,المستفيدين!$B:$F,5,FALSE)),"")</f>
        <v>مدرسة إرادة للتعليم (مكة)</v>
      </c>
      <c r="H342" s="24" t="s">
        <v>552</v>
      </c>
      <c r="I342" s="24" t="s">
        <v>81</v>
      </c>
      <c r="J342" s="24" t="s">
        <v>0</v>
      </c>
      <c r="K342" s="24" t="s">
        <v>10</v>
      </c>
      <c r="L342" s="25" t="s">
        <v>51</v>
      </c>
    </row>
    <row r="343" spans="1:12" x14ac:dyDescent="0.2">
      <c r="A343" s="21">
        <v>342</v>
      </c>
      <c r="B343" s="22">
        <v>45917</v>
      </c>
      <c r="C343" s="20">
        <v>1739588802</v>
      </c>
      <c r="D343" s="34" t="str">
        <f>IFERROR(IF(C343="","",VLOOKUP(C343,المستفيدين!$B:$C,2,FALSE)),"")</f>
        <v>مستفيد101</v>
      </c>
      <c r="E343" s="20" t="s">
        <v>326</v>
      </c>
      <c r="F343" s="34" t="str">
        <f>IFERROR(IF(E343="","",VLOOKUP(E343,الموظفين!$B:$C,2,FALSE)),"")</f>
        <v>موظف92</v>
      </c>
      <c r="G343" s="34" t="str">
        <f>IFERROR(IF(C343="","",VLOOKUP(C343,المستفيدين!$B:$F,5,FALSE)),"")</f>
        <v>مدرسة إرادة للتعليم (مكة)</v>
      </c>
      <c r="H343" s="24" t="s">
        <v>553</v>
      </c>
      <c r="I343" s="20" t="s">
        <v>79</v>
      </c>
      <c r="J343" s="20" t="s">
        <v>0</v>
      </c>
      <c r="K343" s="20" t="s">
        <v>12</v>
      </c>
      <c r="L343" s="26" t="s">
        <v>525</v>
      </c>
    </row>
    <row r="344" spans="1:12" x14ac:dyDescent="0.2">
      <c r="A344" s="18">
        <v>343</v>
      </c>
      <c r="B344" s="19">
        <v>45920</v>
      </c>
      <c r="C344" s="20">
        <v>1093177984</v>
      </c>
      <c r="D344" s="34" t="str">
        <f>IFERROR(IF(C344="","",VLOOKUP(C344,المستفيدين!$B:$C,2,FALSE)),"")</f>
        <v>مستفيد159</v>
      </c>
      <c r="E344" s="24" t="s">
        <v>202</v>
      </c>
      <c r="F344" s="34" t="str">
        <f>IFERROR(IF(E344="","",VLOOKUP(E344,الموظفين!$B:$C,2,FALSE)),"")</f>
        <v>موظف30</v>
      </c>
      <c r="G344" s="34" t="str">
        <f>IFERROR(IF(C344="","",VLOOKUP(C344,المستفيدين!$B:$F,5,FALSE)),"")</f>
        <v>مدرسة إرادة وتمكين لمتلازمة داون (نجد)</v>
      </c>
      <c r="H344" s="24" t="s">
        <v>553</v>
      </c>
      <c r="I344" s="24" t="s">
        <v>77</v>
      </c>
      <c r="J344" s="24" t="s">
        <v>0</v>
      </c>
      <c r="K344" s="24" t="s">
        <v>9</v>
      </c>
      <c r="L344" s="25"/>
    </row>
    <row r="345" spans="1:12" x14ac:dyDescent="0.2">
      <c r="A345" s="21">
        <v>344</v>
      </c>
      <c r="B345" s="22">
        <v>45921</v>
      </c>
      <c r="C345" s="20">
        <v>1614390911</v>
      </c>
      <c r="D345" s="34" t="str">
        <f>IFERROR(IF(C345="","",VLOOKUP(C345,المستفيدين!$B:$C,2,FALSE)),"")</f>
        <v>مستفيد149</v>
      </c>
      <c r="E345" s="20" t="s">
        <v>280</v>
      </c>
      <c r="F345" s="34" t="str">
        <f>IFERROR(IF(E345="","",VLOOKUP(E345,الموظفين!$B:$C,2,FALSE)),"")</f>
        <v>موظف69</v>
      </c>
      <c r="G345" s="34" t="str">
        <f>IFERROR(IF(C345="","",VLOOKUP(C345,المستفيدين!$B:$F,5,FALSE)),"")</f>
        <v>مدرسة إرادة للتعليم (مكة)</v>
      </c>
      <c r="H345" s="24" t="s">
        <v>553</v>
      </c>
      <c r="I345" s="20" t="s">
        <v>75</v>
      </c>
      <c r="J345" s="20" t="s">
        <v>1</v>
      </c>
      <c r="K345" s="20" t="s">
        <v>9</v>
      </c>
      <c r="L345" s="26"/>
    </row>
    <row r="346" spans="1:12" x14ac:dyDescent="0.2">
      <c r="A346" s="18">
        <v>345</v>
      </c>
      <c r="B346" s="19">
        <v>45923</v>
      </c>
      <c r="C346" s="20">
        <v>1356048067</v>
      </c>
      <c r="D346" s="34" t="str">
        <f>IFERROR(IF(C346="","",VLOOKUP(C346,المستفيدين!$B:$C,2,FALSE)),"")</f>
        <v>مستفيد164</v>
      </c>
      <c r="E346" s="24" t="s">
        <v>338</v>
      </c>
      <c r="F346" s="34" t="str">
        <f>IFERROR(IF(E346="","",VLOOKUP(E346,الموظفين!$B:$C,2,FALSE)),"")</f>
        <v>موظف98</v>
      </c>
      <c r="G346" s="34" t="str">
        <f>IFERROR(IF(C346="","",VLOOKUP(C346,المستفيدين!$B:$F,5,FALSE)),"")</f>
        <v>مركز إرادة وتمكين لمتلازمة داون (نجد)</v>
      </c>
      <c r="H346" s="24" t="s">
        <v>552</v>
      </c>
      <c r="I346" s="24" t="s">
        <v>81</v>
      </c>
      <c r="J346" s="24" t="s">
        <v>1</v>
      </c>
      <c r="K346" s="24" t="s">
        <v>9</v>
      </c>
      <c r="L346" s="25"/>
    </row>
    <row r="347" spans="1:12" x14ac:dyDescent="0.2">
      <c r="A347" s="21">
        <v>346</v>
      </c>
      <c r="B347" s="22">
        <v>45923</v>
      </c>
      <c r="C347" s="20">
        <v>1096348523</v>
      </c>
      <c r="D347" s="34" t="str">
        <f>IFERROR(IF(C347="","",VLOOKUP(C347,المستفيدين!$B:$C,2,FALSE)),"")</f>
        <v>مستفيد4</v>
      </c>
      <c r="E347" s="20" t="s">
        <v>310</v>
      </c>
      <c r="F347" s="34" t="str">
        <f>IFERROR(IF(E347="","",VLOOKUP(E347,الموظفين!$B:$C,2,FALSE)),"")</f>
        <v>موظف84</v>
      </c>
      <c r="G347" s="34" t="str">
        <f>IFERROR(IF(C347="","",VLOOKUP(C347,المستفيدين!$B:$F,5,FALSE)),"")</f>
        <v>مدرسة إرادة للتعليم (مكة)</v>
      </c>
      <c r="H347" s="24" t="s">
        <v>553</v>
      </c>
      <c r="I347" s="20" t="s">
        <v>79</v>
      </c>
      <c r="J347" s="20" t="s">
        <v>1</v>
      </c>
      <c r="K347" s="20" t="s">
        <v>9</v>
      </c>
      <c r="L347" s="26" t="s">
        <v>524</v>
      </c>
    </row>
    <row r="348" spans="1:12" x14ac:dyDescent="0.2">
      <c r="A348" s="18">
        <v>347</v>
      </c>
      <c r="B348" s="19">
        <v>45923</v>
      </c>
      <c r="C348" s="20">
        <v>1580476879</v>
      </c>
      <c r="D348" s="34" t="str">
        <f>IFERROR(IF(C348="","",VLOOKUP(C348,المستفيدين!$B:$C,2,FALSE)),"")</f>
        <v>مستفيد82</v>
      </c>
      <c r="E348" s="24" t="s">
        <v>218</v>
      </c>
      <c r="F348" s="34" t="str">
        <f>IFERROR(IF(E348="","",VLOOKUP(E348,الموظفين!$B:$C,2,FALSE)),"")</f>
        <v>موظف38</v>
      </c>
      <c r="G348" s="34" t="str">
        <f>IFERROR(IF(C348="","",VLOOKUP(C348,المستفيدين!$B:$F,5,FALSE)),"")</f>
        <v>مدرسة إرادة للتعليم (مكة)</v>
      </c>
      <c r="H348" s="24" t="s">
        <v>553</v>
      </c>
      <c r="I348" s="24" t="s">
        <v>75</v>
      </c>
      <c r="J348" s="24" t="s">
        <v>1</v>
      </c>
      <c r="K348" s="24" t="s">
        <v>9</v>
      </c>
      <c r="L348" s="25" t="s">
        <v>524</v>
      </c>
    </row>
    <row r="349" spans="1:12" x14ac:dyDescent="0.2">
      <c r="A349" s="21">
        <v>348</v>
      </c>
      <c r="B349" s="22">
        <v>45927</v>
      </c>
      <c r="C349" s="20">
        <v>1054240869</v>
      </c>
      <c r="D349" s="34" t="str">
        <f>IFERROR(IF(C349="","",VLOOKUP(C349,المستفيدين!$B:$C,2,FALSE)),"")</f>
        <v>مستفيد121</v>
      </c>
      <c r="E349" s="20" t="s">
        <v>286</v>
      </c>
      <c r="F349" s="34" t="str">
        <f>IFERROR(IF(E349="","",VLOOKUP(E349,الموظفين!$B:$C,2,FALSE)),"")</f>
        <v>موظف72</v>
      </c>
      <c r="G349" s="34" t="str">
        <f>IFERROR(IF(C349="","",VLOOKUP(C349,المستفيدين!$B:$F,5,FALSE)),"")</f>
        <v>مركز إرادة وتمكين لمتلازمة داون (نجد)</v>
      </c>
      <c r="H349" s="24" t="s">
        <v>553</v>
      </c>
      <c r="I349" s="20" t="s">
        <v>77</v>
      </c>
      <c r="J349" s="20" t="s">
        <v>0</v>
      </c>
      <c r="K349" s="20" t="s">
        <v>9</v>
      </c>
      <c r="L349" s="26" t="s">
        <v>526</v>
      </c>
    </row>
    <row r="350" spans="1:12" x14ac:dyDescent="0.2">
      <c r="A350" s="18">
        <v>349</v>
      </c>
      <c r="B350" s="19">
        <v>45929</v>
      </c>
      <c r="C350" s="20">
        <v>1526290370</v>
      </c>
      <c r="D350" s="34" t="str">
        <f>IFERROR(IF(C350="","",VLOOKUP(C350,المستفيدين!$B:$C,2,FALSE)),"")</f>
        <v>مستفيد197</v>
      </c>
      <c r="E350" s="24" t="s">
        <v>230</v>
      </c>
      <c r="F350" s="34" t="str">
        <f>IFERROR(IF(E350="","",VLOOKUP(E350,الموظفين!$B:$C,2,FALSE)),"")</f>
        <v>موظف44</v>
      </c>
      <c r="G350" s="34" t="str">
        <f>IFERROR(IF(C350="","",VLOOKUP(C350,المستفيدين!$B:$F,5,FALSE)),"")</f>
        <v>مدرسة إرادة وتمكين لمتلازمة داون (نجد)</v>
      </c>
      <c r="H350" s="24" t="s">
        <v>553</v>
      </c>
      <c r="I350" s="24" t="s">
        <v>74</v>
      </c>
      <c r="J350" s="24" t="s">
        <v>0</v>
      </c>
      <c r="K350" s="24" t="s">
        <v>11</v>
      </c>
      <c r="L350" s="25" t="s">
        <v>525</v>
      </c>
    </row>
    <row r="351" spans="1:12" x14ac:dyDescent="0.2">
      <c r="A351" s="21">
        <v>350</v>
      </c>
      <c r="B351" s="22">
        <v>45929</v>
      </c>
      <c r="C351" s="20">
        <v>1147655592</v>
      </c>
      <c r="D351" s="34" t="str">
        <f>IFERROR(IF(C351="","",VLOOKUP(C351,المستفيدين!$B:$C,2,FALSE)),"")</f>
        <v>مستفيد165</v>
      </c>
      <c r="E351" s="20" t="s">
        <v>324</v>
      </c>
      <c r="F351" s="34" t="str">
        <f>IFERROR(IF(E351="","",VLOOKUP(E351,الموظفين!$B:$C,2,FALSE)),"")</f>
        <v>موظف91</v>
      </c>
      <c r="G351" s="34" t="str">
        <f>IFERROR(IF(C351="","",VLOOKUP(C351,المستفيدين!$B:$F,5,FALSE)),"")</f>
        <v>مركز إرادة وتمكين لرعاية ذوي الاحتياجات الخاصة (جلمودة)</v>
      </c>
      <c r="H351" s="24" t="s">
        <v>553</v>
      </c>
      <c r="I351" s="20" t="s">
        <v>77</v>
      </c>
      <c r="J351" s="20" t="s">
        <v>1</v>
      </c>
      <c r="K351" s="20" t="s">
        <v>9</v>
      </c>
      <c r="L351" s="26" t="s">
        <v>523</v>
      </c>
    </row>
    <row r="352" spans="1:12" x14ac:dyDescent="0.2">
      <c r="A352" s="18">
        <v>351</v>
      </c>
      <c r="B352" s="19">
        <v>45929</v>
      </c>
      <c r="C352" s="20">
        <v>1098673354</v>
      </c>
      <c r="D352" s="34" t="str">
        <f>IFERROR(IF(C352="","",VLOOKUP(C352,المستفيدين!$B:$C,2,FALSE)),"")</f>
        <v>مستفيد120</v>
      </c>
      <c r="E352" s="24" t="s">
        <v>278</v>
      </c>
      <c r="F352" s="34" t="str">
        <f>IFERROR(IF(E352="","",VLOOKUP(E352,الموظفين!$B:$C,2,FALSE)),"")</f>
        <v>موظف68</v>
      </c>
      <c r="G352" s="34" t="str">
        <f>IFERROR(IF(C352="","",VLOOKUP(C352,المستفيدين!$B:$F,5,FALSE)),"")</f>
        <v>مدرسة إرادة وتمكين لمتلازمة داون (نجد)</v>
      </c>
      <c r="H352" s="24" t="s">
        <v>552</v>
      </c>
      <c r="I352" s="24" t="s">
        <v>81</v>
      </c>
      <c r="J352" s="24" t="s">
        <v>0</v>
      </c>
      <c r="K352" s="24" t="s">
        <v>12</v>
      </c>
      <c r="L352" s="25" t="s">
        <v>51</v>
      </c>
    </row>
    <row r="353" spans="1:12" x14ac:dyDescent="0.2">
      <c r="A353" s="21">
        <v>352</v>
      </c>
      <c r="B353" s="22">
        <v>45931</v>
      </c>
      <c r="C353" s="20">
        <v>1680947465</v>
      </c>
      <c r="D353" s="34" t="str">
        <f>IFERROR(IF(C353="","",VLOOKUP(C353,المستفيدين!$B:$C,2,FALSE)),"")</f>
        <v>مستفيد84</v>
      </c>
      <c r="E353" s="20" t="s">
        <v>178</v>
      </c>
      <c r="F353" s="34" t="str">
        <f>IFERROR(IF(E353="","",VLOOKUP(E353,الموظفين!$B:$C,2,FALSE)),"")</f>
        <v>موظف18</v>
      </c>
      <c r="G353" s="34" t="str">
        <f>IFERROR(IF(C353="","",VLOOKUP(C353,المستفيدين!$B:$F,5,FALSE)),"")</f>
        <v>مركز إرادة وتمكين لمتلازمة داون (نجد)</v>
      </c>
      <c r="H353" s="24" t="s">
        <v>553</v>
      </c>
      <c r="I353" s="20" t="s">
        <v>78</v>
      </c>
      <c r="J353" s="20" t="s">
        <v>1</v>
      </c>
      <c r="K353" s="20" t="s">
        <v>11</v>
      </c>
      <c r="L353" s="26" t="s">
        <v>526</v>
      </c>
    </row>
    <row r="354" spans="1:12" x14ac:dyDescent="0.2">
      <c r="A354" s="18">
        <v>353</v>
      </c>
      <c r="B354" s="19">
        <v>45934</v>
      </c>
      <c r="C354" s="20">
        <v>1994984803</v>
      </c>
      <c r="D354" s="34" t="str">
        <f>IFERROR(IF(C354="","",VLOOKUP(C354,المستفيدين!$B:$C,2,FALSE)),"")</f>
        <v>مستفيد122</v>
      </c>
      <c r="E354" s="24" t="s">
        <v>198</v>
      </c>
      <c r="F354" s="34" t="str">
        <f>IFERROR(IF(E354="","",VLOOKUP(E354,الموظفين!$B:$C,2,FALSE)),"")</f>
        <v>موظف28</v>
      </c>
      <c r="G354" s="34" t="str">
        <f>IFERROR(IF(C354="","",VLOOKUP(C354,المستفيدين!$B:$F,5,FALSE)),"")</f>
        <v>مركز إرادة وتمكين للرعاية النهارية (القدس)</v>
      </c>
      <c r="H354" s="24" t="s">
        <v>552</v>
      </c>
      <c r="I354" s="24" t="s">
        <v>80</v>
      </c>
      <c r="J354" s="24" t="s">
        <v>0</v>
      </c>
      <c r="K354" s="24" t="s">
        <v>9</v>
      </c>
      <c r="L354" s="25" t="s">
        <v>526</v>
      </c>
    </row>
    <row r="355" spans="1:12" x14ac:dyDescent="0.2">
      <c r="A355" s="21">
        <v>354</v>
      </c>
      <c r="B355" s="22">
        <v>45935</v>
      </c>
      <c r="C355" s="20">
        <v>1057659923</v>
      </c>
      <c r="D355" s="34" t="str">
        <f>IFERROR(IF(C355="","",VLOOKUP(C355,المستفيدين!$B:$C,2,FALSE)),"")</f>
        <v>مستفيد26</v>
      </c>
      <c r="E355" s="20" t="s">
        <v>238</v>
      </c>
      <c r="F355" s="34" t="str">
        <f>IFERROR(IF(E355="","",VLOOKUP(E355,الموظفين!$B:$C,2,FALSE)),"")</f>
        <v>موظف48</v>
      </c>
      <c r="G355" s="34" t="str">
        <f>IFERROR(IF(C355="","",VLOOKUP(C355,المستفيدين!$B:$F,5,FALSE)),"")</f>
        <v>مدرسة إرادة للتعليم (مكة)</v>
      </c>
      <c r="H355" s="24" t="s">
        <v>553</v>
      </c>
      <c r="I355" s="20" t="s">
        <v>78</v>
      </c>
      <c r="J355" s="20" t="s">
        <v>1</v>
      </c>
      <c r="K355" s="20" t="s">
        <v>11</v>
      </c>
      <c r="L355" s="26"/>
    </row>
    <row r="356" spans="1:12" x14ac:dyDescent="0.2">
      <c r="A356" s="18">
        <v>355</v>
      </c>
      <c r="B356" s="19">
        <v>45939</v>
      </c>
      <c r="C356" s="20">
        <v>1764520131</v>
      </c>
      <c r="D356" s="34" t="str">
        <f>IFERROR(IF(C356="","",VLOOKUP(C356,المستفيدين!$B:$C,2,FALSE)),"")</f>
        <v>مستفيد85</v>
      </c>
      <c r="E356" s="24" t="s">
        <v>224</v>
      </c>
      <c r="F356" s="34" t="str">
        <f>IFERROR(IF(E356="","",VLOOKUP(E356,الموظفين!$B:$C,2,FALSE)),"")</f>
        <v>موظف41</v>
      </c>
      <c r="G356" s="34" t="str">
        <f>IFERROR(IF(C356="","",VLOOKUP(C356,المستفيدين!$B:$F,5,FALSE)),"")</f>
        <v>مركز إرادة وتمكين لمتلازمة داون (نجد)</v>
      </c>
      <c r="H356" s="24" t="s">
        <v>553</v>
      </c>
      <c r="I356" s="24" t="s">
        <v>75</v>
      </c>
      <c r="J356" s="24" t="s">
        <v>0</v>
      </c>
      <c r="K356" s="24" t="s">
        <v>9</v>
      </c>
      <c r="L356" s="25"/>
    </row>
    <row r="357" spans="1:12" x14ac:dyDescent="0.2">
      <c r="A357" s="21">
        <v>356</v>
      </c>
      <c r="B357" s="22">
        <v>45939</v>
      </c>
      <c r="C357" s="20">
        <v>1687244119</v>
      </c>
      <c r="D357" s="34" t="str">
        <f>IFERROR(IF(C357="","",VLOOKUP(C357,المستفيدين!$B:$C,2,FALSE)),"")</f>
        <v>مستفيد154</v>
      </c>
      <c r="E357" s="20" t="s">
        <v>300</v>
      </c>
      <c r="F357" s="34" t="str">
        <f>IFERROR(IF(E357="","",VLOOKUP(E357,الموظفين!$B:$C,2,FALSE)),"")</f>
        <v>موظف79</v>
      </c>
      <c r="G357" s="34" t="str">
        <f>IFERROR(IF(C357="","",VLOOKUP(C357,المستفيدين!$B:$F,5,FALSE)),"")</f>
        <v>مركز إرادة وتمكين للرعاية النهارية (القدس)</v>
      </c>
      <c r="H357" s="24" t="s">
        <v>553</v>
      </c>
      <c r="I357" s="20" t="s">
        <v>77</v>
      </c>
      <c r="J357" s="20" t="s">
        <v>1</v>
      </c>
      <c r="K357" s="20" t="s">
        <v>12</v>
      </c>
      <c r="L357" s="26" t="s">
        <v>526</v>
      </c>
    </row>
    <row r="358" spans="1:12" x14ac:dyDescent="0.2">
      <c r="A358" s="18">
        <v>357</v>
      </c>
      <c r="B358" s="19">
        <v>45940</v>
      </c>
      <c r="C358" s="20">
        <v>1580476879</v>
      </c>
      <c r="D358" s="34" t="str">
        <f>IFERROR(IF(C358="","",VLOOKUP(C358,المستفيدين!$B:$C,2,FALSE)),"")</f>
        <v>مستفيد82</v>
      </c>
      <c r="E358" s="24" t="s">
        <v>220</v>
      </c>
      <c r="F358" s="34" t="str">
        <f>IFERROR(IF(E358="","",VLOOKUP(E358,الموظفين!$B:$C,2,FALSE)),"")</f>
        <v>موظف39</v>
      </c>
      <c r="G358" s="34" t="str">
        <f>IFERROR(IF(C358="","",VLOOKUP(C358,المستفيدين!$B:$F,5,FALSE)),"")</f>
        <v>مدرسة إرادة للتعليم (مكة)</v>
      </c>
      <c r="H358" s="24" t="s">
        <v>552</v>
      </c>
      <c r="I358" s="24" t="s">
        <v>555</v>
      </c>
      <c r="J358" s="24" t="s">
        <v>1</v>
      </c>
      <c r="K358" s="24" t="s">
        <v>9</v>
      </c>
      <c r="L358" s="25" t="s">
        <v>525</v>
      </c>
    </row>
    <row r="359" spans="1:12" x14ac:dyDescent="0.2">
      <c r="A359" s="21">
        <v>358</v>
      </c>
      <c r="B359" s="22">
        <v>45945</v>
      </c>
      <c r="C359" s="20">
        <v>1369201926</v>
      </c>
      <c r="D359" s="34" t="str">
        <f>IFERROR(IF(C359="","",VLOOKUP(C359,المستفيدين!$B:$C,2,FALSE)),"")</f>
        <v>مستفيد168</v>
      </c>
      <c r="E359" s="20" t="s">
        <v>158</v>
      </c>
      <c r="F359" s="34" t="str">
        <f>IFERROR(IF(E359="","",VLOOKUP(E359,الموظفين!$B:$C,2,FALSE)),"")</f>
        <v>موظف8</v>
      </c>
      <c r="G359" s="34" t="str">
        <f>IFERROR(IF(C359="","",VLOOKUP(C359,المستفيدين!$B:$F,5,FALSE)),"")</f>
        <v>مركز إرادة وتمكين لمتلازمة داون (نجد)</v>
      </c>
      <c r="H359" s="24" t="s">
        <v>553</v>
      </c>
      <c r="I359" s="20" t="s">
        <v>76</v>
      </c>
      <c r="J359" s="20" t="s">
        <v>0</v>
      </c>
      <c r="K359" s="20" t="s">
        <v>12</v>
      </c>
      <c r="L359" s="26" t="s">
        <v>526</v>
      </c>
    </row>
    <row r="360" spans="1:12" x14ac:dyDescent="0.2">
      <c r="A360" s="18">
        <v>359</v>
      </c>
      <c r="B360" s="19">
        <v>45945</v>
      </c>
      <c r="C360" s="20">
        <v>1069215057</v>
      </c>
      <c r="D360" s="34" t="str">
        <f>IFERROR(IF(C360="","",VLOOKUP(C360,المستفيدين!$B:$C,2,FALSE)),"")</f>
        <v>مستفيد183</v>
      </c>
      <c r="E360" s="24" t="s">
        <v>194</v>
      </c>
      <c r="F360" s="34" t="str">
        <f>IFERROR(IF(E360="","",VLOOKUP(E360,الموظفين!$B:$C,2,FALSE)),"")</f>
        <v>موظف26</v>
      </c>
      <c r="G360" s="34" t="str">
        <f>IFERROR(IF(C360="","",VLOOKUP(C360,المستفيدين!$B:$F,5,FALSE)),"")</f>
        <v>مركز إرادة وتمكين لرعاية ذوي الاحتياجات الخاصة (جلمودة)</v>
      </c>
      <c r="H360" s="24" t="s">
        <v>552</v>
      </c>
      <c r="I360" s="24" t="s">
        <v>80</v>
      </c>
      <c r="J360" s="24" t="s">
        <v>1</v>
      </c>
      <c r="K360" s="24" t="s">
        <v>10</v>
      </c>
      <c r="L360" s="25"/>
    </row>
    <row r="361" spans="1:12" x14ac:dyDescent="0.2">
      <c r="A361" s="21">
        <v>360</v>
      </c>
      <c r="B361" s="22">
        <v>45946</v>
      </c>
      <c r="C361" s="20">
        <v>1919727514</v>
      </c>
      <c r="D361" s="34" t="str">
        <f>IFERROR(IF(C361="","",VLOOKUP(C361,المستفيدين!$B:$C,2,FALSE)),"")</f>
        <v>مستفيد170</v>
      </c>
      <c r="E361" s="20" t="s">
        <v>222</v>
      </c>
      <c r="F361" s="34" t="str">
        <f>IFERROR(IF(E361="","",VLOOKUP(E361,الموظفين!$B:$C,2,FALSE)),"")</f>
        <v>موظف40</v>
      </c>
      <c r="G361" s="34" t="str">
        <f>IFERROR(IF(C361="","",VLOOKUP(C361,المستفيدين!$B:$F,5,FALSE)),"")</f>
        <v>مركز إرادة وتمكين لمتلازمة داون (نجد)</v>
      </c>
      <c r="H361" s="24" t="s">
        <v>553</v>
      </c>
      <c r="I361" s="20" t="s">
        <v>74</v>
      </c>
      <c r="J361" s="20" t="s">
        <v>0</v>
      </c>
      <c r="K361" s="20" t="s">
        <v>12</v>
      </c>
      <c r="L361" s="26"/>
    </row>
    <row r="362" spans="1:12" x14ac:dyDescent="0.2">
      <c r="A362" s="18">
        <v>361</v>
      </c>
      <c r="B362" s="19">
        <v>45947</v>
      </c>
      <c r="C362" s="20">
        <v>1519714037</v>
      </c>
      <c r="D362" s="34" t="str">
        <f>IFERROR(IF(C362="","",VLOOKUP(C362,المستفيدين!$B:$C,2,FALSE)),"")</f>
        <v>مستفيد74</v>
      </c>
      <c r="E362" s="24" t="s">
        <v>266</v>
      </c>
      <c r="F362" s="34" t="str">
        <f>IFERROR(IF(E362="","",VLOOKUP(E362,الموظفين!$B:$C,2,FALSE)),"")</f>
        <v>موظف62</v>
      </c>
      <c r="G362" s="34" t="str">
        <f>IFERROR(IF(C362="","",VLOOKUP(C362,المستفيدين!$B:$F,5,FALSE)),"")</f>
        <v>مركز إرادة وتمكين لرعاية ذوي الاحتياجات الخاصة (جلمودة)</v>
      </c>
      <c r="H362" s="24" t="s">
        <v>553</v>
      </c>
      <c r="I362" s="24" t="s">
        <v>78</v>
      </c>
      <c r="J362" s="24" t="s">
        <v>0</v>
      </c>
      <c r="K362" s="24" t="s">
        <v>10</v>
      </c>
      <c r="L362" s="25"/>
    </row>
    <row r="363" spans="1:12" x14ac:dyDescent="0.2">
      <c r="A363" s="21">
        <v>362</v>
      </c>
      <c r="B363" s="22">
        <v>45947</v>
      </c>
      <c r="C363" s="20">
        <v>1511480692</v>
      </c>
      <c r="D363" s="34" t="str">
        <f>IFERROR(IF(C363="","",VLOOKUP(C363,المستفيدين!$B:$C,2,FALSE)),"")</f>
        <v>مستفيد37</v>
      </c>
      <c r="E363" s="20" t="s">
        <v>254</v>
      </c>
      <c r="F363" s="34" t="str">
        <f>IFERROR(IF(E363="","",VLOOKUP(E363,الموظفين!$B:$C,2,FALSE)),"")</f>
        <v>موظف56</v>
      </c>
      <c r="G363" s="34" t="str">
        <f>IFERROR(IF(C363="","",VLOOKUP(C363,المستفيدين!$B:$F,5,FALSE)),"")</f>
        <v>مدرسة إرادة وتمكين لمتلازمة داون (نجد)</v>
      </c>
      <c r="H363" s="24" t="s">
        <v>553</v>
      </c>
      <c r="I363" s="20" t="s">
        <v>75</v>
      </c>
      <c r="J363" s="20" t="s">
        <v>0</v>
      </c>
      <c r="K363" s="20" t="s">
        <v>10</v>
      </c>
      <c r="L363" s="26"/>
    </row>
    <row r="364" spans="1:12" x14ac:dyDescent="0.2">
      <c r="A364" s="18">
        <v>363</v>
      </c>
      <c r="B364" s="19">
        <v>45947</v>
      </c>
      <c r="C364" s="20">
        <v>1750266812</v>
      </c>
      <c r="D364" s="34" t="str">
        <f>IFERROR(IF(C364="","",VLOOKUP(C364,المستفيدين!$B:$C,2,FALSE)),"")</f>
        <v>مستفيد145</v>
      </c>
      <c r="E364" s="24" t="s">
        <v>294</v>
      </c>
      <c r="F364" s="34" t="str">
        <f>IFERROR(IF(E364="","",VLOOKUP(E364,الموظفين!$B:$C,2,FALSE)),"")</f>
        <v>موظف76</v>
      </c>
      <c r="G364" s="34" t="str">
        <f>IFERROR(IF(C364="","",VLOOKUP(C364,المستفيدين!$B:$F,5,FALSE)),"")</f>
        <v>مدرسة إرادة وتمكين لمتلازمة داون (نجد)</v>
      </c>
      <c r="H364" s="24" t="s">
        <v>552</v>
      </c>
      <c r="I364" s="24" t="s">
        <v>81</v>
      </c>
      <c r="J364" s="24" t="s">
        <v>0</v>
      </c>
      <c r="K364" s="24" t="s">
        <v>9</v>
      </c>
      <c r="L364" s="25" t="s">
        <v>523</v>
      </c>
    </row>
    <row r="365" spans="1:12" x14ac:dyDescent="0.2">
      <c r="A365" s="21">
        <v>364</v>
      </c>
      <c r="B365" s="22">
        <v>45948</v>
      </c>
      <c r="C365" s="20">
        <v>1096348523</v>
      </c>
      <c r="D365" s="34" t="str">
        <f>IFERROR(IF(C365="","",VLOOKUP(C365,المستفيدين!$B:$C,2,FALSE)),"")</f>
        <v>مستفيد4</v>
      </c>
      <c r="E365" s="20" t="s">
        <v>166</v>
      </c>
      <c r="F365" s="34" t="str">
        <f>IFERROR(IF(E365="","",VLOOKUP(E365,الموظفين!$B:$C,2,FALSE)),"")</f>
        <v>موظف12</v>
      </c>
      <c r="G365" s="34" t="str">
        <f>IFERROR(IF(C365="","",VLOOKUP(C365,المستفيدين!$B:$F,5,FALSE)),"")</f>
        <v>مدرسة إرادة للتعليم (مكة)</v>
      </c>
      <c r="H365" s="24" t="s">
        <v>552</v>
      </c>
      <c r="I365" s="20" t="s">
        <v>81</v>
      </c>
      <c r="J365" s="20" t="s">
        <v>1</v>
      </c>
      <c r="K365" s="20" t="s">
        <v>12</v>
      </c>
      <c r="L365" s="26" t="s">
        <v>524</v>
      </c>
    </row>
    <row r="366" spans="1:12" x14ac:dyDescent="0.2">
      <c r="A366" s="18">
        <v>365</v>
      </c>
      <c r="B366" s="19">
        <v>45949</v>
      </c>
      <c r="C366" s="20">
        <v>1714015460</v>
      </c>
      <c r="D366" s="34" t="str">
        <f>IFERROR(IF(C366="","",VLOOKUP(C366,المستفيدين!$B:$C,2,FALSE)),"")</f>
        <v>مستفيد151</v>
      </c>
      <c r="E366" s="24" t="s">
        <v>194</v>
      </c>
      <c r="F366" s="34" t="str">
        <f>IFERROR(IF(E366="","",VLOOKUP(E366,الموظفين!$B:$C,2,FALSE)),"")</f>
        <v>موظف26</v>
      </c>
      <c r="G366" s="34" t="str">
        <f>IFERROR(IF(C366="","",VLOOKUP(C366,المستفيدين!$B:$F,5,FALSE)),"")</f>
        <v>مركز إرادة وتمكين للرعاية النهارية (القدس)</v>
      </c>
      <c r="H366" s="24" t="s">
        <v>552</v>
      </c>
      <c r="I366" s="24" t="s">
        <v>80</v>
      </c>
      <c r="J366" s="24" t="s">
        <v>1</v>
      </c>
      <c r="K366" s="24" t="s">
        <v>9</v>
      </c>
      <c r="L366" s="25"/>
    </row>
    <row r="367" spans="1:12" x14ac:dyDescent="0.2">
      <c r="A367" s="21">
        <v>366</v>
      </c>
      <c r="B367" s="22">
        <v>45950</v>
      </c>
      <c r="C367" s="20">
        <v>1225270924</v>
      </c>
      <c r="D367" s="34" t="str">
        <f>IFERROR(IF(C367="","",VLOOKUP(C367,المستفيدين!$B:$C,2,FALSE)),"")</f>
        <v>مستفيد191</v>
      </c>
      <c r="E367" s="20" t="s">
        <v>328</v>
      </c>
      <c r="F367" s="34" t="str">
        <f>IFERROR(IF(E367="","",VLOOKUP(E367,الموظفين!$B:$C,2,FALSE)),"")</f>
        <v>موظف93</v>
      </c>
      <c r="G367" s="34" t="str">
        <f>IFERROR(IF(C367="","",VLOOKUP(C367,المستفيدين!$B:$F,5,FALSE)),"")</f>
        <v>مدرسة إرادة وتمكين لمتلازمة داون (نجد)</v>
      </c>
      <c r="H367" s="24" t="s">
        <v>553</v>
      </c>
      <c r="I367" s="20" t="s">
        <v>77</v>
      </c>
      <c r="J367" s="20" t="s">
        <v>0</v>
      </c>
      <c r="K367" s="20" t="s">
        <v>9</v>
      </c>
      <c r="L367" s="26" t="s">
        <v>524</v>
      </c>
    </row>
    <row r="368" spans="1:12" x14ac:dyDescent="0.2">
      <c r="A368" s="18">
        <v>367</v>
      </c>
      <c r="B368" s="19">
        <v>45951</v>
      </c>
      <c r="C368" s="20">
        <v>1690864686</v>
      </c>
      <c r="D368" s="34" t="str">
        <f>IFERROR(IF(C368="","",VLOOKUP(C368,المستفيدين!$B:$C,2,FALSE)),"")</f>
        <v>مستفيد141</v>
      </c>
      <c r="E368" s="24" t="s">
        <v>168</v>
      </c>
      <c r="F368" s="34" t="str">
        <f>IFERROR(IF(E368="","",VLOOKUP(E368,الموظفين!$B:$C,2,FALSE)),"")</f>
        <v>موظف13</v>
      </c>
      <c r="G368" s="34" t="str">
        <f>IFERROR(IF(C368="","",VLOOKUP(C368,المستفيدين!$B:$F,5,FALSE)),"")</f>
        <v>مدرسة إرادة وتمكين لمتلازمة داون (نجد)</v>
      </c>
      <c r="H368" s="24" t="s">
        <v>553</v>
      </c>
      <c r="I368" s="24" t="s">
        <v>76</v>
      </c>
      <c r="J368" s="24" t="s">
        <v>0</v>
      </c>
      <c r="K368" s="24" t="s">
        <v>9</v>
      </c>
      <c r="L368" s="25"/>
    </row>
    <row r="369" spans="1:12" x14ac:dyDescent="0.2">
      <c r="A369" s="21">
        <v>368</v>
      </c>
      <c r="B369" s="22">
        <v>45952</v>
      </c>
      <c r="C369" s="20">
        <v>1371671971</v>
      </c>
      <c r="D369" s="34" t="str">
        <f>IFERROR(IF(C369="","",VLOOKUP(C369,المستفيدين!$B:$C,2,FALSE)),"")</f>
        <v>مستفيد91</v>
      </c>
      <c r="E369" s="20" t="s">
        <v>222</v>
      </c>
      <c r="F369" s="34" t="str">
        <f>IFERROR(IF(E369="","",VLOOKUP(E369,الموظفين!$B:$C,2,FALSE)),"")</f>
        <v>موظف40</v>
      </c>
      <c r="G369" s="34" t="str">
        <f>IFERROR(IF(C369="","",VLOOKUP(C369,المستفيدين!$B:$F,5,FALSE)),"")</f>
        <v>مركز إرادة وتمكين لرعاية ذوي الاحتياجات الخاصة (جلمودة)</v>
      </c>
      <c r="H369" s="24" t="s">
        <v>553</v>
      </c>
      <c r="I369" s="20" t="s">
        <v>74</v>
      </c>
      <c r="J369" s="20" t="s">
        <v>0</v>
      </c>
      <c r="K369" s="20" t="s">
        <v>11</v>
      </c>
      <c r="L369" s="26"/>
    </row>
    <row r="370" spans="1:12" x14ac:dyDescent="0.2">
      <c r="A370" s="18">
        <v>369</v>
      </c>
      <c r="B370" s="19">
        <v>45953</v>
      </c>
      <c r="C370" s="20">
        <v>1369869858</v>
      </c>
      <c r="D370" s="34" t="str">
        <f>IFERROR(IF(C370="","",VLOOKUP(C370,المستفيدين!$B:$C,2,FALSE)),"")</f>
        <v>مستفيد55</v>
      </c>
      <c r="E370" s="24" t="s">
        <v>268</v>
      </c>
      <c r="F370" s="34" t="str">
        <f>IFERROR(IF(E370="","",VLOOKUP(E370,الموظفين!$B:$C,2,FALSE)),"")</f>
        <v>موظف63</v>
      </c>
      <c r="G370" s="34" t="str">
        <f>IFERROR(IF(C370="","",VLOOKUP(C370,المستفيدين!$B:$F,5,FALSE)),"")</f>
        <v>مدرسة إرادة للتعليم (مكة)</v>
      </c>
      <c r="H370" s="24" t="s">
        <v>553</v>
      </c>
      <c r="I370" s="24" t="s">
        <v>77</v>
      </c>
      <c r="J370" s="24" t="s">
        <v>0</v>
      </c>
      <c r="K370" s="24" t="s">
        <v>9</v>
      </c>
      <c r="L370" s="25" t="s">
        <v>523</v>
      </c>
    </row>
    <row r="371" spans="1:12" x14ac:dyDescent="0.2">
      <c r="A371" s="21">
        <v>370</v>
      </c>
      <c r="B371" s="22">
        <v>45955</v>
      </c>
      <c r="C371" s="20">
        <v>1239970649</v>
      </c>
      <c r="D371" s="34" t="str">
        <f>IFERROR(IF(C371="","",VLOOKUP(C371,المستفيدين!$B:$C,2,FALSE)),"")</f>
        <v>مستفيد87</v>
      </c>
      <c r="E371" s="20" t="s">
        <v>206</v>
      </c>
      <c r="F371" s="34" t="str">
        <f>IFERROR(IF(E371="","",VLOOKUP(E371,الموظفين!$B:$C,2,FALSE)),"")</f>
        <v>موظف32</v>
      </c>
      <c r="G371" s="34" t="str">
        <f>IFERROR(IF(C371="","",VLOOKUP(C371,المستفيدين!$B:$F,5,FALSE)),"")</f>
        <v>مدرسة إرادة للتعليم (مكة)</v>
      </c>
      <c r="H371" s="24" t="s">
        <v>552</v>
      </c>
      <c r="I371" s="20" t="s">
        <v>556</v>
      </c>
      <c r="J371" s="20" t="s">
        <v>1</v>
      </c>
      <c r="K371" s="20" t="s">
        <v>12</v>
      </c>
      <c r="L371" s="26" t="s">
        <v>526</v>
      </c>
    </row>
    <row r="372" spans="1:12" x14ac:dyDescent="0.2">
      <c r="A372" s="18">
        <v>371</v>
      </c>
      <c r="B372" s="19">
        <v>45957</v>
      </c>
      <c r="C372" s="20">
        <v>1714015460</v>
      </c>
      <c r="D372" s="34" t="str">
        <f>IFERROR(IF(C372="","",VLOOKUP(C372,المستفيدين!$B:$C,2,FALSE)),"")</f>
        <v>مستفيد151</v>
      </c>
      <c r="E372" s="24" t="s">
        <v>316</v>
      </c>
      <c r="F372" s="34" t="str">
        <f>IFERROR(IF(E372="","",VLOOKUP(E372,الموظفين!$B:$C,2,FALSE)),"")</f>
        <v>موظف87</v>
      </c>
      <c r="G372" s="34" t="str">
        <f>IFERROR(IF(C372="","",VLOOKUP(C372,المستفيدين!$B:$F,5,FALSE)),"")</f>
        <v>مركز إرادة وتمكين للرعاية النهارية (القدس)</v>
      </c>
      <c r="H372" s="24" t="s">
        <v>552</v>
      </c>
      <c r="I372" s="24" t="s">
        <v>81</v>
      </c>
      <c r="J372" s="24" t="s">
        <v>0</v>
      </c>
      <c r="K372" s="24" t="s">
        <v>9</v>
      </c>
      <c r="L372" s="25" t="s">
        <v>524</v>
      </c>
    </row>
    <row r="373" spans="1:12" x14ac:dyDescent="0.2">
      <c r="A373" s="21">
        <v>372</v>
      </c>
      <c r="B373" s="22">
        <v>45957</v>
      </c>
      <c r="C373" s="20">
        <v>1998973443</v>
      </c>
      <c r="D373" s="34" t="str">
        <f>IFERROR(IF(C373="","",VLOOKUP(C373,المستفيدين!$B:$C,2,FALSE)),"")</f>
        <v>مستفيد28</v>
      </c>
      <c r="E373" s="20" t="s">
        <v>200</v>
      </c>
      <c r="F373" s="34" t="str">
        <f>IFERROR(IF(E373="","",VLOOKUP(E373,الموظفين!$B:$C,2,FALSE)),"")</f>
        <v>موظف29</v>
      </c>
      <c r="G373" s="34" t="str">
        <f>IFERROR(IF(C373="","",VLOOKUP(C373,المستفيدين!$B:$F,5,FALSE)),"")</f>
        <v>مدرسة إرادة وتمكين لمتلازمة داون (نجد)</v>
      </c>
      <c r="H373" s="24" t="s">
        <v>552</v>
      </c>
      <c r="I373" s="20" t="s">
        <v>555</v>
      </c>
      <c r="J373" s="20" t="s">
        <v>0</v>
      </c>
      <c r="K373" s="20" t="s">
        <v>9</v>
      </c>
      <c r="L373" s="26" t="s">
        <v>525</v>
      </c>
    </row>
    <row r="374" spans="1:12" x14ac:dyDescent="0.2">
      <c r="A374" s="18">
        <v>373</v>
      </c>
      <c r="B374" s="19">
        <v>45957</v>
      </c>
      <c r="C374" s="20">
        <v>1049921311</v>
      </c>
      <c r="D374" s="34" t="str">
        <f>IFERROR(IF(C374="","",VLOOKUP(C374,المستفيدين!$B:$C,2,FALSE)),"")</f>
        <v>مستفيد133</v>
      </c>
      <c r="E374" s="24" t="s">
        <v>180</v>
      </c>
      <c r="F374" s="34" t="str">
        <f>IFERROR(IF(E374="","",VLOOKUP(E374,الموظفين!$B:$C,2,FALSE)),"")</f>
        <v>موظف19</v>
      </c>
      <c r="G374" s="34" t="str">
        <f>IFERROR(IF(C374="","",VLOOKUP(C374,المستفيدين!$B:$F,5,FALSE)),"")</f>
        <v>مدرسة إرادة للتعليم (مكة)</v>
      </c>
      <c r="H374" s="24" t="s">
        <v>553</v>
      </c>
      <c r="I374" s="24" t="s">
        <v>77</v>
      </c>
      <c r="J374" s="24" t="s">
        <v>1</v>
      </c>
      <c r="K374" s="24" t="s">
        <v>10</v>
      </c>
      <c r="L374" s="25"/>
    </row>
    <row r="375" spans="1:12" x14ac:dyDescent="0.2">
      <c r="A375" s="21">
        <v>374</v>
      </c>
      <c r="B375" s="22">
        <v>45957</v>
      </c>
      <c r="C375" s="20">
        <v>1614242749</v>
      </c>
      <c r="D375" s="34" t="str">
        <f>IFERROR(IF(C375="","",VLOOKUP(C375,المستفيدين!$B:$C,2,FALSE)),"")</f>
        <v>مستفيد114</v>
      </c>
      <c r="E375" s="20" t="s">
        <v>308</v>
      </c>
      <c r="F375" s="34" t="str">
        <f>IFERROR(IF(E375="","",VLOOKUP(E375,الموظفين!$B:$C,2,FALSE)),"")</f>
        <v>موظف83</v>
      </c>
      <c r="G375" s="34" t="str">
        <f>IFERROR(IF(C375="","",VLOOKUP(C375,المستفيدين!$B:$F,5,FALSE)),"")</f>
        <v>مدرسة إرادة للتعليم (مكة)</v>
      </c>
      <c r="H375" s="24" t="s">
        <v>553</v>
      </c>
      <c r="I375" s="20" t="s">
        <v>77</v>
      </c>
      <c r="J375" s="20" t="s">
        <v>0</v>
      </c>
      <c r="K375" s="20" t="s">
        <v>12</v>
      </c>
      <c r="L375" s="26"/>
    </row>
    <row r="376" spans="1:12" x14ac:dyDescent="0.2">
      <c r="A376" s="18">
        <v>375</v>
      </c>
      <c r="B376" s="19">
        <v>45967</v>
      </c>
      <c r="C376" s="20">
        <v>1883810977</v>
      </c>
      <c r="D376" s="34" t="str">
        <f>IFERROR(IF(C376="","",VLOOKUP(C376,المستفيدين!$B:$C,2,FALSE)),"")</f>
        <v>مستفيد139</v>
      </c>
      <c r="E376" s="24" t="s">
        <v>272</v>
      </c>
      <c r="F376" s="34" t="str">
        <f>IFERROR(IF(E376="","",VLOOKUP(E376,الموظفين!$B:$C,2,FALSE)),"")</f>
        <v>موظف65</v>
      </c>
      <c r="G376" s="34" t="str">
        <f>IFERROR(IF(C376="","",VLOOKUP(C376,المستفيدين!$B:$F,5,FALSE)),"")</f>
        <v>مدرسة إرادة وتمكين لمتلازمة داون (نجد)</v>
      </c>
      <c r="H376" s="24" t="s">
        <v>553</v>
      </c>
      <c r="I376" s="24" t="s">
        <v>78</v>
      </c>
      <c r="J376" s="24" t="s">
        <v>1</v>
      </c>
      <c r="K376" s="24" t="s">
        <v>9</v>
      </c>
      <c r="L376" s="25" t="s">
        <v>523</v>
      </c>
    </row>
    <row r="377" spans="1:12" x14ac:dyDescent="0.2">
      <c r="A377" s="21">
        <v>376</v>
      </c>
      <c r="B377" s="22">
        <v>45969</v>
      </c>
      <c r="C377" s="20">
        <v>1228939605</v>
      </c>
      <c r="D377" s="34" t="str">
        <f>IFERROR(IF(C377="","",VLOOKUP(C377,المستفيدين!$B:$C,2,FALSE)),"")</f>
        <v>مستفيد54</v>
      </c>
      <c r="E377" s="20" t="s">
        <v>218</v>
      </c>
      <c r="F377" s="34" t="str">
        <f>IFERROR(IF(E377="","",VLOOKUP(E377,الموظفين!$B:$C,2,FALSE)),"")</f>
        <v>موظف38</v>
      </c>
      <c r="G377" s="34" t="str">
        <f>IFERROR(IF(C377="","",VLOOKUP(C377,المستفيدين!$B:$F,5,FALSE)),"")</f>
        <v>مدرسة إرادة للتعليم (مكة)</v>
      </c>
      <c r="H377" s="24" t="s">
        <v>553</v>
      </c>
      <c r="I377" s="20" t="s">
        <v>75</v>
      </c>
      <c r="J377" s="20" t="s">
        <v>1</v>
      </c>
      <c r="K377" s="20" t="s">
        <v>9</v>
      </c>
      <c r="L377" s="26"/>
    </row>
    <row r="378" spans="1:12" x14ac:dyDescent="0.2">
      <c r="A378" s="18">
        <v>377</v>
      </c>
      <c r="B378" s="19">
        <v>45970</v>
      </c>
      <c r="C378" s="20">
        <v>1635473065</v>
      </c>
      <c r="D378" s="34" t="str">
        <f>IFERROR(IF(C378="","",VLOOKUP(C378,المستفيدين!$B:$C,2,FALSE)),"")</f>
        <v>مستفيد98</v>
      </c>
      <c r="E378" s="24" t="s">
        <v>332</v>
      </c>
      <c r="F378" s="34" t="str">
        <f>IFERROR(IF(E378="","",VLOOKUP(E378,الموظفين!$B:$C,2,FALSE)),"")</f>
        <v>موظف95</v>
      </c>
      <c r="G378" s="34" t="str">
        <f>IFERROR(IF(C378="","",VLOOKUP(C378,المستفيدين!$B:$F,5,FALSE)),"")</f>
        <v>مدرسة إرادة وتمكين لمتلازمة داون (نجد)</v>
      </c>
      <c r="H378" s="24" t="s">
        <v>553</v>
      </c>
      <c r="I378" s="24" t="s">
        <v>76</v>
      </c>
      <c r="J378" s="24" t="s">
        <v>0</v>
      </c>
      <c r="K378" s="24" t="s">
        <v>9</v>
      </c>
      <c r="L378" s="25"/>
    </row>
    <row r="379" spans="1:12" x14ac:dyDescent="0.2">
      <c r="A379" s="21">
        <v>378</v>
      </c>
      <c r="B379" s="22">
        <v>45970</v>
      </c>
      <c r="C379" s="20">
        <v>1489760898</v>
      </c>
      <c r="D379" s="34" t="str">
        <f>IFERROR(IF(C379="","",VLOOKUP(C379,المستفيدين!$B:$C,2,FALSE)),"")</f>
        <v>مستفيد172</v>
      </c>
      <c r="E379" s="20" t="s">
        <v>294</v>
      </c>
      <c r="F379" s="34" t="str">
        <f>IFERROR(IF(E379="","",VLOOKUP(E379,الموظفين!$B:$C,2,FALSE)),"")</f>
        <v>موظف76</v>
      </c>
      <c r="G379" s="34" t="str">
        <f>IFERROR(IF(C379="","",VLOOKUP(C379,المستفيدين!$B:$F,5,FALSE)),"")</f>
        <v>مدرسة إرادة وتمكين لمتلازمة داون (نجد)</v>
      </c>
      <c r="H379" s="24" t="s">
        <v>552</v>
      </c>
      <c r="I379" s="20" t="s">
        <v>81</v>
      </c>
      <c r="J379" s="20" t="s">
        <v>0</v>
      </c>
      <c r="K379" s="20" t="s">
        <v>9</v>
      </c>
      <c r="L379" s="26" t="s">
        <v>525</v>
      </c>
    </row>
    <row r="380" spans="1:12" x14ac:dyDescent="0.2">
      <c r="A380" s="18">
        <v>379</v>
      </c>
      <c r="B380" s="19">
        <v>45973</v>
      </c>
      <c r="C380" s="20">
        <v>1296378535</v>
      </c>
      <c r="D380" s="34" t="str">
        <f>IFERROR(IF(C380="","",VLOOKUP(C380,المستفيدين!$B:$C,2,FALSE)),"")</f>
        <v>مستفيد156</v>
      </c>
      <c r="E380" s="24" t="s">
        <v>274</v>
      </c>
      <c r="F380" s="34" t="str">
        <f>IFERROR(IF(E380="","",VLOOKUP(E380,الموظفين!$B:$C,2,FALSE)),"")</f>
        <v>موظف66</v>
      </c>
      <c r="G380" s="34" t="str">
        <f>IFERROR(IF(C380="","",VLOOKUP(C380,المستفيدين!$B:$F,5,FALSE)),"")</f>
        <v>مركز إرادة وتمكين لمتلازمة داون (نجد)</v>
      </c>
      <c r="H380" s="24" t="s">
        <v>553</v>
      </c>
      <c r="I380" s="24" t="s">
        <v>74</v>
      </c>
      <c r="J380" s="24" t="s">
        <v>1</v>
      </c>
      <c r="K380" s="24" t="s">
        <v>10</v>
      </c>
      <c r="L380" s="25"/>
    </row>
    <row r="381" spans="1:12" x14ac:dyDescent="0.2">
      <c r="A381" s="21">
        <v>380</v>
      </c>
      <c r="B381" s="22">
        <v>45974</v>
      </c>
      <c r="C381" s="20">
        <v>1777789161</v>
      </c>
      <c r="D381" s="34" t="str">
        <f>IFERROR(IF(C381="","",VLOOKUP(C381,المستفيدين!$B:$C,2,FALSE)),"")</f>
        <v>مستفيد12</v>
      </c>
      <c r="E381" s="20" t="s">
        <v>164</v>
      </c>
      <c r="F381" s="34" t="str">
        <f>IFERROR(IF(E381="","",VLOOKUP(E381,الموظفين!$B:$C,2,FALSE)),"")</f>
        <v>موظف11</v>
      </c>
      <c r="G381" s="34" t="str">
        <f>IFERROR(IF(C381="","",VLOOKUP(C381,المستفيدين!$B:$F,5,FALSE)),"")</f>
        <v>مدرسة إرادة للتعليم (مكة)</v>
      </c>
      <c r="H381" s="24" t="s">
        <v>552</v>
      </c>
      <c r="I381" s="20" t="s">
        <v>81</v>
      </c>
      <c r="J381" s="20" t="s">
        <v>1</v>
      </c>
      <c r="K381" s="20" t="s">
        <v>9</v>
      </c>
      <c r="L381" s="26" t="s">
        <v>51</v>
      </c>
    </row>
    <row r="382" spans="1:12" x14ac:dyDescent="0.2">
      <c r="A382" s="18">
        <v>381</v>
      </c>
      <c r="B382" s="19">
        <v>45974</v>
      </c>
      <c r="C382" s="20">
        <v>1923240565</v>
      </c>
      <c r="D382" s="34" t="str">
        <f>IFERROR(IF(C382="","",VLOOKUP(C382,المستفيدين!$B:$C,2,FALSE)),"")</f>
        <v>مستفيد185</v>
      </c>
      <c r="E382" s="24" t="s">
        <v>222</v>
      </c>
      <c r="F382" s="34" t="str">
        <f>IFERROR(IF(E382="","",VLOOKUP(E382,الموظفين!$B:$C,2,FALSE)),"")</f>
        <v>موظف40</v>
      </c>
      <c r="G382" s="34" t="str">
        <f>IFERROR(IF(C382="","",VLOOKUP(C382,المستفيدين!$B:$F,5,FALSE)),"")</f>
        <v>مدرسة إرادة وتمكين لمتلازمة داون (نجد)</v>
      </c>
      <c r="H382" s="24" t="s">
        <v>553</v>
      </c>
      <c r="I382" s="24" t="s">
        <v>74</v>
      </c>
      <c r="J382" s="24" t="s">
        <v>0</v>
      </c>
      <c r="K382" s="24" t="s">
        <v>9</v>
      </c>
      <c r="L382" s="25" t="s">
        <v>526</v>
      </c>
    </row>
    <row r="383" spans="1:12" x14ac:dyDescent="0.2">
      <c r="A383" s="21">
        <v>382</v>
      </c>
      <c r="B383" s="22">
        <v>45976</v>
      </c>
      <c r="C383" s="20">
        <v>1618104695</v>
      </c>
      <c r="D383" s="34" t="str">
        <f>IFERROR(IF(C383="","",VLOOKUP(C383,المستفيدين!$B:$C,2,FALSE)),"")</f>
        <v>مستفيد36</v>
      </c>
      <c r="E383" s="20" t="s">
        <v>172</v>
      </c>
      <c r="F383" s="34" t="str">
        <f>IFERROR(IF(E383="","",VLOOKUP(E383,الموظفين!$B:$C,2,FALSE)),"")</f>
        <v>موظف15</v>
      </c>
      <c r="G383" s="34" t="str">
        <f>IFERROR(IF(C383="","",VLOOKUP(C383,المستفيدين!$B:$F,5,FALSE)),"")</f>
        <v>مدرسة إرادة وتمكين لمتلازمة داون (نجد)</v>
      </c>
      <c r="H383" s="24" t="s">
        <v>553</v>
      </c>
      <c r="I383" s="20" t="s">
        <v>78</v>
      </c>
      <c r="J383" s="20" t="s">
        <v>1</v>
      </c>
      <c r="K383" s="20" t="s">
        <v>11</v>
      </c>
      <c r="L383" s="26" t="s">
        <v>525</v>
      </c>
    </row>
    <row r="384" spans="1:12" x14ac:dyDescent="0.2">
      <c r="A384" s="18">
        <v>383</v>
      </c>
      <c r="B384" s="19">
        <v>45976</v>
      </c>
      <c r="C384" s="20">
        <v>1049921311</v>
      </c>
      <c r="D384" s="34" t="str">
        <f>IFERROR(IF(C384="","",VLOOKUP(C384,المستفيدين!$B:$C,2,FALSE)),"")</f>
        <v>مستفيد133</v>
      </c>
      <c r="E384" s="24" t="s">
        <v>150</v>
      </c>
      <c r="F384" s="34" t="str">
        <f>IFERROR(IF(E384="","",VLOOKUP(E384,الموظفين!$B:$C,2,FALSE)),"")</f>
        <v>موظف4</v>
      </c>
      <c r="G384" s="34" t="str">
        <f>IFERROR(IF(C384="","",VLOOKUP(C384,المستفيدين!$B:$F,5,FALSE)),"")</f>
        <v>مدرسة إرادة للتعليم (مكة)</v>
      </c>
      <c r="H384" s="24" t="s">
        <v>553</v>
      </c>
      <c r="I384" s="24" t="s">
        <v>77</v>
      </c>
      <c r="J384" s="24" t="s">
        <v>0</v>
      </c>
      <c r="K384" s="24" t="s">
        <v>9</v>
      </c>
      <c r="L384" s="25" t="s">
        <v>51</v>
      </c>
    </row>
    <row r="385" spans="1:12" x14ac:dyDescent="0.2">
      <c r="A385" s="21">
        <v>384</v>
      </c>
      <c r="B385" s="22">
        <v>45977</v>
      </c>
      <c r="C385" s="20">
        <v>1905329493</v>
      </c>
      <c r="D385" s="34" t="str">
        <f>IFERROR(IF(C385="","",VLOOKUP(C385,المستفيدين!$B:$C,2,FALSE)),"")</f>
        <v>مستفيد155</v>
      </c>
      <c r="E385" s="20" t="s">
        <v>252</v>
      </c>
      <c r="F385" s="34" t="str">
        <f>IFERROR(IF(E385="","",VLOOKUP(E385,الموظفين!$B:$C,2,FALSE)),"")</f>
        <v>موظف55</v>
      </c>
      <c r="G385" s="34" t="str">
        <f>IFERROR(IF(C385="","",VLOOKUP(C385,المستفيدين!$B:$F,5,FALSE)),"")</f>
        <v>مركز إرادة وتمكين للرعاية النهارية (القدس)</v>
      </c>
      <c r="H385" s="24" t="s">
        <v>553</v>
      </c>
      <c r="I385" s="20" t="s">
        <v>77</v>
      </c>
      <c r="J385" s="20" t="s">
        <v>1</v>
      </c>
      <c r="K385" s="20" t="s">
        <v>12</v>
      </c>
      <c r="L385" s="26"/>
    </row>
    <row r="386" spans="1:12" x14ac:dyDescent="0.2">
      <c r="A386" s="18">
        <v>385</v>
      </c>
      <c r="B386" s="19">
        <v>45977</v>
      </c>
      <c r="C386" s="20">
        <v>1762847665</v>
      </c>
      <c r="D386" s="34" t="str">
        <f>IFERROR(IF(C386="","",VLOOKUP(C386,المستفيدين!$B:$C,2,FALSE)),"")</f>
        <v>مستفيد138</v>
      </c>
      <c r="E386" s="24" t="s">
        <v>190</v>
      </c>
      <c r="F386" s="34" t="str">
        <f>IFERROR(IF(E386="","",VLOOKUP(E386,الموظفين!$B:$C,2,FALSE)),"")</f>
        <v>موظف24</v>
      </c>
      <c r="G386" s="34" t="str">
        <f>IFERROR(IF(C386="","",VLOOKUP(C386,المستفيدين!$B:$F,5,FALSE)),"")</f>
        <v>مدرسة إرادة وتمكين لمتلازمة داون (نجد)</v>
      </c>
      <c r="H386" s="24" t="s">
        <v>552</v>
      </c>
      <c r="I386" s="24" t="s">
        <v>555</v>
      </c>
      <c r="J386" s="24" t="s">
        <v>0</v>
      </c>
      <c r="K386" s="24" t="s">
        <v>12</v>
      </c>
      <c r="L386" s="25" t="s">
        <v>51</v>
      </c>
    </row>
    <row r="387" spans="1:12" x14ac:dyDescent="0.2">
      <c r="A387" s="21">
        <v>386</v>
      </c>
      <c r="B387" s="22">
        <v>45977</v>
      </c>
      <c r="C387" s="20">
        <v>1611059558</v>
      </c>
      <c r="D387" s="34" t="str">
        <f>IFERROR(IF(C387="","",VLOOKUP(C387,المستفيدين!$B:$C,2,FALSE)),"")</f>
        <v>مستفيد22</v>
      </c>
      <c r="E387" s="20" t="s">
        <v>326</v>
      </c>
      <c r="F387" s="34" t="str">
        <f>IFERROR(IF(E387="","",VLOOKUP(E387,الموظفين!$B:$C,2,FALSE)),"")</f>
        <v>موظف92</v>
      </c>
      <c r="G387" s="34" t="str">
        <f>IFERROR(IF(C387="","",VLOOKUP(C387,المستفيدين!$B:$F,5,FALSE)),"")</f>
        <v>مركز إرادة وتمكين لمتلازمة داون (نجد)</v>
      </c>
      <c r="H387" s="24" t="s">
        <v>553</v>
      </c>
      <c r="I387" s="20" t="s">
        <v>79</v>
      </c>
      <c r="J387" s="20" t="s">
        <v>0</v>
      </c>
      <c r="K387" s="20" t="s">
        <v>9</v>
      </c>
      <c r="L387" s="26" t="s">
        <v>523</v>
      </c>
    </row>
    <row r="388" spans="1:12" x14ac:dyDescent="0.2">
      <c r="A388" s="18">
        <v>387</v>
      </c>
      <c r="B388" s="19">
        <v>45979</v>
      </c>
      <c r="C388" s="20">
        <v>1369869858</v>
      </c>
      <c r="D388" s="34" t="str">
        <f>IFERROR(IF(C388="","",VLOOKUP(C388,المستفيدين!$B:$C,2,FALSE)),"")</f>
        <v>مستفيد55</v>
      </c>
      <c r="E388" s="24" t="s">
        <v>172</v>
      </c>
      <c r="F388" s="34" t="str">
        <f>IFERROR(IF(E388="","",VLOOKUP(E388,الموظفين!$B:$C,2,FALSE)),"")</f>
        <v>موظف15</v>
      </c>
      <c r="G388" s="34" t="str">
        <f>IFERROR(IF(C388="","",VLOOKUP(C388,المستفيدين!$B:$F,5,FALSE)),"")</f>
        <v>مدرسة إرادة للتعليم (مكة)</v>
      </c>
      <c r="H388" s="24" t="s">
        <v>553</v>
      </c>
      <c r="I388" s="24" t="s">
        <v>78</v>
      </c>
      <c r="J388" s="24" t="s">
        <v>1</v>
      </c>
      <c r="K388" s="24" t="s">
        <v>9</v>
      </c>
      <c r="L388" s="25" t="s">
        <v>526</v>
      </c>
    </row>
    <row r="389" spans="1:12" x14ac:dyDescent="0.2">
      <c r="A389" s="21">
        <v>388</v>
      </c>
      <c r="B389" s="22">
        <v>45980</v>
      </c>
      <c r="C389" s="20">
        <v>1062866233</v>
      </c>
      <c r="D389" s="34" t="str">
        <f>IFERROR(IF(C389="","",VLOOKUP(C389,المستفيدين!$B:$C,2,FALSE)),"")</f>
        <v>مستفيد71</v>
      </c>
      <c r="E389" s="20" t="s">
        <v>214</v>
      </c>
      <c r="F389" s="34" t="str">
        <f>IFERROR(IF(E389="","",VLOOKUP(E389,الموظفين!$B:$C,2,FALSE)),"")</f>
        <v>موظف36</v>
      </c>
      <c r="G389" s="34" t="str">
        <f>IFERROR(IF(C389="","",VLOOKUP(C389,المستفيدين!$B:$F,5,FALSE)),"")</f>
        <v>مركز إرادة وتمكين لرعاية ذوي الاحتياجات الخاصة (جلمودة)</v>
      </c>
      <c r="H389" s="24" t="s">
        <v>553</v>
      </c>
      <c r="I389" s="20" t="s">
        <v>78</v>
      </c>
      <c r="J389" s="20" t="s">
        <v>1</v>
      </c>
      <c r="K389" s="20" t="s">
        <v>9</v>
      </c>
      <c r="L389" s="26" t="s">
        <v>526</v>
      </c>
    </row>
    <row r="390" spans="1:12" x14ac:dyDescent="0.2">
      <c r="A390" s="18">
        <v>389</v>
      </c>
      <c r="B390" s="19">
        <v>45982</v>
      </c>
      <c r="C390" s="20">
        <v>1548238329</v>
      </c>
      <c r="D390" s="34" t="str">
        <f>IFERROR(IF(C390="","",VLOOKUP(C390,المستفيدين!$B:$C,2,FALSE)),"")</f>
        <v>مستفيد178</v>
      </c>
      <c r="E390" s="24" t="s">
        <v>206</v>
      </c>
      <c r="F390" s="34" t="str">
        <f>IFERROR(IF(E390="","",VLOOKUP(E390,الموظفين!$B:$C,2,FALSE)),"")</f>
        <v>موظف32</v>
      </c>
      <c r="G390" s="34" t="str">
        <f>IFERROR(IF(C390="","",VLOOKUP(C390,المستفيدين!$B:$F,5,FALSE)),"")</f>
        <v>مركز إرادة وتمكين لمتلازمة داون (نجد)</v>
      </c>
      <c r="H390" s="24" t="s">
        <v>552</v>
      </c>
      <c r="I390" s="24" t="s">
        <v>555</v>
      </c>
      <c r="J390" s="24" t="s">
        <v>1</v>
      </c>
      <c r="K390" s="24" t="s">
        <v>9</v>
      </c>
      <c r="L390" s="25" t="s">
        <v>523</v>
      </c>
    </row>
    <row r="391" spans="1:12" x14ac:dyDescent="0.2">
      <c r="A391" s="21">
        <v>390</v>
      </c>
      <c r="B391" s="22">
        <v>45984</v>
      </c>
      <c r="C391" s="20">
        <v>1723683973</v>
      </c>
      <c r="D391" s="34" t="str">
        <f>IFERROR(IF(C391="","",VLOOKUP(C391,المستفيدين!$B:$C,2,FALSE)),"")</f>
        <v>مستفيد152</v>
      </c>
      <c r="E391" s="20" t="s">
        <v>292</v>
      </c>
      <c r="F391" s="34" t="str">
        <f>IFERROR(IF(E391="","",VLOOKUP(E391,الموظفين!$B:$C,2,FALSE)),"")</f>
        <v>موظف75</v>
      </c>
      <c r="G391" s="34" t="str">
        <f>IFERROR(IF(C391="","",VLOOKUP(C391,المستفيدين!$B:$F,5,FALSE)),"")</f>
        <v>مركز إرادة وتمكين لمتلازمة داون (نجد)</v>
      </c>
      <c r="H391" s="24" t="s">
        <v>553</v>
      </c>
      <c r="I391" s="20" t="s">
        <v>75</v>
      </c>
      <c r="J391" s="20" t="s">
        <v>1</v>
      </c>
      <c r="K391" s="20" t="s">
        <v>12</v>
      </c>
      <c r="L391" s="26" t="s">
        <v>51</v>
      </c>
    </row>
    <row r="392" spans="1:12" x14ac:dyDescent="0.2">
      <c r="A392" s="18">
        <v>391</v>
      </c>
      <c r="B392" s="19">
        <v>45984</v>
      </c>
      <c r="C392" s="20">
        <v>1648463946</v>
      </c>
      <c r="D392" s="34" t="str">
        <f>IFERROR(IF(C392="","",VLOOKUP(C392,المستفيدين!$B:$C,2,FALSE)),"")</f>
        <v>مستفيد130</v>
      </c>
      <c r="E392" s="24" t="s">
        <v>340</v>
      </c>
      <c r="F392" s="34" t="str">
        <f>IFERROR(IF(E392="","",VLOOKUP(E392,الموظفين!$B:$C,2,FALSE)),"")</f>
        <v>موظف99</v>
      </c>
      <c r="G392" s="34" t="str">
        <f>IFERROR(IF(C392="","",VLOOKUP(C392,المستفيدين!$B:$F,5,FALSE)),"")</f>
        <v>مركز إرادة وتمكين لمتلازمة داون (نجد)</v>
      </c>
      <c r="H392" s="24" t="s">
        <v>552</v>
      </c>
      <c r="I392" s="24" t="s">
        <v>555</v>
      </c>
      <c r="J392" s="24" t="s">
        <v>1</v>
      </c>
      <c r="K392" s="24" t="s">
        <v>11</v>
      </c>
      <c r="L392" s="25" t="s">
        <v>526</v>
      </c>
    </row>
    <row r="393" spans="1:12" x14ac:dyDescent="0.2">
      <c r="A393" s="21">
        <v>392</v>
      </c>
      <c r="B393" s="22">
        <v>45990</v>
      </c>
      <c r="C393" s="20">
        <v>1932054889</v>
      </c>
      <c r="D393" s="34" t="str">
        <f>IFERROR(IF(C393="","",VLOOKUP(C393,المستفيدين!$B:$C,2,FALSE)),"")</f>
        <v>مستفيد167</v>
      </c>
      <c r="E393" s="20" t="s">
        <v>166</v>
      </c>
      <c r="F393" s="34" t="str">
        <f>IFERROR(IF(E393="","",VLOOKUP(E393,الموظفين!$B:$C,2,FALSE)),"")</f>
        <v>موظف12</v>
      </c>
      <c r="G393" s="34" t="str">
        <f>IFERROR(IF(C393="","",VLOOKUP(C393,المستفيدين!$B:$F,5,FALSE)),"")</f>
        <v>مركز إرادة وتمكين للرعاية النهارية (القدس)</v>
      </c>
      <c r="H393" s="24" t="s">
        <v>552</v>
      </c>
      <c r="I393" s="20" t="s">
        <v>81</v>
      </c>
      <c r="J393" s="20" t="s">
        <v>1</v>
      </c>
      <c r="K393" s="20" t="s">
        <v>12</v>
      </c>
      <c r="L393" s="26"/>
    </row>
    <row r="394" spans="1:12" x14ac:dyDescent="0.2">
      <c r="A394" s="18">
        <v>393</v>
      </c>
      <c r="B394" s="19">
        <v>45991</v>
      </c>
      <c r="C394" s="20">
        <v>1441451242</v>
      </c>
      <c r="D394" s="34" t="str">
        <f>IFERROR(IF(C394="","",VLOOKUP(C394,المستفيدين!$B:$C,2,FALSE)),"")</f>
        <v>مستفيد96</v>
      </c>
      <c r="E394" s="24" t="s">
        <v>276</v>
      </c>
      <c r="F394" s="34" t="str">
        <f>IFERROR(IF(E394="","",VLOOKUP(E394,الموظفين!$B:$C,2,FALSE)),"")</f>
        <v>موظف67</v>
      </c>
      <c r="G394" s="34" t="str">
        <f>IFERROR(IF(C394="","",VLOOKUP(C394,المستفيدين!$B:$F,5,FALSE)),"")</f>
        <v>مدرسة إرادة للتعليم (مكة)</v>
      </c>
      <c r="H394" s="24" t="s">
        <v>552</v>
      </c>
      <c r="I394" s="24" t="s">
        <v>80</v>
      </c>
      <c r="J394" s="24" t="s">
        <v>1</v>
      </c>
      <c r="K394" s="24" t="s">
        <v>9</v>
      </c>
      <c r="L394" s="25" t="s">
        <v>51</v>
      </c>
    </row>
    <row r="395" spans="1:12" x14ac:dyDescent="0.2">
      <c r="A395" s="21">
        <v>394</v>
      </c>
      <c r="B395" s="22">
        <v>45992</v>
      </c>
      <c r="C395" s="20">
        <v>1069735216</v>
      </c>
      <c r="D395" s="34" t="str">
        <f>IFERROR(IF(C395="","",VLOOKUP(C395,المستفيدين!$B:$C,2,FALSE)),"")</f>
        <v>مستفيد3</v>
      </c>
      <c r="E395" s="20" t="s">
        <v>176</v>
      </c>
      <c r="F395" s="34" t="str">
        <f>IFERROR(IF(E395="","",VLOOKUP(E395,الموظفين!$B:$C,2,FALSE)),"")</f>
        <v>موظف17</v>
      </c>
      <c r="G395" s="34" t="str">
        <f>IFERROR(IF(C395="","",VLOOKUP(C395,المستفيدين!$B:$F,5,FALSE)),"")</f>
        <v>مركز إرادة وتمكين للرعاية النهارية (القدس)</v>
      </c>
      <c r="H395" s="24" t="s">
        <v>553</v>
      </c>
      <c r="I395" s="20" t="s">
        <v>76</v>
      </c>
      <c r="J395" s="20" t="s">
        <v>0</v>
      </c>
      <c r="K395" s="20" t="s">
        <v>9</v>
      </c>
      <c r="L395" s="26" t="s">
        <v>523</v>
      </c>
    </row>
    <row r="396" spans="1:12" x14ac:dyDescent="0.2">
      <c r="A396" s="18">
        <v>395</v>
      </c>
      <c r="B396" s="19">
        <v>45993</v>
      </c>
      <c r="C396" s="20">
        <v>1369869858</v>
      </c>
      <c r="D396" s="34" t="str">
        <f>IFERROR(IF(C396="","",VLOOKUP(C396,المستفيدين!$B:$C,2,FALSE)),"")</f>
        <v>مستفيد55</v>
      </c>
      <c r="E396" s="24" t="s">
        <v>170</v>
      </c>
      <c r="F396" s="34" t="str">
        <f>IFERROR(IF(E396="","",VLOOKUP(E396,الموظفين!$B:$C,2,FALSE)),"")</f>
        <v>موظف14</v>
      </c>
      <c r="G396" s="34" t="str">
        <f>IFERROR(IF(C396="","",VLOOKUP(C396,المستفيدين!$B:$F,5,FALSE)),"")</f>
        <v>مدرسة إرادة للتعليم (مكة)</v>
      </c>
      <c r="H396" s="24" t="s">
        <v>553</v>
      </c>
      <c r="I396" s="24" t="s">
        <v>76</v>
      </c>
      <c r="J396" s="24" t="s">
        <v>0</v>
      </c>
      <c r="K396" s="24" t="s">
        <v>9</v>
      </c>
      <c r="L396" s="25" t="s">
        <v>525</v>
      </c>
    </row>
    <row r="397" spans="1:12" x14ac:dyDescent="0.2">
      <c r="A397" s="21">
        <v>396</v>
      </c>
      <c r="B397" s="22">
        <v>45993</v>
      </c>
      <c r="C397" s="20">
        <v>1181928548</v>
      </c>
      <c r="D397" s="34" t="str">
        <f>IFERROR(IF(C397="","",VLOOKUP(C397,المستفيدين!$B:$C,2,FALSE)),"")</f>
        <v>مستفيد128</v>
      </c>
      <c r="E397" s="20" t="s">
        <v>258</v>
      </c>
      <c r="F397" s="34" t="str">
        <f>IFERROR(IF(E397="","",VLOOKUP(E397,الموظفين!$B:$C,2,FALSE)),"")</f>
        <v>موظف58</v>
      </c>
      <c r="G397" s="34" t="str">
        <f>IFERROR(IF(C397="","",VLOOKUP(C397,المستفيدين!$B:$F,5,FALSE)),"")</f>
        <v>مدرسة إرادة للتعليم (مكة)</v>
      </c>
      <c r="H397" s="24" t="s">
        <v>552</v>
      </c>
      <c r="I397" s="20" t="s">
        <v>81</v>
      </c>
      <c r="J397" s="20" t="s">
        <v>0</v>
      </c>
      <c r="K397" s="20" t="s">
        <v>9</v>
      </c>
      <c r="L397" s="26" t="s">
        <v>523</v>
      </c>
    </row>
    <row r="398" spans="1:12" x14ac:dyDescent="0.2">
      <c r="A398" s="18">
        <v>397</v>
      </c>
      <c r="B398" s="19">
        <v>45995</v>
      </c>
      <c r="C398" s="20">
        <v>1216681476</v>
      </c>
      <c r="D398" s="34" t="str">
        <f>IFERROR(IF(C398="","",VLOOKUP(C398,المستفيدين!$B:$C,2,FALSE)),"")</f>
        <v>مستفيد44</v>
      </c>
      <c r="E398" s="24" t="s">
        <v>264</v>
      </c>
      <c r="F398" s="34" t="str">
        <f>IFERROR(IF(E398="","",VLOOKUP(E398,الموظفين!$B:$C,2,FALSE)),"")</f>
        <v>موظف61</v>
      </c>
      <c r="G398" s="34" t="str">
        <f>IFERROR(IF(C398="","",VLOOKUP(C398,المستفيدين!$B:$F,5,FALSE)),"")</f>
        <v>مدرسة إرادة للتعليم (مكة)</v>
      </c>
      <c r="H398" s="24" t="s">
        <v>553</v>
      </c>
      <c r="I398" s="24" t="s">
        <v>76</v>
      </c>
      <c r="J398" s="24" t="s">
        <v>0</v>
      </c>
      <c r="K398" s="24" t="s">
        <v>9</v>
      </c>
      <c r="L398" s="25" t="s">
        <v>526</v>
      </c>
    </row>
    <row r="399" spans="1:12" x14ac:dyDescent="0.2">
      <c r="A399" s="21">
        <v>398</v>
      </c>
      <c r="B399" s="22">
        <v>45995</v>
      </c>
      <c r="C399" s="20">
        <v>1347584820</v>
      </c>
      <c r="D399" s="34" t="str">
        <f>IFERROR(IF(C399="","",VLOOKUP(C399,المستفيدين!$B:$C,2,FALSE)),"")</f>
        <v>مستفيد9</v>
      </c>
      <c r="E399" s="20" t="s">
        <v>286</v>
      </c>
      <c r="F399" s="34" t="str">
        <f>IFERROR(IF(E399="","",VLOOKUP(E399,الموظفين!$B:$C,2,FALSE)),"")</f>
        <v>موظف72</v>
      </c>
      <c r="G399" s="34" t="str">
        <f>IFERROR(IF(C399="","",VLOOKUP(C399,المستفيدين!$B:$F,5,FALSE)),"")</f>
        <v>مركز إرادة وتمكين للرعاية النهارية (القدس)</v>
      </c>
      <c r="H399" s="24" t="s">
        <v>553</v>
      </c>
      <c r="I399" s="20" t="s">
        <v>77</v>
      </c>
      <c r="J399" s="20" t="s">
        <v>0</v>
      </c>
      <c r="K399" s="20" t="s">
        <v>12</v>
      </c>
      <c r="L399" s="26" t="s">
        <v>525</v>
      </c>
    </row>
    <row r="400" spans="1:12" x14ac:dyDescent="0.2">
      <c r="A400" s="18">
        <v>399</v>
      </c>
      <c r="B400" s="19">
        <v>45996</v>
      </c>
      <c r="C400" s="20">
        <v>1846066363</v>
      </c>
      <c r="D400" s="34" t="str">
        <f>IFERROR(IF(C400="","",VLOOKUP(C400,المستفيدين!$B:$C,2,FALSE)),"")</f>
        <v>مستفيد49</v>
      </c>
      <c r="E400" s="24" t="s">
        <v>218</v>
      </c>
      <c r="F400" s="34" t="str">
        <f>IFERROR(IF(E400="","",VLOOKUP(E400,الموظفين!$B:$C,2,FALSE)),"")</f>
        <v>موظف38</v>
      </c>
      <c r="G400" s="34" t="str">
        <f>IFERROR(IF(C400="","",VLOOKUP(C400,المستفيدين!$B:$F,5,FALSE)),"")</f>
        <v>مدرسة إرادة وتمكين لمتلازمة داون (نجد)</v>
      </c>
      <c r="H400" s="24" t="s">
        <v>553</v>
      </c>
      <c r="I400" s="24" t="s">
        <v>75</v>
      </c>
      <c r="J400" s="24" t="s">
        <v>1</v>
      </c>
      <c r="K400" s="24" t="s">
        <v>10</v>
      </c>
      <c r="L400" s="25" t="s">
        <v>523</v>
      </c>
    </row>
    <row r="401" spans="1:12" x14ac:dyDescent="0.2">
      <c r="A401" s="21">
        <v>400</v>
      </c>
      <c r="B401" s="22">
        <v>46002</v>
      </c>
      <c r="C401" s="20">
        <v>1231607400</v>
      </c>
      <c r="D401" s="34" t="str">
        <f>IFERROR(IF(C401="","",VLOOKUP(C401,المستفيدين!$B:$C,2,FALSE)),"")</f>
        <v>مستفيد11</v>
      </c>
      <c r="E401" s="20" t="s">
        <v>306</v>
      </c>
      <c r="F401" s="34" t="str">
        <f>IFERROR(IF(E401="","",VLOOKUP(E401,الموظفين!$B:$C,2,FALSE)),"")</f>
        <v>موظف82</v>
      </c>
      <c r="G401" s="34" t="str">
        <f>IFERROR(IF(C401="","",VLOOKUP(C401,المستفيدين!$B:$F,5,FALSE)),"")</f>
        <v>مركز إرادة وتمكين لمتلازمة داون (نجد)</v>
      </c>
      <c r="H401" s="24" t="s">
        <v>553</v>
      </c>
      <c r="I401" s="20" t="s">
        <v>79</v>
      </c>
      <c r="J401" s="20" t="s">
        <v>0</v>
      </c>
      <c r="K401" s="20" t="s">
        <v>12</v>
      </c>
      <c r="L401" s="26"/>
    </row>
    <row r="402" spans="1:12" x14ac:dyDescent="0.2">
      <c r="A402" s="18">
        <v>401</v>
      </c>
      <c r="B402" s="19">
        <v>46004</v>
      </c>
      <c r="C402" s="20">
        <v>1181928548</v>
      </c>
      <c r="D402" s="34" t="str">
        <f>IFERROR(IF(C402="","",VLOOKUP(C402,المستفيدين!$B:$C,2,FALSE)),"")</f>
        <v>مستفيد128</v>
      </c>
      <c r="E402" s="24" t="s">
        <v>254</v>
      </c>
      <c r="F402" s="34" t="str">
        <f>IFERROR(IF(E402="","",VLOOKUP(E402,الموظفين!$B:$C,2,FALSE)),"")</f>
        <v>موظف56</v>
      </c>
      <c r="G402" s="34" t="str">
        <f>IFERROR(IF(C402="","",VLOOKUP(C402,المستفيدين!$B:$F,5,FALSE)),"")</f>
        <v>مدرسة إرادة للتعليم (مكة)</v>
      </c>
      <c r="H402" s="24" t="s">
        <v>553</v>
      </c>
      <c r="I402" s="24" t="s">
        <v>75</v>
      </c>
      <c r="J402" s="24" t="s">
        <v>0</v>
      </c>
      <c r="K402" s="24" t="s">
        <v>11</v>
      </c>
      <c r="L402" s="25" t="s">
        <v>524</v>
      </c>
    </row>
    <row r="403" spans="1:12" x14ac:dyDescent="0.2">
      <c r="A403" s="21">
        <v>402</v>
      </c>
      <c r="B403" s="22">
        <v>46004</v>
      </c>
      <c r="C403" s="20">
        <v>1883810977</v>
      </c>
      <c r="D403" s="34" t="str">
        <f>IFERROR(IF(C403="","",VLOOKUP(C403,المستفيدين!$B:$C,2,FALSE)),"")</f>
        <v>مستفيد139</v>
      </c>
      <c r="E403" s="20" t="s">
        <v>190</v>
      </c>
      <c r="F403" s="34" t="str">
        <f>IFERROR(IF(E403="","",VLOOKUP(E403,الموظفين!$B:$C,2,FALSE)),"")</f>
        <v>موظف24</v>
      </c>
      <c r="G403" s="34" t="str">
        <f>IFERROR(IF(C403="","",VLOOKUP(C403,المستفيدين!$B:$F,5,FALSE)),"")</f>
        <v>مدرسة إرادة وتمكين لمتلازمة داون (نجد)</v>
      </c>
      <c r="H403" s="24" t="s">
        <v>552</v>
      </c>
      <c r="I403" s="20" t="s">
        <v>556</v>
      </c>
      <c r="J403" s="20" t="s">
        <v>0</v>
      </c>
      <c r="K403" s="20" t="s">
        <v>9</v>
      </c>
      <c r="L403" s="26"/>
    </row>
    <row r="404" spans="1:12" x14ac:dyDescent="0.2">
      <c r="A404" s="18">
        <v>403</v>
      </c>
      <c r="B404" s="19">
        <v>46005</v>
      </c>
      <c r="C404" s="20">
        <v>1838907615</v>
      </c>
      <c r="D404" s="34" t="str">
        <f>IFERROR(IF(C404="","",VLOOKUP(C404,المستفيدين!$B:$C,2,FALSE)),"")</f>
        <v>مستفيد29</v>
      </c>
      <c r="E404" s="24" t="s">
        <v>328</v>
      </c>
      <c r="F404" s="34" t="str">
        <f>IFERROR(IF(E404="","",VLOOKUP(E404,الموظفين!$B:$C,2,FALSE)),"")</f>
        <v>موظف93</v>
      </c>
      <c r="G404" s="34" t="str">
        <f>IFERROR(IF(C404="","",VLOOKUP(C404,المستفيدين!$B:$F,5,FALSE)),"")</f>
        <v>مركز إرادة وتمكين لرعاية ذوي الاحتياجات الخاصة (جلمودة)</v>
      </c>
      <c r="H404" s="24" t="s">
        <v>553</v>
      </c>
      <c r="I404" s="24" t="s">
        <v>77</v>
      </c>
      <c r="J404" s="24" t="s">
        <v>0</v>
      </c>
      <c r="K404" s="24" t="s">
        <v>10</v>
      </c>
      <c r="L404" s="25"/>
    </row>
    <row r="405" spans="1:12" x14ac:dyDescent="0.2">
      <c r="A405" s="21">
        <v>404</v>
      </c>
      <c r="B405" s="22">
        <v>46005</v>
      </c>
      <c r="C405" s="20">
        <v>1181928548</v>
      </c>
      <c r="D405" s="34" t="str">
        <f>IFERROR(IF(C405="","",VLOOKUP(C405,المستفيدين!$B:$C,2,FALSE)),"")</f>
        <v>مستفيد128</v>
      </c>
      <c r="E405" s="20" t="s">
        <v>252</v>
      </c>
      <c r="F405" s="34" t="str">
        <f>IFERROR(IF(E405="","",VLOOKUP(E405,الموظفين!$B:$C,2,FALSE)),"")</f>
        <v>موظف55</v>
      </c>
      <c r="G405" s="34" t="str">
        <f>IFERROR(IF(C405="","",VLOOKUP(C405,المستفيدين!$B:$F,5,FALSE)),"")</f>
        <v>مدرسة إرادة للتعليم (مكة)</v>
      </c>
      <c r="H405" s="24" t="s">
        <v>553</v>
      </c>
      <c r="I405" s="20" t="s">
        <v>77</v>
      </c>
      <c r="J405" s="20" t="s">
        <v>1</v>
      </c>
      <c r="K405" s="20" t="s">
        <v>9</v>
      </c>
      <c r="L405" s="26" t="s">
        <v>523</v>
      </c>
    </row>
    <row r="406" spans="1:12" x14ac:dyDescent="0.2">
      <c r="A406" s="18">
        <v>405</v>
      </c>
      <c r="B406" s="19">
        <v>46007</v>
      </c>
      <c r="C406" s="20">
        <v>1484076714</v>
      </c>
      <c r="D406" s="34" t="str">
        <f>IFERROR(IF(C406="","",VLOOKUP(C406,المستفيدين!$B:$C,2,FALSE)),"")</f>
        <v>مستفيد126</v>
      </c>
      <c r="E406" s="24" t="s">
        <v>172</v>
      </c>
      <c r="F406" s="34" t="str">
        <f>IFERROR(IF(E406="","",VLOOKUP(E406,الموظفين!$B:$C,2,FALSE)),"")</f>
        <v>موظف15</v>
      </c>
      <c r="G406" s="34" t="str">
        <f>IFERROR(IF(C406="","",VLOOKUP(C406,المستفيدين!$B:$F,5,FALSE)),"")</f>
        <v>مركز إرادة وتمكين للرعاية النهارية (القدس)</v>
      </c>
      <c r="H406" s="24" t="s">
        <v>553</v>
      </c>
      <c r="I406" s="24" t="s">
        <v>78</v>
      </c>
      <c r="J406" s="24" t="s">
        <v>1</v>
      </c>
      <c r="K406" s="24" t="s">
        <v>9</v>
      </c>
      <c r="L406" s="25"/>
    </row>
    <row r="407" spans="1:12" x14ac:dyDescent="0.2">
      <c r="A407" s="21">
        <v>406</v>
      </c>
      <c r="B407" s="22">
        <v>46008</v>
      </c>
      <c r="C407" s="20">
        <v>1617014847</v>
      </c>
      <c r="D407" s="34" t="str">
        <f>IFERROR(IF(C407="","",VLOOKUP(C407,المستفيدين!$B:$C,2,FALSE)),"")</f>
        <v>مستفيد15</v>
      </c>
      <c r="E407" s="20" t="s">
        <v>216</v>
      </c>
      <c r="F407" s="34" t="str">
        <f>IFERROR(IF(E407="","",VLOOKUP(E407,الموظفين!$B:$C,2,FALSE)),"")</f>
        <v>موظف37</v>
      </c>
      <c r="G407" s="34" t="str">
        <f>IFERROR(IF(C407="","",VLOOKUP(C407,المستفيدين!$B:$F,5,FALSE)),"")</f>
        <v>مدرسة إرادة للتعليم (مكة)</v>
      </c>
      <c r="H407" s="24" t="s">
        <v>552</v>
      </c>
      <c r="I407" s="20" t="s">
        <v>81</v>
      </c>
      <c r="J407" s="20" t="s">
        <v>1</v>
      </c>
      <c r="K407" s="20" t="s">
        <v>9</v>
      </c>
      <c r="L407" s="26" t="s">
        <v>523</v>
      </c>
    </row>
    <row r="408" spans="1:12" x14ac:dyDescent="0.2">
      <c r="A408" s="18">
        <v>407</v>
      </c>
      <c r="B408" s="19">
        <v>46013</v>
      </c>
      <c r="C408" s="20">
        <v>1055787167</v>
      </c>
      <c r="D408" s="34" t="str">
        <f>IFERROR(IF(C408="","",VLOOKUP(C408,المستفيدين!$B:$C,2,FALSE)),"")</f>
        <v>مستفيد134</v>
      </c>
      <c r="E408" s="24" t="s">
        <v>270</v>
      </c>
      <c r="F408" s="34" t="str">
        <f>IFERROR(IF(E408="","",VLOOKUP(E408,الموظفين!$B:$C,2,FALSE)),"")</f>
        <v>موظف64</v>
      </c>
      <c r="G408" s="34" t="str">
        <f>IFERROR(IF(C408="","",VLOOKUP(C408,المستفيدين!$B:$F,5,FALSE)),"")</f>
        <v>مركز إرادة وتمكين لرعاية ذوي الاحتياجات الخاصة (جلمودة)</v>
      </c>
      <c r="H408" s="24" t="s">
        <v>553</v>
      </c>
      <c r="I408" s="24" t="s">
        <v>77</v>
      </c>
      <c r="J408" s="24" t="s">
        <v>0</v>
      </c>
      <c r="K408" s="24" t="s">
        <v>9</v>
      </c>
      <c r="L408" s="25" t="s">
        <v>525</v>
      </c>
    </row>
    <row r="409" spans="1:12" x14ac:dyDescent="0.2">
      <c r="A409" s="21">
        <v>408</v>
      </c>
      <c r="B409" s="22">
        <v>46015</v>
      </c>
      <c r="C409" s="20">
        <v>1909062660</v>
      </c>
      <c r="D409" s="34" t="str">
        <f>IFERROR(IF(C409="","",VLOOKUP(C409,المستفيدين!$B:$C,2,FALSE)),"")</f>
        <v>مستفيد195</v>
      </c>
      <c r="E409" s="20" t="s">
        <v>220</v>
      </c>
      <c r="F409" s="34" t="str">
        <f>IFERROR(IF(E409="","",VLOOKUP(E409,الموظفين!$B:$C,2,FALSE)),"")</f>
        <v>موظف39</v>
      </c>
      <c r="G409" s="34" t="str">
        <f>IFERROR(IF(C409="","",VLOOKUP(C409,المستفيدين!$B:$F,5,FALSE)),"")</f>
        <v>مدرسة إرادة للتعليم (مكة)</v>
      </c>
      <c r="H409" s="24" t="s">
        <v>552</v>
      </c>
      <c r="I409" s="20" t="s">
        <v>556</v>
      </c>
      <c r="J409" s="20" t="s">
        <v>1</v>
      </c>
      <c r="K409" s="20" t="s">
        <v>9</v>
      </c>
      <c r="L409" s="26"/>
    </row>
    <row r="410" spans="1:12" x14ac:dyDescent="0.2">
      <c r="A410" s="18">
        <v>409</v>
      </c>
      <c r="B410" s="19">
        <v>46018</v>
      </c>
      <c r="C410" s="20">
        <v>1231607400</v>
      </c>
      <c r="D410" s="34" t="str">
        <f>IFERROR(IF(C410="","",VLOOKUP(C410,المستفيدين!$B:$C,2,FALSE)),"")</f>
        <v>مستفيد11</v>
      </c>
      <c r="E410" s="24" t="s">
        <v>256</v>
      </c>
      <c r="F410" s="34" t="str">
        <f>IFERROR(IF(E410="","",VLOOKUP(E410,الموظفين!$B:$C,2,FALSE)),"")</f>
        <v>موظف57</v>
      </c>
      <c r="G410" s="34" t="str">
        <f>IFERROR(IF(C410="","",VLOOKUP(C410,المستفيدين!$B:$F,5,FALSE)),"")</f>
        <v>مركز إرادة وتمكين لمتلازمة داون (نجد)</v>
      </c>
      <c r="H410" s="24" t="s">
        <v>553</v>
      </c>
      <c r="I410" s="24" t="s">
        <v>74</v>
      </c>
      <c r="J410" s="24" t="s">
        <v>1</v>
      </c>
      <c r="K410" s="24" t="s">
        <v>12</v>
      </c>
      <c r="L410" s="25"/>
    </row>
    <row r="411" spans="1:12" x14ac:dyDescent="0.2">
      <c r="A411" s="21">
        <v>410</v>
      </c>
      <c r="B411" s="22">
        <v>46019</v>
      </c>
      <c r="C411" s="20">
        <v>1911132783</v>
      </c>
      <c r="D411" s="34" t="str">
        <f>IFERROR(IF(C411="","",VLOOKUP(C411,المستفيدين!$B:$C,2,FALSE)),"")</f>
        <v>مستفيد59</v>
      </c>
      <c r="E411" s="20" t="s">
        <v>270</v>
      </c>
      <c r="F411" s="34" t="str">
        <f>IFERROR(IF(E411="","",VLOOKUP(E411,الموظفين!$B:$C,2,FALSE)),"")</f>
        <v>موظف64</v>
      </c>
      <c r="G411" s="34" t="str">
        <f>IFERROR(IF(C411="","",VLOOKUP(C411,المستفيدين!$B:$F,5,FALSE)),"")</f>
        <v>مركز إرادة وتمكين للرعاية النهارية (القدس)</v>
      </c>
      <c r="H411" s="24" t="s">
        <v>553</v>
      </c>
      <c r="I411" s="20" t="s">
        <v>77</v>
      </c>
      <c r="J411" s="20" t="s">
        <v>0</v>
      </c>
      <c r="K411" s="20" t="s">
        <v>9</v>
      </c>
      <c r="L411" s="26" t="s">
        <v>51</v>
      </c>
    </row>
    <row r="412" spans="1:12" x14ac:dyDescent="0.2">
      <c r="A412" s="18">
        <v>411</v>
      </c>
      <c r="B412" s="19">
        <v>46019</v>
      </c>
      <c r="C412" s="20">
        <v>1345489113</v>
      </c>
      <c r="D412" s="34" t="str">
        <f>IFERROR(IF(C412="","",VLOOKUP(C412,المستفيدين!$B:$C,2,FALSE)),"")</f>
        <v>مستفيد124</v>
      </c>
      <c r="E412" s="24" t="s">
        <v>68</v>
      </c>
      <c r="F412" s="34" t="str">
        <f>IFERROR(IF(E412="","",VLOOKUP(E412,الموظفين!$B:$C,2,FALSE)),"")</f>
        <v>موظف2</v>
      </c>
      <c r="G412" s="34" t="str">
        <f>IFERROR(IF(C412="","",VLOOKUP(C412,المستفيدين!$B:$F,5,FALSE)),"")</f>
        <v>مركز إرادة وتمكين لرعاية ذوي الاحتياجات الخاصة (جلمودة)</v>
      </c>
      <c r="H412" s="24" t="s">
        <v>553</v>
      </c>
      <c r="I412" s="24" t="s">
        <v>75</v>
      </c>
      <c r="J412" s="24" t="s">
        <v>0</v>
      </c>
      <c r="K412" s="24" t="s">
        <v>11</v>
      </c>
      <c r="L412" s="25"/>
    </row>
    <row r="413" spans="1:12" x14ac:dyDescent="0.2">
      <c r="A413" s="21">
        <v>412</v>
      </c>
      <c r="B413" s="22">
        <v>46019</v>
      </c>
      <c r="C413" s="20">
        <v>1614242749</v>
      </c>
      <c r="D413" s="34" t="str">
        <f>IFERROR(IF(C413="","",VLOOKUP(C413,المستفيدين!$B:$C,2,FALSE)),"")</f>
        <v>مستفيد114</v>
      </c>
      <c r="E413" s="20" t="s">
        <v>152</v>
      </c>
      <c r="F413" s="34" t="str">
        <f>IFERROR(IF(E413="","",VLOOKUP(E413,الموظفين!$B:$C,2,FALSE)),"")</f>
        <v>موظف5</v>
      </c>
      <c r="G413" s="34" t="str">
        <f>IFERROR(IF(C413="","",VLOOKUP(C413,المستفيدين!$B:$F,5,FALSE)),"")</f>
        <v>مدرسة إرادة للتعليم (مكة)</v>
      </c>
      <c r="H413" s="24" t="s">
        <v>553</v>
      </c>
      <c r="I413" s="20" t="s">
        <v>78</v>
      </c>
      <c r="J413" s="20" t="s">
        <v>1</v>
      </c>
      <c r="K413" s="20" t="s">
        <v>9</v>
      </c>
      <c r="L413" s="26"/>
    </row>
    <row r="414" spans="1:12" x14ac:dyDescent="0.2">
      <c r="A414" s="18">
        <v>413</v>
      </c>
      <c r="B414" s="19">
        <v>46020</v>
      </c>
      <c r="C414" s="20">
        <v>1692678303</v>
      </c>
      <c r="D414" s="34" t="str">
        <f>IFERROR(IF(C414="","",VLOOKUP(C414,المستفيدين!$B:$C,2,FALSE)),"")</f>
        <v>مستفيد94</v>
      </c>
      <c r="E414" s="24" t="s">
        <v>268</v>
      </c>
      <c r="F414" s="34" t="str">
        <f>IFERROR(IF(E414="","",VLOOKUP(E414,الموظفين!$B:$C,2,FALSE)),"")</f>
        <v>موظف63</v>
      </c>
      <c r="G414" s="34" t="str">
        <f>IFERROR(IF(C414="","",VLOOKUP(C414,المستفيدين!$B:$F,5,FALSE)),"")</f>
        <v>مدرسة إرادة للتعليم (مكة)</v>
      </c>
      <c r="H414" s="24" t="s">
        <v>553</v>
      </c>
      <c r="I414" s="24" t="s">
        <v>77</v>
      </c>
      <c r="J414" s="24" t="s">
        <v>0</v>
      </c>
      <c r="K414" s="24" t="s">
        <v>9</v>
      </c>
      <c r="L414" s="25"/>
    </row>
    <row r="415" spans="1:12" x14ac:dyDescent="0.2">
      <c r="A415" s="21">
        <v>414</v>
      </c>
      <c r="B415" s="22">
        <v>46021</v>
      </c>
      <c r="C415" s="20">
        <v>1696333011</v>
      </c>
      <c r="D415" s="34" t="str">
        <f>IFERROR(IF(C415="","",VLOOKUP(C415,المستفيدين!$B:$C,2,FALSE)),"")</f>
        <v>مستفيد175</v>
      </c>
      <c r="E415" s="20" t="s">
        <v>68</v>
      </c>
      <c r="F415" s="34" t="str">
        <f>IFERROR(IF(E415="","",VLOOKUP(E415,الموظفين!$B:$C,2,FALSE)),"")</f>
        <v>موظف2</v>
      </c>
      <c r="G415" s="34" t="str">
        <f>IFERROR(IF(C415="","",VLOOKUP(C415,المستفيدين!$B:$F,5,FALSE)),"")</f>
        <v>مركز إرادة وتمكين للرعاية النهارية (القدس)</v>
      </c>
      <c r="H415" s="24" t="s">
        <v>553</v>
      </c>
      <c r="I415" s="20" t="s">
        <v>75</v>
      </c>
      <c r="J415" s="20" t="s">
        <v>0</v>
      </c>
      <c r="K415" s="20" t="s">
        <v>9</v>
      </c>
      <c r="L415" s="26"/>
    </row>
    <row r="416" spans="1:12" x14ac:dyDescent="0.2">
      <c r="A416" s="18">
        <v>415</v>
      </c>
      <c r="B416" s="19">
        <v>46024</v>
      </c>
      <c r="C416" s="20">
        <v>1205178191</v>
      </c>
      <c r="D416" s="34" t="str">
        <f>IFERROR(IF(C416="","",VLOOKUP(C416,المستفيدين!$B:$C,2,FALSE)),"")</f>
        <v>مستفيد194</v>
      </c>
      <c r="E416" s="24" t="s">
        <v>246</v>
      </c>
      <c r="F416" s="34" t="str">
        <f>IFERROR(IF(E416="","",VLOOKUP(E416,الموظفين!$B:$C,2,FALSE)),"")</f>
        <v>موظف52</v>
      </c>
      <c r="G416" s="34" t="str">
        <f>IFERROR(IF(C416="","",VLOOKUP(C416,المستفيدين!$B:$F,5,FALSE)),"")</f>
        <v>مدرسة إرادة للتعليم (مكة)</v>
      </c>
      <c r="H416" s="24" t="s">
        <v>553</v>
      </c>
      <c r="I416" s="24" t="s">
        <v>77</v>
      </c>
      <c r="J416" s="24" t="s">
        <v>0</v>
      </c>
      <c r="K416" s="24" t="s">
        <v>12</v>
      </c>
      <c r="L416" s="25" t="s">
        <v>526</v>
      </c>
    </row>
    <row r="417" spans="1:12" x14ac:dyDescent="0.2">
      <c r="A417" s="21">
        <v>416</v>
      </c>
      <c r="B417" s="22">
        <v>46025</v>
      </c>
      <c r="C417" s="20">
        <v>1502704604</v>
      </c>
      <c r="D417" s="34" t="str">
        <f>IFERROR(IF(C417="","",VLOOKUP(C417,المستفيدين!$B:$C,2,FALSE)),"")</f>
        <v>مستفيد180</v>
      </c>
      <c r="E417" s="20" t="s">
        <v>308</v>
      </c>
      <c r="F417" s="34" t="str">
        <f>IFERROR(IF(E417="","",VLOOKUP(E417,الموظفين!$B:$C,2,FALSE)),"")</f>
        <v>موظف83</v>
      </c>
      <c r="G417" s="34" t="str">
        <f>IFERROR(IF(C417="","",VLOOKUP(C417,المستفيدين!$B:$F,5,FALSE)),"")</f>
        <v>مدرسة إرادة وتمكين لمتلازمة داون (نجد)</v>
      </c>
      <c r="H417" s="24" t="s">
        <v>553</v>
      </c>
      <c r="I417" s="20" t="s">
        <v>77</v>
      </c>
      <c r="J417" s="20" t="s">
        <v>0</v>
      </c>
      <c r="K417" s="20" t="s">
        <v>9</v>
      </c>
      <c r="L417" s="26" t="s">
        <v>524</v>
      </c>
    </row>
    <row r="418" spans="1:12" x14ac:dyDescent="0.2">
      <c r="A418" s="18">
        <v>417</v>
      </c>
      <c r="B418" s="19">
        <v>46025</v>
      </c>
      <c r="C418" s="20">
        <v>1402220485</v>
      </c>
      <c r="D418" s="34" t="str">
        <f>IFERROR(IF(C418="","",VLOOKUP(C418,المستفيدين!$B:$C,2,FALSE)),"")</f>
        <v>مستفيد41</v>
      </c>
      <c r="E418" s="24" t="s">
        <v>318</v>
      </c>
      <c r="F418" s="34" t="str">
        <f>IFERROR(IF(E418="","",VLOOKUP(E418,الموظفين!$B:$C,2,FALSE)),"")</f>
        <v>موظف88</v>
      </c>
      <c r="G418" s="34" t="str">
        <f>IFERROR(IF(C418="","",VLOOKUP(C418,المستفيدين!$B:$F,5,FALSE)),"")</f>
        <v>مدرسة إرادة وتمكين لمتلازمة داون (نجد)</v>
      </c>
      <c r="H418" s="24" t="s">
        <v>552</v>
      </c>
      <c r="I418" s="24" t="s">
        <v>556</v>
      </c>
      <c r="J418" s="24" t="s">
        <v>1</v>
      </c>
      <c r="K418" s="24" t="s">
        <v>10</v>
      </c>
      <c r="L418" s="25" t="s">
        <v>51</v>
      </c>
    </row>
    <row r="419" spans="1:12" x14ac:dyDescent="0.2">
      <c r="A419" s="21">
        <v>418</v>
      </c>
      <c r="B419" s="22">
        <v>46029</v>
      </c>
      <c r="C419" s="20">
        <v>1330656105</v>
      </c>
      <c r="D419" s="34" t="str">
        <f>IFERROR(IF(C419="","",VLOOKUP(C419,المستفيدين!$B:$C,2,FALSE)),"")</f>
        <v>مستفيد45</v>
      </c>
      <c r="E419" s="20" t="s">
        <v>300</v>
      </c>
      <c r="F419" s="34" t="str">
        <f>IFERROR(IF(E419="","",VLOOKUP(E419,الموظفين!$B:$C,2,FALSE)),"")</f>
        <v>موظف79</v>
      </c>
      <c r="G419" s="34" t="str">
        <f>IFERROR(IF(C419="","",VLOOKUP(C419,المستفيدين!$B:$F,5,FALSE)),"")</f>
        <v>مركز إرادة وتمكين لمتلازمة داون (نجد)</v>
      </c>
      <c r="H419" s="24" t="s">
        <v>553</v>
      </c>
      <c r="I419" s="20" t="s">
        <v>77</v>
      </c>
      <c r="J419" s="20" t="s">
        <v>1</v>
      </c>
      <c r="K419" s="20" t="s">
        <v>12</v>
      </c>
      <c r="L419" s="26" t="s">
        <v>51</v>
      </c>
    </row>
    <row r="420" spans="1:12" x14ac:dyDescent="0.2">
      <c r="A420" s="18">
        <v>419</v>
      </c>
      <c r="B420" s="19">
        <v>46029</v>
      </c>
      <c r="C420" s="20">
        <v>1704919362</v>
      </c>
      <c r="D420" s="34" t="str">
        <f>IFERROR(IF(C420="","",VLOOKUP(C420,المستفيدين!$B:$C,2,FALSE)),"")</f>
        <v>مستفيد107</v>
      </c>
      <c r="E420" s="24" t="s">
        <v>316</v>
      </c>
      <c r="F420" s="34" t="str">
        <f>IFERROR(IF(E420="","",VLOOKUP(E420,الموظفين!$B:$C,2,FALSE)),"")</f>
        <v>موظف87</v>
      </c>
      <c r="G420" s="34" t="str">
        <f>IFERROR(IF(C420="","",VLOOKUP(C420,المستفيدين!$B:$F,5,FALSE)),"")</f>
        <v>مركز إرادة وتمكين للرعاية النهارية (القدس)</v>
      </c>
      <c r="H420" s="24" t="s">
        <v>552</v>
      </c>
      <c r="I420" s="24" t="s">
        <v>81</v>
      </c>
      <c r="J420" s="24" t="s">
        <v>0</v>
      </c>
      <c r="K420" s="24" t="s">
        <v>9</v>
      </c>
      <c r="L420" s="25"/>
    </row>
    <row r="421" spans="1:12" x14ac:dyDescent="0.2">
      <c r="A421" s="21">
        <v>420</v>
      </c>
      <c r="B421" s="22">
        <v>46030</v>
      </c>
      <c r="C421" s="20">
        <v>1911132783</v>
      </c>
      <c r="D421" s="34" t="str">
        <f>IFERROR(IF(C421="","",VLOOKUP(C421,المستفيدين!$B:$C,2,FALSE)),"")</f>
        <v>مستفيد59</v>
      </c>
      <c r="E421" s="20" t="s">
        <v>274</v>
      </c>
      <c r="F421" s="34" t="str">
        <f>IFERROR(IF(E421="","",VLOOKUP(E421,الموظفين!$B:$C,2,FALSE)),"")</f>
        <v>موظف66</v>
      </c>
      <c r="G421" s="34" t="str">
        <f>IFERROR(IF(C421="","",VLOOKUP(C421,المستفيدين!$B:$F,5,FALSE)),"")</f>
        <v>مركز إرادة وتمكين للرعاية النهارية (القدس)</v>
      </c>
      <c r="H421" s="24" t="s">
        <v>553</v>
      </c>
      <c r="I421" s="20" t="s">
        <v>74</v>
      </c>
      <c r="J421" s="20" t="s">
        <v>1</v>
      </c>
      <c r="K421" s="20" t="s">
        <v>9</v>
      </c>
      <c r="L421" s="26" t="s">
        <v>526</v>
      </c>
    </row>
    <row r="422" spans="1:12" x14ac:dyDescent="0.2">
      <c r="A422" s="18">
        <v>421</v>
      </c>
      <c r="B422" s="19">
        <v>46033</v>
      </c>
      <c r="C422" s="20">
        <v>1648599431</v>
      </c>
      <c r="D422" s="34" t="str">
        <f>IFERROR(IF(C422="","",VLOOKUP(C422,المستفيدين!$B:$C,2,FALSE)),"")</f>
        <v>مستفيد75</v>
      </c>
      <c r="E422" s="24" t="s">
        <v>160</v>
      </c>
      <c r="F422" s="34" t="str">
        <f>IFERROR(IF(E422="","",VLOOKUP(E422,الموظفين!$B:$C,2,FALSE)),"")</f>
        <v>موظف9</v>
      </c>
      <c r="G422" s="34" t="str">
        <f>IFERROR(IF(C422="","",VLOOKUP(C422,المستفيدين!$B:$F,5,FALSE)),"")</f>
        <v>مدرسة إرادة وتمكين لمتلازمة داون (نجد)</v>
      </c>
      <c r="H422" s="24" t="s">
        <v>553</v>
      </c>
      <c r="I422" s="24" t="s">
        <v>75</v>
      </c>
      <c r="J422" s="24" t="s">
        <v>0</v>
      </c>
      <c r="K422" s="24" t="s">
        <v>12</v>
      </c>
      <c r="L422" s="25" t="s">
        <v>525</v>
      </c>
    </row>
    <row r="423" spans="1:12" x14ac:dyDescent="0.2">
      <c r="A423" s="21">
        <v>422</v>
      </c>
      <c r="B423" s="22">
        <v>46036</v>
      </c>
      <c r="C423" s="20">
        <v>1752444255</v>
      </c>
      <c r="D423" s="34" t="str">
        <f>IFERROR(IF(C423="","",VLOOKUP(C423,المستفيدين!$B:$C,2,FALSE)),"")</f>
        <v>مستفيد81</v>
      </c>
      <c r="E423" s="20" t="s">
        <v>152</v>
      </c>
      <c r="F423" s="34" t="str">
        <f>IFERROR(IF(E423="","",VLOOKUP(E423,الموظفين!$B:$C,2,FALSE)),"")</f>
        <v>موظف5</v>
      </c>
      <c r="G423" s="34" t="str">
        <f>IFERROR(IF(C423="","",VLOOKUP(C423,المستفيدين!$B:$F,5,FALSE)),"")</f>
        <v>مركز إرادة وتمكين لرعاية ذوي الاحتياجات الخاصة (جلمودة)</v>
      </c>
      <c r="H423" s="24" t="s">
        <v>553</v>
      </c>
      <c r="I423" s="20" t="s">
        <v>78</v>
      </c>
      <c r="J423" s="20" t="s">
        <v>1</v>
      </c>
      <c r="K423" s="20" t="s">
        <v>12</v>
      </c>
      <c r="L423" s="26" t="s">
        <v>525</v>
      </c>
    </row>
    <row r="424" spans="1:12" x14ac:dyDescent="0.2">
      <c r="A424" s="18">
        <v>423</v>
      </c>
      <c r="B424" s="19">
        <v>46037</v>
      </c>
      <c r="C424" s="20">
        <v>1700680764</v>
      </c>
      <c r="D424" s="34" t="str">
        <f>IFERROR(IF(C424="","",VLOOKUP(C424,المستفيدين!$B:$C,2,FALSE)),"")</f>
        <v>مستفيد97</v>
      </c>
      <c r="E424" s="24" t="s">
        <v>182</v>
      </c>
      <c r="F424" s="34" t="str">
        <f>IFERROR(IF(E424="","",VLOOKUP(E424,الموظفين!$B:$C,2,FALSE)),"")</f>
        <v>موظف20</v>
      </c>
      <c r="G424" s="34" t="str">
        <f>IFERROR(IF(C424="","",VLOOKUP(C424,المستفيدين!$B:$F,5,FALSE)),"")</f>
        <v>مركز إرادة وتمكين لرعاية ذوي الاحتياجات الخاصة (جلمودة)</v>
      </c>
      <c r="H424" s="24" t="s">
        <v>553</v>
      </c>
      <c r="I424" s="24" t="s">
        <v>76</v>
      </c>
      <c r="J424" s="24" t="s">
        <v>1</v>
      </c>
      <c r="K424" s="24" t="s">
        <v>10</v>
      </c>
      <c r="L424" s="25" t="s">
        <v>525</v>
      </c>
    </row>
    <row r="425" spans="1:12" x14ac:dyDescent="0.2">
      <c r="A425" s="21">
        <v>424</v>
      </c>
      <c r="B425" s="22">
        <v>46040</v>
      </c>
      <c r="C425" s="20">
        <v>1358470403</v>
      </c>
      <c r="D425" s="34" t="str">
        <f>IFERROR(IF(C425="","",VLOOKUP(C425,المستفيدين!$B:$C,2,FALSE)),"")</f>
        <v>مستفيد200</v>
      </c>
      <c r="E425" s="20" t="s">
        <v>270</v>
      </c>
      <c r="F425" s="34" t="str">
        <f>IFERROR(IF(E425="","",VLOOKUP(E425,الموظفين!$B:$C,2,FALSE)),"")</f>
        <v>موظف64</v>
      </c>
      <c r="G425" s="34" t="str">
        <f>IFERROR(IF(C425="","",VLOOKUP(C425,المستفيدين!$B:$F,5,FALSE)),"")</f>
        <v>مركز إرادة وتمكين للرعاية النهارية (القدس)</v>
      </c>
      <c r="H425" s="24" t="s">
        <v>553</v>
      </c>
      <c r="I425" s="20" t="s">
        <v>77</v>
      </c>
      <c r="J425" s="20" t="s">
        <v>0</v>
      </c>
      <c r="K425" s="20" t="s">
        <v>9</v>
      </c>
      <c r="L425" s="26"/>
    </row>
    <row r="426" spans="1:12" x14ac:dyDescent="0.2">
      <c r="A426" s="18">
        <v>425</v>
      </c>
      <c r="B426" s="19">
        <v>46042</v>
      </c>
      <c r="C426" s="20">
        <v>1508553395</v>
      </c>
      <c r="D426" s="34" t="str">
        <f>IFERROR(IF(C426="","",VLOOKUP(C426,المستفيدين!$B:$C,2,FALSE)),"")</f>
        <v>مستفيد129</v>
      </c>
      <c r="E426" s="24" t="s">
        <v>300</v>
      </c>
      <c r="F426" s="34" t="str">
        <f>IFERROR(IF(E426="","",VLOOKUP(E426,الموظفين!$B:$C,2,FALSE)),"")</f>
        <v>موظف79</v>
      </c>
      <c r="G426" s="34" t="str">
        <f>IFERROR(IF(C426="","",VLOOKUP(C426,المستفيدين!$B:$F,5,FALSE)),"")</f>
        <v>مدرسة إرادة وتمكين لمتلازمة داون (نجد)</v>
      </c>
      <c r="H426" s="24" t="s">
        <v>553</v>
      </c>
      <c r="I426" s="24" t="s">
        <v>77</v>
      </c>
      <c r="J426" s="24" t="s">
        <v>1</v>
      </c>
      <c r="K426" s="24" t="s">
        <v>9</v>
      </c>
      <c r="L426" s="25" t="s">
        <v>51</v>
      </c>
    </row>
    <row r="427" spans="1:12" x14ac:dyDescent="0.2">
      <c r="A427" s="21">
        <v>426</v>
      </c>
      <c r="B427" s="22">
        <v>46042</v>
      </c>
      <c r="C427" s="20">
        <v>1611059558</v>
      </c>
      <c r="D427" s="34" t="str">
        <f>IFERROR(IF(C427="","",VLOOKUP(C427,المستفيدين!$B:$C,2,FALSE)),"")</f>
        <v>مستفيد22</v>
      </c>
      <c r="E427" s="20" t="s">
        <v>226</v>
      </c>
      <c r="F427" s="34" t="str">
        <f>IFERROR(IF(E427="","",VLOOKUP(E427,الموظفين!$B:$C,2,FALSE)),"")</f>
        <v>موظف42</v>
      </c>
      <c r="G427" s="34" t="str">
        <f>IFERROR(IF(C427="","",VLOOKUP(C427,المستفيدين!$B:$F,5,FALSE)),"")</f>
        <v>مركز إرادة وتمكين لمتلازمة داون (نجد)</v>
      </c>
      <c r="H427" s="24" t="s">
        <v>552</v>
      </c>
      <c r="I427" s="20" t="s">
        <v>81</v>
      </c>
      <c r="J427" s="20" t="s">
        <v>0</v>
      </c>
      <c r="K427" s="20" t="s">
        <v>9</v>
      </c>
      <c r="L427" s="26"/>
    </row>
    <row r="428" spans="1:12" x14ac:dyDescent="0.2">
      <c r="A428" s="18">
        <v>427</v>
      </c>
      <c r="B428" s="19">
        <v>46043</v>
      </c>
      <c r="C428" s="20">
        <v>1229115953</v>
      </c>
      <c r="D428" s="34" t="str">
        <f>IFERROR(IF(C428="","",VLOOKUP(C428,المستفيدين!$B:$C,2,FALSE)),"")</f>
        <v>مستفيد198</v>
      </c>
      <c r="E428" s="24" t="s">
        <v>156</v>
      </c>
      <c r="F428" s="34" t="str">
        <f>IFERROR(IF(E428="","",VLOOKUP(E428,الموظفين!$B:$C,2,FALSE)),"")</f>
        <v>موظف7</v>
      </c>
      <c r="G428" s="34" t="str">
        <f>IFERROR(IF(C428="","",VLOOKUP(C428,المستفيدين!$B:$F,5,FALSE)),"")</f>
        <v>مركز إرادة وتمكين للرعاية النهارية (القدس)</v>
      </c>
      <c r="H428" s="24" t="s">
        <v>552</v>
      </c>
      <c r="I428" s="24" t="s">
        <v>80</v>
      </c>
      <c r="J428" s="24" t="s">
        <v>1</v>
      </c>
      <c r="K428" s="24" t="s">
        <v>9</v>
      </c>
      <c r="L428" s="25"/>
    </row>
    <row r="429" spans="1:12" x14ac:dyDescent="0.2">
      <c r="A429" s="21">
        <v>428</v>
      </c>
      <c r="B429" s="22">
        <v>46044</v>
      </c>
      <c r="C429" s="20">
        <v>1473361734</v>
      </c>
      <c r="D429" s="34" t="str">
        <f>IFERROR(IF(C429="","",VLOOKUP(C429,المستفيدين!$B:$C,2,FALSE)),"")</f>
        <v>مستفيد63</v>
      </c>
      <c r="E429" s="20" t="s">
        <v>226</v>
      </c>
      <c r="F429" s="34" t="str">
        <f>IFERROR(IF(E429="","",VLOOKUP(E429,الموظفين!$B:$C,2,FALSE)),"")</f>
        <v>موظف42</v>
      </c>
      <c r="G429" s="34" t="str">
        <f>IFERROR(IF(C429="","",VLOOKUP(C429,المستفيدين!$B:$F,5,FALSE)),"")</f>
        <v>مدرسة إرادة للتعليم (مكة)</v>
      </c>
      <c r="H429" s="24" t="s">
        <v>552</v>
      </c>
      <c r="I429" s="20" t="s">
        <v>81</v>
      </c>
      <c r="J429" s="20" t="s">
        <v>0</v>
      </c>
      <c r="K429" s="20" t="s">
        <v>11</v>
      </c>
      <c r="L429" s="26" t="s">
        <v>523</v>
      </c>
    </row>
    <row r="430" spans="1:12" x14ac:dyDescent="0.2">
      <c r="A430" s="18">
        <v>429</v>
      </c>
      <c r="B430" s="19">
        <v>46046</v>
      </c>
      <c r="C430" s="20">
        <v>1410729757</v>
      </c>
      <c r="D430" s="34" t="str">
        <f>IFERROR(IF(C430="","",VLOOKUP(C430,المستفيدين!$B:$C,2,FALSE)),"")</f>
        <v>مستفيد70</v>
      </c>
      <c r="E430" s="24" t="s">
        <v>310</v>
      </c>
      <c r="F430" s="34" t="str">
        <f>IFERROR(IF(E430="","",VLOOKUP(E430,الموظفين!$B:$C,2,FALSE)),"")</f>
        <v>موظف84</v>
      </c>
      <c r="G430" s="34" t="str">
        <f>IFERROR(IF(C430="","",VLOOKUP(C430,المستفيدين!$B:$F,5,FALSE)),"")</f>
        <v>مركز إرادة وتمكين لمتلازمة داون (نجد)</v>
      </c>
      <c r="H430" s="24" t="s">
        <v>553</v>
      </c>
      <c r="I430" s="24" t="s">
        <v>79</v>
      </c>
      <c r="J430" s="24" t="s">
        <v>1</v>
      </c>
      <c r="K430" s="24" t="s">
        <v>9</v>
      </c>
      <c r="L430" s="25"/>
    </row>
    <row r="431" spans="1:12" x14ac:dyDescent="0.2">
      <c r="A431" s="21">
        <v>430</v>
      </c>
      <c r="B431" s="22">
        <v>46046</v>
      </c>
      <c r="C431" s="20">
        <v>1704919362</v>
      </c>
      <c r="D431" s="34" t="str">
        <f>IFERROR(IF(C431="","",VLOOKUP(C431,المستفيدين!$B:$C,2,FALSE)),"")</f>
        <v>مستفيد107</v>
      </c>
      <c r="E431" s="20" t="s">
        <v>206</v>
      </c>
      <c r="F431" s="34" t="str">
        <f>IFERROR(IF(E431="","",VLOOKUP(E431,الموظفين!$B:$C,2,FALSE)),"")</f>
        <v>موظف32</v>
      </c>
      <c r="G431" s="34" t="str">
        <f>IFERROR(IF(C431="","",VLOOKUP(C431,المستفيدين!$B:$F,5,FALSE)),"")</f>
        <v>مركز إرادة وتمكين للرعاية النهارية (القدس)</v>
      </c>
      <c r="H431" s="24" t="s">
        <v>552</v>
      </c>
      <c r="I431" s="20" t="s">
        <v>555</v>
      </c>
      <c r="J431" s="20" t="s">
        <v>1</v>
      </c>
      <c r="K431" s="20" t="s">
        <v>9</v>
      </c>
      <c r="L431" s="26"/>
    </row>
    <row r="432" spans="1:12" x14ac:dyDescent="0.2">
      <c r="A432" s="18">
        <v>431</v>
      </c>
      <c r="B432" s="19">
        <v>46046</v>
      </c>
      <c r="C432" s="20">
        <v>1241445275</v>
      </c>
      <c r="D432" s="34" t="str">
        <f>IFERROR(IF(C432="","",VLOOKUP(C432,المستفيدين!$B:$C,2,FALSE)),"")</f>
        <v>مستفيد67</v>
      </c>
      <c r="E432" s="24" t="s">
        <v>290</v>
      </c>
      <c r="F432" s="34" t="str">
        <f>IFERROR(IF(E432="","",VLOOKUP(E432,الموظفين!$B:$C,2,FALSE)),"")</f>
        <v>موظف74</v>
      </c>
      <c r="G432" s="34" t="str">
        <f>IFERROR(IF(C432="","",VLOOKUP(C432,المستفيدين!$B:$F,5,FALSE)),"")</f>
        <v>مركز إرادة وتمكين للرعاية النهارية (القدس)</v>
      </c>
      <c r="H432" s="24" t="s">
        <v>553</v>
      </c>
      <c r="I432" s="24" t="s">
        <v>75</v>
      </c>
      <c r="J432" s="24" t="s">
        <v>1</v>
      </c>
      <c r="K432" s="24" t="s">
        <v>9</v>
      </c>
      <c r="L432" s="25" t="s">
        <v>525</v>
      </c>
    </row>
    <row r="433" spans="1:12" x14ac:dyDescent="0.2">
      <c r="A433" s="21">
        <v>432</v>
      </c>
      <c r="B433" s="22">
        <v>46047</v>
      </c>
      <c r="C433" s="20">
        <v>1648599431</v>
      </c>
      <c r="D433" s="34" t="str">
        <f>IFERROR(IF(C433="","",VLOOKUP(C433,المستفيدين!$B:$C,2,FALSE)),"")</f>
        <v>مستفيد75</v>
      </c>
      <c r="E433" s="20" t="s">
        <v>278</v>
      </c>
      <c r="F433" s="34" t="str">
        <f>IFERROR(IF(E433="","",VLOOKUP(E433,الموظفين!$B:$C,2,FALSE)),"")</f>
        <v>موظف68</v>
      </c>
      <c r="G433" s="34" t="str">
        <f>IFERROR(IF(C433="","",VLOOKUP(C433,المستفيدين!$B:$F,5,FALSE)),"")</f>
        <v>مدرسة إرادة وتمكين لمتلازمة داون (نجد)</v>
      </c>
      <c r="H433" s="24" t="s">
        <v>552</v>
      </c>
      <c r="I433" s="20" t="s">
        <v>81</v>
      </c>
      <c r="J433" s="20" t="s">
        <v>0</v>
      </c>
      <c r="K433" s="20" t="s">
        <v>9</v>
      </c>
      <c r="L433" s="26"/>
    </row>
    <row r="434" spans="1:12" x14ac:dyDescent="0.2">
      <c r="A434" s="18">
        <v>433</v>
      </c>
      <c r="B434" s="19">
        <v>46048</v>
      </c>
      <c r="C434" s="20">
        <v>1124422216</v>
      </c>
      <c r="D434" s="34" t="str">
        <f>IFERROR(IF(C434="","",VLOOKUP(C434,المستفيدين!$B:$C,2,FALSE)),"")</f>
        <v>مستفيد5</v>
      </c>
      <c r="E434" s="24" t="s">
        <v>238</v>
      </c>
      <c r="F434" s="34" t="str">
        <f>IFERROR(IF(E434="","",VLOOKUP(E434,الموظفين!$B:$C,2,FALSE)),"")</f>
        <v>موظف48</v>
      </c>
      <c r="G434" s="34" t="str">
        <f>IFERROR(IF(C434="","",VLOOKUP(C434,المستفيدين!$B:$F,5,FALSE)),"")</f>
        <v>مركز إرادة وتمكين لمتلازمة داون (نجد)</v>
      </c>
      <c r="H434" s="24" t="s">
        <v>553</v>
      </c>
      <c r="I434" s="24" t="s">
        <v>78</v>
      </c>
      <c r="J434" s="24" t="s">
        <v>1</v>
      </c>
      <c r="K434" s="24" t="s">
        <v>9</v>
      </c>
      <c r="L434" s="25" t="s">
        <v>524</v>
      </c>
    </row>
    <row r="435" spans="1:12" x14ac:dyDescent="0.2">
      <c r="A435" s="21">
        <v>434</v>
      </c>
      <c r="B435" s="22">
        <v>46048</v>
      </c>
      <c r="C435" s="20">
        <v>1229115953</v>
      </c>
      <c r="D435" s="34" t="str">
        <f>IFERROR(IF(C435="","",VLOOKUP(C435,المستفيدين!$B:$C,2,FALSE)),"")</f>
        <v>مستفيد198</v>
      </c>
      <c r="E435" s="20" t="s">
        <v>218</v>
      </c>
      <c r="F435" s="34" t="str">
        <f>IFERROR(IF(E435="","",VLOOKUP(E435,الموظفين!$B:$C,2,FALSE)),"")</f>
        <v>موظف38</v>
      </c>
      <c r="G435" s="34" t="str">
        <f>IFERROR(IF(C435="","",VLOOKUP(C435,المستفيدين!$B:$F,5,FALSE)),"")</f>
        <v>مركز إرادة وتمكين للرعاية النهارية (القدس)</v>
      </c>
      <c r="H435" s="24" t="s">
        <v>553</v>
      </c>
      <c r="I435" s="20" t="s">
        <v>75</v>
      </c>
      <c r="J435" s="20" t="s">
        <v>1</v>
      </c>
      <c r="K435" s="20" t="s">
        <v>9</v>
      </c>
      <c r="L435" s="26"/>
    </row>
    <row r="436" spans="1:12" x14ac:dyDescent="0.2">
      <c r="A436" s="18">
        <v>435</v>
      </c>
      <c r="B436" s="19">
        <v>46049</v>
      </c>
      <c r="C436" s="20">
        <v>1265180355</v>
      </c>
      <c r="D436" s="34" t="str">
        <f>IFERROR(IF(C436="","",VLOOKUP(C436,المستفيدين!$B:$C,2,FALSE)),"")</f>
        <v>مستفيد157</v>
      </c>
      <c r="E436" s="24" t="s">
        <v>232</v>
      </c>
      <c r="F436" s="34" t="str">
        <f>IFERROR(IF(E436="","",VLOOKUP(E436,الموظفين!$B:$C,2,FALSE)),"")</f>
        <v>موظف45</v>
      </c>
      <c r="G436" s="34" t="str">
        <f>IFERROR(IF(C436="","",VLOOKUP(C436,المستفيدين!$B:$F,5,FALSE)),"")</f>
        <v>مدرسة إرادة للتعليم (مكة)</v>
      </c>
      <c r="H436" s="24" t="s">
        <v>552</v>
      </c>
      <c r="I436" s="24" t="s">
        <v>80</v>
      </c>
      <c r="J436" s="24" t="s">
        <v>0</v>
      </c>
      <c r="K436" s="24" t="s">
        <v>11</v>
      </c>
      <c r="L436" s="25"/>
    </row>
    <row r="437" spans="1:12" x14ac:dyDescent="0.2">
      <c r="A437" s="21">
        <v>436</v>
      </c>
      <c r="B437" s="22">
        <v>46049</v>
      </c>
      <c r="C437" s="20">
        <v>1347584820</v>
      </c>
      <c r="D437" s="34" t="str">
        <f>IFERROR(IF(C437="","",VLOOKUP(C437,المستفيدين!$B:$C,2,FALSE)),"")</f>
        <v>مستفيد9</v>
      </c>
      <c r="E437" s="20" t="s">
        <v>204</v>
      </c>
      <c r="F437" s="34" t="str">
        <f>IFERROR(IF(E437="","",VLOOKUP(E437,الموظفين!$B:$C,2,FALSE)),"")</f>
        <v>موظف31</v>
      </c>
      <c r="G437" s="34" t="str">
        <f>IFERROR(IF(C437="","",VLOOKUP(C437,المستفيدين!$B:$F,5,FALSE)),"")</f>
        <v>مركز إرادة وتمكين للرعاية النهارية (القدس)</v>
      </c>
      <c r="H437" s="24" t="s">
        <v>552</v>
      </c>
      <c r="I437" s="20" t="s">
        <v>81</v>
      </c>
      <c r="J437" s="20" t="s">
        <v>1</v>
      </c>
      <c r="K437" s="20" t="s">
        <v>9</v>
      </c>
      <c r="L437" s="26" t="s">
        <v>526</v>
      </c>
    </row>
    <row r="438" spans="1:12" x14ac:dyDescent="0.2">
      <c r="A438" s="18">
        <v>437</v>
      </c>
      <c r="B438" s="19">
        <v>46052</v>
      </c>
      <c r="C438" s="20">
        <v>1614242749</v>
      </c>
      <c r="D438" s="34" t="str">
        <f>IFERROR(IF(C438="","",VLOOKUP(C438,المستفيدين!$B:$C,2,FALSE)),"")</f>
        <v>مستفيد114</v>
      </c>
      <c r="E438" s="24" t="s">
        <v>276</v>
      </c>
      <c r="F438" s="34" t="str">
        <f>IFERROR(IF(E438="","",VLOOKUP(E438,الموظفين!$B:$C,2,FALSE)),"")</f>
        <v>موظف67</v>
      </c>
      <c r="G438" s="34" t="str">
        <f>IFERROR(IF(C438="","",VLOOKUP(C438,المستفيدين!$B:$F,5,FALSE)),"")</f>
        <v>مدرسة إرادة للتعليم (مكة)</v>
      </c>
      <c r="H438" s="24" t="s">
        <v>552</v>
      </c>
      <c r="I438" s="24" t="s">
        <v>80</v>
      </c>
      <c r="J438" s="24" t="s">
        <v>1</v>
      </c>
      <c r="K438" s="24" t="s">
        <v>9</v>
      </c>
      <c r="L438" s="25" t="s">
        <v>526</v>
      </c>
    </row>
    <row r="439" spans="1:12" x14ac:dyDescent="0.2">
      <c r="A439" s="21">
        <v>438</v>
      </c>
      <c r="B439" s="22">
        <v>46052</v>
      </c>
      <c r="C439" s="20">
        <v>1670614837</v>
      </c>
      <c r="D439" s="34" t="str">
        <f>IFERROR(IF(C439="","",VLOOKUP(C439,المستفيدين!$B:$C,2,FALSE)),"")</f>
        <v>مستفيد80</v>
      </c>
      <c r="E439" s="20" t="s">
        <v>220</v>
      </c>
      <c r="F439" s="34" t="str">
        <f>IFERROR(IF(E439="","",VLOOKUP(E439,الموظفين!$B:$C,2,FALSE)),"")</f>
        <v>موظف39</v>
      </c>
      <c r="G439" s="34" t="str">
        <f>IFERROR(IF(C439="","",VLOOKUP(C439,المستفيدين!$B:$F,5,FALSE)),"")</f>
        <v>مدرسة إرادة للتعليم (مكة)</v>
      </c>
      <c r="H439" s="24" t="s">
        <v>552</v>
      </c>
      <c r="I439" s="20" t="s">
        <v>555</v>
      </c>
      <c r="J439" s="20" t="s">
        <v>1</v>
      </c>
      <c r="K439" s="20" t="s">
        <v>12</v>
      </c>
      <c r="L439" s="26"/>
    </row>
    <row r="440" spans="1:12" x14ac:dyDescent="0.2">
      <c r="A440" s="18">
        <v>439</v>
      </c>
      <c r="B440" s="19">
        <v>46058</v>
      </c>
      <c r="C440" s="20">
        <v>1369869858</v>
      </c>
      <c r="D440" s="34" t="str">
        <f>IFERROR(IF(C440="","",VLOOKUP(C440,المستفيدين!$B:$C,2,FALSE)),"")</f>
        <v>مستفيد55</v>
      </c>
      <c r="E440" s="24" t="s">
        <v>244</v>
      </c>
      <c r="F440" s="34" t="str">
        <f>IFERROR(IF(E440="","",VLOOKUP(E440,الموظفين!$B:$C,2,FALSE)),"")</f>
        <v>موظف51</v>
      </c>
      <c r="G440" s="34" t="str">
        <f>IFERROR(IF(C440="","",VLOOKUP(C440,المستفيدين!$B:$F,5,FALSE)),"")</f>
        <v>مدرسة إرادة للتعليم (مكة)</v>
      </c>
      <c r="H440" s="24" t="s">
        <v>553</v>
      </c>
      <c r="I440" s="24" t="s">
        <v>74</v>
      </c>
      <c r="J440" s="24" t="s">
        <v>0</v>
      </c>
      <c r="K440" s="24" t="s">
        <v>10</v>
      </c>
      <c r="L440" s="25" t="s">
        <v>525</v>
      </c>
    </row>
    <row r="441" spans="1:12" x14ac:dyDescent="0.2">
      <c r="A441" s="21">
        <v>440</v>
      </c>
      <c r="B441" s="22">
        <v>46058</v>
      </c>
      <c r="C441" s="20">
        <v>1590142031</v>
      </c>
      <c r="D441" s="34" t="str">
        <f>IFERROR(IF(C441="","",VLOOKUP(C441,المستفيدين!$B:$C,2,FALSE)),"")</f>
        <v>مستفيد123</v>
      </c>
      <c r="E441" s="20" t="s">
        <v>324</v>
      </c>
      <c r="F441" s="34" t="str">
        <f>IFERROR(IF(E441="","",VLOOKUP(E441,الموظفين!$B:$C,2,FALSE)),"")</f>
        <v>موظف91</v>
      </c>
      <c r="G441" s="34" t="str">
        <f>IFERROR(IF(C441="","",VLOOKUP(C441,المستفيدين!$B:$F,5,FALSE)),"")</f>
        <v>مركز إرادة وتمكين لرعاية ذوي الاحتياجات الخاصة (جلمودة)</v>
      </c>
      <c r="H441" s="24" t="s">
        <v>553</v>
      </c>
      <c r="I441" s="20" t="s">
        <v>77</v>
      </c>
      <c r="J441" s="20" t="s">
        <v>1</v>
      </c>
      <c r="K441" s="20" t="s">
        <v>11</v>
      </c>
      <c r="L441" s="26"/>
    </row>
    <row r="442" spans="1:12" x14ac:dyDescent="0.2">
      <c r="A442" s="18">
        <v>441</v>
      </c>
      <c r="B442" s="19">
        <v>46059</v>
      </c>
      <c r="C442" s="20">
        <v>1181831202</v>
      </c>
      <c r="D442" s="34" t="str">
        <f>IFERROR(IF(C442="","",VLOOKUP(C442,المستفيدين!$B:$C,2,FALSE)),"")</f>
        <v>مستفيد137</v>
      </c>
      <c r="E442" s="24" t="s">
        <v>328</v>
      </c>
      <c r="F442" s="34" t="str">
        <f>IFERROR(IF(E442="","",VLOOKUP(E442,الموظفين!$B:$C,2,FALSE)),"")</f>
        <v>موظف93</v>
      </c>
      <c r="G442" s="34" t="str">
        <f>IFERROR(IF(C442="","",VLOOKUP(C442,المستفيدين!$B:$F,5,FALSE)),"")</f>
        <v>مركز إرادة وتمكين للرعاية النهارية (القدس)</v>
      </c>
      <c r="H442" s="24" t="s">
        <v>553</v>
      </c>
      <c r="I442" s="24" t="s">
        <v>77</v>
      </c>
      <c r="J442" s="24" t="s">
        <v>0</v>
      </c>
      <c r="K442" s="24" t="s">
        <v>9</v>
      </c>
      <c r="L442" s="25" t="s">
        <v>525</v>
      </c>
    </row>
    <row r="443" spans="1:12" x14ac:dyDescent="0.2">
      <c r="A443" s="21">
        <v>442</v>
      </c>
      <c r="B443" s="22">
        <v>46060</v>
      </c>
      <c r="C443" s="20">
        <v>1480462141</v>
      </c>
      <c r="D443" s="34" t="str">
        <f>IFERROR(IF(C443="","",VLOOKUP(C443,المستفيدين!$B:$C,2,FALSE)),"")</f>
        <v>مستفيد69</v>
      </c>
      <c r="E443" s="20" t="s">
        <v>278</v>
      </c>
      <c r="F443" s="34" t="str">
        <f>IFERROR(IF(E443="","",VLOOKUP(E443,الموظفين!$B:$C,2,FALSE)),"")</f>
        <v>موظف68</v>
      </c>
      <c r="G443" s="34" t="str">
        <f>IFERROR(IF(C443="","",VLOOKUP(C443,المستفيدين!$B:$F,5,FALSE)),"")</f>
        <v>مركز إرادة وتمكين لمتلازمة داون (نجد)</v>
      </c>
      <c r="H443" s="24" t="s">
        <v>552</v>
      </c>
      <c r="I443" s="20" t="s">
        <v>81</v>
      </c>
      <c r="J443" s="20" t="s">
        <v>0</v>
      </c>
      <c r="K443" s="20" t="s">
        <v>9</v>
      </c>
      <c r="L443" s="26"/>
    </row>
    <row r="444" spans="1:12" x14ac:dyDescent="0.2">
      <c r="A444" s="18">
        <v>443</v>
      </c>
      <c r="B444" s="19">
        <v>46062</v>
      </c>
      <c r="C444" s="20">
        <v>1050635578</v>
      </c>
      <c r="D444" s="34" t="str">
        <f>IFERROR(IF(C444="","",VLOOKUP(C444,المستفيدين!$B:$C,2,FALSE)),"")</f>
        <v>مستفيد23</v>
      </c>
      <c r="E444" s="24" t="s">
        <v>69</v>
      </c>
      <c r="F444" s="34" t="str">
        <f>IFERROR(IF(E444="","",VLOOKUP(E444,الموظفين!$B:$C,2,FALSE)),"")</f>
        <v>موظف3</v>
      </c>
      <c r="G444" s="34" t="str">
        <f>IFERROR(IF(C444="","",VLOOKUP(C444,المستفيدين!$B:$F,5,FALSE)),"")</f>
        <v>مدرسة إرادة للتعليم (مكة)</v>
      </c>
      <c r="H444" s="24" t="s">
        <v>553</v>
      </c>
      <c r="I444" s="24" t="s">
        <v>75</v>
      </c>
      <c r="J444" s="24" t="s">
        <v>1</v>
      </c>
      <c r="K444" s="24" t="s">
        <v>9</v>
      </c>
      <c r="L444" s="25"/>
    </row>
    <row r="445" spans="1:12" x14ac:dyDescent="0.2">
      <c r="A445" s="21">
        <v>444</v>
      </c>
      <c r="B445" s="22">
        <v>46062</v>
      </c>
      <c r="C445" s="20">
        <v>1801782233</v>
      </c>
      <c r="D445" s="34" t="str">
        <f>IFERROR(IF(C445="","",VLOOKUP(C445,المستفيدين!$B:$C,2,FALSE)),"")</f>
        <v>مستفيد117</v>
      </c>
      <c r="E445" s="20" t="s">
        <v>318</v>
      </c>
      <c r="F445" s="34" t="str">
        <f>IFERROR(IF(E445="","",VLOOKUP(E445,الموظفين!$B:$C,2,FALSE)),"")</f>
        <v>موظف88</v>
      </c>
      <c r="G445" s="34" t="str">
        <f>IFERROR(IF(C445="","",VLOOKUP(C445,المستفيدين!$B:$F,5,FALSE)),"")</f>
        <v>مركز إرادة وتمكين للرعاية النهارية (القدس)</v>
      </c>
      <c r="H445" s="24" t="s">
        <v>552</v>
      </c>
      <c r="I445" s="20" t="s">
        <v>556</v>
      </c>
      <c r="J445" s="20" t="s">
        <v>1</v>
      </c>
      <c r="K445" s="20" t="s">
        <v>12</v>
      </c>
      <c r="L445" s="26"/>
    </row>
    <row r="446" spans="1:12" x14ac:dyDescent="0.2">
      <c r="A446" s="18">
        <v>445</v>
      </c>
      <c r="B446" s="19">
        <v>46064</v>
      </c>
      <c r="C446" s="20">
        <v>1611059558</v>
      </c>
      <c r="D446" s="34" t="str">
        <f>IFERROR(IF(C446="","",VLOOKUP(C446,المستفيدين!$B:$C,2,FALSE)),"")</f>
        <v>مستفيد22</v>
      </c>
      <c r="E446" s="24" t="s">
        <v>212</v>
      </c>
      <c r="F446" s="34" t="str">
        <f>IFERROR(IF(E446="","",VLOOKUP(E446,الموظفين!$B:$C,2,FALSE)),"")</f>
        <v>موظف35</v>
      </c>
      <c r="G446" s="34" t="str">
        <f>IFERROR(IF(C446="","",VLOOKUP(C446,المستفيدين!$B:$F,5,FALSE)),"")</f>
        <v>مركز إرادة وتمكين لمتلازمة داون (نجد)</v>
      </c>
      <c r="H446" s="24" t="s">
        <v>552</v>
      </c>
      <c r="I446" s="24" t="s">
        <v>80</v>
      </c>
      <c r="J446" s="24" t="s">
        <v>0</v>
      </c>
      <c r="K446" s="24" t="s">
        <v>9</v>
      </c>
      <c r="L446" s="25" t="s">
        <v>524</v>
      </c>
    </row>
    <row r="447" spans="1:12" x14ac:dyDescent="0.2">
      <c r="A447" s="21">
        <v>446</v>
      </c>
      <c r="B447" s="22">
        <v>46066</v>
      </c>
      <c r="C447" s="20">
        <v>1402220485</v>
      </c>
      <c r="D447" s="34" t="str">
        <f>IFERROR(IF(C447="","",VLOOKUP(C447,المستفيدين!$B:$C,2,FALSE)),"")</f>
        <v>مستفيد41</v>
      </c>
      <c r="E447" s="20" t="s">
        <v>162</v>
      </c>
      <c r="F447" s="34" t="str">
        <f>IFERROR(IF(E447="","",VLOOKUP(E447,الموظفين!$B:$C,2,FALSE)),"")</f>
        <v>موظف10</v>
      </c>
      <c r="G447" s="34" t="str">
        <f>IFERROR(IF(C447="","",VLOOKUP(C447,المستفيدين!$B:$F,5,FALSE)),"")</f>
        <v>مدرسة إرادة وتمكين لمتلازمة داون (نجد)</v>
      </c>
      <c r="H447" s="24" t="s">
        <v>553</v>
      </c>
      <c r="I447" s="20" t="s">
        <v>76</v>
      </c>
      <c r="J447" s="20" t="s">
        <v>0</v>
      </c>
      <c r="K447" s="20" t="s">
        <v>11</v>
      </c>
      <c r="L447" s="26" t="s">
        <v>51</v>
      </c>
    </row>
    <row r="448" spans="1:12" x14ac:dyDescent="0.2">
      <c r="A448" s="18">
        <v>447</v>
      </c>
      <c r="B448" s="19">
        <v>46069</v>
      </c>
      <c r="C448" s="20">
        <v>1640872800</v>
      </c>
      <c r="D448" s="34" t="str">
        <f>IFERROR(IF(C448="","",VLOOKUP(C448,المستفيدين!$B:$C,2,FALSE)),"")</f>
        <v>مستفيد173</v>
      </c>
      <c r="E448" s="24" t="s">
        <v>212</v>
      </c>
      <c r="F448" s="34" t="str">
        <f>IFERROR(IF(E448="","",VLOOKUP(E448,الموظفين!$B:$C,2,FALSE)),"")</f>
        <v>موظف35</v>
      </c>
      <c r="G448" s="34" t="str">
        <f>IFERROR(IF(C448="","",VLOOKUP(C448,المستفيدين!$B:$F,5,FALSE)),"")</f>
        <v>مركز إرادة وتمكين لرعاية ذوي الاحتياجات الخاصة (جلمودة)</v>
      </c>
      <c r="H448" s="24" t="s">
        <v>552</v>
      </c>
      <c r="I448" s="24" t="s">
        <v>80</v>
      </c>
      <c r="J448" s="24" t="s">
        <v>0</v>
      </c>
      <c r="K448" s="24" t="s">
        <v>11</v>
      </c>
      <c r="L448" s="25" t="s">
        <v>525</v>
      </c>
    </row>
    <row r="449" spans="1:12" x14ac:dyDescent="0.2">
      <c r="A449" s="21">
        <v>448</v>
      </c>
      <c r="B449" s="22">
        <v>46070</v>
      </c>
      <c r="C449" s="20">
        <v>1239383239</v>
      </c>
      <c r="D449" s="34" t="str">
        <f>IFERROR(IF(C449="","",VLOOKUP(C449,المستفيدين!$B:$C,2,FALSE)),"")</f>
        <v>مستفيد13</v>
      </c>
      <c r="E449" s="20" t="s">
        <v>234</v>
      </c>
      <c r="F449" s="34" t="str">
        <f>IFERROR(IF(E449="","",VLOOKUP(E449,الموظفين!$B:$C,2,FALSE)),"")</f>
        <v>موظف46</v>
      </c>
      <c r="G449" s="34" t="str">
        <f>IFERROR(IF(C449="","",VLOOKUP(C449,المستفيدين!$B:$F,5,FALSE)),"")</f>
        <v>مركز إرادة وتمكين لرعاية ذوي الاحتياجات الخاصة (جلمودة)</v>
      </c>
      <c r="H449" s="24" t="s">
        <v>553</v>
      </c>
      <c r="I449" s="20" t="s">
        <v>79</v>
      </c>
      <c r="J449" s="20" t="s">
        <v>0</v>
      </c>
      <c r="K449" s="20" t="s">
        <v>10</v>
      </c>
      <c r="L449" s="26" t="s">
        <v>525</v>
      </c>
    </row>
    <row r="450" spans="1:12" x14ac:dyDescent="0.2">
      <c r="A450" s="18">
        <v>449</v>
      </c>
      <c r="B450" s="19">
        <v>46071</v>
      </c>
      <c r="C450" s="20">
        <v>1923240565</v>
      </c>
      <c r="D450" s="34" t="str">
        <f>IFERROR(IF(C450="","",VLOOKUP(C450,المستفيدين!$B:$C,2,FALSE)),"")</f>
        <v>مستفيد185</v>
      </c>
      <c r="E450" s="24" t="s">
        <v>318</v>
      </c>
      <c r="F450" s="34" t="str">
        <f>IFERROR(IF(E450="","",VLOOKUP(E450,الموظفين!$B:$C,2,FALSE)),"")</f>
        <v>موظف88</v>
      </c>
      <c r="G450" s="34" t="str">
        <f>IFERROR(IF(C450="","",VLOOKUP(C450,المستفيدين!$B:$F,5,FALSE)),"")</f>
        <v>مدرسة إرادة وتمكين لمتلازمة داون (نجد)</v>
      </c>
      <c r="H450" s="24" t="s">
        <v>552</v>
      </c>
      <c r="I450" s="24" t="s">
        <v>555</v>
      </c>
      <c r="J450" s="24" t="s">
        <v>1</v>
      </c>
      <c r="K450" s="24" t="s">
        <v>10</v>
      </c>
      <c r="L450" s="25" t="s">
        <v>523</v>
      </c>
    </row>
    <row r="451" spans="1:12" x14ac:dyDescent="0.2">
      <c r="A451" s="21">
        <v>450</v>
      </c>
      <c r="B451" s="22">
        <v>46075</v>
      </c>
      <c r="C451" s="20">
        <v>1525548329</v>
      </c>
      <c r="D451" s="34" t="str">
        <f>IFERROR(IF(C451="","",VLOOKUP(C451,المستفيدين!$B:$C,2,FALSE)),"")</f>
        <v>مستفيد187</v>
      </c>
      <c r="E451" s="20" t="s">
        <v>192</v>
      </c>
      <c r="F451" s="34" t="str">
        <f>IFERROR(IF(E451="","",VLOOKUP(E451,الموظفين!$B:$C,2,FALSE)),"")</f>
        <v>موظف25</v>
      </c>
      <c r="G451" s="34" t="str">
        <f>IFERROR(IF(C451="","",VLOOKUP(C451,المستفيدين!$B:$F,5,FALSE)),"")</f>
        <v>مركز إرادة وتمكين لرعاية ذوي الاحتياجات الخاصة (جلمودة)</v>
      </c>
      <c r="H451" s="24" t="s">
        <v>553</v>
      </c>
      <c r="I451" s="20" t="s">
        <v>75</v>
      </c>
      <c r="J451" s="20" t="s">
        <v>1</v>
      </c>
      <c r="K451" s="20" t="s">
        <v>9</v>
      </c>
      <c r="L451" s="26"/>
    </row>
    <row r="452" spans="1:12" x14ac:dyDescent="0.2">
      <c r="A452" s="18">
        <v>451</v>
      </c>
      <c r="B452" s="19">
        <v>46076</v>
      </c>
      <c r="C452" s="20">
        <v>1707584852</v>
      </c>
      <c r="D452" s="34" t="str">
        <f>IFERROR(IF(C452="","",VLOOKUP(C452,المستفيدين!$B:$C,2,FALSE)),"")</f>
        <v>مستفيد115</v>
      </c>
      <c r="E452" s="24" t="s">
        <v>190</v>
      </c>
      <c r="F452" s="34" t="str">
        <f>IFERROR(IF(E452="","",VLOOKUP(E452,الموظفين!$B:$C,2,FALSE)),"")</f>
        <v>موظف24</v>
      </c>
      <c r="G452" s="34" t="str">
        <f>IFERROR(IF(C452="","",VLOOKUP(C452,المستفيدين!$B:$F,5,FALSE)),"")</f>
        <v>مدرسة إرادة للتعليم (مكة)</v>
      </c>
      <c r="H452" s="24" t="s">
        <v>552</v>
      </c>
      <c r="I452" s="24" t="s">
        <v>555</v>
      </c>
      <c r="J452" s="24" t="s">
        <v>0</v>
      </c>
      <c r="K452" s="24" t="s">
        <v>9</v>
      </c>
      <c r="L452" s="25" t="s">
        <v>525</v>
      </c>
    </row>
    <row r="453" spans="1:12" x14ac:dyDescent="0.2">
      <c r="A453" s="21">
        <v>452</v>
      </c>
      <c r="B453" s="22">
        <v>46076</v>
      </c>
      <c r="C453" s="20">
        <v>1120965748</v>
      </c>
      <c r="D453" s="34" t="str">
        <f>IFERROR(IF(C453="","",VLOOKUP(C453,المستفيدين!$B:$C,2,FALSE)),"")</f>
        <v>مستفيد169</v>
      </c>
      <c r="E453" s="20" t="s">
        <v>258</v>
      </c>
      <c r="F453" s="34" t="str">
        <f>IFERROR(IF(E453="","",VLOOKUP(E453,الموظفين!$B:$C,2,FALSE)),"")</f>
        <v>موظف58</v>
      </c>
      <c r="G453" s="34" t="str">
        <f>IFERROR(IF(C453="","",VLOOKUP(C453,المستفيدين!$B:$F,5,FALSE)),"")</f>
        <v>مركز إرادة وتمكين لمتلازمة داون (نجد)</v>
      </c>
      <c r="H453" s="24" t="s">
        <v>552</v>
      </c>
      <c r="I453" s="20" t="s">
        <v>81</v>
      </c>
      <c r="J453" s="20" t="s">
        <v>0</v>
      </c>
      <c r="K453" s="20" t="s">
        <v>11</v>
      </c>
      <c r="L453" s="26"/>
    </row>
    <row r="454" spans="1:12" x14ac:dyDescent="0.2">
      <c r="A454" s="18">
        <v>453</v>
      </c>
      <c r="B454" s="19">
        <v>46078</v>
      </c>
      <c r="C454" s="20">
        <v>1216832990</v>
      </c>
      <c r="D454" s="34" t="str">
        <f>IFERROR(IF(C454="","",VLOOKUP(C454,المستفيدين!$B:$C,2,FALSE)),"")</f>
        <v>مستفيد176</v>
      </c>
      <c r="E454" s="24" t="s">
        <v>310</v>
      </c>
      <c r="F454" s="34" t="str">
        <f>IFERROR(IF(E454="","",VLOOKUP(E454,الموظفين!$B:$C,2,FALSE)),"")</f>
        <v>موظف84</v>
      </c>
      <c r="G454" s="34" t="str">
        <f>IFERROR(IF(C454="","",VLOOKUP(C454,المستفيدين!$B:$F,5,FALSE)),"")</f>
        <v>مركز إرادة وتمكين للرعاية النهارية (القدس)</v>
      </c>
      <c r="H454" s="24" t="s">
        <v>553</v>
      </c>
      <c r="I454" s="24" t="s">
        <v>79</v>
      </c>
      <c r="J454" s="24" t="s">
        <v>1</v>
      </c>
      <c r="K454" s="24" t="s">
        <v>12</v>
      </c>
      <c r="L454" s="25"/>
    </row>
    <row r="455" spans="1:12" x14ac:dyDescent="0.2">
      <c r="A455" s="21">
        <v>454</v>
      </c>
      <c r="B455" s="22">
        <v>46082</v>
      </c>
      <c r="C455" s="20">
        <v>1883810977</v>
      </c>
      <c r="D455" s="34" t="str">
        <f>IFERROR(IF(C455="","",VLOOKUP(C455,المستفيدين!$B:$C,2,FALSE)),"")</f>
        <v>مستفيد139</v>
      </c>
      <c r="E455" s="20" t="s">
        <v>282</v>
      </c>
      <c r="F455" s="34" t="str">
        <f>IFERROR(IF(E455="","",VLOOKUP(E455,الموظفين!$B:$C,2,FALSE)),"")</f>
        <v>موظف70</v>
      </c>
      <c r="G455" s="34" t="str">
        <f>IFERROR(IF(C455="","",VLOOKUP(C455,المستفيدين!$B:$F,5,FALSE)),"")</f>
        <v>مدرسة إرادة وتمكين لمتلازمة داون (نجد)</v>
      </c>
      <c r="H455" s="24" t="s">
        <v>553</v>
      </c>
      <c r="I455" s="20" t="s">
        <v>74</v>
      </c>
      <c r="J455" s="20" t="s">
        <v>0</v>
      </c>
      <c r="K455" s="20" t="s">
        <v>9</v>
      </c>
      <c r="L455" s="26" t="s">
        <v>523</v>
      </c>
    </row>
    <row r="456" spans="1:12" x14ac:dyDescent="0.2">
      <c r="A456" s="18">
        <v>455</v>
      </c>
      <c r="B456" s="19">
        <v>46082</v>
      </c>
      <c r="C456" s="20">
        <v>1508168375</v>
      </c>
      <c r="D456" s="34" t="str">
        <f>IFERROR(IF(C456="","",VLOOKUP(C456,المستفيدين!$B:$C,2,FALSE)),"")</f>
        <v>مستفيد111</v>
      </c>
      <c r="E456" s="24" t="s">
        <v>330</v>
      </c>
      <c r="F456" s="34" t="str">
        <f>IFERROR(IF(E456="","",VLOOKUP(E456,الموظفين!$B:$C,2,FALSE)),"")</f>
        <v>موظف94</v>
      </c>
      <c r="G456" s="34" t="str">
        <f>IFERROR(IF(C456="","",VLOOKUP(C456,المستفيدين!$B:$F,5,FALSE)),"")</f>
        <v>مركز إرادة وتمكين لمتلازمة داون (نجد)</v>
      </c>
      <c r="H456" s="24" t="s">
        <v>553</v>
      </c>
      <c r="I456" s="24" t="s">
        <v>79</v>
      </c>
      <c r="J456" s="24" t="s">
        <v>1</v>
      </c>
      <c r="K456" s="24" t="s">
        <v>9</v>
      </c>
      <c r="L456" s="25"/>
    </row>
    <row r="457" spans="1:12" x14ac:dyDescent="0.2">
      <c r="A457" s="21">
        <v>456</v>
      </c>
      <c r="B457" s="22">
        <v>46084</v>
      </c>
      <c r="C457" s="20">
        <v>1812303672</v>
      </c>
      <c r="D457" s="34" t="str">
        <f>IFERROR(IF(C457="","",VLOOKUP(C457,المستفيدين!$B:$C,2,FALSE)),"")</f>
        <v>مستفيد100</v>
      </c>
      <c r="E457" s="20" t="s">
        <v>268</v>
      </c>
      <c r="F457" s="34" t="str">
        <f>IFERROR(IF(E457="","",VLOOKUP(E457,الموظفين!$B:$C,2,FALSE)),"")</f>
        <v>موظف63</v>
      </c>
      <c r="G457" s="34" t="str">
        <f>IFERROR(IF(C457="","",VLOOKUP(C457,المستفيدين!$B:$F,5,FALSE)),"")</f>
        <v>مدرسة إرادة للتعليم (مكة)</v>
      </c>
      <c r="H457" s="24" t="s">
        <v>553</v>
      </c>
      <c r="I457" s="20" t="s">
        <v>77</v>
      </c>
      <c r="J457" s="20" t="s">
        <v>0</v>
      </c>
      <c r="K457" s="20" t="s">
        <v>12</v>
      </c>
      <c r="L457" s="26" t="s">
        <v>51</v>
      </c>
    </row>
    <row r="458" spans="1:12" x14ac:dyDescent="0.2">
      <c r="A458" s="18">
        <v>457</v>
      </c>
      <c r="B458" s="19">
        <v>46084</v>
      </c>
      <c r="C458" s="20">
        <v>1147655592</v>
      </c>
      <c r="D458" s="34" t="str">
        <f>IFERROR(IF(C458="","",VLOOKUP(C458,المستفيدين!$B:$C,2,FALSE)),"")</f>
        <v>مستفيد165</v>
      </c>
      <c r="E458" s="24" t="s">
        <v>262</v>
      </c>
      <c r="F458" s="34" t="str">
        <f>IFERROR(IF(E458="","",VLOOKUP(E458,الموظفين!$B:$C,2,FALSE)),"")</f>
        <v>موظف60</v>
      </c>
      <c r="G458" s="34" t="str">
        <f>IFERROR(IF(C458="","",VLOOKUP(C458,المستفيدين!$B:$F,5,FALSE)),"")</f>
        <v>مركز إرادة وتمكين لرعاية ذوي الاحتياجات الخاصة (جلمودة)</v>
      </c>
      <c r="H458" s="24" t="s">
        <v>553</v>
      </c>
      <c r="I458" s="24" t="s">
        <v>75</v>
      </c>
      <c r="J458" s="24" t="s">
        <v>0</v>
      </c>
      <c r="K458" s="24" t="s">
        <v>11</v>
      </c>
      <c r="L458" s="25" t="s">
        <v>524</v>
      </c>
    </row>
    <row r="459" spans="1:12" x14ac:dyDescent="0.2">
      <c r="A459" s="21">
        <v>458</v>
      </c>
      <c r="B459" s="22">
        <v>46085</v>
      </c>
      <c r="C459" s="20">
        <v>1313917845</v>
      </c>
      <c r="D459" s="34" t="str">
        <f>IFERROR(IF(C459="","",VLOOKUP(C459,المستفيدين!$B:$C,2,FALSE)),"")</f>
        <v>مستفيد51</v>
      </c>
      <c r="E459" s="20" t="s">
        <v>69</v>
      </c>
      <c r="F459" s="34" t="str">
        <f>IFERROR(IF(E459="","",VLOOKUP(E459,الموظفين!$B:$C,2,FALSE)),"")</f>
        <v>موظف3</v>
      </c>
      <c r="G459" s="34" t="str">
        <f>IFERROR(IF(C459="","",VLOOKUP(C459,المستفيدين!$B:$F,5,FALSE)),"")</f>
        <v>مركز إرادة وتمكين للرعاية النهارية (القدس)</v>
      </c>
      <c r="H459" s="24" t="s">
        <v>553</v>
      </c>
      <c r="I459" s="20" t="s">
        <v>75</v>
      </c>
      <c r="J459" s="20" t="s">
        <v>1</v>
      </c>
      <c r="K459" s="20" t="s">
        <v>12</v>
      </c>
      <c r="L459" s="26"/>
    </row>
    <row r="460" spans="1:12" x14ac:dyDescent="0.2">
      <c r="A460" s="18">
        <v>459</v>
      </c>
      <c r="B460" s="19">
        <v>46085</v>
      </c>
      <c r="C460" s="20">
        <v>1095920856</v>
      </c>
      <c r="D460" s="34" t="str">
        <f>IFERROR(IF(C460="","",VLOOKUP(C460,المستفيدين!$B:$C,2,FALSE)),"")</f>
        <v>مستفيد21</v>
      </c>
      <c r="E460" s="24" t="s">
        <v>294</v>
      </c>
      <c r="F460" s="34" t="str">
        <f>IFERROR(IF(E460="","",VLOOKUP(E460,الموظفين!$B:$C,2,FALSE)),"")</f>
        <v>موظف76</v>
      </c>
      <c r="G460" s="34" t="str">
        <f>IFERROR(IF(C460="","",VLOOKUP(C460,المستفيدين!$B:$F,5,FALSE)),"")</f>
        <v>مركز إرادة وتمكين لرعاية ذوي الاحتياجات الخاصة (جلمودة)</v>
      </c>
      <c r="H460" s="24" t="s">
        <v>552</v>
      </c>
      <c r="I460" s="24" t="s">
        <v>81</v>
      </c>
      <c r="J460" s="24" t="s">
        <v>0</v>
      </c>
      <c r="K460" s="24" t="s">
        <v>9</v>
      </c>
      <c r="L460" s="25" t="s">
        <v>525</v>
      </c>
    </row>
    <row r="461" spans="1:12" x14ac:dyDescent="0.2">
      <c r="A461" s="21">
        <v>460</v>
      </c>
      <c r="B461" s="22">
        <v>46092</v>
      </c>
      <c r="C461" s="20">
        <v>1149256102</v>
      </c>
      <c r="D461" s="34" t="str">
        <f>IFERROR(IF(C461="","",VLOOKUP(C461,المستفيدين!$B:$C,2,FALSE)),"")</f>
        <v>مستفيد76</v>
      </c>
      <c r="E461" s="20" t="s">
        <v>296</v>
      </c>
      <c r="F461" s="34" t="str">
        <f>IFERROR(IF(E461="","",VLOOKUP(E461,الموظفين!$B:$C,2,FALSE)),"")</f>
        <v>موظف77</v>
      </c>
      <c r="G461" s="34" t="str">
        <f>IFERROR(IF(C461="","",VLOOKUP(C461,المستفيدين!$B:$F,5,FALSE)),"")</f>
        <v>مدرسة إرادة وتمكين لمتلازمة داون (نجد)</v>
      </c>
      <c r="H461" s="24" t="s">
        <v>553</v>
      </c>
      <c r="I461" s="20" t="s">
        <v>74</v>
      </c>
      <c r="J461" s="20" t="s">
        <v>1</v>
      </c>
      <c r="K461" s="20" t="s">
        <v>9</v>
      </c>
      <c r="L461" s="26"/>
    </row>
    <row r="462" spans="1:12" x14ac:dyDescent="0.2">
      <c r="A462" s="18">
        <v>461</v>
      </c>
      <c r="B462" s="19">
        <v>46092</v>
      </c>
      <c r="C462" s="20">
        <v>1704919362</v>
      </c>
      <c r="D462" s="34" t="str">
        <f>IFERROR(IF(C462="","",VLOOKUP(C462,المستفيدين!$B:$C,2,FALSE)),"")</f>
        <v>مستفيد107</v>
      </c>
      <c r="E462" s="24" t="s">
        <v>330</v>
      </c>
      <c r="F462" s="34" t="str">
        <f>IFERROR(IF(E462="","",VLOOKUP(E462,الموظفين!$B:$C,2,FALSE)),"")</f>
        <v>موظف94</v>
      </c>
      <c r="G462" s="34" t="str">
        <f>IFERROR(IF(C462="","",VLOOKUP(C462,المستفيدين!$B:$F,5,FALSE)),"")</f>
        <v>مركز إرادة وتمكين للرعاية النهارية (القدس)</v>
      </c>
      <c r="H462" s="24" t="s">
        <v>553</v>
      </c>
      <c r="I462" s="24" t="s">
        <v>79</v>
      </c>
      <c r="J462" s="24" t="s">
        <v>1</v>
      </c>
      <c r="K462" s="24" t="s">
        <v>9</v>
      </c>
      <c r="L462" s="25" t="s">
        <v>51</v>
      </c>
    </row>
    <row r="463" spans="1:12" x14ac:dyDescent="0.2">
      <c r="A463" s="21">
        <v>462</v>
      </c>
      <c r="B463" s="22">
        <v>46092</v>
      </c>
      <c r="C463" s="20">
        <v>1491276005</v>
      </c>
      <c r="D463" s="34" t="str">
        <f>IFERROR(IF(C463="","",VLOOKUP(C463,المستفيدين!$B:$C,2,FALSE)),"")</f>
        <v>مستفيد73</v>
      </c>
      <c r="E463" s="20" t="s">
        <v>202</v>
      </c>
      <c r="F463" s="34" t="str">
        <f>IFERROR(IF(E463="","",VLOOKUP(E463,الموظفين!$B:$C,2,FALSE)),"")</f>
        <v>موظف30</v>
      </c>
      <c r="G463" s="34" t="str">
        <f>IFERROR(IF(C463="","",VLOOKUP(C463,المستفيدين!$B:$F,5,FALSE)),"")</f>
        <v>مدرسة إرادة للتعليم (مكة)</v>
      </c>
      <c r="H463" s="24" t="s">
        <v>553</v>
      </c>
      <c r="I463" s="20" t="s">
        <v>77</v>
      </c>
      <c r="J463" s="20" t="s">
        <v>0</v>
      </c>
      <c r="K463" s="20" t="s">
        <v>10</v>
      </c>
      <c r="L463" s="26"/>
    </row>
    <row r="464" spans="1:12" x14ac:dyDescent="0.2">
      <c r="A464" s="18">
        <v>463</v>
      </c>
      <c r="B464" s="19">
        <v>46093</v>
      </c>
      <c r="C464" s="20">
        <v>1224071000</v>
      </c>
      <c r="D464" s="34" t="str">
        <f>IFERROR(IF(C464="","",VLOOKUP(C464,المستفيدين!$B:$C,2,FALSE)),"")</f>
        <v>مستفيد150</v>
      </c>
      <c r="E464" s="24" t="s">
        <v>310</v>
      </c>
      <c r="F464" s="34" t="str">
        <f>IFERROR(IF(E464="","",VLOOKUP(E464,الموظفين!$B:$C,2,FALSE)),"")</f>
        <v>موظف84</v>
      </c>
      <c r="G464" s="34" t="str">
        <f>IFERROR(IF(C464="","",VLOOKUP(C464,المستفيدين!$B:$F,5,FALSE)),"")</f>
        <v>مركز إرادة وتمكين لمتلازمة داون (نجد)</v>
      </c>
      <c r="H464" s="24" t="s">
        <v>553</v>
      </c>
      <c r="I464" s="24" t="s">
        <v>79</v>
      </c>
      <c r="J464" s="24" t="s">
        <v>1</v>
      </c>
      <c r="K464" s="24" t="s">
        <v>12</v>
      </c>
      <c r="L464" s="25" t="s">
        <v>524</v>
      </c>
    </row>
    <row r="465" spans="1:12" x14ac:dyDescent="0.2">
      <c r="A465" s="21">
        <v>464</v>
      </c>
      <c r="B465" s="22">
        <v>46094</v>
      </c>
      <c r="C465" s="20">
        <v>1983951447</v>
      </c>
      <c r="D465" s="34" t="str">
        <f>IFERROR(IF(C465="","",VLOOKUP(C465,المستفيدين!$B:$C,2,FALSE)),"")</f>
        <v>مستفيد72</v>
      </c>
      <c r="E465" s="20" t="s">
        <v>328</v>
      </c>
      <c r="F465" s="34" t="str">
        <f>IFERROR(IF(E465="","",VLOOKUP(E465,الموظفين!$B:$C,2,FALSE)),"")</f>
        <v>موظف93</v>
      </c>
      <c r="G465" s="34" t="str">
        <f>IFERROR(IF(C465="","",VLOOKUP(C465,المستفيدين!$B:$F,5,FALSE)),"")</f>
        <v>مركز إرادة وتمكين لرعاية ذوي الاحتياجات الخاصة (جلمودة)</v>
      </c>
      <c r="H465" s="24" t="s">
        <v>553</v>
      </c>
      <c r="I465" s="20" t="s">
        <v>77</v>
      </c>
      <c r="J465" s="20" t="s">
        <v>0</v>
      </c>
      <c r="K465" s="20" t="s">
        <v>9</v>
      </c>
      <c r="L465" s="26" t="s">
        <v>51</v>
      </c>
    </row>
    <row r="466" spans="1:12" x14ac:dyDescent="0.2">
      <c r="A466" s="18">
        <v>465</v>
      </c>
      <c r="B466" s="19">
        <v>46095</v>
      </c>
      <c r="C466" s="20">
        <v>1714015460</v>
      </c>
      <c r="D466" s="34" t="str">
        <f>IFERROR(IF(C466="","",VLOOKUP(C466,المستفيدين!$B:$C,2,FALSE)),"")</f>
        <v>مستفيد151</v>
      </c>
      <c r="E466" s="24" t="s">
        <v>246</v>
      </c>
      <c r="F466" s="34" t="str">
        <f>IFERROR(IF(E466="","",VLOOKUP(E466,الموظفين!$B:$C,2,FALSE)),"")</f>
        <v>موظف52</v>
      </c>
      <c r="G466" s="34" t="str">
        <f>IFERROR(IF(C466="","",VLOOKUP(C466,المستفيدين!$B:$F,5,FALSE)),"")</f>
        <v>مركز إرادة وتمكين للرعاية النهارية (القدس)</v>
      </c>
      <c r="H466" s="24" t="s">
        <v>553</v>
      </c>
      <c r="I466" s="24" t="s">
        <v>77</v>
      </c>
      <c r="J466" s="24" t="s">
        <v>0</v>
      </c>
      <c r="K466" s="24" t="s">
        <v>9</v>
      </c>
      <c r="L466" s="25" t="s">
        <v>526</v>
      </c>
    </row>
    <row r="467" spans="1:12" x14ac:dyDescent="0.2">
      <c r="A467" s="21">
        <v>466</v>
      </c>
      <c r="B467" s="22">
        <v>46097</v>
      </c>
      <c r="C467" s="20">
        <v>1228837751</v>
      </c>
      <c r="D467" s="34" t="str">
        <f>IFERROR(IF(C467="","",VLOOKUP(C467,المستفيدين!$B:$C,2,FALSE)),"")</f>
        <v>مستفيد58</v>
      </c>
      <c r="E467" s="20" t="s">
        <v>186</v>
      </c>
      <c r="F467" s="34" t="str">
        <f>IFERROR(IF(E467="","",VLOOKUP(E467,الموظفين!$B:$C,2,FALSE)),"")</f>
        <v>موظف22</v>
      </c>
      <c r="G467" s="34" t="str">
        <f>IFERROR(IF(C467="","",VLOOKUP(C467,المستفيدين!$B:$F,5,FALSE)),"")</f>
        <v>مدرسة إرادة وتمكين لمتلازمة داون (نجد)</v>
      </c>
      <c r="H467" s="24" t="s">
        <v>553</v>
      </c>
      <c r="I467" s="20" t="s">
        <v>76</v>
      </c>
      <c r="J467" s="20" t="s">
        <v>0</v>
      </c>
      <c r="K467" s="20" t="s">
        <v>9</v>
      </c>
      <c r="L467" s="26"/>
    </row>
    <row r="468" spans="1:12" x14ac:dyDescent="0.2">
      <c r="A468" s="18">
        <v>467</v>
      </c>
      <c r="B468" s="19">
        <v>46100</v>
      </c>
      <c r="C468" s="20">
        <v>1506829260</v>
      </c>
      <c r="D468" s="34" t="str">
        <f>IFERROR(IF(C468="","",VLOOKUP(C468,المستفيدين!$B:$C,2,FALSE)),"")</f>
        <v>مستفيد181</v>
      </c>
      <c r="E468" s="24" t="s">
        <v>242</v>
      </c>
      <c r="F468" s="34" t="str">
        <f>IFERROR(IF(E468="","",VLOOKUP(E468,الموظفين!$B:$C,2,FALSE)),"")</f>
        <v>موظف50</v>
      </c>
      <c r="G468" s="34" t="str">
        <f>IFERROR(IF(C468="","",VLOOKUP(C468,المستفيدين!$B:$F,5,FALSE)),"")</f>
        <v>مركز إرادة وتمكين للرعاية النهارية (القدس)</v>
      </c>
      <c r="H468" s="24" t="s">
        <v>553</v>
      </c>
      <c r="I468" s="24" t="s">
        <v>78</v>
      </c>
      <c r="J468" s="24" t="s">
        <v>1</v>
      </c>
      <c r="K468" s="24" t="s">
        <v>9</v>
      </c>
      <c r="L468" s="25"/>
    </row>
    <row r="469" spans="1:12" x14ac:dyDescent="0.2">
      <c r="A469" s="21">
        <v>468</v>
      </c>
      <c r="B469" s="22">
        <v>46101</v>
      </c>
      <c r="C469" s="20">
        <v>1699191393</v>
      </c>
      <c r="D469" s="34" t="str">
        <f>IFERROR(IF(C469="","",VLOOKUP(C469,المستفيدين!$B:$C,2,FALSE)),"")</f>
        <v>مستفيد116</v>
      </c>
      <c r="E469" s="20" t="s">
        <v>314</v>
      </c>
      <c r="F469" s="34" t="str">
        <f>IFERROR(IF(E469="","",VLOOKUP(E469,الموظفين!$B:$C,2,FALSE)),"")</f>
        <v>موظف86</v>
      </c>
      <c r="G469" s="34" t="str">
        <f>IFERROR(IF(C469="","",VLOOKUP(C469,المستفيدين!$B:$F,5,FALSE)),"")</f>
        <v>مركز إرادة وتمكين لرعاية ذوي الاحتياجات الخاصة (جلمودة)</v>
      </c>
      <c r="H469" s="24" t="s">
        <v>553</v>
      </c>
      <c r="I469" s="20" t="s">
        <v>77</v>
      </c>
      <c r="J469" s="20" t="s">
        <v>1</v>
      </c>
      <c r="K469" s="20" t="s">
        <v>11</v>
      </c>
      <c r="L469" s="26"/>
    </row>
    <row r="470" spans="1:12" x14ac:dyDescent="0.2">
      <c r="A470" s="18">
        <v>469</v>
      </c>
      <c r="B470" s="19">
        <v>46101</v>
      </c>
      <c r="C470" s="20">
        <v>1526290370</v>
      </c>
      <c r="D470" s="34" t="str">
        <f>IFERROR(IF(C470="","",VLOOKUP(C470,المستفيدين!$B:$C,2,FALSE)),"")</f>
        <v>مستفيد197</v>
      </c>
      <c r="E470" s="24" t="s">
        <v>190</v>
      </c>
      <c r="F470" s="34" t="str">
        <f>IFERROR(IF(E470="","",VLOOKUP(E470,الموظفين!$B:$C,2,FALSE)),"")</f>
        <v>موظف24</v>
      </c>
      <c r="G470" s="34" t="str">
        <f>IFERROR(IF(C470="","",VLOOKUP(C470,المستفيدين!$B:$F,5,FALSE)),"")</f>
        <v>مدرسة إرادة وتمكين لمتلازمة داون (نجد)</v>
      </c>
      <c r="H470" s="24" t="s">
        <v>552</v>
      </c>
      <c r="I470" s="24" t="s">
        <v>555</v>
      </c>
      <c r="J470" s="24" t="s">
        <v>0</v>
      </c>
      <c r="K470" s="24" t="s">
        <v>9</v>
      </c>
      <c r="L470" s="25"/>
    </row>
    <row r="471" spans="1:12" x14ac:dyDescent="0.2">
      <c r="A471" s="21">
        <v>470</v>
      </c>
      <c r="B471" s="22">
        <v>46101</v>
      </c>
      <c r="C471" s="20">
        <v>1773160728</v>
      </c>
      <c r="D471" s="34" t="str">
        <f>IFERROR(IF(C471="","",VLOOKUP(C471,المستفيدين!$B:$C,2,FALSE)),"")</f>
        <v>مستفيد161</v>
      </c>
      <c r="E471" s="20" t="s">
        <v>178</v>
      </c>
      <c r="F471" s="34" t="str">
        <f>IFERROR(IF(E471="","",VLOOKUP(E471,الموظفين!$B:$C,2,FALSE)),"")</f>
        <v>موظف18</v>
      </c>
      <c r="G471" s="34" t="str">
        <f>IFERROR(IF(C471="","",VLOOKUP(C471,المستفيدين!$B:$F,5,FALSE)),"")</f>
        <v>مركز إرادة وتمكين لمتلازمة داون (نجد)</v>
      </c>
      <c r="H471" s="24" t="s">
        <v>553</v>
      </c>
      <c r="I471" s="20" t="s">
        <v>78</v>
      </c>
      <c r="J471" s="20" t="s">
        <v>1</v>
      </c>
      <c r="K471" s="20" t="s">
        <v>12</v>
      </c>
      <c r="L471" s="26"/>
    </row>
    <row r="472" spans="1:12" x14ac:dyDescent="0.2">
      <c r="A472" s="18">
        <v>471</v>
      </c>
      <c r="B472" s="19">
        <v>46102</v>
      </c>
      <c r="C472" s="20">
        <v>1113591668</v>
      </c>
      <c r="D472" s="34" t="str">
        <f>IFERROR(IF(C472="","",VLOOKUP(C472,المستفيدين!$B:$C,2,FALSE)),"")</f>
        <v>مستفيد60</v>
      </c>
      <c r="E472" s="24" t="s">
        <v>316</v>
      </c>
      <c r="F472" s="34" t="str">
        <f>IFERROR(IF(E472="","",VLOOKUP(E472,الموظفين!$B:$C,2,FALSE)),"")</f>
        <v>موظف87</v>
      </c>
      <c r="G472" s="34" t="str">
        <f>IFERROR(IF(C472="","",VLOOKUP(C472,المستفيدين!$B:$F,5,FALSE)),"")</f>
        <v>مركز إرادة وتمكين لرعاية ذوي الاحتياجات الخاصة (جلمودة)</v>
      </c>
      <c r="H472" s="24" t="s">
        <v>552</v>
      </c>
      <c r="I472" s="24" t="s">
        <v>81</v>
      </c>
      <c r="J472" s="24" t="s">
        <v>0</v>
      </c>
      <c r="K472" s="24" t="s">
        <v>9</v>
      </c>
      <c r="L472" s="25" t="s">
        <v>526</v>
      </c>
    </row>
    <row r="473" spans="1:12" x14ac:dyDescent="0.2">
      <c r="A473" s="21">
        <v>472</v>
      </c>
      <c r="B473" s="22">
        <v>46102</v>
      </c>
      <c r="C473" s="20">
        <v>1256720953</v>
      </c>
      <c r="D473" s="34" t="str">
        <f>IFERROR(IF(C473="","",VLOOKUP(C473,المستفيدين!$B:$C,2,FALSE)),"")</f>
        <v>مستفيد53</v>
      </c>
      <c r="E473" s="20" t="s">
        <v>196</v>
      </c>
      <c r="F473" s="34" t="str">
        <f>IFERROR(IF(E473="","",VLOOKUP(E473,الموظفين!$B:$C,2,FALSE)),"")</f>
        <v>موظف27</v>
      </c>
      <c r="G473" s="34" t="str">
        <f>IFERROR(IF(C473="","",VLOOKUP(C473,المستفيدين!$B:$F,5,FALSE)),"")</f>
        <v>مركز إرادة وتمكين لمتلازمة داون (نجد)</v>
      </c>
      <c r="H473" s="24" t="s">
        <v>553</v>
      </c>
      <c r="I473" s="20" t="s">
        <v>77</v>
      </c>
      <c r="J473" s="20" t="s">
        <v>1</v>
      </c>
      <c r="K473" s="20" t="s">
        <v>9</v>
      </c>
      <c r="L473" s="26"/>
    </row>
    <row r="474" spans="1:12" x14ac:dyDescent="0.2">
      <c r="A474" s="18">
        <v>473</v>
      </c>
      <c r="B474" s="19">
        <v>46105</v>
      </c>
      <c r="C474" s="20">
        <v>1680947465</v>
      </c>
      <c r="D474" s="34" t="str">
        <f>IFERROR(IF(C474="","",VLOOKUP(C474,المستفيدين!$B:$C,2,FALSE)),"")</f>
        <v>مستفيد84</v>
      </c>
      <c r="E474" s="24" t="s">
        <v>224</v>
      </c>
      <c r="F474" s="34" t="str">
        <f>IFERROR(IF(E474="","",VLOOKUP(E474,الموظفين!$B:$C,2,FALSE)),"")</f>
        <v>موظف41</v>
      </c>
      <c r="G474" s="34" t="str">
        <f>IFERROR(IF(C474="","",VLOOKUP(C474,المستفيدين!$B:$F,5,FALSE)),"")</f>
        <v>مركز إرادة وتمكين لمتلازمة داون (نجد)</v>
      </c>
      <c r="H474" s="24" t="s">
        <v>553</v>
      </c>
      <c r="I474" s="24" t="s">
        <v>75</v>
      </c>
      <c r="J474" s="24" t="s">
        <v>0</v>
      </c>
      <c r="K474" s="24" t="s">
        <v>9</v>
      </c>
      <c r="L474" s="25"/>
    </row>
    <row r="475" spans="1:12" x14ac:dyDescent="0.2">
      <c r="A475" s="21">
        <v>474</v>
      </c>
      <c r="B475" s="22">
        <v>46106</v>
      </c>
      <c r="C475" s="20">
        <v>1688005726</v>
      </c>
      <c r="D475" s="34" t="str">
        <f>IFERROR(IF(C475="","",VLOOKUP(C475,المستفيدين!$B:$C,2,FALSE)),"")</f>
        <v>مستفيد16</v>
      </c>
      <c r="E475" s="20" t="s">
        <v>254</v>
      </c>
      <c r="F475" s="34" t="str">
        <f>IFERROR(IF(E475="","",VLOOKUP(E475,الموظفين!$B:$C,2,FALSE)),"")</f>
        <v>موظف56</v>
      </c>
      <c r="G475" s="34" t="str">
        <f>IFERROR(IF(C475="","",VLOOKUP(C475,المستفيدين!$B:$F,5,FALSE)),"")</f>
        <v>مركز إرادة وتمكين لرعاية ذوي الاحتياجات الخاصة (جلمودة)</v>
      </c>
      <c r="H475" s="24" t="s">
        <v>553</v>
      </c>
      <c r="I475" s="20" t="s">
        <v>75</v>
      </c>
      <c r="J475" s="20" t="s">
        <v>0</v>
      </c>
      <c r="K475" s="20" t="s">
        <v>10</v>
      </c>
      <c r="L475" s="26"/>
    </row>
    <row r="476" spans="1:12" x14ac:dyDescent="0.2">
      <c r="A476" s="18">
        <v>475</v>
      </c>
      <c r="B476" s="19">
        <v>46110</v>
      </c>
      <c r="C476" s="20">
        <v>1222363290</v>
      </c>
      <c r="D476" s="34" t="str">
        <f>IFERROR(IF(C476="","",VLOOKUP(C476,المستفيدين!$B:$C,2,FALSE)),"")</f>
        <v>مستفيد125</v>
      </c>
      <c r="E476" s="24" t="s">
        <v>276</v>
      </c>
      <c r="F476" s="34" t="str">
        <f>IFERROR(IF(E476="","",VLOOKUP(E476,الموظفين!$B:$C,2,FALSE)),"")</f>
        <v>موظف67</v>
      </c>
      <c r="G476" s="34" t="str">
        <f>IFERROR(IF(C476="","",VLOOKUP(C476,المستفيدين!$B:$F,5,FALSE)),"")</f>
        <v>مركز إرادة وتمكين لرعاية ذوي الاحتياجات الخاصة (جلمودة)</v>
      </c>
      <c r="H476" s="24" t="s">
        <v>552</v>
      </c>
      <c r="I476" s="24" t="s">
        <v>80</v>
      </c>
      <c r="J476" s="24" t="s">
        <v>1</v>
      </c>
      <c r="K476" s="24" t="s">
        <v>10</v>
      </c>
      <c r="L476" s="25" t="s">
        <v>526</v>
      </c>
    </row>
    <row r="477" spans="1:12" x14ac:dyDescent="0.2">
      <c r="A477" s="21">
        <v>476</v>
      </c>
      <c r="B477" s="22">
        <v>46111</v>
      </c>
      <c r="C477" s="20">
        <v>1480462141</v>
      </c>
      <c r="D477" s="34" t="str">
        <f>IFERROR(IF(C477="","",VLOOKUP(C477,المستفيدين!$B:$C,2,FALSE)),"")</f>
        <v>مستفيد69</v>
      </c>
      <c r="E477" s="20" t="s">
        <v>274</v>
      </c>
      <c r="F477" s="34" t="str">
        <f>IFERROR(IF(E477="","",VLOOKUP(E477,الموظفين!$B:$C,2,FALSE)),"")</f>
        <v>موظف66</v>
      </c>
      <c r="G477" s="34" t="str">
        <f>IFERROR(IF(C477="","",VLOOKUP(C477,المستفيدين!$B:$F,5,FALSE)),"")</f>
        <v>مركز إرادة وتمكين لمتلازمة داون (نجد)</v>
      </c>
      <c r="H477" s="24" t="s">
        <v>553</v>
      </c>
      <c r="I477" s="20" t="s">
        <v>74</v>
      </c>
      <c r="J477" s="20" t="s">
        <v>1</v>
      </c>
      <c r="K477" s="20" t="s">
        <v>9</v>
      </c>
      <c r="L477" s="26"/>
    </row>
    <row r="478" spans="1:12" x14ac:dyDescent="0.2">
      <c r="A478" s="18">
        <v>477</v>
      </c>
      <c r="B478" s="19">
        <v>46113</v>
      </c>
      <c r="C478" s="20">
        <v>1247447562</v>
      </c>
      <c r="D478" s="34" t="str">
        <f>IFERROR(IF(C478="","",VLOOKUP(C478,المستفيدين!$B:$C,2,FALSE)),"")</f>
        <v>مستفيد89</v>
      </c>
      <c r="E478" s="24" t="s">
        <v>196</v>
      </c>
      <c r="F478" s="34" t="str">
        <f>IFERROR(IF(E478="","",VLOOKUP(E478,الموظفين!$B:$C,2,FALSE)),"")</f>
        <v>موظف27</v>
      </c>
      <c r="G478" s="34" t="str">
        <f>IFERROR(IF(C478="","",VLOOKUP(C478,المستفيدين!$B:$F,5,FALSE)),"")</f>
        <v>مدرسة إرادة للتعليم (مكة)</v>
      </c>
      <c r="H478" s="24" t="s">
        <v>553</v>
      </c>
      <c r="I478" s="24" t="s">
        <v>77</v>
      </c>
      <c r="J478" s="24" t="s">
        <v>1</v>
      </c>
      <c r="K478" s="24" t="s">
        <v>9</v>
      </c>
      <c r="L478" s="25" t="s">
        <v>526</v>
      </c>
    </row>
    <row r="479" spans="1:12" x14ac:dyDescent="0.2">
      <c r="A479" s="21">
        <v>478</v>
      </c>
      <c r="B479" s="22">
        <v>46113</v>
      </c>
      <c r="C479" s="20">
        <v>1618104695</v>
      </c>
      <c r="D479" s="34" t="str">
        <f>IFERROR(IF(C479="","",VLOOKUP(C479,المستفيدين!$B:$C,2,FALSE)),"")</f>
        <v>مستفيد36</v>
      </c>
      <c r="E479" s="20" t="s">
        <v>306</v>
      </c>
      <c r="F479" s="34" t="str">
        <f>IFERROR(IF(E479="","",VLOOKUP(E479,الموظفين!$B:$C,2,FALSE)),"")</f>
        <v>موظف82</v>
      </c>
      <c r="G479" s="34" t="str">
        <f>IFERROR(IF(C479="","",VLOOKUP(C479,المستفيدين!$B:$F,5,FALSE)),"")</f>
        <v>مدرسة إرادة وتمكين لمتلازمة داون (نجد)</v>
      </c>
      <c r="H479" s="24" t="s">
        <v>553</v>
      </c>
      <c r="I479" s="20" t="s">
        <v>79</v>
      </c>
      <c r="J479" s="20" t="s">
        <v>0</v>
      </c>
      <c r="K479" s="20" t="s">
        <v>9</v>
      </c>
      <c r="L479" s="26" t="s">
        <v>526</v>
      </c>
    </row>
    <row r="480" spans="1:12" x14ac:dyDescent="0.2">
      <c r="A480" s="18">
        <v>479</v>
      </c>
      <c r="B480" s="19">
        <v>46114</v>
      </c>
      <c r="C480" s="20">
        <v>1374392968</v>
      </c>
      <c r="D480" s="34" t="str">
        <f>IFERROR(IF(C480="","",VLOOKUP(C480,المستفيدين!$B:$C,2,FALSE)),"")</f>
        <v>مستفيد190</v>
      </c>
      <c r="E480" s="24" t="s">
        <v>172</v>
      </c>
      <c r="F480" s="34" t="str">
        <f>IFERROR(IF(E480="","",VLOOKUP(E480,الموظفين!$B:$C,2,FALSE)),"")</f>
        <v>موظف15</v>
      </c>
      <c r="G480" s="34" t="str">
        <f>IFERROR(IF(C480="","",VLOOKUP(C480,المستفيدين!$B:$F,5,FALSE)),"")</f>
        <v>مدرسة إرادة وتمكين لمتلازمة داون (نجد)</v>
      </c>
      <c r="H480" s="24" t="s">
        <v>553</v>
      </c>
      <c r="I480" s="24" t="s">
        <v>78</v>
      </c>
      <c r="J480" s="24" t="s">
        <v>1</v>
      </c>
      <c r="K480" s="24" t="s">
        <v>9</v>
      </c>
      <c r="L480" s="25" t="s">
        <v>523</v>
      </c>
    </row>
    <row r="481" spans="1:12" x14ac:dyDescent="0.2">
      <c r="A481" s="21">
        <v>480</v>
      </c>
      <c r="B481" s="22">
        <v>46114</v>
      </c>
      <c r="C481" s="20">
        <v>1885244360</v>
      </c>
      <c r="D481" s="34" t="str">
        <f>IFERROR(IF(C481="","",VLOOKUP(C481,المستفيدين!$B:$C,2,FALSE)),"")</f>
        <v>مستفيد171</v>
      </c>
      <c r="E481" s="20" t="s">
        <v>240</v>
      </c>
      <c r="F481" s="34" t="str">
        <f>IFERROR(IF(E481="","",VLOOKUP(E481,الموظفين!$B:$C,2,FALSE)),"")</f>
        <v>موظف49</v>
      </c>
      <c r="G481" s="34" t="str">
        <f>IFERROR(IF(C481="","",VLOOKUP(C481,المستفيدين!$B:$F,5,FALSE)),"")</f>
        <v>مركز إرادة وتمكين لمتلازمة داون (نجد)</v>
      </c>
      <c r="H481" s="24" t="s">
        <v>552</v>
      </c>
      <c r="I481" s="20" t="s">
        <v>556</v>
      </c>
      <c r="J481" s="20" t="s">
        <v>0</v>
      </c>
      <c r="K481" s="20" t="s">
        <v>9</v>
      </c>
      <c r="L481" s="26"/>
    </row>
    <row r="482" spans="1:12" x14ac:dyDescent="0.2">
      <c r="A482" s="18">
        <v>481</v>
      </c>
      <c r="B482" s="19">
        <v>46115</v>
      </c>
      <c r="C482" s="20">
        <v>1228939605</v>
      </c>
      <c r="D482" s="34" t="str">
        <f>IFERROR(IF(C482="","",VLOOKUP(C482,المستفيدين!$B:$C,2,FALSE)),"")</f>
        <v>مستفيد54</v>
      </c>
      <c r="E482" s="24" t="s">
        <v>292</v>
      </c>
      <c r="F482" s="34" t="str">
        <f>IFERROR(IF(E482="","",VLOOKUP(E482,الموظفين!$B:$C,2,FALSE)),"")</f>
        <v>موظف75</v>
      </c>
      <c r="G482" s="34" t="str">
        <f>IFERROR(IF(C482="","",VLOOKUP(C482,المستفيدين!$B:$F,5,FALSE)),"")</f>
        <v>مدرسة إرادة للتعليم (مكة)</v>
      </c>
      <c r="H482" s="24" t="s">
        <v>553</v>
      </c>
      <c r="I482" s="24" t="s">
        <v>75</v>
      </c>
      <c r="J482" s="24" t="s">
        <v>1</v>
      </c>
      <c r="K482" s="24" t="s">
        <v>12</v>
      </c>
      <c r="L482" s="25"/>
    </row>
    <row r="483" spans="1:12" x14ac:dyDescent="0.2">
      <c r="A483" s="21">
        <v>482</v>
      </c>
      <c r="B483" s="22">
        <v>46117</v>
      </c>
      <c r="C483" s="20">
        <v>1715681493</v>
      </c>
      <c r="D483" s="34" t="str">
        <f>IFERROR(IF(C483="","",VLOOKUP(C483,المستفيدين!$B:$C,2,FALSE)),"")</f>
        <v>مستفيد105</v>
      </c>
      <c r="E483" s="20" t="s">
        <v>68</v>
      </c>
      <c r="F483" s="34" t="str">
        <f>IFERROR(IF(E483="","",VLOOKUP(E483,الموظفين!$B:$C,2,FALSE)),"")</f>
        <v>موظف2</v>
      </c>
      <c r="G483" s="34" t="str">
        <f>IFERROR(IF(C483="","",VLOOKUP(C483,المستفيدين!$B:$F,5,FALSE)),"")</f>
        <v>مركز إرادة وتمكين لمتلازمة داون (نجد)</v>
      </c>
      <c r="H483" s="24" t="s">
        <v>553</v>
      </c>
      <c r="I483" s="20" t="s">
        <v>75</v>
      </c>
      <c r="J483" s="20" t="s">
        <v>0</v>
      </c>
      <c r="K483" s="20" t="s">
        <v>12</v>
      </c>
      <c r="L483" s="26"/>
    </row>
    <row r="484" spans="1:12" x14ac:dyDescent="0.2">
      <c r="A484" s="18">
        <v>483</v>
      </c>
      <c r="B484" s="19">
        <v>46117</v>
      </c>
      <c r="C484" s="20">
        <v>1763354093</v>
      </c>
      <c r="D484" s="34" t="str">
        <f>IFERROR(IF(C484="","",VLOOKUP(C484,المستفيدين!$B:$C,2,FALSE)),"")</f>
        <v>مستفيد10</v>
      </c>
      <c r="E484" s="24" t="s">
        <v>326</v>
      </c>
      <c r="F484" s="34" t="str">
        <f>IFERROR(IF(E484="","",VLOOKUP(E484,الموظفين!$B:$C,2,FALSE)),"")</f>
        <v>موظف92</v>
      </c>
      <c r="G484" s="34" t="str">
        <f>IFERROR(IF(C484="","",VLOOKUP(C484,المستفيدين!$B:$F,5,FALSE)),"")</f>
        <v>مركز إرادة وتمكين للرعاية النهارية (القدس)</v>
      </c>
      <c r="H484" s="24" t="s">
        <v>553</v>
      </c>
      <c r="I484" s="24" t="s">
        <v>79</v>
      </c>
      <c r="J484" s="24" t="s">
        <v>0</v>
      </c>
      <c r="K484" s="24" t="s">
        <v>12</v>
      </c>
      <c r="L484" s="25"/>
    </row>
    <row r="485" spans="1:12" x14ac:dyDescent="0.2">
      <c r="A485" s="21">
        <v>484</v>
      </c>
      <c r="B485" s="22">
        <v>46120</v>
      </c>
      <c r="C485" s="20">
        <v>1062866233</v>
      </c>
      <c r="D485" s="34" t="str">
        <f>IFERROR(IF(C485="","",VLOOKUP(C485,المستفيدين!$B:$C,2,FALSE)),"")</f>
        <v>مستفيد71</v>
      </c>
      <c r="E485" s="20" t="s">
        <v>210</v>
      </c>
      <c r="F485" s="34" t="str">
        <f>IFERROR(IF(E485="","",VLOOKUP(E485,الموظفين!$B:$C,2,FALSE)),"")</f>
        <v>موظف34</v>
      </c>
      <c r="G485" s="34" t="str">
        <f>IFERROR(IF(C485="","",VLOOKUP(C485,المستفيدين!$B:$F,5,FALSE)),"")</f>
        <v>مركز إرادة وتمكين لرعاية ذوي الاحتياجات الخاصة (جلمودة)</v>
      </c>
      <c r="H485" s="24" t="s">
        <v>553</v>
      </c>
      <c r="I485" s="20" t="s">
        <v>76</v>
      </c>
      <c r="J485" s="20" t="s">
        <v>0</v>
      </c>
      <c r="K485" s="20" t="s">
        <v>9</v>
      </c>
      <c r="L485" s="26" t="s">
        <v>525</v>
      </c>
    </row>
    <row r="486" spans="1:12" x14ac:dyDescent="0.2">
      <c r="A486" s="18">
        <v>485</v>
      </c>
      <c r="B486" s="19">
        <v>46123</v>
      </c>
      <c r="C486" s="20">
        <v>1392511676</v>
      </c>
      <c r="D486" s="34" t="str">
        <f>IFERROR(IF(C486="","",VLOOKUP(C486,المستفيدين!$B:$C,2,FALSE)),"")</f>
        <v>مستفيد179</v>
      </c>
      <c r="E486" s="24" t="s">
        <v>250</v>
      </c>
      <c r="F486" s="34" t="str">
        <f>IFERROR(IF(E486="","",VLOOKUP(E486,الموظفين!$B:$C,2,FALSE)),"")</f>
        <v>موظف54</v>
      </c>
      <c r="G486" s="34" t="str">
        <f>IFERROR(IF(C486="","",VLOOKUP(C486,المستفيدين!$B:$F,5,FALSE)),"")</f>
        <v>مركز إرادة وتمكين للرعاية النهارية (القدس)</v>
      </c>
      <c r="H486" s="24" t="s">
        <v>553</v>
      </c>
      <c r="I486" s="24" t="s">
        <v>79</v>
      </c>
      <c r="J486" s="24" t="s">
        <v>1</v>
      </c>
      <c r="K486" s="24" t="s">
        <v>10</v>
      </c>
      <c r="L486" s="25" t="s">
        <v>526</v>
      </c>
    </row>
    <row r="487" spans="1:12" x14ac:dyDescent="0.2">
      <c r="A487" s="21">
        <v>486</v>
      </c>
      <c r="B487" s="22">
        <v>46125</v>
      </c>
      <c r="C487" s="20">
        <v>1216681476</v>
      </c>
      <c r="D487" s="34" t="str">
        <f>IFERROR(IF(C487="","",VLOOKUP(C487,المستفيدين!$B:$C,2,FALSE)),"")</f>
        <v>مستفيد44</v>
      </c>
      <c r="E487" s="20" t="s">
        <v>164</v>
      </c>
      <c r="F487" s="34" t="str">
        <f>IFERROR(IF(E487="","",VLOOKUP(E487,الموظفين!$B:$C,2,FALSE)),"")</f>
        <v>موظف11</v>
      </c>
      <c r="G487" s="34" t="str">
        <f>IFERROR(IF(C487="","",VLOOKUP(C487,المستفيدين!$B:$F,5,FALSE)),"")</f>
        <v>مدرسة إرادة للتعليم (مكة)</v>
      </c>
      <c r="H487" s="24" t="s">
        <v>552</v>
      </c>
      <c r="I487" s="20" t="s">
        <v>81</v>
      </c>
      <c r="J487" s="20" t="s">
        <v>1</v>
      </c>
      <c r="K487" s="20" t="s">
        <v>10</v>
      </c>
      <c r="L487" s="26" t="s">
        <v>525</v>
      </c>
    </row>
    <row r="488" spans="1:12" x14ac:dyDescent="0.2">
      <c r="A488" s="18">
        <v>487</v>
      </c>
      <c r="B488" s="19">
        <v>46125</v>
      </c>
      <c r="C488" s="20">
        <v>1508553395</v>
      </c>
      <c r="D488" s="34" t="str">
        <f>IFERROR(IF(C488="","",VLOOKUP(C488,المستفيدين!$B:$C,2,FALSE)),"")</f>
        <v>مستفيد129</v>
      </c>
      <c r="E488" s="24" t="s">
        <v>68</v>
      </c>
      <c r="F488" s="34" t="str">
        <f>IFERROR(IF(E488="","",VLOOKUP(E488,الموظفين!$B:$C,2,FALSE)),"")</f>
        <v>موظف2</v>
      </c>
      <c r="G488" s="34" t="str">
        <f>IFERROR(IF(C488="","",VLOOKUP(C488,المستفيدين!$B:$F,5,FALSE)),"")</f>
        <v>مدرسة إرادة وتمكين لمتلازمة داون (نجد)</v>
      </c>
      <c r="H488" s="24" t="s">
        <v>553</v>
      </c>
      <c r="I488" s="24" t="s">
        <v>75</v>
      </c>
      <c r="J488" s="24" t="s">
        <v>0</v>
      </c>
      <c r="K488" s="24" t="s">
        <v>10</v>
      </c>
      <c r="L488" s="25"/>
    </row>
    <row r="489" spans="1:12" x14ac:dyDescent="0.2">
      <c r="A489" s="21">
        <v>488</v>
      </c>
      <c r="B489" s="22">
        <v>46126</v>
      </c>
      <c r="C489" s="20">
        <v>1181928548</v>
      </c>
      <c r="D489" s="34" t="str">
        <f>IFERROR(IF(C489="","",VLOOKUP(C489,المستفيدين!$B:$C,2,FALSE)),"")</f>
        <v>مستفيد128</v>
      </c>
      <c r="E489" s="20" t="s">
        <v>194</v>
      </c>
      <c r="F489" s="34" t="str">
        <f>IFERROR(IF(E489="","",VLOOKUP(E489,الموظفين!$B:$C,2,FALSE)),"")</f>
        <v>موظف26</v>
      </c>
      <c r="G489" s="34" t="str">
        <f>IFERROR(IF(C489="","",VLOOKUP(C489,المستفيدين!$B:$F,5,FALSE)),"")</f>
        <v>مدرسة إرادة للتعليم (مكة)</v>
      </c>
      <c r="H489" s="24" t="s">
        <v>552</v>
      </c>
      <c r="I489" s="20" t="s">
        <v>80</v>
      </c>
      <c r="J489" s="20" t="s">
        <v>1</v>
      </c>
      <c r="K489" s="20" t="s">
        <v>12</v>
      </c>
      <c r="L489" s="26"/>
    </row>
    <row r="490" spans="1:12" x14ac:dyDescent="0.2">
      <c r="A490" s="18">
        <v>489</v>
      </c>
      <c r="B490" s="19">
        <v>46126</v>
      </c>
      <c r="C490" s="20">
        <v>1905329493</v>
      </c>
      <c r="D490" s="34" t="str">
        <f>IFERROR(IF(C490="","",VLOOKUP(C490,المستفيدين!$B:$C,2,FALSE)),"")</f>
        <v>مستفيد155</v>
      </c>
      <c r="E490" s="24" t="s">
        <v>254</v>
      </c>
      <c r="F490" s="34" t="str">
        <f>IFERROR(IF(E490="","",VLOOKUP(E490,الموظفين!$B:$C,2,FALSE)),"")</f>
        <v>موظف56</v>
      </c>
      <c r="G490" s="34" t="str">
        <f>IFERROR(IF(C490="","",VLOOKUP(C490,المستفيدين!$B:$F,5,FALSE)),"")</f>
        <v>مركز إرادة وتمكين للرعاية النهارية (القدس)</v>
      </c>
      <c r="H490" s="24" t="s">
        <v>553</v>
      </c>
      <c r="I490" s="24" t="s">
        <v>75</v>
      </c>
      <c r="J490" s="24" t="s">
        <v>0</v>
      </c>
      <c r="K490" s="24" t="s">
        <v>12</v>
      </c>
      <c r="L490" s="25"/>
    </row>
    <row r="491" spans="1:12" x14ac:dyDescent="0.2">
      <c r="A491" s="21">
        <v>490</v>
      </c>
      <c r="B491" s="22">
        <v>46130</v>
      </c>
      <c r="C491" s="20">
        <v>1402220485</v>
      </c>
      <c r="D491" s="34" t="str">
        <f>IFERROR(IF(C491="","",VLOOKUP(C491,المستفيدين!$B:$C,2,FALSE)),"")</f>
        <v>مستفيد41</v>
      </c>
      <c r="E491" s="20" t="s">
        <v>252</v>
      </c>
      <c r="F491" s="34" t="str">
        <f>IFERROR(IF(E491="","",VLOOKUP(E491,الموظفين!$B:$C,2,FALSE)),"")</f>
        <v>موظف55</v>
      </c>
      <c r="G491" s="34" t="str">
        <f>IFERROR(IF(C491="","",VLOOKUP(C491,المستفيدين!$B:$F,5,FALSE)),"")</f>
        <v>مدرسة إرادة وتمكين لمتلازمة داون (نجد)</v>
      </c>
      <c r="H491" s="24" t="s">
        <v>553</v>
      </c>
      <c r="I491" s="20" t="s">
        <v>77</v>
      </c>
      <c r="J491" s="20" t="s">
        <v>1</v>
      </c>
      <c r="K491" s="20" t="s">
        <v>9</v>
      </c>
      <c r="L491" s="26" t="s">
        <v>526</v>
      </c>
    </row>
    <row r="492" spans="1:12" x14ac:dyDescent="0.2">
      <c r="A492" s="18">
        <v>491</v>
      </c>
      <c r="B492" s="19">
        <v>46133</v>
      </c>
      <c r="C492" s="20">
        <v>1489760898</v>
      </c>
      <c r="D492" s="34" t="str">
        <f>IFERROR(IF(C492="","",VLOOKUP(C492,المستفيدين!$B:$C,2,FALSE)),"")</f>
        <v>مستفيد172</v>
      </c>
      <c r="E492" s="24" t="s">
        <v>172</v>
      </c>
      <c r="F492" s="34" t="str">
        <f>IFERROR(IF(E492="","",VLOOKUP(E492,الموظفين!$B:$C,2,FALSE)),"")</f>
        <v>موظف15</v>
      </c>
      <c r="G492" s="34" t="str">
        <f>IFERROR(IF(C492="","",VLOOKUP(C492,المستفيدين!$B:$F,5,FALSE)),"")</f>
        <v>مدرسة إرادة وتمكين لمتلازمة داون (نجد)</v>
      </c>
      <c r="H492" s="24" t="s">
        <v>553</v>
      </c>
      <c r="I492" s="24" t="s">
        <v>78</v>
      </c>
      <c r="J492" s="24" t="s">
        <v>1</v>
      </c>
      <c r="K492" s="24" t="s">
        <v>9</v>
      </c>
      <c r="L492" s="25" t="s">
        <v>524</v>
      </c>
    </row>
    <row r="493" spans="1:12" x14ac:dyDescent="0.2">
      <c r="A493" s="21">
        <v>492</v>
      </c>
      <c r="B493" s="22">
        <v>46133</v>
      </c>
      <c r="C493" s="20">
        <v>1773160728</v>
      </c>
      <c r="D493" s="34" t="str">
        <f>IFERROR(IF(C493="","",VLOOKUP(C493,المستفيدين!$B:$C,2,FALSE)),"")</f>
        <v>مستفيد161</v>
      </c>
      <c r="E493" s="20" t="s">
        <v>164</v>
      </c>
      <c r="F493" s="34" t="str">
        <f>IFERROR(IF(E493="","",VLOOKUP(E493,الموظفين!$B:$C,2,FALSE)),"")</f>
        <v>موظف11</v>
      </c>
      <c r="G493" s="34" t="str">
        <f>IFERROR(IF(C493="","",VLOOKUP(C493,المستفيدين!$B:$F,5,FALSE)),"")</f>
        <v>مركز إرادة وتمكين لمتلازمة داون (نجد)</v>
      </c>
      <c r="H493" s="24" t="s">
        <v>552</v>
      </c>
      <c r="I493" s="20" t="s">
        <v>81</v>
      </c>
      <c r="J493" s="20" t="s">
        <v>1</v>
      </c>
      <c r="K493" s="20" t="s">
        <v>10</v>
      </c>
      <c r="L493" s="26"/>
    </row>
    <row r="494" spans="1:12" x14ac:dyDescent="0.2">
      <c r="A494" s="18">
        <v>493</v>
      </c>
      <c r="B494" s="19">
        <v>46134</v>
      </c>
      <c r="C494" s="20">
        <v>1330656105</v>
      </c>
      <c r="D494" s="34" t="str">
        <f>IFERROR(IF(C494="","",VLOOKUP(C494,المستفيدين!$B:$C,2,FALSE)),"")</f>
        <v>مستفيد45</v>
      </c>
      <c r="E494" s="24" t="s">
        <v>182</v>
      </c>
      <c r="F494" s="34" t="str">
        <f>IFERROR(IF(E494="","",VLOOKUP(E494,الموظفين!$B:$C,2,FALSE)),"")</f>
        <v>موظف20</v>
      </c>
      <c r="G494" s="34" t="str">
        <f>IFERROR(IF(C494="","",VLOOKUP(C494,المستفيدين!$B:$F,5,FALSE)),"")</f>
        <v>مركز إرادة وتمكين لمتلازمة داون (نجد)</v>
      </c>
      <c r="H494" s="24" t="s">
        <v>553</v>
      </c>
      <c r="I494" s="24" t="s">
        <v>76</v>
      </c>
      <c r="J494" s="24" t="s">
        <v>1</v>
      </c>
      <c r="K494" s="24" t="s">
        <v>12</v>
      </c>
      <c r="L494" s="25" t="s">
        <v>525</v>
      </c>
    </row>
    <row r="495" spans="1:12" x14ac:dyDescent="0.2">
      <c r="A495" s="21">
        <v>494</v>
      </c>
      <c r="B495" s="22">
        <v>46139</v>
      </c>
      <c r="C495" s="20">
        <v>1817449144</v>
      </c>
      <c r="D495" s="34" t="str">
        <f>IFERROR(IF(C495="","",VLOOKUP(C495,المستفيدين!$B:$C,2,FALSE)),"")</f>
        <v>مستفيد177</v>
      </c>
      <c r="E495" s="20" t="s">
        <v>212</v>
      </c>
      <c r="F495" s="34" t="str">
        <f>IFERROR(IF(E495="","",VLOOKUP(E495,الموظفين!$B:$C,2,FALSE)),"")</f>
        <v>موظف35</v>
      </c>
      <c r="G495" s="34" t="str">
        <f>IFERROR(IF(C495="","",VLOOKUP(C495,المستفيدين!$B:$F,5,FALSE)),"")</f>
        <v>مركز إرادة وتمكين لرعاية ذوي الاحتياجات الخاصة (جلمودة)</v>
      </c>
      <c r="H495" s="24" t="s">
        <v>552</v>
      </c>
      <c r="I495" s="20" t="s">
        <v>80</v>
      </c>
      <c r="J495" s="20" t="s">
        <v>0</v>
      </c>
      <c r="K495" s="20" t="s">
        <v>9</v>
      </c>
      <c r="L495" s="26" t="s">
        <v>523</v>
      </c>
    </row>
    <row r="496" spans="1:12" x14ac:dyDescent="0.2">
      <c r="A496" s="18">
        <v>495</v>
      </c>
      <c r="B496" s="19">
        <v>46139</v>
      </c>
      <c r="C496" s="20">
        <v>1845701828</v>
      </c>
      <c r="D496" s="34" t="str">
        <f>IFERROR(IF(C496="","",VLOOKUP(C496,المستفيدين!$B:$C,2,FALSE)),"")</f>
        <v>مستفيد192</v>
      </c>
      <c r="E496" s="24" t="s">
        <v>312</v>
      </c>
      <c r="F496" s="34" t="str">
        <f>IFERROR(IF(E496="","",VLOOKUP(E496,الموظفين!$B:$C,2,FALSE)),"")</f>
        <v>موظف85</v>
      </c>
      <c r="G496" s="34" t="str">
        <f>IFERROR(IF(C496="","",VLOOKUP(C496,المستفيدين!$B:$F,5,FALSE)),"")</f>
        <v>مركز إرادة وتمكين للرعاية النهارية (القدس)</v>
      </c>
      <c r="H496" s="24" t="s">
        <v>552</v>
      </c>
      <c r="I496" s="24" t="s">
        <v>81</v>
      </c>
      <c r="J496" s="24" t="s">
        <v>1</v>
      </c>
      <c r="K496" s="24" t="s">
        <v>9</v>
      </c>
      <c r="L496" s="25" t="s">
        <v>526</v>
      </c>
    </row>
    <row r="497" spans="1:12" x14ac:dyDescent="0.2">
      <c r="A497" s="21">
        <v>496</v>
      </c>
      <c r="B497" s="22">
        <v>46141</v>
      </c>
      <c r="C497" s="20">
        <v>1441451242</v>
      </c>
      <c r="D497" s="34" t="str">
        <f>IFERROR(IF(C497="","",VLOOKUP(C497,المستفيدين!$B:$C,2,FALSE)),"")</f>
        <v>مستفيد96</v>
      </c>
      <c r="E497" s="20" t="s">
        <v>236</v>
      </c>
      <c r="F497" s="34" t="str">
        <f>IFERROR(IF(E497="","",VLOOKUP(E497,الموظفين!$B:$C,2,FALSE)),"")</f>
        <v>موظف47</v>
      </c>
      <c r="G497" s="34" t="str">
        <f>IFERROR(IF(C497="","",VLOOKUP(C497,المستفيدين!$B:$F,5,FALSE)),"")</f>
        <v>مدرسة إرادة للتعليم (مكة)</v>
      </c>
      <c r="H497" s="24" t="s">
        <v>553</v>
      </c>
      <c r="I497" s="20" t="s">
        <v>79</v>
      </c>
      <c r="J497" s="20" t="s">
        <v>1</v>
      </c>
      <c r="K497" s="20" t="s">
        <v>9</v>
      </c>
      <c r="L497" s="26" t="s">
        <v>525</v>
      </c>
    </row>
    <row r="498" spans="1:12" x14ac:dyDescent="0.2">
      <c r="A498" s="18">
        <v>497</v>
      </c>
      <c r="B498" s="19">
        <v>46142</v>
      </c>
      <c r="C498" s="20">
        <v>1838907615</v>
      </c>
      <c r="D498" s="34" t="str">
        <f>IFERROR(IF(C498="","",VLOOKUP(C498,المستفيدين!$B:$C,2,FALSE)),"")</f>
        <v>مستفيد29</v>
      </c>
      <c r="E498" s="24" t="s">
        <v>298</v>
      </c>
      <c r="F498" s="34" t="str">
        <f>IFERROR(IF(E498="","",VLOOKUP(E498,الموظفين!$B:$C,2,FALSE)),"")</f>
        <v>موظف78</v>
      </c>
      <c r="G498" s="34" t="str">
        <f>IFERROR(IF(C498="","",VLOOKUP(C498,المستفيدين!$B:$F,5,FALSE)),"")</f>
        <v>مركز إرادة وتمكين لرعاية ذوي الاحتياجات الخاصة (جلمودة)</v>
      </c>
      <c r="H498" s="24" t="s">
        <v>553</v>
      </c>
      <c r="I498" s="24" t="s">
        <v>75</v>
      </c>
      <c r="J498" s="24" t="s">
        <v>1</v>
      </c>
      <c r="K498" s="24" t="s">
        <v>9</v>
      </c>
      <c r="L498" s="25" t="s">
        <v>525</v>
      </c>
    </row>
    <row r="499" spans="1:12" x14ac:dyDescent="0.2">
      <c r="A499" s="21">
        <v>498</v>
      </c>
      <c r="B499" s="22">
        <v>46142</v>
      </c>
      <c r="C499" s="20">
        <v>1491276005</v>
      </c>
      <c r="D499" s="34" t="str">
        <f>IFERROR(IF(C499="","",VLOOKUP(C499,المستفيدين!$B:$C,2,FALSE)),"")</f>
        <v>مستفيد73</v>
      </c>
      <c r="E499" s="20" t="s">
        <v>320</v>
      </c>
      <c r="F499" s="34" t="str">
        <f>IFERROR(IF(E499="","",VLOOKUP(E499,الموظفين!$B:$C,2,FALSE)),"")</f>
        <v>موظف89</v>
      </c>
      <c r="G499" s="34" t="str">
        <f>IFERROR(IF(C499="","",VLOOKUP(C499,المستفيدين!$B:$F,5,FALSE)),"")</f>
        <v>مدرسة إرادة للتعليم (مكة)</v>
      </c>
      <c r="H499" s="24" t="s">
        <v>553</v>
      </c>
      <c r="I499" s="20" t="s">
        <v>77</v>
      </c>
      <c r="J499" s="20" t="s">
        <v>1</v>
      </c>
      <c r="K499" s="20" t="s">
        <v>12</v>
      </c>
      <c r="L499" s="26" t="s">
        <v>525</v>
      </c>
    </row>
    <row r="500" spans="1:12" x14ac:dyDescent="0.2">
      <c r="A500" s="18">
        <v>499</v>
      </c>
      <c r="B500" s="19">
        <v>46144</v>
      </c>
      <c r="C500" s="20">
        <v>1113590304</v>
      </c>
      <c r="D500" s="34" t="str">
        <f>IFERROR(IF(C500="","",VLOOKUP(C500,المستفيدين!$B:$C,2,FALSE)),"")</f>
        <v>مستفيد186</v>
      </c>
      <c r="E500" s="24" t="s">
        <v>188</v>
      </c>
      <c r="F500" s="34" t="str">
        <f>IFERROR(IF(E500="","",VLOOKUP(E500,الموظفين!$B:$C,2,FALSE)),"")</f>
        <v>موظف23</v>
      </c>
      <c r="G500" s="34" t="str">
        <f>IFERROR(IF(C500="","",VLOOKUP(C500,المستفيدين!$B:$F,5,FALSE)),"")</f>
        <v>مركز إرادة وتمكين لمتلازمة داون (نجد)</v>
      </c>
      <c r="H500" s="24" t="s">
        <v>553</v>
      </c>
      <c r="I500" s="24" t="s">
        <v>79</v>
      </c>
      <c r="J500" s="24" t="s">
        <v>1</v>
      </c>
      <c r="K500" s="24" t="s">
        <v>11</v>
      </c>
      <c r="L500" s="25" t="s">
        <v>51</v>
      </c>
    </row>
    <row r="501" spans="1:12" x14ac:dyDescent="0.2">
      <c r="A501" s="21">
        <v>500</v>
      </c>
      <c r="B501" s="22">
        <v>46144</v>
      </c>
      <c r="C501" s="20">
        <v>1812303672</v>
      </c>
      <c r="D501" s="34" t="str">
        <f>IFERROR(IF(C501="","",VLOOKUP(C501,المستفيدين!$B:$C,2,FALSE)),"")</f>
        <v>مستفيد100</v>
      </c>
      <c r="E501" s="20" t="s">
        <v>69</v>
      </c>
      <c r="F501" s="34" t="str">
        <f>IFERROR(IF(E501="","",VLOOKUP(E501,الموظفين!$B:$C,2,FALSE)),"")</f>
        <v>موظف3</v>
      </c>
      <c r="G501" s="34" t="str">
        <f>IFERROR(IF(C501="","",VLOOKUP(C501,المستفيدين!$B:$F,5,FALSE)),"")</f>
        <v>مدرسة إرادة للتعليم (مكة)</v>
      </c>
      <c r="H501" s="24" t="s">
        <v>553</v>
      </c>
      <c r="I501" s="20" t="s">
        <v>75</v>
      </c>
      <c r="J501" s="20" t="s">
        <v>1</v>
      </c>
      <c r="K501" s="20" t="s">
        <v>9</v>
      </c>
      <c r="L501" s="26" t="s">
        <v>525</v>
      </c>
    </row>
    <row r="502" spans="1:12" x14ac:dyDescent="0.2">
      <c r="A502" s="35"/>
      <c r="B502" s="36"/>
      <c r="C502" s="36"/>
      <c r="D502" s="37" t="str">
        <f>IFERROR(IF(C502="","",VLOOKUP(C502,المستفيدين!$B:$C,2,FALSE)),"")</f>
        <v/>
      </c>
      <c r="E502" s="38"/>
      <c r="F502" s="37" t="str">
        <f>IFERROR(IF(E502="","",VLOOKUP(E502,الموظفين!$B:$C,2,FALSE)),"")</f>
        <v/>
      </c>
      <c r="G502" s="34" t="str">
        <f>IFERROR(IF(C502="","",VLOOKUP(C502,المستفيدين!$B:$F,5,FALSE)),"")</f>
        <v/>
      </c>
      <c r="H502" s="40"/>
      <c r="I502" s="38"/>
      <c r="J502" s="38"/>
      <c r="K502" s="38"/>
      <c r="L502" s="39"/>
    </row>
    <row r="503" spans="1:12" x14ac:dyDescent="0.2">
      <c r="A503" s="26"/>
      <c r="B503" s="22"/>
      <c r="C503" s="22"/>
      <c r="D503" s="34" t="str">
        <f>IFERROR(IF(C503="","",VLOOKUP(C503,المستفيدين!$B:$C,2,FALSE)),"")</f>
        <v/>
      </c>
      <c r="E503" s="20"/>
      <c r="F503" s="34" t="str">
        <f>IFERROR(IF(E503="","",VLOOKUP(E503,الموظفين!$B:$C,2,FALSE)),"")</f>
        <v/>
      </c>
      <c r="G503" s="34" t="str">
        <f>IFERROR(IF(C503="","",VLOOKUP(C503,المستفيدين!$B:$F,5,FALSE)),"")</f>
        <v/>
      </c>
      <c r="H503" s="24"/>
      <c r="I503" s="20"/>
      <c r="J503" s="20"/>
      <c r="K503" s="20"/>
      <c r="L503" s="21"/>
    </row>
    <row r="504" spans="1:12" x14ac:dyDescent="0.2">
      <c r="A504" s="26"/>
      <c r="B504" s="22"/>
      <c r="C504" s="22"/>
      <c r="D504" s="34" t="str">
        <f>IFERROR(IF(C504="","",VLOOKUP(C504,المستفيدين!$B:$C,2,FALSE)),"")</f>
        <v/>
      </c>
      <c r="E504" s="20"/>
      <c r="F504" s="34" t="str">
        <f>IFERROR(IF(E504="","",VLOOKUP(E504,الموظفين!$B:$C,2,FALSE)),"")</f>
        <v/>
      </c>
      <c r="G504" s="34" t="str">
        <f>IFERROR(IF(C504="","",VLOOKUP(C504,المستفيدين!$B:$F,5,FALSE)),"")</f>
        <v/>
      </c>
      <c r="H504" s="24"/>
      <c r="I504" s="20"/>
      <c r="J504" s="20"/>
      <c r="K504" s="20"/>
      <c r="L504" s="21"/>
    </row>
    <row r="505" spans="1:12" x14ac:dyDescent="0.2">
      <c r="A505" s="26"/>
      <c r="B505" s="22"/>
      <c r="C505" s="22"/>
      <c r="D505" s="34" t="str">
        <f>IFERROR(IF(C505="","",VLOOKUP(C505,المستفيدين!$B:$C,2,FALSE)),"")</f>
        <v/>
      </c>
      <c r="E505" s="20"/>
      <c r="F505" s="34" t="str">
        <f>IFERROR(IF(E505="","",VLOOKUP(E505,الموظفين!$B:$C,2,FALSE)),"")</f>
        <v/>
      </c>
      <c r="G505" s="34" t="str">
        <f>IFERROR(IF(C505="","",VLOOKUP(C505,المستفيدين!$B:$F,5,FALSE)),"")</f>
        <v/>
      </c>
      <c r="H505" s="24"/>
      <c r="I505" s="20"/>
      <c r="J505" s="20"/>
      <c r="K505" s="20"/>
      <c r="L505" s="21"/>
    </row>
    <row r="506" spans="1:12" x14ac:dyDescent="0.2">
      <c r="A506" s="26"/>
      <c r="B506" s="22"/>
      <c r="C506" s="22"/>
      <c r="D506" s="34" t="str">
        <f>IFERROR(IF(C506="","",VLOOKUP(C506,المستفيدين!$B:$C,2,FALSE)),"")</f>
        <v/>
      </c>
      <c r="E506" s="20"/>
      <c r="F506" s="34" t="str">
        <f>IFERROR(IF(E506="","",VLOOKUP(E506,الموظفين!$B:$C,2,FALSE)),"")</f>
        <v/>
      </c>
      <c r="G506" s="34" t="str">
        <f>IFERROR(IF(C506="","",VLOOKUP(C506,المستفيدين!$B:$F,5,FALSE)),"")</f>
        <v/>
      </c>
      <c r="H506" s="24"/>
      <c r="I506" s="20"/>
      <c r="J506" s="20"/>
      <c r="K506" s="20"/>
      <c r="L506" s="21"/>
    </row>
    <row r="507" spans="1:12" x14ac:dyDescent="0.2">
      <c r="A507" s="26"/>
      <c r="B507" s="22"/>
      <c r="C507" s="22"/>
      <c r="D507" s="34" t="str">
        <f>IFERROR(IF(C507="","",VLOOKUP(C507,المستفيدين!$B:$C,2,FALSE)),"")</f>
        <v/>
      </c>
      <c r="E507" s="20"/>
      <c r="F507" s="34" t="str">
        <f>IFERROR(IF(E507="","",VLOOKUP(E507,الموظفين!$B:$C,2,FALSE)),"")</f>
        <v/>
      </c>
      <c r="G507" s="34" t="str">
        <f>IFERROR(IF(C507="","",VLOOKUP(C507,المستفيدين!$B:$F,5,FALSE)),"")</f>
        <v/>
      </c>
      <c r="H507" s="24"/>
      <c r="I507" s="20"/>
      <c r="J507" s="20"/>
      <c r="K507" s="20"/>
      <c r="L507" s="21"/>
    </row>
    <row r="508" spans="1:12" x14ac:dyDescent="0.2">
      <c r="A508" s="26"/>
      <c r="B508" s="22"/>
      <c r="C508" s="22"/>
      <c r="D508" s="34" t="str">
        <f>IFERROR(IF(C508="","",VLOOKUP(C508,المستفيدين!$B:$C,2,FALSE)),"")</f>
        <v/>
      </c>
      <c r="E508" s="20"/>
      <c r="F508" s="34" t="str">
        <f>IFERROR(IF(E508="","",VLOOKUP(E508,الموظفين!$B:$C,2,FALSE)),"")</f>
        <v/>
      </c>
      <c r="G508" s="34" t="str">
        <f>IFERROR(IF(C508="","",VLOOKUP(C508,المستفيدين!$B:$F,5,FALSE)),"")</f>
        <v/>
      </c>
      <c r="H508" s="24"/>
      <c r="I508" s="20"/>
      <c r="J508" s="20"/>
      <c r="K508" s="20"/>
      <c r="L508" s="21"/>
    </row>
    <row r="509" spans="1:12" x14ac:dyDescent="0.2">
      <c r="A509" s="26"/>
      <c r="B509" s="22"/>
      <c r="C509" s="22"/>
      <c r="D509" s="34" t="str">
        <f>IFERROR(IF(C509="","",VLOOKUP(C509,المستفيدين!$B:$C,2,FALSE)),"")</f>
        <v/>
      </c>
      <c r="E509" s="20"/>
      <c r="F509" s="34" t="str">
        <f>IFERROR(IF(E509="","",VLOOKUP(E509,الموظفين!$B:$C,2,FALSE)),"")</f>
        <v/>
      </c>
      <c r="G509" s="34" t="str">
        <f>IFERROR(IF(C509="","",VLOOKUP(C509,المستفيدين!$B:$F,5,FALSE)),"")</f>
        <v/>
      </c>
      <c r="H509" s="24"/>
      <c r="I509" s="20"/>
      <c r="J509" s="20"/>
      <c r="K509" s="20"/>
      <c r="L509" s="21"/>
    </row>
    <row r="510" spans="1:12" x14ac:dyDescent="0.2">
      <c r="A510" s="26"/>
      <c r="B510" s="22"/>
      <c r="C510" s="22"/>
      <c r="D510" s="34" t="str">
        <f>IFERROR(IF(C510="","",VLOOKUP(C510,المستفيدين!$B:$C,2,FALSE)),"")</f>
        <v/>
      </c>
      <c r="E510" s="20"/>
      <c r="F510" s="34" t="str">
        <f>IFERROR(IF(E510="","",VLOOKUP(E510,الموظفين!$B:$C,2,FALSE)),"")</f>
        <v/>
      </c>
      <c r="G510" s="34" t="str">
        <f>IFERROR(IF(C510="","",VLOOKUP(C510,المستفيدين!$B:$F,5,FALSE)),"")</f>
        <v/>
      </c>
      <c r="H510" s="24"/>
      <c r="I510" s="20"/>
      <c r="J510" s="20"/>
      <c r="K510" s="20"/>
      <c r="L510" s="21"/>
    </row>
    <row r="511" spans="1:12" x14ac:dyDescent="0.2">
      <c r="A511" s="26"/>
      <c r="B511" s="22"/>
      <c r="C511" s="22"/>
      <c r="D511" s="34" t="str">
        <f>IFERROR(IF(C511="","",VLOOKUP(C511,المستفيدين!$B:$C,2,FALSE)),"")</f>
        <v/>
      </c>
      <c r="E511" s="20"/>
      <c r="F511" s="34" t="str">
        <f>IFERROR(IF(E511="","",VLOOKUP(E511,الموظفين!$B:$C,2,FALSE)),"")</f>
        <v/>
      </c>
      <c r="G511" s="34" t="str">
        <f>IFERROR(IF(C511="","",VLOOKUP(C511,المستفيدين!$B:$F,5,FALSE)),"")</f>
        <v/>
      </c>
      <c r="H511" s="24"/>
      <c r="I511" s="20"/>
      <c r="J511" s="20"/>
      <c r="K511" s="20"/>
      <c r="L511" s="21"/>
    </row>
    <row r="512" spans="1:12" x14ac:dyDescent="0.2">
      <c r="A512" s="26"/>
      <c r="B512" s="22"/>
      <c r="C512" s="22"/>
      <c r="D512" s="34" t="str">
        <f>IFERROR(IF(C512="","",VLOOKUP(C512,المستفيدين!$B:$C,2,FALSE)),"")</f>
        <v/>
      </c>
      <c r="E512" s="20"/>
      <c r="F512" s="34" t="str">
        <f>IFERROR(IF(E512="","",VLOOKUP(E512,الموظفين!$B:$C,2,FALSE)),"")</f>
        <v/>
      </c>
      <c r="G512" s="34" t="str">
        <f>IFERROR(IF(C512="","",VLOOKUP(C512,المستفيدين!$B:$F,5,FALSE)),"")</f>
        <v/>
      </c>
      <c r="H512" s="24"/>
      <c r="I512" s="20"/>
      <c r="J512" s="20"/>
      <c r="K512" s="20"/>
      <c r="L512" s="21"/>
    </row>
    <row r="513" spans="1:12" x14ac:dyDescent="0.2">
      <c r="A513" s="26"/>
      <c r="B513" s="22"/>
      <c r="C513" s="22"/>
      <c r="D513" s="34" t="str">
        <f>IFERROR(IF(C513="","",VLOOKUP(C513,المستفيدين!$B:$C,2,FALSE)),"")</f>
        <v/>
      </c>
      <c r="E513" s="20"/>
      <c r="F513" s="34" t="str">
        <f>IFERROR(IF(E513="","",VLOOKUP(E513,الموظفين!$B:$C,2,FALSE)),"")</f>
        <v/>
      </c>
      <c r="G513" s="34" t="str">
        <f>IFERROR(IF(C513="","",VLOOKUP(C513,المستفيدين!$B:$F,5,FALSE)),"")</f>
        <v/>
      </c>
      <c r="H513" s="24"/>
      <c r="I513" s="20"/>
      <c r="J513" s="20"/>
      <c r="K513" s="20"/>
      <c r="L513" s="21"/>
    </row>
    <row r="514" spans="1:12" x14ac:dyDescent="0.2">
      <c r="A514" s="26"/>
      <c r="B514" s="22"/>
      <c r="C514" s="22"/>
      <c r="D514" s="34" t="str">
        <f>IFERROR(IF(C514="","",VLOOKUP(C514,المستفيدين!$B:$C,2,FALSE)),"")</f>
        <v/>
      </c>
      <c r="E514" s="20"/>
      <c r="F514" s="34" t="str">
        <f>IFERROR(IF(E514="","",VLOOKUP(E514,الموظفين!$B:$C,2,FALSE)),"")</f>
        <v/>
      </c>
      <c r="G514" s="34" t="str">
        <f>IFERROR(IF(C514="","",VLOOKUP(C514,المستفيدين!$B:$F,5,FALSE)),"")</f>
        <v/>
      </c>
      <c r="H514" s="24"/>
      <c r="I514" s="20"/>
      <c r="J514" s="20"/>
      <c r="K514" s="20"/>
      <c r="L514" s="21"/>
    </row>
    <row r="515" spans="1:12" x14ac:dyDescent="0.2">
      <c r="A515" s="26"/>
      <c r="B515" s="22"/>
      <c r="C515" s="22"/>
      <c r="D515" s="34" t="str">
        <f>IFERROR(IF(C515="","",VLOOKUP(C515,المستفيدين!$B:$C,2,FALSE)),"")</f>
        <v/>
      </c>
      <c r="E515" s="20"/>
      <c r="F515" s="34" t="str">
        <f>IFERROR(IF(E515="","",VLOOKUP(E515,الموظفين!$B:$C,2,FALSE)),"")</f>
        <v/>
      </c>
      <c r="G515" s="34" t="str">
        <f>IFERROR(IF(C515="","",VLOOKUP(C515,المستفيدين!$B:$F,5,FALSE)),"")</f>
        <v/>
      </c>
      <c r="H515" s="24"/>
      <c r="I515" s="20"/>
      <c r="J515" s="20"/>
      <c r="K515" s="20"/>
      <c r="L515" s="21"/>
    </row>
    <row r="516" spans="1:12" x14ac:dyDescent="0.2">
      <c r="A516" s="26"/>
      <c r="B516" s="22"/>
      <c r="C516" s="22"/>
      <c r="D516" s="34" t="str">
        <f>IFERROR(IF(C516="","",VLOOKUP(C516,المستفيدين!$B:$C,2,FALSE)),"")</f>
        <v/>
      </c>
      <c r="E516" s="20"/>
      <c r="F516" s="34" t="str">
        <f>IFERROR(IF(E516="","",VLOOKUP(E516,الموظفين!$B:$C,2,FALSE)),"")</f>
        <v/>
      </c>
      <c r="G516" s="34" t="str">
        <f>IFERROR(IF(C516="","",VLOOKUP(C516,المستفيدين!$B:$F,5,FALSE)),"")</f>
        <v/>
      </c>
      <c r="H516" s="24"/>
      <c r="I516" s="20"/>
      <c r="J516" s="20"/>
      <c r="K516" s="20"/>
      <c r="L516" s="21"/>
    </row>
    <row r="517" spans="1:12" x14ac:dyDescent="0.2">
      <c r="A517" s="26"/>
      <c r="B517" s="22"/>
      <c r="C517" s="22"/>
      <c r="D517" s="34" t="str">
        <f>IFERROR(IF(C517="","",VLOOKUP(C517,المستفيدين!$B:$C,2,FALSE)),"")</f>
        <v/>
      </c>
      <c r="E517" s="20"/>
      <c r="F517" s="34" t="str">
        <f>IFERROR(IF(E517="","",VLOOKUP(E517,الموظفين!$B:$C,2,FALSE)),"")</f>
        <v/>
      </c>
      <c r="G517" s="34" t="str">
        <f>IFERROR(IF(C517="","",VLOOKUP(C517,المستفيدين!$B:$F,5,FALSE)),"")</f>
        <v/>
      </c>
      <c r="H517" s="24"/>
      <c r="I517" s="20"/>
      <c r="J517" s="20"/>
      <c r="K517" s="20"/>
      <c r="L517" s="21"/>
    </row>
    <row r="518" spans="1:12" x14ac:dyDescent="0.2">
      <c r="A518" s="26"/>
      <c r="B518" s="22"/>
      <c r="C518" s="22"/>
      <c r="D518" s="34" t="str">
        <f>IFERROR(IF(C518="","",VLOOKUP(C518,المستفيدين!$B:$C,2,FALSE)),"")</f>
        <v/>
      </c>
      <c r="E518" s="20"/>
      <c r="F518" s="34" t="str">
        <f>IFERROR(IF(E518="","",VLOOKUP(E518,الموظفين!$B:$C,2,FALSE)),"")</f>
        <v/>
      </c>
      <c r="G518" s="34" t="str">
        <f>IFERROR(IF(C518="","",VLOOKUP(C518,المستفيدين!$B:$F,5,FALSE)),"")</f>
        <v/>
      </c>
      <c r="H518" s="24"/>
      <c r="I518" s="20"/>
      <c r="J518" s="20"/>
      <c r="K518" s="20"/>
      <c r="L518" s="21"/>
    </row>
    <row r="519" spans="1:12" x14ac:dyDescent="0.2">
      <c r="A519" s="26"/>
      <c r="B519" s="22"/>
      <c r="C519" s="22"/>
      <c r="D519" s="34" t="str">
        <f>IFERROR(IF(C519="","",VLOOKUP(C519,المستفيدين!$B:$C,2,FALSE)),"")</f>
        <v/>
      </c>
      <c r="E519" s="20"/>
      <c r="F519" s="34" t="str">
        <f>IFERROR(IF(E519="","",VLOOKUP(E519,الموظفين!$B:$C,2,FALSE)),"")</f>
        <v/>
      </c>
      <c r="G519" s="34" t="str">
        <f>IFERROR(IF(C519="","",VLOOKUP(C519,المستفيدين!$B:$F,5,FALSE)),"")</f>
        <v/>
      </c>
      <c r="H519" s="24"/>
      <c r="I519" s="20"/>
      <c r="J519" s="20"/>
      <c r="K519" s="20"/>
      <c r="L519" s="21"/>
    </row>
    <row r="520" spans="1:12" x14ac:dyDescent="0.2">
      <c r="A520" s="26"/>
      <c r="B520" s="22"/>
      <c r="C520" s="22"/>
      <c r="D520" s="34" t="str">
        <f>IFERROR(IF(C520="","",VLOOKUP(C520,المستفيدين!$B:$C,2,FALSE)),"")</f>
        <v/>
      </c>
      <c r="E520" s="20"/>
      <c r="F520" s="34" t="str">
        <f>IFERROR(IF(E520="","",VLOOKUP(E520,الموظفين!$B:$C,2,FALSE)),"")</f>
        <v/>
      </c>
      <c r="G520" s="34" t="str">
        <f>IFERROR(IF(C520="","",VLOOKUP(C520,المستفيدين!$B:$F,5,FALSE)),"")</f>
        <v/>
      </c>
      <c r="H520" s="24"/>
      <c r="I520" s="20"/>
      <c r="J520" s="20"/>
      <c r="K520" s="20"/>
      <c r="L520" s="21"/>
    </row>
    <row r="521" spans="1:12" x14ac:dyDescent="0.2">
      <c r="A521" s="26"/>
      <c r="B521" s="22"/>
      <c r="C521" s="22"/>
      <c r="D521" s="34" t="str">
        <f>IFERROR(IF(C521="","",VLOOKUP(C521,المستفيدين!$B:$C,2,FALSE)),"")</f>
        <v/>
      </c>
      <c r="E521" s="20"/>
      <c r="F521" s="34" t="str">
        <f>IFERROR(IF(E521="","",VLOOKUP(E521,الموظفين!$B:$C,2,FALSE)),"")</f>
        <v/>
      </c>
      <c r="G521" s="34" t="str">
        <f>IFERROR(IF(C521="","",VLOOKUP(C521,المستفيدين!$B:$F,5,FALSE)),"")</f>
        <v/>
      </c>
      <c r="H521" s="24"/>
      <c r="I521" s="20"/>
      <c r="J521" s="20"/>
      <c r="K521" s="20"/>
      <c r="L521" s="21"/>
    </row>
    <row r="522" spans="1:12" x14ac:dyDescent="0.2">
      <c r="A522" s="26"/>
      <c r="B522" s="22"/>
      <c r="C522" s="22"/>
      <c r="D522" s="34" t="str">
        <f>IFERROR(IF(C522="","",VLOOKUP(C522,المستفيدين!$B:$C,2,FALSE)),"")</f>
        <v/>
      </c>
      <c r="E522" s="20"/>
      <c r="F522" s="34" t="str">
        <f>IFERROR(IF(E522="","",VLOOKUP(E522,الموظفين!$B:$C,2,FALSE)),"")</f>
        <v/>
      </c>
      <c r="G522" s="34" t="str">
        <f>IFERROR(IF(C522="","",VLOOKUP(C522,المستفيدين!$B:$F,5,FALSE)),"")</f>
        <v/>
      </c>
      <c r="H522" s="24"/>
      <c r="I522" s="20"/>
      <c r="J522" s="20"/>
      <c r="K522" s="20"/>
      <c r="L522" s="21"/>
    </row>
    <row r="523" spans="1:12" x14ac:dyDescent="0.2">
      <c r="A523" s="26"/>
      <c r="B523" s="22"/>
      <c r="C523" s="22"/>
      <c r="D523" s="34" t="str">
        <f>IFERROR(IF(C523="","",VLOOKUP(C523,المستفيدين!$B:$C,2,FALSE)),"")</f>
        <v/>
      </c>
      <c r="E523" s="20"/>
      <c r="F523" s="34" t="str">
        <f>IFERROR(IF(E523="","",VLOOKUP(E523,الموظفين!$B:$C,2,FALSE)),"")</f>
        <v/>
      </c>
      <c r="G523" s="34" t="str">
        <f>IFERROR(IF(C523="","",VLOOKUP(C523,المستفيدين!$B:$F,5,FALSE)),"")</f>
        <v/>
      </c>
      <c r="H523" s="24"/>
      <c r="I523" s="20"/>
      <c r="J523" s="20"/>
      <c r="K523" s="20"/>
      <c r="L523" s="21"/>
    </row>
    <row r="524" spans="1:12" x14ac:dyDescent="0.2">
      <c r="A524" s="26"/>
      <c r="B524" s="22"/>
      <c r="C524" s="22"/>
      <c r="D524" s="34" t="str">
        <f>IFERROR(IF(C524="","",VLOOKUP(C524,المستفيدين!$B:$C,2,FALSE)),"")</f>
        <v/>
      </c>
      <c r="E524" s="20"/>
      <c r="F524" s="34" t="str">
        <f>IFERROR(IF(E524="","",VLOOKUP(E524,الموظفين!$B:$C,2,FALSE)),"")</f>
        <v/>
      </c>
      <c r="G524" s="34" t="str">
        <f>IFERROR(IF(C524="","",VLOOKUP(C524,المستفيدين!$B:$F,5,FALSE)),"")</f>
        <v/>
      </c>
      <c r="H524" s="24"/>
      <c r="I524" s="20"/>
      <c r="J524" s="20"/>
      <c r="K524" s="20"/>
      <c r="L524" s="21"/>
    </row>
    <row r="525" spans="1:12" x14ac:dyDescent="0.2">
      <c r="A525" s="26"/>
      <c r="B525" s="22"/>
      <c r="C525" s="22"/>
      <c r="D525" s="34" t="str">
        <f>IFERROR(IF(C525="","",VLOOKUP(C525,المستفيدين!$B:$C,2,FALSE)),"")</f>
        <v/>
      </c>
      <c r="E525" s="20"/>
      <c r="F525" s="34" t="str">
        <f>IFERROR(IF(E525="","",VLOOKUP(E525,الموظفين!$B:$C,2,FALSE)),"")</f>
        <v/>
      </c>
      <c r="G525" s="34" t="str">
        <f>IFERROR(IF(C525="","",VLOOKUP(C525,المستفيدين!$B:$F,5,FALSE)),"")</f>
        <v/>
      </c>
      <c r="H525" s="24"/>
      <c r="I525" s="20"/>
      <c r="J525" s="20"/>
      <c r="K525" s="20"/>
      <c r="L525" s="21"/>
    </row>
    <row r="526" spans="1:12" x14ac:dyDescent="0.2">
      <c r="A526" s="26"/>
      <c r="B526" s="22"/>
      <c r="C526" s="22"/>
      <c r="D526" s="34" t="str">
        <f>IFERROR(IF(C526="","",VLOOKUP(C526,المستفيدين!$B:$C,2,FALSE)),"")</f>
        <v/>
      </c>
      <c r="E526" s="20"/>
      <c r="F526" s="34" t="str">
        <f>IFERROR(IF(E526="","",VLOOKUP(E526,الموظفين!$B:$C,2,FALSE)),"")</f>
        <v/>
      </c>
      <c r="G526" s="34" t="str">
        <f>IFERROR(IF(C526="","",VLOOKUP(C526,المستفيدين!$B:$F,5,FALSE)),"")</f>
        <v/>
      </c>
      <c r="H526" s="24"/>
      <c r="I526" s="20"/>
      <c r="J526" s="20"/>
      <c r="K526" s="20"/>
      <c r="L526" s="21"/>
    </row>
    <row r="527" spans="1:12" x14ac:dyDescent="0.2">
      <c r="A527" s="26"/>
      <c r="B527" s="22"/>
      <c r="C527" s="22"/>
      <c r="D527" s="34" t="str">
        <f>IFERROR(IF(C527="","",VLOOKUP(C527,المستفيدين!$B:$C,2,FALSE)),"")</f>
        <v/>
      </c>
      <c r="E527" s="20"/>
      <c r="F527" s="34" t="str">
        <f>IFERROR(IF(E527="","",VLOOKUP(E527,الموظفين!$B:$C,2,FALSE)),"")</f>
        <v/>
      </c>
      <c r="G527" s="34" t="str">
        <f>IFERROR(IF(C527="","",VLOOKUP(C527,المستفيدين!$B:$F,5,FALSE)),"")</f>
        <v/>
      </c>
      <c r="H527" s="24"/>
      <c r="I527" s="20"/>
      <c r="J527" s="20"/>
      <c r="K527" s="20"/>
      <c r="L527" s="21"/>
    </row>
    <row r="528" spans="1:12" x14ac:dyDescent="0.2">
      <c r="A528" s="26"/>
      <c r="B528" s="22"/>
      <c r="C528" s="22"/>
      <c r="D528" s="34" t="str">
        <f>IFERROR(IF(C528="","",VLOOKUP(C528,المستفيدين!$B:$C,2,FALSE)),"")</f>
        <v/>
      </c>
      <c r="E528" s="20"/>
      <c r="F528" s="34" t="str">
        <f>IFERROR(IF(E528="","",VLOOKUP(E528,الموظفين!$B:$C,2,FALSE)),"")</f>
        <v/>
      </c>
      <c r="G528" s="34" t="str">
        <f>IFERROR(IF(C528="","",VLOOKUP(C528,المستفيدين!$B:$F,5,FALSE)),"")</f>
        <v/>
      </c>
      <c r="H528" s="24"/>
      <c r="I528" s="20"/>
      <c r="J528" s="20"/>
      <c r="K528" s="20"/>
      <c r="L528" s="21"/>
    </row>
    <row r="529" spans="1:12" x14ac:dyDescent="0.2">
      <c r="A529" s="26"/>
      <c r="B529" s="22"/>
      <c r="C529" s="22"/>
      <c r="D529" s="34" t="str">
        <f>IFERROR(IF(C529="","",VLOOKUP(C529,المستفيدين!$B:$C,2,FALSE)),"")</f>
        <v/>
      </c>
      <c r="E529" s="20"/>
      <c r="F529" s="34" t="str">
        <f>IFERROR(IF(E529="","",VLOOKUP(E529,الموظفين!$B:$C,2,FALSE)),"")</f>
        <v/>
      </c>
      <c r="G529" s="34" t="str">
        <f>IFERROR(IF(C529="","",VLOOKUP(C529,المستفيدين!$B:$F,5,FALSE)),"")</f>
        <v/>
      </c>
      <c r="H529" s="24"/>
      <c r="I529" s="20"/>
      <c r="J529" s="20"/>
      <c r="K529" s="20"/>
      <c r="L529" s="21"/>
    </row>
    <row r="530" spans="1:12" x14ac:dyDescent="0.2">
      <c r="A530" s="26"/>
      <c r="B530" s="22"/>
      <c r="C530" s="22"/>
      <c r="D530" s="34" t="str">
        <f>IFERROR(IF(C530="","",VLOOKUP(C530,المستفيدين!$B:$C,2,FALSE)),"")</f>
        <v/>
      </c>
      <c r="E530" s="20"/>
      <c r="F530" s="34" t="str">
        <f>IFERROR(IF(E530="","",VLOOKUP(E530,الموظفين!$B:$C,2,FALSE)),"")</f>
        <v/>
      </c>
      <c r="G530" s="34" t="str">
        <f>IFERROR(IF(C530="","",VLOOKUP(C530,المستفيدين!$B:$F,5,FALSE)),"")</f>
        <v/>
      </c>
      <c r="H530" s="24"/>
      <c r="I530" s="20"/>
      <c r="J530" s="20"/>
      <c r="K530" s="20"/>
      <c r="L530" s="21"/>
    </row>
    <row r="531" spans="1:12" x14ac:dyDescent="0.2">
      <c r="A531" s="26"/>
      <c r="B531" s="22"/>
      <c r="C531" s="22"/>
      <c r="D531" s="34" t="str">
        <f>IFERROR(IF(C531="","",VLOOKUP(C531,المستفيدين!$B:$C,2,FALSE)),"")</f>
        <v/>
      </c>
      <c r="E531" s="20"/>
      <c r="F531" s="34" t="str">
        <f>IFERROR(IF(E531="","",VLOOKUP(E531,الموظفين!$B:$C,2,FALSE)),"")</f>
        <v/>
      </c>
      <c r="G531" s="34" t="str">
        <f>IFERROR(IF(C531="","",VLOOKUP(C531,المستفيدين!$B:$F,5,FALSE)),"")</f>
        <v/>
      </c>
      <c r="H531" s="24"/>
      <c r="I531" s="20"/>
      <c r="J531" s="20"/>
      <c r="K531" s="20"/>
      <c r="L531" s="21"/>
    </row>
    <row r="532" spans="1:12" x14ac:dyDescent="0.2">
      <c r="A532" s="26"/>
      <c r="B532" s="22"/>
      <c r="C532" s="22"/>
      <c r="D532" s="34" t="str">
        <f>IFERROR(IF(C532="","",VLOOKUP(C532,المستفيدين!$B:$C,2,FALSE)),"")</f>
        <v/>
      </c>
      <c r="E532" s="20"/>
      <c r="F532" s="34" t="str">
        <f>IFERROR(IF(E532="","",VLOOKUP(E532,الموظفين!$B:$C,2,FALSE)),"")</f>
        <v/>
      </c>
      <c r="G532" s="34" t="str">
        <f>IFERROR(IF(C532="","",VLOOKUP(C532,المستفيدين!$B:$F,5,FALSE)),"")</f>
        <v/>
      </c>
      <c r="H532" s="24"/>
      <c r="I532" s="20"/>
      <c r="J532" s="20"/>
      <c r="K532" s="20"/>
      <c r="L532" s="21"/>
    </row>
    <row r="533" spans="1:12" x14ac:dyDescent="0.2">
      <c r="A533" s="26"/>
      <c r="B533" s="22"/>
      <c r="C533" s="22"/>
      <c r="D533" s="34" t="str">
        <f>IFERROR(IF(C533="","",VLOOKUP(C533,المستفيدين!$B:$C,2,FALSE)),"")</f>
        <v/>
      </c>
      <c r="E533" s="20"/>
      <c r="F533" s="34" t="str">
        <f>IFERROR(IF(E533="","",VLOOKUP(E533,الموظفين!$B:$C,2,FALSE)),"")</f>
        <v/>
      </c>
      <c r="G533" s="34" t="str">
        <f>IFERROR(IF(C533="","",VLOOKUP(C533,المستفيدين!$B:$F,5,FALSE)),"")</f>
        <v/>
      </c>
      <c r="H533" s="24"/>
      <c r="I533" s="20"/>
      <c r="J533" s="20"/>
      <c r="K533" s="20"/>
      <c r="L533" s="21"/>
    </row>
    <row r="534" spans="1:12" x14ac:dyDescent="0.2">
      <c r="A534" s="26"/>
      <c r="B534" s="22"/>
      <c r="C534" s="22"/>
      <c r="D534" s="34" t="str">
        <f>IFERROR(IF(C534="","",VLOOKUP(C534,المستفيدين!$B:$C,2,FALSE)),"")</f>
        <v/>
      </c>
      <c r="E534" s="20"/>
      <c r="F534" s="34" t="str">
        <f>IFERROR(IF(E534="","",VLOOKUP(E534,الموظفين!$B:$C,2,FALSE)),"")</f>
        <v/>
      </c>
      <c r="G534" s="34" t="str">
        <f>IFERROR(IF(C534="","",VLOOKUP(C534,المستفيدين!$B:$F,5,FALSE)),"")</f>
        <v/>
      </c>
      <c r="H534" s="24"/>
      <c r="I534" s="20"/>
      <c r="J534" s="20"/>
      <c r="K534" s="20"/>
      <c r="L534" s="21"/>
    </row>
    <row r="535" spans="1:12" x14ac:dyDescent="0.2">
      <c r="A535" s="26"/>
      <c r="B535" s="22"/>
      <c r="C535" s="22"/>
      <c r="D535" s="34" t="str">
        <f>IFERROR(IF(C535="","",VLOOKUP(C535,المستفيدين!$B:$C,2,FALSE)),"")</f>
        <v/>
      </c>
      <c r="E535" s="20"/>
      <c r="F535" s="34" t="str">
        <f>IFERROR(IF(E535="","",VLOOKUP(E535,الموظفين!$B:$C,2,FALSE)),"")</f>
        <v/>
      </c>
      <c r="G535" s="34" t="str">
        <f>IFERROR(IF(C535="","",VLOOKUP(C535,المستفيدين!$B:$F,5,FALSE)),"")</f>
        <v/>
      </c>
      <c r="H535" s="24"/>
      <c r="I535" s="20"/>
      <c r="J535" s="20"/>
      <c r="K535" s="20"/>
      <c r="L535" s="21"/>
    </row>
    <row r="536" spans="1:12" x14ac:dyDescent="0.2">
      <c r="A536" s="26"/>
      <c r="B536" s="22"/>
      <c r="C536" s="22"/>
      <c r="D536" s="34" t="str">
        <f>IFERROR(IF(C536="","",VLOOKUP(C536,المستفيدين!$B:$C,2,FALSE)),"")</f>
        <v/>
      </c>
      <c r="E536" s="20"/>
      <c r="F536" s="34" t="str">
        <f>IFERROR(IF(E536="","",VLOOKUP(E536,الموظفين!$B:$C,2,FALSE)),"")</f>
        <v/>
      </c>
      <c r="G536" s="34" t="str">
        <f>IFERROR(IF(C536="","",VLOOKUP(C536,المستفيدين!$B:$F,5,FALSE)),"")</f>
        <v/>
      </c>
      <c r="H536" s="24"/>
      <c r="I536" s="20"/>
      <c r="J536" s="20"/>
      <c r="K536" s="20"/>
      <c r="L536" s="21"/>
    </row>
    <row r="537" spans="1:12" x14ac:dyDescent="0.2">
      <c r="A537" s="26"/>
      <c r="B537" s="22"/>
      <c r="C537" s="22"/>
      <c r="D537" s="34" t="str">
        <f>IFERROR(IF(C537="","",VLOOKUP(C537,المستفيدين!$B:$C,2,FALSE)),"")</f>
        <v/>
      </c>
      <c r="E537" s="20"/>
      <c r="F537" s="34" t="str">
        <f>IFERROR(IF(E537="","",VLOOKUP(E537,الموظفين!$B:$C,2,FALSE)),"")</f>
        <v/>
      </c>
      <c r="G537" s="34" t="str">
        <f>IFERROR(IF(C537="","",VLOOKUP(C537,المستفيدين!$B:$F,5,FALSE)),"")</f>
        <v/>
      </c>
      <c r="H537" s="24"/>
      <c r="I537" s="20"/>
      <c r="J537" s="20"/>
      <c r="K537" s="20"/>
      <c r="L537" s="21"/>
    </row>
    <row r="538" spans="1:12" x14ac:dyDescent="0.2">
      <c r="A538" s="26"/>
      <c r="B538" s="22"/>
      <c r="C538" s="22"/>
      <c r="D538" s="34" t="str">
        <f>IFERROR(IF(C538="","",VLOOKUP(C538,المستفيدين!$B:$C,2,FALSE)),"")</f>
        <v/>
      </c>
      <c r="E538" s="20"/>
      <c r="F538" s="34" t="str">
        <f>IFERROR(IF(E538="","",VLOOKUP(E538,الموظفين!$B:$C,2,FALSE)),"")</f>
        <v/>
      </c>
      <c r="G538" s="34" t="str">
        <f>IFERROR(IF(C538="","",VLOOKUP(C538,المستفيدين!$B:$F,5,FALSE)),"")</f>
        <v/>
      </c>
      <c r="H538" s="24"/>
      <c r="I538" s="20"/>
      <c r="J538" s="20"/>
      <c r="K538" s="20"/>
      <c r="L538" s="21"/>
    </row>
    <row r="539" spans="1:12" x14ac:dyDescent="0.2">
      <c r="A539" s="26"/>
      <c r="B539" s="22"/>
      <c r="C539" s="22"/>
      <c r="D539" s="34" t="str">
        <f>IFERROR(IF(C539="","",VLOOKUP(C539,المستفيدين!$B:$C,2,FALSE)),"")</f>
        <v/>
      </c>
      <c r="E539" s="20"/>
      <c r="F539" s="34" t="str">
        <f>IFERROR(IF(E539="","",VLOOKUP(E539,الموظفين!$B:$C,2,FALSE)),"")</f>
        <v/>
      </c>
      <c r="G539" s="34" t="str">
        <f>IFERROR(IF(C539="","",VLOOKUP(C539,المستفيدين!$B:$F,5,FALSE)),"")</f>
        <v/>
      </c>
      <c r="H539" s="24"/>
      <c r="I539" s="20"/>
      <c r="J539" s="20"/>
      <c r="K539" s="20"/>
      <c r="L539" s="21"/>
    </row>
    <row r="540" spans="1:12" x14ac:dyDescent="0.2">
      <c r="A540" s="26"/>
      <c r="B540" s="22"/>
      <c r="C540" s="22"/>
      <c r="D540" s="34" t="str">
        <f>IFERROR(IF(C540="","",VLOOKUP(C540,المستفيدين!$B:$C,2,FALSE)),"")</f>
        <v/>
      </c>
      <c r="E540" s="20"/>
      <c r="F540" s="34" t="str">
        <f>IFERROR(IF(E540="","",VLOOKUP(E540,الموظفين!$B:$C,2,FALSE)),"")</f>
        <v/>
      </c>
      <c r="G540" s="34" t="str">
        <f>IFERROR(IF(C540="","",VLOOKUP(C540,المستفيدين!$B:$F,5,FALSE)),"")</f>
        <v/>
      </c>
      <c r="H540" s="24"/>
      <c r="I540" s="20"/>
      <c r="J540" s="20"/>
      <c r="K540" s="20"/>
      <c r="L540" s="21"/>
    </row>
    <row r="541" spans="1:12" x14ac:dyDescent="0.2">
      <c r="A541" s="26"/>
      <c r="B541" s="22"/>
      <c r="C541" s="22"/>
      <c r="D541" s="34" t="str">
        <f>IFERROR(IF(C541="","",VLOOKUP(C541,المستفيدين!$B:$C,2,FALSE)),"")</f>
        <v/>
      </c>
      <c r="E541" s="20"/>
      <c r="F541" s="34" t="str">
        <f>IFERROR(IF(E541="","",VLOOKUP(E541,الموظفين!$B:$C,2,FALSE)),"")</f>
        <v/>
      </c>
      <c r="G541" s="34" t="str">
        <f>IFERROR(IF(C541="","",VLOOKUP(C541,المستفيدين!$B:$F,5,FALSE)),"")</f>
        <v/>
      </c>
      <c r="H541" s="24"/>
      <c r="I541" s="20"/>
      <c r="J541" s="20"/>
      <c r="K541" s="20"/>
      <c r="L541" s="21"/>
    </row>
    <row r="542" spans="1:12" x14ac:dyDescent="0.2">
      <c r="A542" s="26"/>
      <c r="B542" s="22"/>
      <c r="C542" s="22"/>
      <c r="D542" s="34" t="str">
        <f>IFERROR(IF(C542="","",VLOOKUP(C542,المستفيدين!$B:$C,2,FALSE)),"")</f>
        <v/>
      </c>
      <c r="E542" s="20"/>
      <c r="F542" s="34" t="str">
        <f>IFERROR(IF(E542="","",VLOOKUP(E542,الموظفين!$B:$C,2,FALSE)),"")</f>
        <v/>
      </c>
      <c r="G542" s="34" t="str">
        <f>IFERROR(IF(C542="","",VLOOKUP(C542,المستفيدين!$B:$F,5,FALSE)),"")</f>
        <v/>
      </c>
      <c r="H542" s="24"/>
      <c r="I542" s="20"/>
      <c r="J542" s="20"/>
      <c r="K542" s="20"/>
      <c r="L542" s="21"/>
    </row>
    <row r="543" spans="1:12" x14ac:dyDescent="0.2">
      <c r="A543" s="26"/>
      <c r="B543" s="22"/>
      <c r="C543" s="22"/>
      <c r="D543" s="34" t="str">
        <f>IFERROR(IF(C543="","",VLOOKUP(C543,المستفيدين!$B:$C,2,FALSE)),"")</f>
        <v/>
      </c>
      <c r="E543" s="20"/>
      <c r="F543" s="34" t="str">
        <f>IFERROR(IF(E543="","",VLOOKUP(E543,الموظفين!$B:$C,2,FALSE)),"")</f>
        <v/>
      </c>
      <c r="G543" s="34" t="str">
        <f>IFERROR(IF(C543="","",VLOOKUP(C543,المستفيدين!$B:$F,5,FALSE)),"")</f>
        <v/>
      </c>
      <c r="H543" s="24"/>
      <c r="I543" s="20"/>
      <c r="J543" s="20"/>
      <c r="K543" s="20"/>
      <c r="L543" s="21"/>
    </row>
    <row r="544" spans="1:12" x14ac:dyDescent="0.2">
      <c r="A544" s="26"/>
      <c r="B544" s="22"/>
      <c r="C544" s="22"/>
      <c r="D544" s="34" t="str">
        <f>IFERROR(IF(C544="","",VLOOKUP(C544,المستفيدين!$B:$C,2,FALSE)),"")</f>
        <v/>
      </c>
      <c r="E544" s="20"/>
      <c r="F544" s="34" t="str">
        <f>IFERROR(IF(E544="","",VLOOKUP(E544,الموظفين!$B:$C,2,FALSE)),"")</f>
        <v/>
      </c>
      <c r="G544" s="34" t="str">
        <f>IFERROR(IF(C544="","",VLOOKUP(C544,المستفيدين!$B:$F,5,FALSE)),"")</f>
        <v/>
      </c>
      <c r="H544" s="24"/>
      <c r="I544" s="20"/>
      <c r="J544" s="20"/>
      <c r="K544" s="20"/>
      <c r="L544" s="21"/>
    </row>
    <row r="545" spans="1:12" x14ac:dyDescent="0.2">
      <c r="A545" s="26"/>
      <c r="B545" s="22"/>
      <c r="C545" s="22"/>
      <c r="D545" s="34" t="str">
        <f>IFERROR(IF(C545="","",VLOOKUP(C545,المستفيدين!$B:$C,2,FALSE)),"")</f>
        <v/>
      </c>
      <c r="E545" s="20"/>
      <c r="F545" s="34" t="str">
        <f>IFERROR(IF(E545="","",VLOOKUP(E545,الموظفين!$B:$C,2,FALSE)),"")</f>
        <v/>
      </c>
      <c r="G545" s="34" t="str">
        <f>IFERROR(IF(C545="","",VLOOKUP(C545,المستفيدين!$B:$F,5,FALSE)),"")</f>
        <v/>
      </c>
      <c r="H545" s="24"/>
      <c r="I545" s="20"/>
      <c r="J545" s="20"/>
      <c r="K545" s="20"/>
      <c r="L545" s="21"/>
    </row>
    <row r="546" spans="1:12" x14ac:dyDescent="0.2">
      <c r="A546" s="26"/>
      <c r="B546" s="22"/>
      <c r="C546" s="22"/>
      <c r="D546" s="34" t="str">
        <f>IFERROR(IF(C546="","",VLOOKUP(C546,المستفيدين!$B:$C,2,FALSE)),"")</f>
        <v/>
      </c>
      <c r="E546" s="20"/>
      <c r="F546" s="34" t="str">
        <f>IFERROR(IF(E546="","",VLOOKUP(E546,الموظفين!$B:$C,2,FALSE)),"")</f>
        <v/>
      </c>
      <c r="G546" s="34" t="str">
        <f>IFERROR(IF(C546="","",VLOOKUP(C546,المستفيدين!$B:$F,5,FALSE)),"")</f>
        <v/>
      </c>
      <c r="H546" s="24"/>
      <c r="I546" s="20"/>
      <c r="J546" s="20"/>
      <c r="K546" s="20"/>
      <c r="L546" s="21"/>
    </row>
    <row r="547" spans="1:12" x14ac:dyDescent="0.2">
      <c r="A547" s="26"/>
      <c r="B547" s="22"/>
      <c r="C547" s="22"/>
      <c r="D547" s="34" t="str">
        <f>IFERROR(IF(C547="","",VLOOKUP(C547,المستفيدين!$B:$C,2,FALSE)),"")</f>
        <v/>
      </c>
      <c r="E547" s="20"/>
      <c r="F547" s="34" t="str">
        <f>IFERROR(IF(E547="","",VLOOKUP(E547,الموظفين!$B:$C,2,FALSE)),"")</f>
        <v/>
      </c>
      <c r="G547" s="34" t="str">
        <f>IFERROR(IF(C547="","",VLOOKUP(C547,المستفيدين!$B:$F,5,FALSE)),"")</f>
        <v/>
      </c>
      <c r="H547" s="24"/>
      <c r="I547" s="20"/>
      <c r="J547" s="20"/>
      <c r="K547" s="20"/>
      <c r="L547" s="21"/>
    </row>
    <row r="548" spans="1:12" x14ac:dyDescent="0.2">
      <c r="A548" s="26"/>
      <c r="B548" s="22"/>
      <c r="C548" s="22"/>
      <c r="D548" s="34" t="str">
        <f>IFERROR(IF(C548="","",VLOOKUP(C548,المستفيدين!$B:$C,2,FALSE)),"")</f>
        <v/>
      </c>
      <c r="E548" s="20"/>
      <c r="F548" s="34" t="str">
        <f>IFERROR(IF(E548="","",VLOOKUP(E548,الموظفين!$B:$C,2,FALSE)),"")</f>
        <v/>
      </c>
      <c r="G548" s="34" t="str">
        <f>IFERROR(IF(C548="","",VLOOKUP(C548,المستفيدين!$B:$F,5,FALSE)),"")</f>
        <v/>
      </c>
      <c r="H548" s="24"/>
      <c r="I548" s="20"/>
      <c r="J548" s="20"/>
      <c r="K548" s="20"/>
      <c r="L548" s="21"/>
    </row>
    <row r="549" spans="1:12" x14ac:dyDescent="0.2">
      <c r="A549" s="26"/>
      <c r="B549" s="22"/>
      <c r="C549" s="22"/>
      <c r="D549" s="34" t="str">
        <f>IFERROR(IF(C549="","",VLOOKUP(C549,المستفيدين!$B:$C,2,FALSE)),"")</f>
        <v/>
      </c>
      <c r="E549" s="20"/>
      <c r="F549" s="34" t="str">
        <f>IFERROR(IF(E549="","",VLOOKUP(E549,الموظفين!$B:$C,2,FALSE)),"")</f>
        <v/>
      </c>
      <c r="G549" s="34" t="str">
        <f>IFERROR(IF(C549="","",VLOOKUP(C549,المستفيدين!$B:$F,5,FALSE)),"")</f>
        <v/>
      </c>
      <c r="H549" s="24"/>
      <c r="I549" s="20"/>
      <c r="J549" s="20"/>
      <c r="K549" s="20"/>
      <c r="L549" s="21"/>
    </row>
    <row r="550" spans="1:12" x14ac:dyDescent="0.2">
      <c r="A550" s="26"/>
      <c r="B550" s="22"/>
      <c r="C550" s="22"/>
      <c r="D550" s="34" t="str">
        <f>IFERROR(IF(C550="","",VLOOKUP(C550,المستفيدين!$B:$C,2,FALSE)),"")</f>
        <v/>
      </c>
      <c r="E550" s="20"/>
      <c r="F550" s="34" t="str">
        <f>IFERROR(IF(E550="","",VLOOKUP(E550,الموظفين!$B:$C,2,FALSE)),"")</f>
        <v/>
      </c>
      <c r="G550" s="34" t="str">
        <f>IFERROR(IF(C550="","",VLOOKUP(C550,المستفيدين!$B:$F,5,FALSE)),"")</f>
        <v/>
      </c>
      <c r="H550" s="24"/>
      <c r="I550" s="20"/>
      <c r="J550" s="20"/>
      <c r="K550" s="20"/>
      <c r="L550" s="21"/>
    </row>
    <row r="551" spans="1:12" x14ac:dyDescent="0.2">
      <c r="A551" s="26"/>
      <c r="B551" s="22"/>
      <c r="C551" s="22"/>
      <c r="D551" s="34" t="str">
        <f>IFERROR(IF(C551="","",VLOOKUP(C551,المستفيدين!$B:$C,2,FALSE)),"")</f>
        <v/>
      </c>
      <c r="E551" s="20"/>
      <c r="F551" s="34" t="str">
        <f>IFERROR(IF(E551="","",VLOOKUP(E551,الموظفين!$B:$C,2,FALSE)),"")</f>
        <v/>
      </c>
      <c r="G551" s="34" t="str">
        <f>IFERROR(IF(C551="","",VLOOKUP(C551,المستفيدين!$B:$F,5,FALSE)),"")</f>
        <v/>
      </c>
      <c r="H551" s="24"/>
      <c r="I551" s="20"/>
      <c r="J551" s="20"/>
      <c r="K551" s="20"/>
      <c r="L551" s="21"/>
    </row>
    <row r="552" spans="1:12" x14ac:dyDescent="0.2">
      <c r="A552" s="26"/>
      <c r="B552" s="22"/>
      <c r="C552" s="22"/>
      <c r="D552" s="34" t="str">
        <f>IFERROR(IF(C552="","",VLOOKUP(C552,المستفيدين!$B:$C,2,FALSE)),"")</f>
        <v/>
      </c>
      <c r="E552" s="20"/>
      <c r="F552" s="34" t="str">
        <f>IFERROR(IF(E552="","",VLOOKUP(E552,الموظفين!$B:$C,2,FALSE)),"")</f>
        <v/>
      </c>
      <c r="G552" s="34" t="str">
        <f>IFERROR(IF(C552="","",VLOOKUP(C552,المستفيدين!$B:$F,5,FALSE)),"")</f>
        <v/>
      </c>
      <c r="H552" s="24"/>
      <c r="I552" s="20"/>
      <c r="J552" s="20"/>
      <c r="K552" s="20"/>
      <c r="L552" s="21"/>
    </row>
    <row r="553" spans="1:12" x14ac:dyDescent="0.2">
      <c r="A553" s="26"/>
      <c r="B553" s="22"/>
      <c r="C553" s="22"/>
      <c r="D553" s="34" t="str">
        <f>IFERROR(IF(C553="","",VLOOKUP(C553,المستفيدين!$B:$C,2,FALSE)),"")</f>
        <v/>
      </c>
      <c r="E553" s="20"/>
      <c r="F553" s="34" t="str">
        <f>IFERROR(IF(E553="","",VLOOKUP(E553,الموظفين!$B:$C,2,FALSE)),"")</f>
        <v/>
      </c>
      <c r="G553" s="34" t="str">
        <f>IFERROR(IF(C553="","",VLOOKUP(C553,المستفيدين!$B:$F,5,FALSE)),"")</f>
        <v/>
      </c>
      <c r="H553" s="24"/>
      <c r="I553" s="20"/>
      <c r="J553" s="20"/>
      <c r="K553" s="20"/>
      <c r="L553" s="21"/>
    </row>
    <row r="554" spans="1:12" x14ac:dyDescent="0.2">
      <c r="A554" s="26"/>
      <c r="B554" s="22"/>
      <c r="C554" s="22"/>
      <c r="D554" s="34" t="str">
        <f>IFERROR(IF(C554="","",VLOOKUP(C554,المستفيدين!$B:$C,2,FALSE)),"")</f>
        <v/>
      </c>
      <c r="E554" s="20"/>
      <c r="F554" s="34" t="str">
        <f>IFERROR(IF(E554="","",VLOOKUP(E554,الموظفين!$B:$C,2,FALSE)),"")</f>
        <v/>
      </c>
      <c r="G554" s="34" t="str">
        <f>IFERROR(IF(C554="","",VLOOKUP(C554,المستفيدين!$B:$F,5,FALSE)),"")</f>
        <v/>
      </c>
      <c r="H554" s="24"/>
      <c r="I554" s="20"/>
      <c r="J554" s="20"/>
      <c r="K554" s="20"/>
      <c r="L554" s="21"/>
    </row>
    <row r="555" spans="1:12" x14ac:dyDescent="0.2">
      <c r="A555" s="26"/>
      <c r="B555" s="22"/>
      <c r="C555" s="22"/>
      <c r="D555" s="34" t="str">
        <f>IFERROR(IF(C555="","",VLOOKUP(C555,المستفيدين!$B:$C,2,FALSE)),"")</f>
        <v/>
      </c>
      <c r="E555" s="20"/>
      <c r="F555" s="34" t="str">
        <f>IFERROR(IF(E555="","",VLOOKUP(E555,الموظفين!$B:$C,2,FALSE)),"")</f>
        <v/>
      </c>
      <c r="G555" s="34" t="str">
        <f>IFERROR(IF(C555="","",VLOOKUP(C555,المستفيدين!$B:$F,5,FALSE)),"")</f>
        <v/>
      </c>
      <c r="H555" s="24"/>
      <c r="I555" s="20"/>
      <c r="J555" s="20"/>
      <c r="K555" s="20"/>
      <c r="L555" s="21"/>
    </row>
    <row r="556" spans="1:12" x14ac:dyDescent="0.2">
      <c r="A556" s="26"/>
      <c r="B556" s="22"/>
      <c r="C556" s="22"/>
      <c r="D556" s="34" t="str">
        <f>IFERROR(IF(C556="","",VLOOKUP(C556,المستفيدين!$B:$C,2,FALSE)),"")</f>
        <v/>
      </c>
      <c r="E556" s="20"/>
      <c r="F556" s="34" t="str">
        <f>IFERROR(IF(E556="","",VLOOKUP(E556,الموظفين!$B:$C,2,FALSE)),"")</f>
        <v/>
      </c>
      <c r="G556" s="34" t="str">
        <f>IFERROR(IF(C556="","",VLOOKUP(C556,المستفيدين!$B:$F,5,FALSE)),"")</f>
        <v/>
      </c>
      <c r="H556" s="24"/>
      <c r="I556" s="20"/>
      <c r="J556" s="20"/>
      <c r="K556" s="20"/>
      <c r="L556" s="21"/>
    </row>
    <row r="557" spans="1:12" x14ac:dyDescent="0.2">
      <c r="A557" s="26"/>
      <c r="B557" s="22"/>
      <c r="C557" s="22"/>
      <c r="D557" s="34" t="str">
        <f>IFERROR(IF(C557="","",VLOOKUP(C557,المستفيدين!$B:$C,2,FALSE)),"")</f>
        <v/>
      </c>
      <c r="E557" s="20"/>
      <c r="F557" s="34" t="str">
        <f>IFERROR(IF(E557="","",VLOOKUP(E557,الموظفين!$B:$C,2,FALSE)),"")</f>
        <v/>
      </c>
      <c r="G557" s="34" t="str">
        <f>IFERROR(IF(C557="","",VLOOKUP(C557,المستفيدين!$B:$F,5,FALSE)),"")</f>
        <v/>
      </c>
      <c r="H557" s="24"/>
      <c r="I557" s="20"/>
      <c r="J557" s="20"/>
      <c r="K557" s="20"/>
      <c r="L557" s="21"/>
    </row>
    <row r="558" spans="1:12" x14ac:dyDescent="0.2">
      <c r="A558" s="26"/>
      <c r="B558" s="22"/>
      <c r="C558" s="22"/>
      <c r="D558" s="34" t="str">
        <f>IFERROR(IF(C558="","",VLOOKUP(C558,المستفيدين!$B:$C,2,FALSE)),"")</f>
        <v/>
      </c>
      <c r="E558" s="20"/>
      <c r="F558" s="34" t="str">
        <f>IFERROR(IF(E558="","",VLOOKUP(E558,الموظفين!$B:$C,2,FALSE)),"")</f>
        <v/>
      </c>
      <c r="G558" s="34" t="str">
        <f>IFERROR(IF(C558="","",VLOOKUP(C558,المستفيدين!$B:$F,5,FALSE)),"")</f>
        <v/>
      </c>
      <c r="H558" s="24"/>
      <c r="I558" s="20"/>
      <c r="J558" s="20"/>
      <c r="K558" s="20"/>
      <c r="L558" s="21"/>
    </row>
    <row r="559" spans="1:12" x14ac:dyDescent="0.2">
      <c r="A559" s="26"/>
      <c r="B559" s="22"/>
      <c r="C559" s="22"/>
      <c r="D559" s="34" t="str">
        <f>IFERROR(IF(C559="","",VLOOKUP(C559,المستفيدين!$B:$C,2,FALSE)),"")</f>
        <v/>
      </c>
      <c r="E559" s="20"/>
      <c r="F559" s="34" t="str">
        <f>IFERROR(IF(E559="","",VLOOKUP(E559,الموظفين!$B:$C,2,FALSE)),"")</f>
        <v/>
      </c>
      <c r="G559" s="34" t="str">
        <f>IFERROR(IF(C559="","",VLOOKUP(C559,المستفيدين!$B:$F,5,FALSE)),"")</f>
        <v/>
      </c>
      <c r="H559" s="24"/>
      <c r="I559" s="20"/>
      <c r="J559" s="20"/>
      <c r="K559" s="20"/>
      <c r="L559" s="21"/>
    </row>
    <row r="560" spans="1:12" x14ac:dyDescent="0.2">
      <c r="A560" s="26"/>
      <c r="B560" s="22"/>
      <c r="C560" s="22"/>
      <c r="D560" s="34" t="str">
        <f>IFERROR(IF(C560="","",VLOOKUP(C560,المستفيدين!$B:$C,2,FALSE)),"")</f>
        <v/>
      </c>
      <c r="E560" s="20"/>
      <c r="F560" s="34" t="str">
        <f>IFERROR(IF(E560="","",VLOOKUP(E560,الموظفين!$B:$C,2,FALSE)),"")</f>
        <v/>
      </c>
      <c r="G560" s="34" t="str">
        <f>IFERROR(IF(C560="","",VLOOKUP(C560,المستفيدين!$B:$F,5,FALSE)),"")</f>
        <v/>
      </c>
      <c r="H560" s="24"/>
      <c r="I560" s="20"/>
      <c r="J560" s="20"/>
      <c r="K560" s="20"/>
      <c r="L560" s="21"/>
    </row>
    <row r="561" spans="1:12" x14ac:dyDescent="0.2">
      <c r="A561" s="26"/>
      <c r="B561" s="22"/>
      <c r="C561" s="22"/>
      <c r="D561" s="34" t="str">
        <f>IFERROR(IF(C561="","",VLOOKUP(C561,المستفيدين!$B:$C,2,FALSE)),"")</f>
        <v/>
      </c>
      <c r="E561" s="20"/>
      <c r="F561" s="34" t="str">
        <f>IFERROR(IF(E561="","",VLOOKUP(E561,الموظفين!$B:$C,2,FALSE)),"")</f>
        <v/>
      </c>
      <c r="G561" s="34" t="str">
        <f>IFERROR(IF(C561="","",VLOOKUP(C561,المستفيدين!$B:$F,5,FALSE)),"")</f>
        <v/>
      </c>
      <c r="H561" s="24"/>
      <c r="I561" s="20"/>
      <c r="J561" s="20"/>
      <c r="K561" s="20"/>
      <c r="L561" s="21"/>
    </row>
    <row r="562" spans="1:12" x14ac:dyDescent="0.2">
      <c r="A562" s="26"/>
      <c r="B562" s="22"/>
      <c r="C562" s="22"/>
      <c r="D562" s="34" t="str">
        <f>IFERROR(IF(C562="","",VLOOKUP(C562,المستفيدين!$B:$C,2,FALSE)),"")</f>
        <v/>
      </c>
      <c r="E562" s="20"/>
      <c r="F562" s="34" t="str">
        <f>IFERROR(IF(E562="","",VLOOKUP(E562,الموظفين!$B:$C,2,FALSE)),"")</f>
        <v/>
      </c>
      <c r="G562" s="34" t="str">
        <f>IFERROR(IF(C562="","",VLOOKUP(C562,المستفيدين!$B:$F,5,FALSE)),"")</f>
        <v/>
      </c>
      <c r="H562" s="24"/>
      <c r="I562" s="20"/>
      <c r="J562" s="20"/>
      <c r="K562" s="20"/>
      <c r="L562" s="21"/>
    </row>
    <row r="563" spans="1:12" x14ac:dyDescent="0.2">
      <c r="A563" s="26"/>
      <c r="B563" s="22"/>
      <c r="C563" s="22"/>
      <c r="D563" s="34" t="str">
        <f>IFERROR(IF(C563="","",VLOOKUP(C563,المستفيدين!$B:$C,2,FALSE)),"")</f>
        <v/>
      </c>
      <c r="E563" s="20"/>
      <c r="F563" s="34" t="str">
        <f>IFERROR(IF(E563="","",VLOOKUP(E563,الموظفين!$B:$C,2,FALSE)),"")</f>
        <v/>
      </c>
      <c r="G563" s="34" t="str">
        <f>IFERROR(IF(C563="","",VLOOKUP(C563,المستفيدين!$B:$F,5,FALSE)),"")</f>
        <v/>
      </c>
      <c r="H563" s="24"/>
      <c r="I563" s="20"/>
      <c r="J563" s="20"/>
      <c r="K563" s="20"/>
      <c r="L563" s="21"/>
    </row>
    <row r="564" spans="1:12" x14ac:dyDescent="0.2">
      <c r="A564" s="26"/>
      <c r="B564" s="22"/>
      <c r="C564" s="22"/>
      <c r="D564" s="34" t="str">
        <f>IFERROR(IF(C564="","",VLOOKUP(C564,المستفيدين!$B:$C,2,FALSE)),"")</f>
        <v/>
      </c>
      <c r="E564" s="20"/>
      <c r="F564" s="34" t="str">
        <f>IFERROR(IF(E564="","",VLOOKUP(E564,الموظفين!$B:$C,2,FALSE)),"")</f>
        <v/>
      </c>
      <c r="G564" s="34" t="str">
        <f>IFERROR(IF(C564="","",VLOOKUP(C564,المستفيدين!$B:$F,5,FALSE)),"")</f>
        <v/>
      </c>
      <c r="H564" s="24"/>
      <c r="I564" s="20"/>
      <c r="J564" s="20"/>
      <c r="K564" s="20"/>
      <c r="L564" s="21"/>
    </row>
    <row r="565" spans="1:12" x14ac:dyDescent="0.2">
      <c r="A565" s="26"/>
      <c r="B565" s="22"/>
      <c r="C565" s="22"/>
      <c r="D565" s="34" t="str">
        <f>IFERROR(IF(C565="","",VLOOKUP(C565,المستفيدين!$B:$C,2,FALSE)),"")</f>
        <v/>
      </c>
      <c r="E565" s="20"/>
      <c r="F565" s="34" t="str">
        <f>IFERROR(IF(E565="","",VLOOKUP(E565,الموظفين!$B:$C,2,FALSE)),"")</f>
        <v/>
      </c>
      <c r="G565" s="34" t="str">
        <f>IFERROR(IF(C565="","",VLOOKUP(C565,المستفيدين!$B:$F,5,FALSE)),"")</f>
        <v/>
      </c>
      <c r="H565" s="24"/>
      <c r="I565" s="20"/>
      <c r="J565" s="20"/>
      <c r="K565" s="20"/>
      <c r="L565" s="21"/>
    </row>
    <row r="566" spans="1:12" x14ac:dyDescent="0.2">
      <c r="A566" s="26"/>
      <c r="B566" s="22"/>
      <c r="C566" s="22"/>
      <c r="D566" s="34" t="str">
        <f>IFERROR(IF(C566="","",VLOOKUP(C566,المستفيدين!$B:$C,2,FALSE)),"")</f>
        <v/>
      </c>
      <c r="E566" s="20"/>
      <c r="F566" s="34" t="str">
        <f>IFERROR(IF(E566="","",VLOOKUP(E566,الموظفين!$B:$C,2,FALSE)),"")</f>
        <v/>
      </c>
      <c r="G566" s="34" t="str">
        <f>IFERROR(IF(C566="","",VLOOKUP(C566,المستفيدين!$B:$F,5,FALSE)),"")</f>
        <v/>
      </c>
      <c r="H566" s="24"/>
      <c r="I566" s="20"/>
      <c r="J566" s="20"/>
      <c r="K566" s="20"/>
      <c r="L566" s="21"/>
    </row>
    <row r="567" spans="1:12" x14ac:dyDescent="0.2">
      <c r="A567" s="26"/>
      <c r="B567" s="22"/>
      <c r="C567" s="22"/>
      <c r="D567" s="34" t="str">
        <f>IFERROR(IF(C567="","",VLOOKUP(C567,المستفيدين!$B:$C,2,FALSE)),"")</f>
        <v/>
      </c>
      <c r="E567" s="20"/>
      <c r="F567" s="34" t="str">
        <f>IFERROR(IF(E567="","",VLOOKUP(E567,الموظفين!$B:$C,2,FALSE)),"")</f>
        <v/>
      </c>
      <c r="G567" s="34" t="str">
        <f>IFERROR(IF(C567="","",VLOOKUP(C567,المستفيدين!$B:$F,5,FALSE)),"")</f>
        <v/>
      </c>
      <c r="H567" s="24"/>
      <c r="I567" s="20"/>
      <c r="J567" s="20"/>
      <c r="K567" s="20"/>
      <c r="L567" s="21"/>
    </row>
    <row r="568" spans="1:12" x14ac:dyDescent="0.2">
      <c r="A568" s="26"/>
      <c r="B568" s="22"/>
      <c r="C568" s="22"/>
      <c r="D568" s="34" t="str">
        <f>IFERROR(IF(C568="","",VLOOKUP(C568,المستفيدين!$B:$C,2,FALSE)),"")</f>
        <v/>
      </c>
      <c r="E568" s="20"/>
      <c r="F568" s="34" t="str">
        <f>IFERROR(IF(E568="","",VLOOKUP(E568,الموظفين!$B:$C,2,FALSE)),"")</f>
        <v/>
      </c>
      <c r="G568" s="34" t="str">
        <f>IFERROR(IF(C568="","",VLOOKUP(C568,المستفيدين!$B:$F,5,FALSE)),"")</f>
        <v/>
      </c>
      <c r="H568" s="24"/>
      <c r="I568" s="20"/>
      <c r="J568" s="20"/>
      <c r="K568" s="20"/>
      <c r="L568" s="21"/>
    </row>
    <row r="569" spans="1:12" x14ac:dyDescent="0.2">
      <c r="A569" s="26"/>
      <c r="B569" s="22"/>
      <c r="C569" s="22"/>
      <c r="D569" s="34" t="str">
        <f>IFERROR(IF(C569="","",VLOOKUP(C569,المستفيدين!$B:$C,2,FALSE)),"")</f>
        <v/>
      </c>
      <c r="E569" s="20"/>
      <c r="F569" s="34" t="str">
        <f>IFERROR(IF(E569="","",VLOOKUP(E569,الموظفين!$B:$C,2,FALSE)),"")</f>
        <v/>
      </c>
      <c r="G569" s="34" t="str">
        <f>IFERROR(IF(C569="","",VLOOKUP(C569,المستفيدين!$B:$F,5,FALSE)),"")</f>
        <v/>
      </c>
      <c r="H569" s="24"/>
      <c r="I569" s="20"/>
      <c r="J569" s="20"/>
      <c r="K569" s="20"/>
      <c r="L569" s="21"/>
    </row>
    <row r="570" spans="1:12" x14ac:dyDescent="0.2">
      <c r="A570" s="26"/>
      <c r="B570" s="22"/>
      <c r="C570" s="22"/>
      <c r="D570" s="34" t="str">
        <f>IFERROR(IF(C570="","",VLOOKUP(C570,المستفيدين!$B:$C,2,FALSE)),"")</f>
        <v/>
      </c>
      <c r="E570" s="20"/>
      <c r="F570" s="34" t="str">
        <f>IFERROR(IF(E570="","",VLOOKUP(E570,الموظفين!$B:$C,2,FALSE)),"")</f>
        <v/>
      </c>
      <c r="G570" s="34" t="str">
        <f>IFERROR(IF(C570="","",VLOOKUP(C570,المستفيدين!$B:$F,5,FALSE)),"")</f>
        <v/>
      </c>
      <c r="H570" s="24"/>
      <c r="I570" s="20"/>
      <c r="J570" s="20"/>
      <c r="K570" s="20"/>
      <c r="L570" s="21"/>
    </row>
    <row r="571" spans="1:12" x14ac:dyDescent="0.2">
      <c r="A571" s="26"/>
      <c r="B571" s="22"/>
      <c r="C571" s="22"/>
      <c r="D571" s="34" t="str">
        <f>IFERROR(IF(C571="","",VLOOKUP(C571,المستفيدين!$B:$C,2,FALSE)),"")</f>
        <v/>
      </c>
      <c r="E571" s="20"/>
      <c r="F571" s="34" t="str">
        <f>IFERROR(IF(E571="","",VLOOKUP(E571,الموظفين!$B:$C,2,FALSE)),"")</f>
        <v/>
      </c>
      <c r="G571" s="34" t="str">
        <f>IFERROR(IF(C571="","",VLOOKUP(C571,المستفيدين!$B:$F,5,FALSE)),"")</f>
        <v/>
      </c>
      <c r="H571" s="24"/>
      <c r="I571" s="20"/>
      <c r="J571" s="20"/>
      <c r="K571" s="20"/>
      <c r="L571" s="21"/>
    </row>
    <row r="572" spans="1:12" x14ac:dyDescent="0.2">
      <c r="A572" s="26"/>
      <c r="B572" s="22"/>
      <c r="C572" s="22"/>
      <c r="D572" s="34" t="str">
        <f>IFERROR(IF(C572="","",VLOOKUP(C572,المستفيدين!$B:$C,2,FALSE)),"")</f>
        <v/>
      </c>
      <c r="E572" s="20"/>
      <c r="F572" s="34" t="str">
        <f>IFERROR(IF(E572="","",VLOOKUP(E572,الموظفين!$B:$C,2,FALSE)),"")</f>
        <v/>
      </c>
      <c r="G572" s="34" t="str">
        <f>IFERROR(IF(C572="","",VLOOKUP(C572,المستفيدين!$B:$F,5,FALSE)),"")</f>
        <v/>
      </c>
      <c r="H572" s="24"/>
      <c r="I572" s="20"/>
      <c r="J572" s="20"/>
      <c r="K572" s="20"/>
      <c r="L572" s="21"/>
    </row>
    <row r="573" spans="1:12" x14ac:dyDescent="0.2">
      <c r="A573" s="26"/>
      <c r="B573" s="22"/>
      <c r="C573" s="22"/>
      <c r="D573" s="34" t="str">
        <f>IFERROR(IF(C573="","",VLOOKUP(C573,المستفيدين!$B:$C,2,FALSE)),"")</f>
        <v/>
      </c>
      <c r="E573" s="20"/>
      <c r="F573" s="34" t="str">
        <f>IFERROR(IF(E573="","",VLOOKUP(E573,الموظفين!$B:$C,2,FALSE)),"")</f>
        <v/>
      </c>
      <c r="G573" s="34" t="str">
        <f>IFERROR(IF(C573="","",VLOOKUP(C573,المستفيدين!$B:$F,5,FALSE)),"")</f>
        <v/>
      </c>
      <c r="H573" s="24"/>
      <c r="I573" s="20"/>
      <c r="J573" s="20"/>
      <c r="K573" s="20"/>
      <c r="L573" s="21"/>
    </row>
    <row r="574" spans="1:12" x14ac:dyDescent="0.2">
      <c r="A574" s="26"/>
      <c r="B574" s="22"/>
      <c r="C574" s="22"/>
      <c r="D574" s="34" t="str">
        <f>IFERROR(IF(C574="","",VLOOKUP(C574,المستفيدين!$B:$C,2,FALSE)),"")</f>
        <v/>
      </c>
      <c r="E574" s="20"/>
      <c r="F574" s="34" t="str">
        <f>IFERROR(IF(E574="","",VLOOKUP(E574,الموظفين!$B:$C,2,FALSE)),"")</f>
        <v/>
      </c>
      <c r="G574" s="34" t="str">
        <f>IFERROR(IF(C574="","",VLOOKUP(C574,المستفيدين!$B:$F,5,FALSE)),"")</f>
        <v/>
      </c>
      <c r="H574" s="24"/>
      <c r="I574" s="20"/>
      <c r="J574" s="20"/>
      <c r="K574" s="20"/>
      <c r="L574" s="21"/>
    </row>
    <row r="575" spans="1:12" x14ac:dyDescent="0.2">
      <c r="A575" s="26"/>
      <c r="B575" s="22"/>
      <c r="C575" s="22"/>
      <c r="D575" s="34" t="str">
        <f>IFERROR(IF(C575="","",VLOOKUP(C575,المستفيدين!$B:$C,2,FALSE)),"")</f>
        <v/>
      </c>
      <c r="E575" s="20"/>
      <c r="F575" s="34" t="str">
        <f>IFERROR(IF(E575="","",VLOOKUP(E575,الموظفين!$B:$C,2,FALSE)),"")</f>
        <v/>
      </c>
      <c r="G575" s="34" t="str">
        <f>IFERROR(IF(C575="","",VLOOKUP(C575,المستفيدين!$B:$F,5,FALSE)),"")</f>
        <v/>
      </c>
      <c r="H575" s="24"/>
      <c r="I575" s="20"/>
      <c r="J575" s="20"/>
      <c r="K575" s="20"/>
      <c r="L575" s="21"/>
    </row>
    <row r="576" spans="1:12" x14ac:dyDescent="0.2">
      <c r="A576" s="26"/>
      <c r="B576" s="22"/>
      <c r="C576" s="22"/>
      <c r="D576" s="34" t="str">
        <f>IFERROR(IF(C576="","",VLOOKUP(C576,المستفيدين!$B:$C,2,FALSE)),"")</f>
        <v/>
      </c>
      <c r="E576" s="20"/>
      <c r="F576" s="34" t="str">
        <f>IFERROR(IF(E576="","",VLOOKUP(E576,الموظفين!$B:$C,2,FALSE)),"")</f>
        <v/>
      </c>
      <c r="G576" s="34" t="str">
        <f>IFERROR(IF(C576="","",VLOOKUP(C576,المستفيدين!$B:$F,5,FALSE)),"")</f>
        <v/>
      </c>
      <c r="H576" s="24"/>
      <c r="I576" s="20"/>
      <c r="J576" s="20"/>
      <c r="K576" s="20"/>
      <c r="L576" s="21"/>
    </row>
    <row r="577" spans="1:12" x14ac:dyDescent="0.2">
      <c r="A577" s="26"/>
      <c r="B577" s="22"/>
      <c r="C577" s="22"/>
      <c r="D577" s="34" t="str">
        <f>IFERROR(IF(C577="","",VLOOKUP(C577,المستفيدين!$B:$C,2,FALSE)),"")</f>
        <v/>
      </c>
      <c r="E577" s="20"/>
      <c r="F577" s="34" t="str">
        <f>IFERROR(IF(E577="","",VLOOKUP(E577,الموظفين!$B:$C,2,FALSE)),"")</f>
        <v/>
      </c>
      <c r="G577" s="34" t="str">
        <f>IFERROR(IF(C577="","",VLOOKUP(C577,المستفيدين!$B:$F,5,FALSE)),"")</f>
        <v/>
      </c>
      <c r="H577" s="24"/>
      <c r="I577" s="20"/>
      <c r="J577" s="20"/>
      <c r="K577" s="20"/>
      <c r="L577" s="21"/>
    </row>
    <row r="578" spans="1:12" x14ac:dyDescent="0.2">
      <c r="A578" s="26"/>
      <c r="B578" s="22"/>
      <c r="C578" s="22"/>
      <c r="D578" s="34" t="str">
        <f>IFERROR(IF(C578="","",VLOOKUP(C578,المستفيدين!$B:$C,2,FALSE)),"")</f>
        <v/>
      </c>
      <c r="E578" s="20"/>
      <c r="F578" s="34" t="str">
        <f>IFERROR(IF(E578="","",VLOOKUP(E578,الموظفين!$B:$C,2,FALSE)),"")</f>
        <v/>
      </c>
      <c r="G578" s="34" t="str">
        <f>IFERROR(IF(C578="","",VLOOKUP(C578,المستفيدين!$B:$F,5,FALSE)),"")</f>
        <v/>
      </c>
      <c r="H578" s="24"/>
      <c r="I578" s="20"/>
      <c r="J578" s="20"/>
      <c r="K578" s="20"/>
      <c r="L578" s="21"/>
    </row>
    <row r="579" spans="1:12" x14ac:dyDescent="0.2">
      <c r="A579" s="26"/>
      <c r="B579" s="22"/>
      <c r="C579" s="22"/>
      <c r="D579" s="34" t="str">
        <f>IFERROR(IF(C579="","",VLOOKUP(C579,المستفيدين!$B:$C,2,FALSE)),"")</f>
        <v/>
      </c>
      <c r="E579" s="20"/>
      <c r="F579" s="34" t="str">
        <f>IFERROR(IF(E579="","",VLOOKUP(E579,الموظفين!$B:$C,2,FALSE)),"")</f>
        <v/>
      </c>
      <c r="G579" s="34" t="str">
        <f>IFERROR(IF(C579="","",VLOOKUP(C579,المستفيدين!$B:$F,5,FALSE)),"")</f>
        <v/>
      </c>
      <c r="H579" s="24"/>
      <c r="I579" s="20"/>
      <c r="J579" s="20"/>
      <c r="K579" s="20"/>
      <c r="L579" s="21"/>
    </row>
    <row r="580" spans="1:12" x14ac:dyDescent="0.2">
      <c r="A580" s="26"/>
      <c r="B580" s="22"/>
      <c r="C580" s="22"/>
      <c r="D580" s="34" t="str">
        <f>IFERROR(IF(C580="","",VLOOKUP(C580,المستفيدين!$B:$C,2,FALSE)),"")</f>
        <v/>
      </c>
      <c r="E580" s="20"/>
      <c r="F580" s="34" t="str">
        <f>IFERROR(IF(E580="","",VLOOKUP(E580,الموظفين!$B:$C,2,FALSE)),"")</f>
        <v/>
      </c>
      <c r="G580" s="34" t="str">
        <f>IFERROR(IF(C580="","",VLOOKUP(C580,المستفيدين!$B:$F,5,FALSE)),"")</f>
        <v/>
      </c>
      <c r="H580" s="24"/>
      <c r="I580" s="20"/>
      <c r="J580" s="20"/>
      <c r="K580" s="20"/>
      <c r="L580" s="21"/>
    </row>
    <row r="581" spans="1:12" x14ac:dyDescent="0.2">
      <c r="A581" s="26"/>
      <c r="B581" s="22"/>
      <c r="C581" s="22"/>
      <c r="D581" s="34" t="str">
        <f>IFERROR(IF(C581="","",VLOOKUP(C581,المستفيدين!$B:$C,2,FALSE)),"")</f>
        <v/>
      </c>
      <c r="E581" s="20"/>
      <c r="F581" s="34" t="str">
        <f>IFERROR(IF(E581="","",VLOOKUP(E581,الموظفين!$B:$C,2,FALSE)),"")</f>
        <v/>
      </c>
      <c r="G581" s="34" t="str">
        <f>IFERROR(IF(C581="","",VLOOKUP(C581,المستفيدين!$B:$F,5,FALSE)),"")</f>
        <v/>
      </c>
      <c r="H581" s="24"/>
      <c r="I581" s="20"/>
      <c r="J581" s="20"/>
      <c r="K581" s="20"/>
      <c r="L581" s="21"/>
    </row>
    <row r="582" spans="1:12" x14ac:dyDescent="0.2">
      <c r="A582" s="26"/>
      <c r="B582" s="22"/>
      <c r="C582" s="22"/>
      <c r="D582" s="34" t="str">
        <f>IFERROR(IF(C582="","",VLOOKUP(C582,المستفيدين!$B:$C,2,FALSE)),"")</f>
        <v/>
      </c>
      <c r="E582" s="20"/>
      <c r="F582" s="34" t="str">
        <f>IFERROR(IF(E582="","",VLOOKUP(E582,الموظفين!$B:$C,2,FALSE)),"")</f>
        <v/>
      </c>
      <c r="G582" s="34" t="str">
        <f>IFERROR(IF(C582="","",VLOOKUP(C582,المستفيدين!$B:$F,5,FALSE)),"")</f>
        <v/>
      </c>
      <c r="H582" s="24"/>
      <c r="I582" s="20"/>
      <c r="J582" s="20"/>
      <c r="K582" s="20"/>
      <c r="L582" s="21"/>
    </row>
    <row r="583" spans="1:12" x14ac:dyDescent="0.2">
      <c r="A583" s="26"/>
      <c r="B583" s="22"/>
      <c r="C583" s="22"/>
      <c r="D583" s="34" t="str">
        <f>IFERROR(IF(C583="","",VLOOKUP(C583,المستفيدين!$B:$C,2,FALSE)),"")</f>
        <v/>
      </c>
      <c r="E583" s="20"/>
      <c r="F583" s="34" t="str">
        <f>IFERROR(IF(E583="","",VLOOKUP(E583,الموظفين!$B:$C,2,FALSE)),"")</f>
        <v/>
      </c>
      <c r="G583" s="34" t="str">
        <f>IFERROR(IF(C583="","",VLOOKUP(C583,المستفيدين!$B:$F,5,FALSE)),"")</f>
        <v/>
      </c>
      <c r="H583" s="24"/>
      <c r="I583" s="20"/>
      <c r="J583" s="20"/>
      <c r="K583" s="20"/>
      <c r="L583" s="21"/>
    </row>
    <row r="584" spans="1:12" x14ac:dyDescent="0.2">
      <c r="A584" s="26"/>
      <c r="B584" s="22"/>
      <c r="C584" s="22"/>
      <c r="D584" s="34" t="str">
        <f>IFERROR(IF(C584="","",VLOOKUP(C584,المستفيدين!$B:$C,2,FALSE)),"")</f>
        <v/>
      </c>
      <c r="E584" s="20"/>
      <c r="F584" s="34" t="str">
        <f>IFERROR(IF(E584="","",VLOOKUP(E584,الموظفين!$B:$C,2,FALSE)),"")</f>
        <v/>
      </c>
      <c r="G584" s="34" t="str">
        <f>IFERROR(IF(C584="","",VLOOKUP(C584,المستفيدين!$B:$F,5,FALSE)),"")</f>
        <v/>
      </c>
      <c r="H584" s="24"/>
      <c r="I584" s="20"/>
      <c r="J584" s="20"/>
      <c r="K584" s="20"/>
      <c r="L584" s="21"/>
    </row>
    <row r="585" spans="1:12" x14ac:dyDescent="0.2">
      <c r="A585" s="26"/>
      <c r="B585" s="22"/>
      <c r="C585" s="22"/>
      <c r="D585" s="34" t="str">
        <f>IFERROR(IF(C585="","",VLOOKUP(C585,المستفيدين!$B:$C,2,FALSE)),"")</f>
        <v/>
      </c>
      <c r="E585" s="20"/>
      <c r="F585" s="34" t="str">
        <f>IFERROR(IF(E585="","",VLOOKUP(E585,الموظفين!$B:$C,2,FALSE)),"")</f>
        <v/>
      </c>
      <c r="G585" s="34" t="str">
        <f>IFERROR(IF(C585="","",VLOOKUP(C585,المستفيدين!$B:$F,5,FALSE)),"")</f>
        <v/>
      </c>
      <c r="H585" s="24"/>
      <c r="I585" s="20"/>
      <c r="J585" s="20"/>
      <c r="K585" s="20"/>
      <c r="L585" s="21"/>
    </row>
    <row r="586" spans="1:12" x14ac:dyDescent="0.2">
      <c r="A586" s="26"/>
      <c r="B586" s="22"/>
      <c r="C586" s="22"/>
      <c r="D586" s="34" t="str">
        <f>IFERROR(IF(C586="","",VLOOKUP(C586,المستفيدين!$B:$C,2,FALSE)),"")</f>
        <v/>
      </c>
      <c r="E586" s="20"/>
      <c r="F586" s="34" t="str">
        <f>IFERROR(IF(E586="","",VLOOKUP(E586,الموظفين!$B:$C,2,FALSE)),"")</f>
        <v/>
      </c>
      <c r="G586" s="34" t="str">
        <f>IFERROR(IF(C586="","",VLOOKUP(C586,المستفيدين!$B:$F,5,FALSE)),"")</f>
        <v/>
      </c>
      <c r="H586" s="24"/>
      <c r="I586" s="20"/>
      <c r="J586" s="20"/>
      <c r="K586" s="20"/>
      <c r="L586" s="21"/>
    </row>
    <row r="587" spans="1:12" x14ac:dyDescent="0.2">
      <c r="A587" s="26"/>
      <c r="B587" s="22"/>
      <c r="C587" s="22"/>
      <c r="D587" s="34" t="str">
        <f>IFERROR(IF(C587="","",VLOOKUP(C587,المستفيدين!$B:$C,2,FALSE)),"")</f>
        <v/>
      </c>
      <c r="E587" s="20"/>
      <c r="F587" s="34" t="str">
        <f>IFERROR(IF(E587="","",VLOOKUP(E587,الموظفين!$B:$C,2,FALSE)),"")</f>
        <v/>
      </c>
      <c r="G587" s="34" t="str">
        <f>IFERROR(IF(C587="","",VLOOKUP(C587,المستفيدين!$B:$F,5,FALSE)),"")</f>
        <v/>
      </c>
      <c r="H587" s="24"/>
      <c r="I587" s="20"/>
      <c r="J587" s="20"/>
      <c r="K587" s="20"/>
      <c r="L587" s="21"/>
    </row>
    <row r="588" spans="1:12" x14ac:dyDescent="0.2">
      <c r="A588" s="26"/>
      <c r="B588" s="22"/>
      <c r="C588" s="22"/>
      <c r="D588" s="34" t="str">
        <f>IFERROR(IF(C588="","",VLOOKUP(C588,المستفيدين!$B:$C,2,FALSE)),"")</f>
        <v/>
      </c>
      <c r="E588" s="20"/>
      <c r="F588" s="34" t="str">
        <f>IFERROR(IF(E588="","",VLOOKUP(E588,الموظفين!$B:$C,2,FALSE)),"")</f>
        <v/>
      </c>
      <c r="G588" s="34" t="str">
        <f>IFERROR(IF(C588="","",VLOOKUP(C588,المستفيدين!$B:$F,5,FALSE)),"")</f>
        <v/>
      </c>
      <c r="H588" s="24"/>
      <c r="I588" s="20"/>
      <c r="J588" s="20"/>
      <c r="K588" s="20"/>
      <c r="L588" s="21"/>
    </row>
    <row r="589" spans="1:12" x14ac:dyDescent="0.2">
      <c r="A589" s="26"/>
      <c r="B589" s="22"/>
      <c r="C589" s="22"/>
      <c r="D589" s="34" t="str">
        <f>IFERROR(IF(C589="","",VLOOKUP(C589,المستفيدين!$B:$C,2,FALSE)),"")</f>
        <v/>
      </c>
      <c r="E589" s="20"/>
      <c r="F589" s="34" t="str">
        <f>IFERROR(IF(E589="","",VLOOKUP(E589,الموظفين!$B:$C,2,FALSE)),"")</f>
        <v/>
      </c>
      <c r="G589" s="34" t="str">
        <f>IFERROR(IF(C589="","",VLOOKUP(C589,المستفيدين!$B:$F,5,FALSE)),"")</f>
        <v/>
      </c>
      <c r="H589" s="24"/>
      <c r="I589" s="20"/>
      <c r="J589" s="20"/>
      <c r="K589" s="20"/>
      <c r="L589" s="21"/>
    </row>
    <row r="590" spans="1:12" x14ac:dyDescent="0.2">
      <c r="A590" s="26"/>
      <c r="B590" s="22"/>
      <c r="C590" s="22"/>
      <c r="D590" s="34" t="str">
        <f>IFERROR(IF(C590="","",VLOOKUP(C590,المستفيدين!$B:$C,2,FALSE)),"")</f>
        <v/>
      </c>
      <c r="E590" s="20"/>
      <c r="F590" s="34" t="str">
        <f>IFERROR(IF(E590="","",VLOOKUP(E590,الموظفين!$B:$C,2,FALSE)),"")</f>
        <v/>
      </c>
      <c r="G590" s="34" t="str">
        <f>IFERROR(IF(C590="","",VLOOKUP(C590,المستفيدين!$B:$F,5,FALSE)),"")</f>
        <v/>
      </c>
      <c r="H590" s="24"/>
      <c r="I590" s="20"/>
      <c r="J590" s="20"/>
      <c r="K590" s="20"/>
      <c r="L590" s="21"/>
    </row>
    <row r="591" spans="1:12" x14ac:dyDescent="0.2">
      <c r="A591" s="26"/>
      <c r="B591" s="22"/>
      <c r="C591" s="22"/>
      <c r="D591" s="34" t="str">
        <f>IFERROR(IF(C591="","",VLOOKUP(C591,المستفيدين!$B:$C,2,FALSE)),"")</f>
        <v/>
      </c>
      <c r="E591" s="20"/>
      <c r="F591" s="34" t="str">
        <f>IFERROR(IF(E591="","",VLOOKUP(E591,الموظفين!$B:$C,2,FALSE)),"")</f>
        <v/>
      </c>
      <c r="G591" s="34" t="str">
        <f>IFERROR(IF(C591="","",VLOOKUP(C591,المستفيدين!$B:$F,5,FALSE)),"")</f>
        <v/>
      </c>
      <c r="H591" s="24"/>
      <c r="I591" s="20"/>
      <c r="J591" s="20"/>
      <c r="K591" s="20"/>
      <c r="L591" s="21"/>
    </row>
    <row r="592" spans="1:12" x14ac:dyDescent="0.2">
      <c r="A592" s="26"/>
      <c r="B592" s="22"/>
      <c r="C592" s="22"/>
      <c r="D592" s="34" t="str">
        <f>IFERROR(IF(C592="","",VLOOKUP(C592,المستفيدين!$B:$C,2,FALSE)),"")</f>
        <v/>
      </c>
      <c r="E592" s="20"/>
      <c r="F592" s="34" t="str">
        <f>IFERROR(IF(E592="","",VLOOKUP(E592,الموظفين!$B:$C,2,FALSE)),"")</f>
        <v/>
      </c>
      <c r="G592" s="34" t="str">
        <f>IFERROR(IF(C592="","",VLOOKUP(C592,المستفيدين!$B:$F,5,FALSE)),"")</f>
        <v/>
      </c>
      <c r="H592" s="24"/>
      <c r="I592" s="20"/>
      <c r="J592" s="20"/>
      <c r="K592" s="20"/>
      <c r="L592" s="21"/>
    </row>
    <row r="593" spans="1:12" x14ac:dyDescent="0.2">
      <c r="A593" s="26"/>
      <c r="B593" s="22"/>
      <c r="C593" s="22"/>
      <c r="D593" s="34" t="str">
        <f>IFERROR(IF(C593="","",VLOOKUP(C593,المستفيدين!$B:$C,2,FALSE)),"")</f>
        <v/>
      </c>
      <c r="E593" s="20"/>
      <c r="F593" s="34" t="str">
        <f>IFERROR(IF(E593="","",VLOOKUP(E593,الموظفين!$B:$C,2,FALSE)),"")</f>
        <v/>
      </c>
      <c r="G593" s="34" t="str">
        <f>IFERROR(IF(C593="","",VLOOKUP(C593,المستفيدين!$B:$F,5,FALSE)),"")</f>
        <v/>
      </c>
      <c r="H593" s="24"/>
      <c r="I593" s="20"/>
      <c r="J593" s="20"/>
      <c r="K593" s="20"/>
      <c r="L593" s="21"/>
    </row>
    <row r="594" spans="1:12" x14ac:dyDescent="0.2">
      <c r="A594" s="26"/>
      <c r="B594" s="22"/>
      <c r="C594" s="22"/>
      <c r="D594" s="34" t="str">
        <f>IFERROR(IF(C594="","",VLOOKUP(C594,المستفيدين!$B:$C,2,FALSE)),"")</f>
        <v/>
      </c>
      <c r="E594" s="20"/>
      <c r="F594" s="34" t="str">
        <f>IFERROR(IF(E594="","",VLOOKUP(E594,الموظفين!$B:$C,2,FALSE)),"")</f>
        <v/>
      </c>
      <c r="G594" s="34" t="str">
        <f>IFERROR(IF(C594="","",VLOOKUP(C594,المستفيدين!$B:$F,5,FALSE)),"")</f>
        <v/>
      </c>
      <c r="H594" s="24"/>
      <c r="I594" s="20"/>
      <c r="J594" s="20"/>
      <c r="K594" s="20"/>
      <c r="L594" s="21"/>
    </row>
    <row r="595" spans="1:12" x14ac:dyDescent="0.2">
      <c r="A595" s="26"/>
      <c r="B595" s="22"/>
      <c r="C595" s="22"/>
      <c r="D595" s="34" t="str">
        <f>IFERROR(IF(C595="","",VLOOKUP(C595,المستفيدين!$B:$C,2,FALSE)),"")</f>
        <v/>
      </c>
      <c r="E595" s="20"/>
      <c r="F595" s="34" t="str">
        <f>IFERROR(IF(E595="","",VLOOKUP(E595,الموظفين!$B:$C,2,FALSE)),"")</f>
        <v/>
      </c>
      <c r="G595" s="34" t="str">
        <f>IFERROR(IF(C595="","",VLOOKUP(C595,المستفيدين!$B:$F,5,FALSE)),"")</f>
        <v/>
      </c>
      <c r="H595" s="24"/>
      <c r="I595" s="20"/>
      <c r="J595" s="20"/>
      <c r="K595" s="20"/>
      <c r="L595" s="21"/>
    </row>
    <row r="596" spans="1:12" x14ac:dyDescent="0.2">
      <c r="A596" s="26"/>
      <c r="B596" s="22"/>
      <c r="C596" s="22"/>
      <c r="D596" s="34" t="str">
        <f>IFERROR(IF(C596="","",VLOOKUP(C596,المستفيدين!$B:$C,2,FALSE)),"")</f>
        <v/>
      </c>
      <c r="E596" s="20"/>
      <c r="F596" s="34" t="str">
        <f>IFERROR(IF(E596="","",VLOOKUP(E596,الموظفين!$B:$C,2,FALSE)),"")</f>
        <v/>
      </c>
      <c r="G596" s="34" t="str">
        <f>IFERROR(IF(C596="","",VLOOKUP(C596,المستفيدين!$B:$F,5,FALSE)),"")</f>
        <v/>
      </c>
      <c r="H596" s="24"/>
      <c r="I596" s="20"/>
      <c r="J596" s="20"/>
      <c r="K596" s="20"/>
      <c r="L596" s="21"/>
    </row>
    <row r="597" spans="1:12" x14ac:dyDescent="0.2">
      <c r="A597" s="26"/>
      <c r="B597" s="22"/>
      <c r="C597" s="22"/>
      <c r="D597" s="34" t="str">
        <f>IFERROR(IF(C597="","",VLOOKUP(C597,المستفيدين!$B:$C,2,FALSE)),"")</f>
        <v/>
      </c>
      <c r="E597" s="20"/>
      <c r="F597" s="34" t="str">
        <f>IFERROR(IF(E597="","",VLOOKUP(E597,الموظفين!$B:$C,2,FALSE)),"")</f>
        <v/>
      </c>
      <c r="G597" s="34" t="str">
        <f>IFERROR(IF(C597="","",VLOOKUP(C597,المستفيدين!$B:$F,5,FALSE)),"")</f>
        <v/>
      </c>
      <c r="H597" s="24"/>
      <c r="I597" s="20"/>
      <c r="J597" s="20"/>
      <c r="K597" s="20"/>
      <c r="L597" s="21"/>
    </row>
    <row r="598" spans="1:12" x14ac:dyDescent="0.2">
      <c r="A598" s="26"/>
      <c r="B598" s="22"/>
      <c r="C598" s="22"/>
      <c r="D598" s="34" t="str">
        <f>IFERROR(IF(C598="","",VLOOKUP(C598,المستفيدين!$B:$C,2,FALSE)),"")</f>
        <v/>
      </c>
      <c r="E598" s="20"/>
      <c r="F598" s="34" t="str">
        <f>IFERROR(IF(E598="","",VLOOKUP(E598,الموظفين!$B:$C,2,FALSE)),"")</f>
        <v/>
      </c>
      <c r="G598" s="34" t="str">
        <f>IFERROR(IF(C598="","",VLOOKUP(C598,المستفيدين!$B:$F,5,FALSE)),"")</f>
        <v/>
      </c>
      <c r="H598" s="24"/>
      <c r="I598" s="20"/>
      <c r="J598" s="20"/>
      <c r="K598" s="20"/>
      <c r="L598" s="21"/>
    </row>
    <row r="599" spans="1:12" x14ac:dyDescent="0.2">
      <c r="A599" s="26"/>
      <c r="B599" s="22"/>
      <c r="C599" s="22"/>
      <c r="D599" s="34" t="str">
        <f>IFERROR(IF(C599="","",VLOOKUP(C599,المستفيدين!$B:$C,2,FALSE)),"")</f>
        <v/>
      </c>
      <c r="E599" s="20"/>
      <c r="F599" s="34" t="str">
        <f>IFERROR(IF(E599="","",VLOOKUP(E599,الموظفين!$B:$C,2,FALSE)),"")</f>
        <v/>
      </c>
      <c r="G599" s="34" t="str">
        <f>IFERROR(IF(C599="","",VLOOKUP(C599,المستفيدين!$B:$F,5,FALSE)),"")</f>
        <v/>
      </c>
      <c r="H599" s="24"/>
      <c r="I599" s="20"/>
      <c r="J599" s="20"/>
      <c r="K599" s="20"/>
      <c r="L599" s="21"/>
    </row>
    <row r="600" spans="1:12" x14ac:dyDescent="0.2">
      <c r="A600" s="26"/>
      <c r="B600" s="22"/>
      <c r="C600" s="22"/>
      <c r="D600" s="34" t="str">
        <f>IFERROR(IF(C600="","",VLOOKUP(C600,المستفيدين!$B:$C,2,FALSE)),"")</f>
        <v/>
      </c>
      <c r="E600" s="20"/>
      <c r="F600" s="34" t="str">
        <f>IFERROR(IF(E600="","",VLOOKUP(E600,الموظفين!$B:$C,2,FALSE)),"")</f>
        <v/>
      </c>
      <c r="G600" s="34" t="str">
        <f>IFERROR(IF(C600="","",VLOOKUP(C600,المستفيدين!$B:$F,5,FALSE)),"")</f>
        <v/>
      </c>
      <c r="H600" s="24"/>
      <c r="I600" s="20"/>
      <c r="J600" s="20"/>
      <c r="K600" s="20"/>
      <c r="L600" s="21"/>
    </row>
    <row r="601" spans="1:12" x14ac:dyDescent="0.2">
      <c r="A601" s="26"/>
      <c r="B601" s="22"/>
      <c r="C601" s="22"/>
      <c r="D601" s="34" t="str">
        <f>IFERROR(IF(C601="","",VLOOKUP(C601,المستفيدين!$B:$C,2,FALSE)),"")</f>
        <v/>
      </c>
      <c r="E601" s="20"/>
      <c r="F601" s="34" t="str">
        <f>IFERROR(IF(E601="","",VLOOKUP(E601,الموظفين!$B:$C,2,FALSE)),"")</f>
        <v/>
      </c>
      <c r="G601" s="34" t="str">
        <f>IFERROR(IF(C601="","",VLOOKUP(C601,المستفيدين!$B:$F,5,FALSE)),"")</f>
        <v/>
      </c>
      <c r="H601" s="24"/>
      <c r="I601" s="20"/>
      <c r="J601" s="20"/>
      <c r="K601" s="20"/>
      <c r="L601" s="21"/>
    </row>
    <row r="602" spans="1:12" x14ac:dyDescent="0.2">
      <c r="A602" s="26"/>
      <c r="B602" s="22"/>
      <c r="C602" s="22"/>
      <c r="D602" s="34" t="str">
        <f>IFERROR(IF(C602="","",VLOOKUP(C602,المستفيدين!$B:$C,2,FALSE)),"")</f>
        <v/>
      </c>
      <c r="E602" s="20"/>
      <c r="F602" s="34" t="str">
        <f>IFERROR(IF(E602="","",VLOOKUP(E602,الموظفين!$B:$C,2,FALSE)),"")</f>
        <v/>
      </c>
      <c r="G602" s="34" t="str">
        <f>IFERROR(IF(C602="","",VLOOKUP(C602,المستفيدين!$B:$F,5,FALSE)),"")</f>
        <v/>
      </c>
      <c r="H602" s="24"/>
      <c r="I602" s="20"/>
      <c r="J602" s="20"/>
      <c r="K602" s="20"/>
      <c r="L602" s="21"/>
    </row>
    <row r="603" spans="1:12" x14ac:dyDescent="0.2">
      <c r="A603" s="26"/>
      <c r="B603" s="22"/>
      <c r="C603" s="22"/>
      <c r="D603" s="34" t="str">
        <f>IFERROR(IF(C603="","",VLOOKUP(C603,المستفيدين!$B:$C,2,FALSE)),"")</f>
        <v/>
      </c>
      <c r="E603" s="20"/>
      <c r="F603" s="34" t="str">
        <f>IFERROR(IF(E603="","",VLOOKUP(E603,الموظفين!$B:$C,2,FALSE)),"")</f>
        <v/>
      </c>
      <c r="G603" s="34" t="str">
        <f>IFERROR(IF(C603="","",VLOOKUP(C603,المستفيدين!$B:$F,5,FALSE)),"")</f>
        <v/>
      </c>
      <c r="H603" s="24"/>
      <c r="I603" s="20"/>
      <c r="J603" s="20"/>
      <c r="K603" s="20"/>
      <c r="L603" s="21"/>
    </row>
    <row r="604" spans="1:12" x14ac:dyDescent="0.2">
      <c r="A604" s="26"/>
      <c r="B604" s="22"/>
      <c r="C604" s="22"/>
      <c r="D604" s="34" t="str">
        <f>IFERROR(IF(C604="","",VLOOKUP(C604,المستفيدين!$B:$C,2,FALSE)),"")</f>
        <v/>
      </c>
      <c r="E604" s="20"/>
      <c r="F604" s="34" t="str">
        <f>IFERROR(IF(E604="","",VLOOKUP(E604,الموظفين!$B:$C,2,FALSE)),"")</f>
        <v/>
      </c>
      <c r="G604" s="34" t="str">
        <f>IFERROR(IF(C604="","",VLOOKUP(C604,المستفيدين!$B:$F,5,FALSE)),"")</f>
        <v/>
      </c>
      <c r="H604" s="24"/>
      <c r="I604" s="20"/>
      <c r="J604" s="20"/>
      <c r="K604" s="20"/>
      <c r="L604" s="21"/>
    </row>
    <row r="605" spans="1:12" x14ac:dyDescent="0.2">
      <c r="A605" s="26"/>
      <c r="B605" s="22"/>
      <c r="C605" s="22"/>
      <c r="D605" s="34" t="str">
        <f>IFERROR(IF(C605="","",VLOOKUP(C605,المستفيدين!$B:$C,2,FALSE)),"")</f>
        <v/>
      </c>
      <c r="E605" s="20"/>
      <c r="F605" s="34" t="str">
        <f>IFERROR(IF(E605="","",VLOOKUP(E605,الموظفين!$B:$C,2,FALSE)),"")</f>
        <v/>
      </c>
      <c r="G605" s="34" t="str">
        <f>IFERROR(IF(C605="","",VLOOKUP(C605,المستفيدين!$B:$F,5,FALSE)),"")</f>
        <v/>
      </c>
      <c r="H605" s="24"/>
      <c r="I605" s="20"/>
      <c r="J605" s="20"/>
      <c r="K605" s="20"/>
      <c r="L605" s="21"/>
    </row>
    <row r="606" spans="1:12" x14ac:dyDescent="0.2">
      <c r="A606" s="26"/>
      <c r="B606" s="22"/>
      <c r="C606" s="22"/>
      <c r="D606" s="34" t="str">
        <f>IFERROR(IF(C606="","",VLOOKUP(C606,المستفيدين!$B:$C,2,FALSE)),"")</f>
        <v/>
      </c>
      <c r="E606" s="20"/>
      <c r="F606" s="34" t="str">
        <f>IFERROR(IF(E606="","",VLOOKUP(E606,الموظفين!$B:$C,2,FALSE)),"")</f>
        <v/>
      </c>
      <c r="G606" s="34" t="str">
        <f>IFERROR(IF(C606="","",VLOOKUP(C606,المستفيدين!$B:$F,5,FALSE)),"")</f>
        <v/>
      </c>
      <c r="H606" s="24"/>
      <c r="I606" s="20"/>
      <c r="J606" s="20"/>
      <c r="K606" s="20"/>
      <c r="L606" s="21"/>
    </row>
    <row r="607" spans="1:12" x14ac:dyDescent="0.2">
      <c r="A607" s="26"/>
      <c r="B607" s="22"/>
      <c r="C607" s="22"/>
      <c r="D607" s="34" t="str">
        <f>IFERROR(IF(C607="","",VLOOKUP(C607,المستفيدين!$B:$C,2,FALSE)),"")</f>
        <v/>
      </c>
      <c r="E607" s="20"/>
      <c r="F607" s="34" t="str">
        <f>IFERROR(IF(E607="","",VLOOKUP(E607,الموظفين!$B:$C,2,FALSE)),"")</f>
        <v/>
      </c>
      <c r="G607" s="34" t="str">
        <f>IFERROR(IF(C607="","",VLOOKUP(C607,المستفيدين!$B:$F,5,FALSE)),"")</f>
        <v/>
      </c>
      <c r="H607" s="24"/>
      <c r="I607" s="20"/>
      <c r="J607" s="20"/>
      <c r="K607" s="20"/>
      <c r="L607" s="21"/>
    </row>
    <row r="608" spans="1:12" x14ac:dyDescent="0.2">
      <c r="A608" s="26"/>
      <c r="B608" s="22"/>
      <c r="C608" s="22"/>
      <c r="D608" s="34" t="str">
        <f>IFERROR(IF(C608="","",VLOOKUP(C608,المستفيدين!$B:$C,2,FALSE)),"")</f>
        <v/>
      </c>
      <c r="E608" s="20"/>
      <c r="F608" s="34" t="str">
        <f>IFERROR(IF(E608="","",VLOOKUP(E608,الموظفين!$B:$C,2,FALSE)),"")</f>
        <v/>
      </c>
      <c r="G608" s="34" t="str">
        <f>IFERROR(IF(C608="","",VLOOKUP(C608,المستفيدين!$B:$F,5,FALSE)),"")</f>
        <v/>
      </c>
      <c r="H608" s="24"/>
      <c r="I608" s="20"/>
      <c r="J608" s="20"/>
      <c r="K608" s="20"/>
      <c r="L608" s="21"/>
    </row>
    <row r="609" spans="1:12" x14ac:dyDescent="0.2">
      <c r="A609" s="26"/>
      <c r="B609" s="22"/>
      <c r="C609" s="22"/>
      <c r="D609" s="34" t="str">
        <f>IFERROR(IF(C609="","",VLOOKUP(C609,المستفيدين!$B:$C,2,FALSE)),"")</f>
        <v/>
      </c>
      <c r="E609" s="20"/>
      <c r="F609" s="34" t="str">
        <f>IFERROR(IF(E609="","",VLOOKUP(E609,الموظفين!$B:$C,2,FALSE)),"")</f>
        <v/>
      </c>
      <c r="G609" s="34" t="str">
        <f>IFERROR(IF(C609="","",VLOOKUP(C609,المستفيدين!$B:$F,5,FALSE)),"")</f>
        <v/>
      </c>
      <c r="H609" s="24"/>
      <c r="I609" s="20"/>
      <c r="J609" s="20"/>
      <c r="K609" s="20"/>
      <c r="L609" s="21"/>
    </row>
    <row r="610" spans="1:12" x14ac:dyDescent="0.2">
      <c r="A610" s="26"/>
      <c r="B610" s="22"/>
      <c r="C610" s="22"/>
      <c r="D610" s="34" t="str">
        <f>IFERROR(IF(C610="","",VLOOKUP(C610,المستفيدين!$B:$C,2,FALSE)),"")</f>
        <v/>
      </c>
      <c r="E610" s="20"/>
      <c r="F610" s="34" t="str">
        <f>IFERROR(IF(E610="","",VLOOKUP(E610,الموظفين!$B:$C,2,FALSE)),"")</f>
        <v/>
      </c>
      <c r="G610" s="34" t="str">
        <f>IFERROR(IF(C610="","",VLOOKUP(C610,المستفيدين!$B:$F,5,FALSE)),"")</f>
        <v/>
      </c>
      <c r="H610" s="24"/>
      <c r="I610" s="20"/>
      <c r="J610" s="20"/>
      <c r="K610" s="20"/>
      <c r="L610" s="21"/>
    </row>
    <row r="611" spans="1:12" x14ac:dyDescent="0.2">
      <c r="A611" s="26"/>
      <c r="B611" s="22"/>
      <c r="C611" s="22"/>
      <c r="D611" s="34" t="str">
        <f>IFERROR(IF(C611="","",VLOOKUP(C611,المستفيدين!$B:$C,2,FALSE)),"")</f>
        <v/>
      </c>
      <c r="E611" s="20"/>
      <c r="F611" s="34" t="str">
        <f>IFERROR(IF(E611="","",VLOOKUP(E611,الموظفين!$B:$C,2,FALSE)),"")</f>
        <v/>
      </c>
      <c r="G611" s="34" t="str">
        <f>IFERROR(IF(C611="","",VLOOKUP(C611,المستفيدين!$B:$F,5,FALSE)),"")</f>
        <v/>
      </c>
      <c r="H611" s="24"/>
      <c r="I611" s="20"/>
      <c r="J611" s="20"/>
      <c r="K611" s="20"/>
      <c r="L611" s="21"/>
    </row>
    <row r="612" spans="1:12" x14ac:dyDescent="0.2">
      <c r="A612" s="26"/>
      <c r="B612" s="22"/>
      <c r="C612" s="22"/>
      <c r="D612" s="34" t="str">
        <f>IFERROR(IF(C612="","",VLOOKUP(C612,المستفيدين!$B:$C,2,FALSE)),"")</f>
        <v/>
      </c>
      <c r="E612" s="20"/>
      <c r="F612" s="34" t="str">
        <f>IFERROR(IF(E612="","",VLOOKUP(E612,الموظفين!$B:$C,2,FALSE)),"")</f>
        <v/>
      </c>
      <c r="G612" s="34" t="str">
        <f>IFERROR(IF(C612="","",VLOOKUP(C612,المستفيدين!$B:$F,5,FALSE)),"")</f>
        <v/>
      </c>
      <c r="H612" s="24"/>
      <c r="I612" s="20"/>
      <c r="J612" s="20"/>
      <c r="K612" s="20"/>
      <c r="L612" s="21"/>
    </row>
    <row r="613" spans="1:12" x14ac:dyDescent="0.2">
      <c r="A613" s="26"/>
      <c r="B613" s="22"/>
      <c r="C613" s="22"/>
      <c r="D613" s="34" t="str">
        <f>IFERROR(IF(C613="","",VLOOKUP(C613,المستفيدين!$B:$C,2,FALSE)),"")</f>
        <v/>
      </c>
      <c r="E613" s="20"/>
      <c r="F613" s="34" t="str">
        <f>IFERROR(IF(E613="","",VLOOKUP(E613,الموظفين!$B:$C,2,FALSE)),"")</f>
        <v/>
      </c>
      <c r="G613" s="34" t="str">
        <f>IFERROR(IF(C613="","",VLOOKUP(C613,المستفيدين!$B:$F,5,FALSE)),"")</f>
        <v/>
      </c>
      <c r="H613" s="24"/>
      <c r="I613" s="20"/>
      <c r="J613" s="20"/>
      <c r="K613" s="20"/>
      <c r="L613" s="21"/>
    </row>
    <row r="614" spans="1:12" x14ac:dyDescent="0.2">
      <c r="A614" s="26"/>
      <c r="B614" s="22"/>
      <c r="C614" s="22"/>
      <c r="D614" s="34" t="str">
        <f>IFERROR(IF(C614="","",VLOOKUP(C614,المستفيدين!$B:$C,2,FALSE)),"")</f>
        <v/>
      </c>
      <c r="E614" s="20"/>
      <c r="F614" s="34" t="str">
        <f>IFERROR(IF(E614="","",VLOOKUP(E614,الموظفين!$B:$C,2,FALSE)),"")</f>
        <v/>
      </c>
      <c r="G614" s="34" t="str">
        <f>IFERROR(IF(C614="","",VLOOKUP(C614,المستفيدين!$B:$F,5,FALSE)),"")</f>
        <v/>
      </c>
      <c r="H614" s="24"/>
      <c r="I614" s="20"/>
      <c r="J614" s="20"/>
      <c r="K614" s="20"/>
      <c r="L614" s="21"/>
    </row>
    <row r="615" spans="1:12" x14ac:dyDescent="0.2">
      <c r="A615" s="26"/>
      <c r="B615" s="22"/>
      <c r="C615" s="22"/>
      <c r="D615" s="34" t="str">
        <f>IFERROR(IF(C615="","",VLOOKUP(C615,المستفيدين!$B:$C,2,FALSE)),"")</f>
        <v/>
      </c>
      <c r="E615" s="20"/>
      <c r="F615" s="34" t="str">
        <f>IFERROR(IF(E615="","",VLOOKUP(E615,الموظفين!$B:$C,2,FALSE)),"")</f>
        <v/>
      </c>
      <c r="G615" s="34" t="str">
        <f>IFERROR(IF(C615="","",VLOOKUP(C615,المستفيدين!$B:$F,5,FALSE)),"")</f>
        <v/>
      </c>
      <c r="H615" s="24"/>
      <c r="I615" s="20"/>
      <c r="J615" s="20"/>
      <c r="K615" s="20"/>
      <c r="L615" s="21"/>
    </row>
    <row r="616" spans="1:12" x14ac:dyDescent="0.2">
      <c r="A616" s="26"/>
      <c r="B616" s="22"/>
      <c r="C616" s="22"/>
      <c r="D616" s="34" t="str">
        <f>IFERROR(IF(C616="","",VLOOKUP(C616,المستفيدين!$B:$C,2,FALSE)),"")</f>
        <v/>
      </c>
      <c r="E616" s="20"/>
      <c r="F616" s="34" t="str">
        <f>IFERROR(IF(E616="","",VLOOKUP(E616,الموظفين!$B:$C,2,FALSE)),"")</f>
        <v/>
      </c>
      <c r="G616" s="34" t="str">
        <f>IFERROR(IF(C616="","",VLOOKUP(C616,المستفيدين!$B:$F,5,FALSE)),"")</f>
        <v/>
      </c>
      <c r="H616" s="24"/>
      <c r="I616" s="20"/>
      <c r="J616" s="20"/>
      <c r="K616" s="20"/>
      <c r="L616" s="21"/>
    </row>
    <row r="617" spans="1:12" x14ac:dyDescent="0.2">
      <c r="A617" s="26"/>
      <c r="B617" s="22"/>
      <c r="C617" s="22"/>
      <c r="D617" s="34" t="str">
        <f>IFERROR(IF(C617="","",VLOOKUP(C617,المستفيدين!$B:$C,2,FALSE)),"")</f>
        <v/>
      </c>
      <c r="E617" s="20"/>
      <c r="F617" s="34" t="str">
        <f>IFERROR(IF(E617="","",VLOOKUP(E617,الموظفين!$B:$C,2,FALSE)),"")</f>
        <v/>
      </c>
      <c r="G617" s="34" t="str">
        <f>IFERROR(IF(C617="","",VLOOKUP(C617,المستفيدين!$B:$F,5,FALSE)),"")</f>
        <v/>
      </c>
      <c r="H617" s="24"/>
      <c r="I617" s="20"/>
      <c r="J617" s="20"/>
      <c r="K617" s="20"/>
      <c r="L617" s="21"/>
    </row>
    <row r="618" spans="1:12" x14ac:dyDescent="0.2">
      <c r="A618" s="26"/>
      <c r="B618" s="22"/>
      <c r="C618" s="22"/>
      <c r="D618" s="34" t="str">
        <f>IFERROR(IF(C618="","",VLOOKUP(C618,المستفيدين!$B:$C,2,FALSE)),"")</f>
        <v/>
      </c>
      <c r="E618" s="20"/>
      <c r="F618" s="34" t="str">
        <f>IFERROR(IF(E618="","",VLOOKUP(E618,الموظفين!$B:$C,2,FALSE)),"")</f>
        <v/>
      </c>
      <c r="G618" s="34" t="str">
        <f>IFERROR(IF(C618="","",VLOOKUP(C618,المستفيدين!$B:$F,5,FALSE)),"")</f>
        <v/>
      </c>
      <c r="H618" s="24"/>
      <c r="I618" s="20"/>
      <c r="J618" s="20"/>
      <c r="K618" s="20"/>
      <c r="L618" s="21"/>
    </row>
    <row r="619" spans="1:12" x14ac:dyDescent="0.2">
      <c r="A619" s="26"/>
      <c r="B619" s="22"/>
      <c r="C619" s="22"/>
      <c r="D619" s="34" t="str">
        <f>IFERROR(IF(C619="","",VLOOKUP(C619,المستفيدين!$B:$C,2,FALSE)),"")</f>
        <v/>
      </c>
      <c r="E619" s="20"/>
      <c r="F619" s="34" t="str">
        <f>IFERROR(IF(E619="","",VLOOKUP(E619,الموظفين!$B:$C,2,FALSE)),"")</f>
        <v/>
      </c>
      <c r="G619" s="34" t="str">
        <f>IFERROR(IF(C619="","",VLOOKUP(C619,المستفيدين!$B:$F,5,FALSE)),"")</f>
        <v/>
      </c>
      <c r="H619" s="24"/>
      <c r="I619" s="20"/>
      <c r="J619" s="20"/>
      <c r="K619" s="20"/>
      <c r="L619" s="21"/>
    </row>
    <row r="620" spans="1:12" x14ac:dyDescent="0.2">
      <c r="A620" s="26"/>
      <c r="B620" s="22"/>
      <c r="C620" s="22"/>
      <c r="D620" s="34" t="str">
        <f>IFERROR(IF(C620="","",VLOOKUP(C620,المستفيدين!$B:$C,2,FALSE)),"")</f>
        <v/>
      </c>
      <c r="E620" s="20"/>
      <c r="F620" s="34" t="str">
        <f>IFERROR(IF(E620="","",VLOOKUP(E620,الموظفين!$B:$C,2,FALSE)),"")</f>
        <v/>
      </c>
      <c r="G620" s="34" t="str">
        <f>IFERROR(IF(C620="","",VLOOKUP(C620,المستفيدين!$B:$F,5,FALSE)),"")</f>
        <v/>
      </c>
      <c r="H620" s="24"/>
      <c r="I620" s="20"/>
      <c r="J620" s="20"/>
      <c r="K620" s="20"/>
      <c r="L620" s="21"/>
    </row>
    <row r="621" spans="1:12" x14ac:dyDescent="0.2">
      <c r="A621" s="26"/>
      <c r="B621" s="22"/>
      <c r="C621" s="22"/>
      <c r="D621" s="34" t="str">
        <f>IFERROR(IF(C621="","",VLOOKUP(C621,المستفيدين!$B:$C,2,FALSE)),"")</f>
        <v/>
      </c>
      <c r="E621" s="20"/>
      <c r="F621" s="34" t="str">
        <f>IFERROR(IF(E621="","",VLOOKUP(E621,الموظفين!$B:$C,2,FALSE)),"")</f>
        <v/>
      </c>
      <c r="G621" s="34" t="str">
        <f>IFERROR(IF(C621="","",VLOOKUP(C621,المستفيدين!$B:$F,5,FALSE)),"")</f>
        <v/>
      </c>
      <c r="H621" s="24"/>
      <c r="I621" s="20"/>
      <c r="J621" s="20"/>
      <c r="K621" s="20"/>
      <c r="L621" s="21"/>
    </row>
    <row r="622" spans="1:12" x14ac:dyDescent="0.2">
      <c r="A622" s="26"/>
      <c r="B622" s="22"/>
      <c r="C622" s="22"/>
      <c r="D622" s="34" t="str">
        <f>IFERROR(IF(C622="","",VLOOKUP(C622,المستفيدين!$B:$C,2,FALSE)),"")</f>
        <v/>
      </c>
      <c r="E622" s="20"/>
      <c r="F622" s="34" t="str">
        <f>IFERROR(IF(E622="","",VLOOKUP(E622,الموظفين!$B:$C,2,FALSE)),"")</f>
        <v/>
      </c>
      <c r="G622" s="34" t="str">
        <f>IFERROR(IF(C622="","",VLOOKUP(C622,المستفيدين!$B:$F,5,FALSE)),"")</f>
        <v/>
      </c>
      <c r="H622" s="24"/>
      <c r="I622" s="20"/>
      <c r="J622" s="20"/>
      <c r="K622" s="20"/>
      <c r="L622" s="21"/>
    </row>
    <row r="623" spans="1:12" x14ac:dyDescent="0.2">
      <c r="A623" s="26"/>
      <c r="B623" s="22"/>
      <c r="C623" s="22"/>
      <c r="D623" s="34" t="str">
        <f>IFERROR(IF(C623="","",VLOOKUP(C623,المستفيدين!$B:$C,2,FALSE)),"")</f>
        <v/>
      </c>
      <c r="E623" s="20"/>
      <c r="F623" s="34" t="str">
        <f>IFERROR(IF(E623="","",VLOOKUP(E623,الموظفين!$B:$C,2,FALSE)),"")</f>
        <v/>
      </c>
      <c r="G623" s="34" t="str">
        <f>IFERROR(IF(C623="","",VLOOKUP(C623,المستفيدين!$B:$F,5,FALSE)),"")</f>
        <v/>
      </c>
      <c r="H623" s="24"/>
      <c r="I623" s="20"/>
      <c r="J623" s="20"/>
      <c r="K623" s="20"/>
      <c r="L623" s="21"/>
    </row>
    <row r="624" spans="1:12" x14ac:dyDescent="0.2">
      <c r="A624" s="26"/>
      <c r="B624" s="22"/>
      <c r="C624" s="22"/>
      <c r="D624" s="34" t="str">
        <f>IFERROR(IF(C624="","",VLOOKUP(C624,المستفيدين!$B:$C,2,FALSE)),"")</f>
        <v/>
      </c>
      <c r="E624" s="20"/>
      <c r="F624" s="34" t="str">
        <f>IFERROR(IF(E624="","",VLOOKUP(E624,الموظفين!$B:$C,2,FALSE)),"")</f>
        <v/>
      </c>
      <c r="G624" s="34" t="str">
        <f>IFERROR(IF(C624="","",VLOOKUP(C624,المستفيدين!$B:$F,5,FALSE)),"")</f>
        <v/>
      </c>
      <c r="H624" s="24"/>
      <c r="I624" s="20"/>
      <c r="J624" s="20"/>
      <c r="K624" s="20"/>
      <c r="L624" s="21"/>
    </row>
    <row r="625" spans="1:12" x14ac:dyDescent="0.2">
      <c r="A625" s="26"/>
      <c r="B625" s="22"/>
      <c r="C625" s="22"/>
      <c r="D625" s="34" t="str">
        <f>IFERROR(IF(C625="","",VLOOKUP(C625,المستفيدين!$B:$C,2,FALSE)),"")</f>
        <v/>
      </c>
      <c r="E625" s="20"/>
      <c r="F625" s="34" t="str">
        <f>IFERROR(IF(E625="","",VLOOKUP(E625,الموظفين!$B:$C,2,FALSE)),"")</f>
        <v/>
      </c>
      <c r="G625" s="34" t="str">
        <f>IFERROR(IF(C625="","",VLOOKUP(C625,المستفيدين!$B:$F,5,FALSE)),"")</f>
        <v/>
      </c>
      <c r="H625" s="24"/>
      <c r="I625" s="20"/>
      <c r="J625" s="20"/>
      <c r="K625" s="20"/>
      <c r="L625" s="21"/>
    </row>
    <row r="626" spans="1:12" x14ac:dyDescent="0.2">
      <c r="A626" s="26"/>
      <c r="B626" s="22"/>
      <c r="C626" s="22"/>
      <c r="D626" s="34" t="str">
        <f>IFERROR(IF(C626="","",VLOOKUP(C626,المستفيدين!$B:$C,2,FALSE)),"")</f>
        <v/>
      </c>
      <c r="E626" s="20"/>
      <c r="F626" s="34" t="str">
        <f>IFERROR(IF(E626="","",VLOOKUP(E626,الموظفين!$B:$C,2,FALSE)),"")</f>
        <v/>
      </c>
      <c r="G626" s="34" t="str">
        <f>IFERROR(IF(C626="","",VLOOKUP(C626,المستفيدين!$B:$F,5,FALSE)),"")</f>
        <v/>
      </c>
      <c r="H626" s="24"/>
      <c r="I626" s="20"/>
      <c r="J626" s="20"/>
      <c r="K626" s="20"/>
      <c r="L626" s="21"/>
    </row>
    <row r="627" spans="1:12" x14ac:dyDescent="0.2">
      <c r="A627" s="26"/>
      <c r="B627" s="22"/>
      <c r="C627" s="22"/>
      <c r="D627" s="34" t="str">
        <f>IFERROR(IF(C627="","",VLOOKUP(C627,المستفيدين!$B:$C,2,FALSE)),"")</f>
        <v/>
      </c>
      <c r="E627" s="20"/>
      <c r="F627" s="34" t="str">
        <f>IFERROR(IF(E627="","",VLOOKUP(E627,الموظفين!$B:$C,2,FALSE)),"")</f>
        <v/>
      </c>
      <c r="G627" s="34" t="str">
        <f>IFERROR(IF(C627="","",VLOOKUP(C627,المستفيدين!$B:$F,5,FALSE)),"")</f>
        <v/>
      </c>
      <c r="H627" s="24"/>
      <c r="I627" s="20"/>
      <c r="J627" s="20"/>
      <c r="K627" s="20"/>
      <c r="L627" s="21"/>
    </row>
    <row r="628" spans="1:12" x14ac:dyDescent="0.2">
      <c r="A628" s="26"/>
      <c r="B628" s="22"/>
      <c r="C628" s="22"/>
      <c r="D628" s="34" t="str">
        <f>IFERROR(IF(C628="","",VLOOKUP(C628,المستفيدين!$B:$C,2,FALSE)),"")</f>
        <v/>
      </c>
      <c r="E628" s="20"/>
      <c r="F628" s="34" t="str">
        <f>IFERROR(IF(E628="","",VLOOKUP(E628,الموظفين!$B:$C,2,FALSE)),"")</f>
        <v/>
      </c>
      <c r="G628" s="34" t="str">
        <f>IFERROR(IF(C628="","",VLOOKUP(C628,المستفيدين!$B:$F,5,FALSE)),"")</f>
        <v/>
      </c>
      <c r="H628" s="24"/>
      <c r="I628" s="20"/>
      <c r="J628" s="20"/>
      <c r="K628" s="20"/>
      <c r="L628" s="21"/>
    </row>
    <row r="629" spans="1:12" x14ac:dyDescent="0.2">
      <c r="A629" s="26"/>
      <c r="B629" s="22"/>
      <c r="C629" s="22"/>
      <c r="D629" s="34" t="str">
        <f>IFERROR(IF(C629="","",VLOOKUP(C629,المستفيدين!$B:$C,2,FALSE)),"")</f>
        <v/>
      </c>
      <c r="E629" s="20"/>
      <c r="F629" s="34" t="str">
        <f>IFERROR(IF(E629="","",VLOOKUP(E629,الموظفين!$B:$C,2,FALSE)),"")</f>
        <v/>
      </c>
      <c r="G629" s="34" t="str">
        <f>IFERROR(IF(C629="","",VLOOKUP(C629,المستفيدين!$B:$F,5,FALSE)),"")</f>
        <v/>
      </c>
      <c r="H629" s="24"/>
      <c r="I629" s="20"/>
      <c r="J629" s="20"/>
      <c r="K629" s="20"/>
      <c r="L629" s="21"/>
    </row>
    <row r="630" spans="1:12" x14ac:dyDescent="0.2">
      <c r="A630" s="26"/>
      <c r="B630" s="22"/>
      <c r="C630" s="22"/>
      <c r="D630" s="34" t="str">
        <f>IFERROR(IF(C630="","",VLOOKUP(C630,المستفيدين!$B:$C,2,FALSE)),"")</f>
        <v/>
      </c>
      <c r="E630" s="20"/>
      <c r="F630" s="34" t="str">
        <f>IFERROR(IF(E630="","",VLOOKUP(E630,الموظفين!$B:$C,2,FALSE)),"")</f>
        <v/>
      </c>
      <c r="G630" s="34" t="str">
        <f>IFERROR(IF(C630="","",VLOOKUP(C630,المستفيدين!$B:$F,5,FALSE)),"")</f>
        <v/>
      </c>
      <c r="H630" s="24"/>
      <c r="I630" s="20"/>
      <c r="J630" s="20"/>
      <c r="K630" s="20"/>
      <c r="L630" s="21"/>
    </row>
    <row r="631" spans="1:12" x14ac:dyDescent="0.2">
      <c r="A631" s="26"/>
      <c r="B631" s="22"/>
      <c r="C631" s="22"/>
      <c r="D631" s="34" t="str">
        <f>IFERROR(IF(C631="","",VLOOKUP(C631,المستفيدين!$B:$C,2,FALSE)),"")</f>
        <v/>
      </c>
      <c r="E631" s="20"/>
      <c r="F631" s="34" t="str">
        <f>IFERROR(IF(E631="","",VLOOKUP(E631,الموظفين!$B:$C,2,FALSE)),"")</f>
        <v/>
      </c>
      <c r="G631" s="34" t="str">
        <f>IFERROR(IF(C631="","",VLOOKUP(C631,المستفيدين!$B:$F,5,FALSE)),"")</f>
        <v/>
      </c>
      <c r="H631" s="24"/>
      <c r="I631" s="20"/>
      <c r="J631" s="20"/>
      <c r="K631" s="20"/>
      <c r="L631" s="21"/>
    </row>
    <row r="632" spans="1:12" x14ac:dyDescent="0.2">
      <c r="A632" s="26"/>
      <c r="B632" s="22"/>
      <c r="C632" s="22"/>
      <c r="D632" s="34" t="str">
        <f>IFERROR(IF(C632="","",VLOOKUP(C632,المستفيدين!$B:$C,2,FALSE)),"")</f>
        <v/>
      </c>
      <c r="E632" s="20"/>
      <c r="F632" s="34" t="str">
        <f>IFERROR(IF(E632="","",VLOOKUP(E632,الموظفين!$B:$C,2,FALSE)),"")</f>
        <v/>
      </c>
      <c r="G632" s="34" t="str">
        <f>IFERROR(IF(C632="","",VLOOKUP(C632,المستفيدين!$B:$F,5,FALSE)),"")</f>
        <v/>
      </c>
      <c r="H632" s="24"/>
      <c r="I632" s="20"/>
      <c r="J632" s="20"/>
      <c r="K632" s="20"/>
      <c r="L632" s="21"/>
    </row>
    <row r="633" spans="1:12" x14ac:dyDescent="0.2">
      <c r="A633" s="26"/>
      <c r="B633" s="22"/>
      <c r="C633" s="22"/>
      <c r="D633" s="34" t="str">
        <f>IFERROR(IF(C633="","",VLOOKUP(C633,المستفيدين!$B:$C,2,FALSE)),"")</f>
        <v/>
      </c>
      <c r="E633" s="20"/>
      <c r="F633" s="34" t="str">
        <f>IFERROR(IF(E633="","",VLOOKUP(E633,الموظفين!$B:$C,2,FALSE)),"")</f>
        <v/>
      </c>
      <c r="G633" s="34" t="str">
        <f>IFERROR(IF(C633="","",VLOOKUP(C633,المستفيدين!$B:$F,5,FALSE)),"")</f>
        <v/>
      </c>
      <c r="H633" s="24"/>
      <c r="I633" s="20"/>
      <c r="J633" s="20"/>
      <c r="K633" s="20"/>
      <c r="L633" s="21"/>
    </row>
    <row r="634" spans="1:12" x14ac:dyDescent="0.2">
      <c r="A634" s="26"/>
      <c r="B634" s="22"/>
      <c r="C634" s="22"/>
      <c r="D634" s="34" t="str">
        <f>IFERROR(IF(C634="","",VLOOKUP(C634,المستفيدين!$B:$C,2,FALSE)),"")</f>
        <v/>
      </c>
      <c r="E634" s="20"/>
      <c r="F634" s="34" t="str">
        <f>IFERROR(IF(E634="","",VLOOKUP(E634,الموظفين!$B:$C,2,FALSE)),"")</f>
        <v/>
      </c>
      <c r="G634" s="34" t="str">
        <f>IFERROR(IF(C634="","",VLOOKUP(C634,المستفيدين!$B:$F,5,FALSE)),"")</f>
        <v/>
      </c>
      <c r="H634" s="24"/>
      <c r="I634" s="20"/>
      <c r="J634" s="20"/>
      <c r="K634" s="20"/>
      <c r="L634" s="21"/>
    </row>
    <row r="635" spans="1:12" x14ac:dyDescent="0.2">
      <c r="A635" s="26"/>
      <c r="B635" s="22"/>
      <c r="C635" s="22"/>
      <c r="D635" s="34" t="str">
        <f>IFERROR(IF(C635="","",VLOOKUP(C635,المستفيدين!$B:$C,2,FALSE)),"")</f>
        <v/>
      </c>
      <c r="E635" s="20"/>
      <c r="F635" s="34" t="str">
        <f>IFERROR(IF(E635="","",VLOOKUP(E635,الموظفين!$B:$C,2,FALSE)),"")</f>
        <v/>
      </c>
      <c r="G635" s="34" t="str">
        <f>IFERROR(IF(C635="","",VLOOKUP(C635,المستفيدين!$B:$F,5,FALSE)),"")</f>
        <v/>
      </c>
      <c r="H635" s="24"/>
      <c r="I635" s="20"/>
      <c r="J635" s="20"/>
      <c r="K635" s="20"/>
      <c r="L635" s="21"/>
    </row>
    <row r="636" spans="1:12" x14ac:dyDescent="0.2">
      <c r="A636" s="26"/>
      <c r="B636" s="22"/>
      <c r="C636" s="22"/>
      <c r="D636" s="34" t="str">
        <f>IFERROR(IF(C636="","",VLOOKUP(C636,المستفيدين!$B:$C,2,FALSE)),"")</f>
        <v/>
      </c>
      <c r="E636" s="20"/>
      <c r="F636" s="34" t="str">
        <f>IFERROR(IF(E636="","",VLOOKUP(E636,الموظفين!$B:$C,2,FALSE)),"")</f>
        <v/>
      </c>
      <c r="G636" s="34" t="str">
        <f>IFERROR(IF(C636="","",VLOOKUP(C636,المستفيدين!$B:$F,5,FALSE)),"")</f>
        <v/>
      </c>
      <c r="H636" s="24"/>
      <c r="I636" s="20"/>
      <c r="J636" s="20"/>
      <c r="K636" s="20"/>
      <c r="L636" s="21"/>
    </row>
    <row r="637" spans="1:12" x14ac:dyDescent="0.2">
      <c r="A637" s="26"/>
      <c r="B637" s="22"/>
      <c r="C637" s="22"/>
      <c r="D637" s="34" t="str">
        <f>IFERROR(IF(C637="","",VLOOKUP(C637,المستفيدين!$B:$C,2,FALSE)),"")</f>
        <v/>
      </c>
      <c r="E637" s="20"/>
      <c r="F637" s="34" t="str">
        <f>IFERROR(IF(E637="","",VLOOKUP(E637,الموظفين!$B:$C,2,FALSE)),"")</f>
        <v/>
      </c>
      <c r="G637" s="34" t="str">
        <f>IFERROR(IF(C637="","",VLOOKUP(C637,المستفيدين!$B:$F,5,FALSE)),"")</f>
        <v/>
      </c>
      <c r="H637" s="24"/>
      <c r="I637" s="20"/>
      <c r="J637" s="20"/>
      <c r="K637" s="20"/>
      <c r="L637" s="21"/>
    </row>
    <row r="638" spans="1:12" x14ac:dyDescent="0.2">
      <c r="A638" s="26"/>
      <c r="B638" s="22"/>
      <c r="C638" s="22"/>
      <c r="D638" s="34" t="str">
        <f>IFERROR(IF(C638="","",VLOOKUP(C638,المستفيدين!$B:$C,2,FALSE)),"")</f>
        <v/>
      </c>
      <c r="E638" s="20"/>
      <c r="F638" s="34" t="str">
        <f>IFERROR(IF(E638="","",VLOOKUP(E638,الموظفين!$B:$C,2,FALSE)),"")</f>
        <v/>
      </c>
      <c r="G638" s="34" t="str">
        <f>IFERROR(IF(C638="","",VLOOKUP(C638,المستفيدين!$B:$F,5,FALSE)),"")</f>
        <v/>
      </c>
      <c r="H638" s="24"/>
      <c r="I638" s="20"/>
      <c r="J638" s="20"/>
      <c r="K638" s="20"/>
      <c r="L638" s="21"/>
    </row>
    <row r="639" spans="1:12" x14ac:dyDescent="0.2">
      <c r="A639" s="26"/>
      <c r="B639" s="22"/>
      <c r="C639" s="22"/>
      <c r="D639" s="34" t="str">
        <f>IFERROR(IF(C639="","",VLOOKUP(C639,المستفيدين!$B:$C,2,FALSE)),"")</f>
        <v/>
      </c>
      <c r="E639" s="20"/>
      <c r="F639" s="34" t="str">
        <f>IFERROR(IF(E639="","",VLOOKUP(E639,الموظفين!$B:$C,2,FALSE)),"")</f>
        <v/>
      </c>
      <c r="G639" s="34" t="str">
        <f>IFERROR(IF(C639="","",VLOOKUP(C639,المستفيدين!$B:$F,5,FALSE)),"")</f>
        <v/>
      </c>
      <c r="H639" s="24"/>
      <c r="I639" s="20"/>
      <c r="J639" s="20"/>
      <c r="K639" s="20"/>
      <c r="L639" s="21"/>
    </row>
    <row r="640" spans="1:12" x14ac:dyDescent="0.2">
      <c r="A640" s="26"/>
      <c r="B640" s="22"/>
      <c r="C640" s="22"/>
      <c r="D640" s="34" t="str">
        <f>IFERROR(IF(C640="","",VLOOKUP(C640,المستفيدين!$B:$C,2,FALSE)),"")</f>
        <v/>
      </c>
      <c r="E640" s="20"/>
      <c r="F640" s="34" t="str">
        <f>IFERROR(IF(E640="","",VLOOKUP(E640,الموظفين!$B:$C,2,FALSE)),"")</f>
        <v/>
      </c>
      <c r="G640" s="34" t="str">
        <f>IFERROR(IF(C640="","",VLOOKUP(C640,المستفيدين!$B:$F,5,FALSE)),"")</f>
        <v/>
      </c>
      <c r="H640" s="24"/>
      <c r="I640" s="20"/>
      <c r="J640" s="20"/>
      <c r="K640" s="20"/>
      <c r="L640" s="21"/>
    </row>
    <row r="641" spans="1:12" x14ac:dyDescent="0.2">
      <c r="A641" s="26"/>
      <c r="B641" s="22"/>
      <c r="C641" s="22"/>
      <c r="D641" s="34" t="str">
        <f>IFERROR(IF(C641="","",VLOOKUP(C641,المستفيدين!$B:$C,2,FALSE)),"")</f>
        <v/>
      </c>
      <c r="E641" s="20"/>
      <c r="F641" s="34" t="str">
        <f>IFERROR(IF(E641="","",VLOOKUP(E641,الموظفين!$B:$C,2,FALSE)),"")</f>
        <v/>
      </c>
      <c r="G641" s="34" t="str">
        <f>IFERROR(IF(C641="","",VLOOKUP(C641,المستفيدين!$B:$F,5,FALSE)),"")</f>
        <v/>
      </c>
      <c r="H641" s="24"/>
      <c r="I641" s="20"/>
      <c r="J641" s="20"/>
      <c r="K641" s="20"/>
      <c r="L641" s="21"/>
    </row>
    <row r="642" spans="1:12" x14ac:dyDescent="0.2">
      <c r="A642" s="26"/>
      <c r="B642" s="22"/>
      <c r="C642" s="22"/>
      <c r="D642" s="34" t="str">
        <f>IFERROR(IF(C642="","",VLOOKUP(C642,المستفيدين!$B:$C,2,FALSE)),"")</f>
        <v/>
      </c>
      <c r="E642" s="20"/>
      <c r="F642" s="34" t="str">
        <f>IFERROR(IF(E642="","",VLOOKUP(E642,الموظفين!$B:$C,2,FALSE)),"")</f>
        <v/>
      </c>
      <c r="G642" s="34" t="str">
        <f>IFERROR(IF(C642="","",VLOOKUP(C642,المستفيدين!$B:$F,5,FALSE)),"")</f>
        <v/>
      </c>
      <c r="H642" s="24"/>
      <c r="I642" s="20"/>
      <c r="J642" s="20"/>
      <c r="K642" s="20"/>
      <c r="L642" s="21"/>
    </row>
    <row r="643" spans="1:12" x14ac:dyDescent="0.2">
      <c r="A643" s="26"/>
      <c r="B643" s="22"/>
      <c r="C643" s="22"/>
      <c r="D643" s="34" t="str">
        <f>IFERROR(IF(C643="","",VLOOKUP(C643,المستفيدين!$B:$C,2,FALSE)),"")</f>
        <v/>
      </c>
      <c r="E643" s="20"/>
      <c r="F643" s="34" t="str">
        <f>IFERROR(IF(E643="","",VLOOKUP(E643,الموظفين!$B:$C,2,FALSE)),"")</f>
        <v/>
      </c>
      <c r="G643" s="34" t="str">
        <f>IFERROR(IF(C643="","",VLOOKUP(C643,المستفيدين!$B:$F,5,FALSE)),"")</f>
        <v/>
      </c>
      <c r="H643" s="24"/>
      <c r="I643" s="20"/>
      <c r="J643" s="20"/>
      <c r="K643" s="20"/>
      <c r="L643" s="21"/>
    </row>
    <row r="644" spans="1:12" x14ac:dyDescent="0.2">
      <c r="A644" s="26"/>
      <c r="B644" s="22"/>
      <c r="C644" s="22"/>
      <c r="D644" s="34" t="str">
        <f>IFERROR(IF(C644="","",VLOOKUP(C644,المستفيدين!$B:$C,2,FALSE)),"")</f>
        <v/>
      </c>
      <c r="E644" s="20"/>
      <c r="F644" s="34" t="str">
        <f>IFERROR(IF(E644="","",VLOOKUP(E644,الموظفين!$B:$C,2,FALSE)),"")</f>
        <v/>
      </c>
      <c r="G644" s="34" t="str">
        <f>IFERROR(IF(C644="","",VLOOKUP(C644,المستفيدين!$B:$F,5,FALSE)),"")</f>
        <v/>
      </c>
      <c r="H644" s="24"/>
      <c r="I644" s="20"/>
      <c r="J644" s="20"/>
      <c r="K644" s="20"/>
      <c r="L644" s="21"/>
    </row>
    <row r="645" spans="1:12" x14ac:dyDescent="0.2">
      <c r="A645" s="26"/>
      <c r="B645" s="22"/>
      <c r="C645" s="22"/>
      <c r="D645" s="34" t="str">
        <f>IFERROR(IF(C645="","",VLOOKUP(C645,المستفيدين!$B:$C,2,FALSE)),"")</f>
        <v/>
      </c>
      <c r="E645" s="20"/>
      <c r="F645" s="34" t="str">
        <f>IFERROR(IF(E645="","",VLOOKUP(E645,الموظفين!$B:$C,2,FALSE)),"")</f>
        <v/>
      </c>
      <c r="G645" s="34" t="str">
        <f>IFERROR(IF(C645="","",VLOOKUP(C645,المستفيدين!$B:$F,5,FALSE)),"")</f>
        <v/>
      </c>
      <c r="H645" s="24"/>
      <c r="I645" s="20"/>
      <c r="J645" s="20"/>
      <c r="K645" s="20"/>
      <c r="L645" s="21"/>
    </row>
    <row r="646" spans="1:12" x14ac:dyDescent="0.2">
      <c r="A646" s="26"/>
      <c r="B646" s="22"/>
      <c r="C646" s="22"/>
      <c r="D646" s="34" t="str">
        <f>IFERROR(IF(C646="","",VLOOKUP(C646,المستفيدين!$B:$C,2,FALSE)),"")</f>
        <v/>
      </c>
      <c r="E646" s="20"/>
      <c r="F646" s="34" t="str">
        <f>IFERROR(IF(E646="","",VLOOKUP(E646,الموظفين!$B:$C,2,FALSE)),"")</f>
        <v/>
      </c>
      <c r="G646" s="34" t="str">
        <f>IFERROR(IF(C646="","",VLOOKUP(C646,المستفيدين!$B:$F,5,FALSE)),"")</f>
        <v/>
      </c>
      <c r="H646" s="24"/>
      <c r="I646" s="20"/>
      <c r="J646" s="20"/>
      <c r="K646" s="20"/>
      <c r="L646" s="21"/>
    </row>
    <row r="647" spans="1:12" x14ac:dyDescent="0.2">
      <c r="A647" s="26"/>
      <c r="B647" s="22"/>
      <c r="C647" s="22"/>
      <c r="D647" s="34" t="str">
        <f>IFERROR(IF(C647="","",VLOOKUP(C647,المستفيدين!$B:$C,2,FALSE)),"")</f>
        <v/>
      </c>
      <c r="E647" s="20"/>
      <c r="F647" s="34" t="str">
        <f>IFERROR(IF(E647="","",VLOOKUP(E647,الموظفين!$B:$C,2,FALSE)),"")</f>
        <v/>
      </c>
      <c r="G647" s="34" t="str">
        <f>IFERROR(IF(C647="","",VLOOKUP(C647,المستفيدين!$B:$F,5,FALSE)),"")</f>
        <v/>
      </c>
      <c r="H647" s="24"/>
      <c r="I647" s="20"/>
      <c r="J647" s="20"/>
      <c r="K647" s="20"/>
      <c r="L647" s="21"/>
    </row>
    <row r="648" spans="1:12" x14ac:dyDescent="0.2">
      <c r="A648" s="26"/>
      <c r="B648" s="22"/>
      <c r="C648" s="22"/>
      <c r="D648" s="34" t="str">
        <f>IFERROR(IF(C648="","",VLOOKUP(C648,المستفيدين!$B:$C,2,FALSE)),"")</f>
        <v/>
      </c>
      <c r="E648" s="20"/>
      <c r="F648" s="34" t="str">
        <f>IFERROR(IF(E648="","",VLOOKUP(E648,الموظفين!$B:$C,2,FALSE)),"")</f>
        <v/>
      </c>
      <c r="G648" s="34" t="str">
        <f>IFERROR(IF(C648="","",VLOOKUP(C648,المستفيدين!$B:$F,5,FALSE)),"")</f>
        <v/>
      </c>
      <c r="H648" s="24"/>
      <c r="I648" s="20"/>
      <c r="J648" s="20"/>
      <c r="K648" s="20"/>
      <c r="L648" s="21"/>
    </row>
    <row r="649" spans="1:12" x14ac:dyDescent="0.2">
      <c r="A649" s="26"/>
      <c r="B649" s="22"/>
      <c r="C649" s="22"/>
      <c r="D649" s="34" t="str">
        <f>IFERROR(IF(C649="","",VLOOKUP(C649,المستفيدين!$B:$C,2,FALSE)),"")</f>
        <v/>
      </c>
      <c r="E649" s="20"/>
      <c r="F649" s="34" t="str">
        <f>IFERROR(IF(E649="","",VLOOKUP(E649,الموظفين!$B:$C,2,FALSE)),"")</f>
        <v/>
      </c>
      <c r="G649" s="34" t="str">
        <f>IFERROR(IF(C649="","",VLOOKUP(C649,المستفيدين!$B:$F,5,FALSE)),"")</f>
        <v/>
      </c>
      <c r="H649" s="24"/>
      <c r="I649" s="20"/>
      <c r="J649" s="20"/>
      <c r="K649" s="20"/>
      <c r="L649" s="21"/>
    </row>
    <row r="650" spans="1:12" x14ac:dyDescent="0.2">
      <c r="A650" s="26"/>
      <c r="B650" s="22"/>
      <c r="C650" s="22"/>
      <c r="D650" s="34" t="str">
        <f>IFERROR(IF(C650="","",VLOOKUP(C650,المستفيدين!$B:$C,2,FALSE)),"")</f>
        <v/>
      </c>
      <c r="E650" s="20"/>
      <c r="F650" s="34" t="str">
        <f>IFERROR(IF(E650="","",VLOOKUP(E650,الموظفين!$B:$C,2,FALSE)),"")</f>
        <v/>
      </c>
      <c r="G650" s="34" t="str">
        <f>IFERROR(IF(C650="","",VLOOKUP(C650,المستفيدين!$B:$F,5,FALSE)),"")</f>
        <v/>
      </c>
      <c r="H650" s="24"/>
      <c r="I650" s="20"/>
      <c r="J650" s="20"/>
      <c r="K650" s="20"/>
      <c r="L650" s="21"/>
    </row>
    <row r="651" spans="1:12" x14ac:dyDescent="0.2">
      <c r="A651" s="26"/>
      <c r="B651" s="22"/>
      <c r="C651" s="22"/>
      <c r="D651" s="34" t="str">
        <f>IFERROR(IF(C651="","",VLOOKUP(C651,المستفيدين!$B:$C,2,FALSE)),"")</f>
        <v/>
      </c>
      <c r="E651" s="20"/>
      <c r="F651" s="34" t="str">
        <f>IFERROR(IF(E651="","",VLOOKUP(E651,الموظفين!$B:$C,2,FALSE)),"")</f>
        <v/>
      </c>
      <c r="G651" s="34" t="str">
        <f>IFERROR(IF(C651="","",VLOOKUP(C651,المستفيدين!$B:$F,5,FALSE)),"")</f>
        <v/>
      </c>
      <c r="H651" s="24"/>
      <c r="I651" s="20"/>
      <c r="J651" s="20"/>
      <c r="K651" s="20"/>
      <c r="L651" s="21"/>
    </row>
    <row r="652" spans="1:12" x14ac:dyDescent="0.2">
      <c r="A652" s="26"/>
      <c r="B652" s="22"/>
      <c r="C652" s="22"/>
      <c r="D652" s="34" t="str">
        <f>IFERROR(IF(C652="","",VLOOKUP(C652,المستفيدين!$B:$C,2,FALSE)),"")</f>
        <v/>
      </c>
      <c r="E652" s="20"/>
      <c r="F652" s="34" t="str">
        <f>IFERROR(IF(E652="","",VLOOKUP(E652,الموظفين!$B:$C,2,FALSE)),"")</f>
        <v/>
      </c>
      <c r="G652" s="34" t="str">
        <f>IFERROR(IF(C652="","",VLOOKUP(C652,المستفيدين!$B:$F,5,FALSE)),"")</f>
        <v/>
      </c>
      <c r="H652" s="24"/>
      <c r="I652" s="20"/>
      <c r="J652" s="20"/>
      <c r="K652" s="20"/>
      <c r="L652" s="21"/>
    </row>
    <row r="653" spans="1:12" x14ac:dyDescent="0.2">
      <c r="A653" s="26"/>
      <c r="B653" s="22"/>
      <c r="C653" s="22"/>
      <c r="D653" s="34" t="str">
        <f>IFERROR(IF(C653="","",VLOOKUP(C653,المستفيدين!$B:$C,2,FALSE)),"")</f>
        <v/>
      </c>
      <c r="E653" s="20"/>
      <c r="F653" s="34" t="str">
        <f>IFERROR(IF(E653="","",VLOOKUP(E653,الموظفين!$B:$C,2,FALSE)),"")</f>
        <v/>
      </c>
      <c r="G653" s="34" t="str">
        <f>IFERROR(IF(C653="","",VLOOKUP(C653,المستفيدين!$B:$F,5,FALSE)),"")</f>
        <v/>
      </c>
      <c r="H653" s="24"/>
      <c r="I653" s="20"/>
      <c r="J653" s="20"/>
      <c r="K653" s="20"/>
      <c r="L653" s="21"/>
    </row>
    <row r="654" spans="1:12" x14ac:dyDescent="0.2">
      <c r="A654" s="26"/>
      <c r="B654" s="22"/>
      <c r="C654" s="22"/>
      <c r="D654" s="34" t="str">
        <f>IFERROR(IF(C654="","",VLOOKUP(C654,المستفيدين!$B:$C,2,FALSE)),"")</f>
        <v/>
      </c>
      <c r="E654" s="20"/>
      <c r="F654" s="34" t="str">
        <f>IFERROR(IF(E654="","",VLOOKUP(E654,الموظفين!$B:$C,2,FALSE)),"")</f>
        <v/>
      </c>
      <c r="G654" s="34" t="str">
        <f>IFERROR(IF(C654="","",VLOOKUP(C654,المستفيدين!$B:$F,5,FALSE)),"")</f>
        <v/>
      </c>
      <c r="H654" s="24"/>
      <c r="I654" s="20"/>
      <c r="J654" s="20"/>
      <c r="K654" s="20"/>
      <c r="L654" s="21"/>
    </row>
    <row r="655" spans="1:12" x14ac:dyDescent="0.2">
      <c r="A655" s="26"/>
      <c r="B655" s="22"/>
      <c r="C655" s="22"/>
      <c r="D655" s="34" t="str">
        <f>IFERROR(IF(C655="","",VLOOKUP(C655,المستفيدين!$B:$C,2,FALSE)),"")</f>
        <v/>
      </c>
      <c r="E655" s="20"/>
      <c r="F655" s="34" t="str">
        <f>IFERROR(IF(E655="","",VLOOKUP(E655,الموظفين!$B:$C,2,FALSE)),"")</f>
        <v/>
      </c>
      <c r="G655" s="34" t="str">
        <f>IFERROR(IF(C655="","",VLOOKUP(C655,المستفيدين!$B:$F,5,FALSE)),"")</f>
        <v/>
      </c>
      <c r="H655" s="24"/>
      <c r="I655" s="20"/>
      <c r="J655" s="20"/>
      <c r="K655" s="20"/>
      <c r="L655" s="21"/>
    </row>
    <row r="656" spans="1:12" x14ac:dyDescent="0.2">
      <c r="A656" s="26"/>
      <c r="B656" s="22"/>
      <c r="C656" s="22"/>
      <c r="D656" s="34" t="str">
        <f>IFERROR(IF(C656="","",VLOOKUP(C656,المستفيدين!$B:$C,2,FALSE)),"")</f>
        <v/>
      </c>
      <c r="E656" s="20"/>
      <c r="F656" s="34" t="str">
        <f>IFERROR(IF(E656="","",VLOOKUP(E656,الموظفين!$B:$C,2,FALSE)),"")</f>
        <v/>
      </c>
      <c r="G656" s="34" t="str">
        <f>IFERROR(IF(C656="","",VLOOKUP(C656,المستفيدين!$B:$F,5,FALSE)),"")</f>
        <v/>
      </c>
      <c r="H656" s="24"/>
      <c r="I656" s="20"/>
      <c r="J656" s="20"/>
      <c r="K656" s="20"/>
      <c r="L656" s="21"/>
    </row>
    <row r="657" spans="1:12" x14ac:dyDescent="0.2">
      <c r="A657" s="26"/>
      <c r="B657" s="22"/>
      <c r="C657" s="22"/>
      <c r="D657" s="34" t="str">
        <f>IFERROR(IF(C657="","",VLOOKUP(C657,المستفيدين!$B:$C,2,FALSE)),"")</f>
        <v/>
      </c>
      <c r="E657" s="20"/>
      <c r="F657" s="34" t="str">
        <f>IFERROR(IF(E657="","",VLOOKUP(E657,الموظفين!$B:$C,2,FALSE)),"")</f>
        <v/>
      </c>
      <c r="G657" s="34" t="str">
        <f>IFERROR(IF(C657="","",VLOOKUP(C657,المستفيدين!$B:$F,5,FALSE)),"")</f>
        <v/>
      </c>
      <c r="H657" s="24"/>
      <c r="I657" s="20"/>
      <c r="J657" s="20"/>
      <c r="K657" s="20"/>
      <c r="L657" s="21"/>
    </row>
    <row r="658" spans="1:12" x14ac:dyDescent="0.2">
      <c r="A658" s="26"/>
      <c r="B658" s="22"/>
      <c r="C658" s="22"/>
      <c r="D658" s="34" t="str">
        <f>IFERROR(IF(C658="","",VLOOKUP(C658,المستفيدين!$B:$C,2,FALSE)),"")</f>
        <v/>
      </c>
      <c r="E658" s="20"/>
      <c r="F658" s="34" t="str">
        <f>IFERROR(IF(E658="","",VLOOKUP(E658,الموظفين!$B:$C,2,FALSE)),"")</f>
        <v/>
      </c>
      <c r="G658" s="34" t="str">
        <f>IFERROR(IF(C658="","",VLOOKUP(C658,المستفيدين!$B:$F,5,FALSE)),"")</f>
        <v/>
      </c>
      <c r="H658" s="24"/>
      <c r="I658" s="20"/>
      <c r="J658" s="20"/>
      <c r="K658" s="20"/>
      <c r="L658" s="21"/>
    </row>
    <row r="659" spans="1:12" x14ac:dyDescent="0.2">
      <c r="A659" s="26"/>
      <c r="B659" s="22"/>
      <c r="C659" s="22"/>
      <c r="D659" s="34" t="str">
        <f>IFERROR(IF(C659="","",VLOOKUP(C659,المستفيدين!$B:$C,2,FALSE)),"")</f>
        <v/>
      </c>
      <c r="E659" s="20"/>
      <c r="F659" s="34" t="str">
        <f>IFERROR(IF(E659="","",VLOOKUP(E659,الموظفين!$B:$C,2,FALSE)),"")</f>
        <v/>
      </c>
      <c r="G659" s="34" t="str">
        <f>IFERROR(IF(C659="","",VLOOKUP(C659,المستفيدين!$B:$F,5,FALSE)),"")</f>
        <v/>
      </c>
      <c r="H659" s="24"/>
      <c r="I659" s="20"/>
      <c r="J659" s="20"/>
      <c r="K659" s="20"/>
      <c r="L659" s="21"/>
    </row>
    <row r="660" spans="1:12" x14ac:dyDescent="0.2">
      <c r="A660" s="26"/>
      <c r="B660" s="22"/>
      <c r="C660" s="22"/>
      <c r="D660" s="34" t="str">
        <f>IFERROR(IF(C660="","",VLOOKUP(C660,المستفيدين!$B:$C,2,FALSE)),"")</f>
        <v/>
      </c>
      <c r="E660" s="20"/>
      <c r="F660" s="34" t="str">
        <f>IFERROR(IF(E660="","",VLOOKUP(E660,الموظفين!$B:$C,2,FALSE)),"")</f>
        <v/>
      </c>
      <c r="G660" s="34" t="str">
        <f>IFERROR(IF(C660="","",VLOOKUP(C660,المستفيدين!$B:$F,5,FALSE)),"")</f>
        <v/>
      </c>
      <c r="H660" s="24"/>
      <c r="I660" s="20"/>
      <c r="J660" s="20"/>
      <c r="K660" s="20"/>
      <c r="L660" s="21"/>
    </row>
    <row r="661" spans="1:12" x14ac:dyDescent="0.2">
      <c r="A661" s="26"/>
      <c r="B661" s="22"/>
      <c r="C661" s="22"/>
      <c r="D661" s="34" t="str">
        <f>IFERROR(IF(C661="","",VLOOKUP(C661,المستفيدين!$B:$C,2,FALSE)),"")</f>
        <v/>
      </c>
      <c r="E661" s="20"/>
      <c r="F661" s="34" t="str">
        <f>IFERROR(IF(E661="","",VLOOKUP(E661,الموظفين!$B:$C,2,FALSE)),"")</f>
        <v/>
      </c>
      <c r="G661" s="34" t="str">
        <f>IFERROR(IF(C661="","",VLOOKUP(C661,المستفيدين!$B:$F,5,FALSE)),"")</f>
        <v/>
      </c>
      <c r="H661" s="24"/>
      <c r="I661" s="20"/>
      <c r="J661" s="20"/>
      <c r="K661" s="20"/>
      <c r="L661" s="21"/>
    </row>
    <row r="662" spans="1:12" x14ac:dyDescent="0.2">
      <c r="A662" s="26"/>
      <c r="B662" s="22"/>
      <c r="C662" s="22"/>
      <c r="D662" s="34" t="str">
        <f>IFERROR(IF(C662="","",VLOOKUP(C662,المستفيدين!$B:$C,2,FALSE)),"")</f>
        <v/>
      </c>
      <c r="E662" s="20"/>
      <c r="F662" s="34" t="str">
        <f>IFERROR(IF(E662="","",VLOOKUP(E662,الموظفين!$B:$C,2,FALSE)),"")</f>
        <v/>
      </c>
      <c r="G662" s="34" t="str">
        <f>IFERROR(IF(C662="","",VLOOKUP(C662,المستفيدين!$B:$F,5,FALSE)),"")</f>
        <v/>
      </c>
      <c r="H662" s="24"/>
      <c r="I662" s="20"/>
      <c r="J662" s="20"/>
      <c r="K662" s="20"/>
      <c r="L662" s="21"/>
    </row>
    <row r="663" spans="1:12" x14ac:dyDescent="0.2">
      <c r="A663" s="26"/>
      <c r="B663" s="22"/>
      <c r="C663" s="22"/>
      <c r="D663" s="34" t="str">
        <f>IFERROR(IF(C663="","",VLOOKUP(C663,المستفيدين!$B:$C,2,FALSE)),"")</f>
        <v/>
      </c>
      <c r="E663" s="20"/>
      <c r="F663" s="34" t="str">
        <f>IFERROR(IF(E663="","",VLOOKUP(E663,الموظفين!$B:$C,2,FALSE)),"")</f>
        <v/>
      </c>
      <c r="G663" s="34" t="str">
        <f>IFERROR(IF(C663="","",VLOOKUP(C663,المستفيدين!$B:$F,5,FALSE)),"")</f>
        <v/>
      </c>
      <c r="H663" s="24"/>
      <c r="I663" s="20"/>
      <c r="J663" s="20"/>
      <c r="K663" s="20"/>
      <c r="L663" s="21"/>
    </row>
    <row r="664" spans="1:12" x14ac:dyDescent="0.2">
      <c r="A664" s="26"/>
      <c r="B664" s="22"/>
      <c r="C664" s="22"/>
      <c r="D664" s="34" t="str">
        <f>IFERROR(IF(C664="","",VLOOKUP(C664,المستفيدين!$B:$C,2,FALSE)),"")</f>
        <v/>
      </c>
      <c r="E664" s="20"/>
      <c r="F664" s="34" t="str">
        <f>IFERROR(IF(E664="","",VLOOKUP(E664,الموظفين!$B:$C,2,FALSE)),"")</f>
        <v/>
      </c>
      <c r="G664" s="34" t="str">
        <f>IFERROR(IF(C664="","",VLOOKUP(C664,المستفيدين!$B:$F,5,FALSE)),"")</f>
        <v/>
      </c>
      <c r="H664" s="24"/>
      <c r="I664" s="20"/>
      <c r="J664" s="20"/>
      <c r="K664" s="20"/>
      <c r="L664" s="21"/>
    </row>
    <row r="665" spans="1:12" x14ac:dyDescent="0.2">
      <c r="A665" s="26"/>
      <c r="B665" s="22"/>
      <c r="C665" s="22"/>
      <c r="D665" s="34" t="str">
        <f>IFERROR(IF(C665="","",VLOOKUP(C665,المستفيدين!$B:$C,2,FALSE)),"")</f>
        <v/>
      </c>
      <c r="E665" s="20"/>
      <c r="F665" s="34" t="str">
        <f>IFERROR(IF(E665="","",VLOOKUP(E665,الموظفين!$B:$C,2,FALSE)),"")</f>
        <v/>
      </c>
      <c r="G665" s="34" t="str">
        <f>IFERROR(IF(C665="","",VLOOKUP(C665,المستفيدين!$B:$F,5,FALSE)),"")</f>
        <v/>
      </c>
      <c r="H665" s="24"/>
      <c r="I665" s="20"/>
      <c r="J665" s="20"/>
      <c r="K665" s="20"/>
      <c r="L665" s="21"/>
    </row>
    <row r="666" spans="1:12" x14ac:dyDescent="0.2">
      <c r="A666" s="26"/>
      <c r="B666" s="22"/>
      <c r="C666" s="22"/>
      <c r="D666" s="34" t="str">
        <f>IFERROR(IF(C666="","",VLOOKUP(C666,المستفيدين!$B:$C,2,FALSE)),"")</f>
        <v/>
      </c>
      <c r="E666" s="20"/>
      <c r="F666" s="34" t="str">
        <f>IFERROR(IF(E666="","",VLOOKUP(E666,الموظفين!$B:$C,2,FALSE)),"")</f>
        <v/>
      </c>
      <c r="G666" s="34" t="str">
        <f>IFERROR(IF(C666="","",VLOOKUP(C666,المستفيدين!$B:$F,5,FALSE)),"")</f>
        <v/>
      </c>
      <c r="H666" s="24"/>
      <c r="I666" s="20"/>
      <c r="J666" s="20"/>
      <c r="K666" s="20"/>
      <c r="L666" s="21"/>
    </row>
    <row r="667" spans="1:12" x14ac:dyDescent="0.2">
      <c r="A667" s="26"/>
      <c r="B667" s="22"/>
      <c r="C667" s="22"/>
      <c r="D667" s="34" t="str">
        <f>IFERROR(IF(C667="","",VLOOKUP(C667,المستفيدين!$B:$C,2,FALSE)),"")</f>
        <v/>
      </c>
      <c r="E667" s="20"/>
      <c r="F667" s="34" t="str">
        <f>IFERROR(IF(E667="","",VLOOKUP(E667,الموظفين!$B:$C,2,FALSE)),"")</f>
        <v/>
      </c>
      <c r="G667" s="34" t="str">
        <f>IFERROR(IF(C667="","",VLOOKUP(C667,المستفيدين!$B:$F,5,FALSE)),"")</f>
        <v/>
      </c>
      <c r="H667" s="24"/>
      <c r="I667" s="20"/>
      <c r="J667" s="20"/>
      <c r="K667" s="20"/>
      <c r="L667" s="21"/>
    </row>
    <row r="668" spans="1:12" x14ac:dyDescent="0.2">
      <c r="A668" s="26"/>
      <c r="B668" s="22"/>
      <c r="C668" s="22"/>
      <c r="D668" s="34" t="str">
        <f>IFERROR(IF(C668="","",VLOOKUP(C668,المستفيدين!$B:$C,2,FALSE)),"")</f>
        <v/>
      </c>
      <c r="E668" s="20"/>
      <c r="F668" s="34" t="str">
        <f>IFERROR(IF(E668="","",VLOOKUP(E668,الموظفين!$B:$C,2,FALSE)),"")</f>
        <v/>
      </c>
      <c r="G668" s="34" t="str">
        <f>IFERROR(IF(C668="","",VLOOKUP(C668,المستفيدين!$B:$F,5,FALSE)),"")</f>
        <v/>
      </c>
      <c r="H668" s="24"/>
      <c r="I668" s="20"/>
      <c r="J668" s="20"/>
      <c r="K668" s="20"/>
      <c r="L668" s="21"/>
    </row>
    <row r="669" spans="1:12" x14ac:dyDescent="0.2">
      <c r="A669" s="26"/>
      <c r="B669" s="22"/>
      <c r="C669" s="22"/>
      <c r="D669" s="34" t="str">
        <f>IFERROR(IF(C669="","",VLOOKUP(C669,المستفيدين!$B:$C,2,FALSE)),"")</f>
        <v/>
      </c>
      <c r="E669" s="20"/>
      <c r="F669" s="34" t="str">
        <f>IFERROR(IF(E669="","",VLOOKUP(E669,الموظفين!$B:$C,2,FALSE)),"")</f>
        <v/>
      </c>
      <c r="G669" s="34" t="str">
        <f>IFERROR(IF(C669="","",VLOOKUP(C669,المستفيدين!$B:$F,5,FALSE)),"")</f>
        <v/>
      </c>
      <c r="H669" s="24"/>
      <c r="I669" s="20"/>
      <c r="J669" s="20"/>
      <c r="K669" s="20"/>
      <c r="L669" s="21"/>
    </row>
    <row r="670" spans="1:12" x14ac:dyDescent="0.2">
      <c r="A670" s="26"/>
      <c r="B670" s="22"/>
      <c r="C670" s="22"/>
      <c r="D670" s="34" t="str">
        <f>IFERROR(IF(C670="","",VLOOKUP(C670,المستفيدين!$B:$C,2,FALSE)),"")</f>
        <v/>
      </c>
      <c r="E670" s="20"/>
      <c r="F670" s="34" t="str">
        <f>IFERROR(IF(E670="","",VLOOKUP(E670,الموظفين!$B:$C,2,FALSE)),"")</f>
        <v/>
      </c>
      <c r="G670" s="34" t="str">
        <f>IFERROR(IF(C670="","",VLOOKUP(C670,المستفيدين!$B:$F,5,FALSE)),"")</f>
        <v/>
      </c>
      <c r="H670" s="24"/>
      <c r="I670" s="20"/>
      <c r="J670" s="20"/>
      <c r="K670" s="20"/>
      <c r="L670" s="21"/>
    </row>
    <row r="671" spans="1:12" x14ac:dyDescent="0.2">
      <c r="A671" s="26"/>
      <c r="B671" s="22"/>
      <c r="C671" s="22"/>
      <c r="D671" s="34" t="str">
        <f>IFERROR(IF(C671="","",VLOOKUP(C671,المستفيدين!$B:$C,2,FALSE)),"")</f>
        <v/>
      </c>
      <c r="E671" s="20"/>
      <c r="F671" s="34" t="str">
        <f>IFERROR(IF(E671="","",VLOOKUP(E671,الموظفين!$B:$C,2,FALSE)),"")</f>
        <v/>
      </c>
      <c r="G671" s="34" t="str">
        <f>IFERROR(IF(C671="","",VLOOKUP(C671,المستفيدين!$B:$F,5,FALSE)),"")</f>
        <v/>
      </c>
      <c r="H671" s="24"/>
      <c r="I671" s="20"/>
      <c r="J671" s="20"/>
      <c r="K671" s="20"/>
      <c r="L671" s="21"/>
    </row>
    <row r="672" spans="1:12" x14ac:dyDescent="0.2">
      <c r="A672" s="26"/>
      <c r="B672" s="22"/>
      <c r="C672" s="22"/>
      <c r="D672" s="34" t="str">
        <f>IFERROR(IF(C672="","",VLOOKUP(C672,المستفيدين!$B:$C,2,FALSE)),"")</f>
        <v/>
      </c>
      <c r="E672" s="20"/>
      <c r="F672" s="34" t="str">
        <f>IFERROR(IF(E672="","",VLOOKUP(E672,الموظفين!$B:$C,2,FALSE)),"")</f>
        <v/>
      </c>
      <c r="G672" s="34" t="str">
        <f>IFERROR(IF(C672="","",VLOOKUP(C672,المستفيدين!$B:$F,5,FALSE)),"")</f>
        <v/>
      </c>
      <c r="H672" s="24"/>
      <c r="I672" s="20"/>
      <c r="J672" s="20"/>
      <c r="K672" s="20"/>
      <c r="L672" s="21"/>
    </row>
    <row r="673" spans="1:12" x14ac:dyDescent="0.2">
      <c r="A673" s="26"/>
      <c r="B673" s="22"/>
      <c r="C673" s="22"/>
      <c r="D673" s="34" t="str">
        <f>IFERROR(IF(C673="","",VLOOKUP(C673,المستفيدين!$B:$C,2,FALSE)),"")</f>
        <v/>
      </c>
      <c r="E673" s="20"/>
      <c r="F673" s="34" t="str">
        <f>IFERROR(IF(E673="","",VLOOKUP(E673,الموظفين!$B:$C,2,FALSE)),"")</f>
        <v/>
      </c>
      <c r="G673" s="34" t="str">
        <f>IFERROR(IF(C673="","",VLOOKUP(C673,المستفيدين!$B:$F,5,FALSE)),"")</f>
        <v/>
      </c>
      <c r="H673" s="24"/>
      <c r="I673" s="20"/>
      <c r="J673" s="20"/>
      <c r="K673" s="20"/>
      <c r="L673" s="21"/>
    </row>
    <row r="674" spans="1:12" x14ac:dyDescent="0.2">
      <c r="A674" s="26"/>
      <c r="B674" s="22"/>
      <c r="C674" s="22"/>
      <c r="D674" s="34" t="str">
        <f>IFERROR(IF(C674="","",VLOOKUP(C674,المستفيدين!$B:$C,2,FALSE)),"")</f>
        <v/>
      </c>
      <c r="E674" s="20"/>
      <c r="F674" s="34" t="str">
        <f>IFERROR(IF(E674="","",VLOOKUP(E674,الموظفين!$B:$C,2,FALSE)),"")</f>
        <v/>
      </c>
      <c r="G674" s="34" t="str">
        <f>IFERROR(IF(C674="","",VLOOKUP(C674,المستفيدين!$B:$F,5,FALSE)),"")</f>
        <v/>
      </c>
      <c r="H674" s="24"/>
      <c r="I674" s="20"/>
      <c r="J674" s="20"/>
      <c r="K674" s="20"/>
      <c r="L674" s="21"/>
    </row>
    <row r="675" spans="1:12" x14ac:dyDescent="0.2">
      <c r="A675" s="26"/>
      <c r="B675" s="22"/>
      <c r="C675" s="22"/>
      <c r="D675" s="34" t="str">
        <f>IFERROR(IF(C675="","",VLOOKUP(C675,المستفيدين!$B:$C,2,FALSE)),"")</f>
        <v/>
      </c>
      <c r="E675" s="20"/>
      <c r="F675" s="34" t="str">
        <f>IFERROR(IF(E675="","",VLOOKUP(E675,الموظفين!$B:$C,2,FALSE)),"")</f>
        <v/>
      </c>
      <c r="G675" s="34" t="str">
        <f>IFERROR(IF(C675="","",VLOOKUP(C675,المستفيدين!$B:$F,5,FALSE)),"")</f>
        <v/>
      </c>
      <c r="H675" s="24"/>
      <c r="I675" s="20"/>
      <c r="J675" s="20"/>
      <c r="K675" s="20"/>
      <c r="L675" s="21"/>
    </row>
    <row r="676" spans="1:12" x14ac:dyDescent="0.2">
      <c r="A676" s="26"/>
      <c r="B676" s="22"/>
      <c r="C676" s="22"/>
      <c r="D676" s="34" t="str">
        <f>IFERROR(IF(C676="","",VLOOKUP(C676,المستفيدين!$B:$C,2,FALSE)),"")</f>
        <v/>
      </c>
      <c r="E676" s="20"/>
      <c r="F676" s="34" t="str">
        <f>IFERROR(IF(E676="","",VLOOKUP(E676,الموظفين!$B:$C,2,FALSE)),"")</f>
        <v/>
      </c>
      <c r="G676" s="34" t="str">
        <f>IFERROR(IF(C676="","",VLOOKUP(C676,المستفيدين!$B:$F,5,FALSE)),"")</f>
        <v/>
      </c>
      <c r="H676" s="24"/>
      <c r="I676" s="20"/>
      <c r="J676" s="20"/>
      <c r="K676" s="20"/>
      <c r="L676" s="21"/>
    </row>
    <row r="677" spans="1:12" x14ac:dyDescent="0.2">
      <c r="A677" s="26"/>
      <c r="B677" s="22"/>
      <c r="C677" s="22"/>
      <c r="D677" s="34" t="str">
        <f>IFERROR(IF(C677="","",VLOOKUP(C677,المستفيدين!$B:$C,2,FALSE)),"")</f>
        <v/>
      </c>
      <c r="E677" s="20"/>
      <c r="F677" s="34" t="str">
        <f>IFERROR(IF(E677="","",VLOOKUP(E677,الموظفين!$B:$C,2,FALSE)),"")</f>
        <v/>
      </c>
      <c r="G677" s="34" t="str">
        <f>IFERROR(IF(C677="","",VLOOKUP(C677,المستفيدين!$B:$F,5,FALSE)),"")</f>
        <v/>
      </c>
      <c r="H677" s="24"/>
      <c r="I677" s="20"/>
      <c r="J677" s="20"/>
      <c r="K677" s="20"/>
      <c r="L677" s="21"/>
    </row>
    <row r="678" spans="1:12" x14ac:dyDescent="0.2">
      <c r="A678" s="26"/>
      <c r="B678" s="22"/>
      <c r="C678" s="22"/>
      <c r="D678" s="34" t="str">
        <f>IFERROR(IF(C678="","",VLOOKUP(C678,المستفيدين!$B:$C,2,FALSE)),"")</f>
        <v/>
      </c>
      <c r="E678" s="20"/>
      <c r="F678" s="34" t="str">
        <f>IFERROR(IF(E678="","",VLOOKUP(E678,الموظفين!$B:$C,2,FALSE)),"")</f>
        <v/>
      </c>
      <c r="G678" s="34" t="str">
        <f>IFERROR(IF(C678="","",VLOOKUP(C678,المستفيدين!$B:$F,5,FALSE)),"")</f>
        <v/>
      </c>
      <c r="H678" s="24"/>
      <c r="I678" s="20"/>
      <c r="J678" s="20"/>
      <c r="K678" s="20"/>
      <c r="L678" s="21"/>
    </row>
    <row r="679" spans="1:12" x14ac:dyDescent="0.2">
      <c r="A679" s="26"/>
      <c r="B679" s="22"/>
      <c r="C679" s="22"/>
      <c r="D679" s="34" t="str">
        <f>IFERROR(IF(C679="","",VLOOKUP(C679,المستفيدين!$B:$C,2,FALSE)),"")</f>
        <v/>
      </c>
      <c r="E679" s="20"/>
      <c r="F679" s="34" t="str">
        <f>IFERROR(IF(E679="","",VLOOKUP(E679,الموظفين!$B:$C,2,FALSE)),"")</f>
        <v/>
      </c>
      <c r="G679" s="34" t="str">
        <f>IFERROR(IF(C679="","",VLOOKUP(C679,المستفيدين!$B:$F,5,FALSE)),"")</f>
        <v/>
      </c>
      <c r="H679" s="24"/>
      <c r="I679" s="20"/>
      <c r="J679" s="20"/>
      <c r="K679" s="20"/>
      <c r="L679" s="21"/>
    </row>
    <row r="680" spans="1:12" x14ac:dyDescent="0.2">
      <c r="A680" s="26"/>
      <c r="B680" s="22"/>
      <c r="C680" s="22"/>
      <c r="D680" s="34" t="str">
        <f>IFERROR(IF(C680="","",VLOOKUP(C680,المستفيدين!$B:$C,2,FALSE)),"")</f>
        <v/>
      </c>
      <c r="E680" s="20"/>
      <c r="F680" s="34" t="str">
        <f>IFERROR(IF(E680="","",VLOOKUP(E680,الموظفين!$B:$C,2,FALSE)),"")</f>
        <v/>
      </c>
      <c r="G680" s="34" t="str">
        <f>IFERROR(IF(C680="","",VLOOKUP(C680,المستفيدين!$B:$F,5,FALSE)),"")</f>
        <v/>
      </c>
      <c r="H680" s="24"/>
      <c r="I680" s="20"/>
      <c r="J680" s="20"/>
      <c r="K680" s="20"/>
      <c r="L680" s="21"/>
    </row>
    <row r="681" spans="1:12" x14ac:dyDescent="0.2">
      <c r="A681" s="26"/>
      <c r="B681" s="22"/>
      <c r="C681" s="22"/>
      <c r="D681" s="34" t="str">
        <f>IFERROR(IF(C681="","",VLOOKUP(C681,المستفيدين!$B:$C,2,FALSE)),"")</f>
        <v/>
      </c>
      <c r="E681" s="20"/>
      <c r="F681" s="34" t="str">
        <f>IFERROR(IF(E681="","",VLOOKUP(E681,الموظفين!$B:$C,2,FALSE)),"")</f>
        <v/>
      </c>
      <c r="G681" s="34" t="str">
        <f>IFERROR(IF(C681="","",VLOOKUP(C681,المستفيدين!$B:$F,5,FALSE)),"")</f>
        <v/>
      </c>
      <c r="H681" s="24"/>
      <c r="I681" s="20"/>
      <c r="J681" s="20"/>
      <c r="K681" s="20"/>
      <c r="L681" s="21"/>
    </row>
    <row r="682" spans="1:12" x14ac:dyDescent="0.2">
      <c r="A682" s="26"/>
      <c r="B682" s="22"/>
      <c r="C682" s="22"/>
      <c r="D682" s="34" t="str">
        <f>IFERROR(IF(C682="","",VLOOKUP(C682,المستفيدين!$B:$C,2,FALSE)),"")</f>
        <v/>
      </c>
      <c r="E682" s="20"/>
      <c r="F682" s="34" t="str">
        <f>IFERROR(IF(E682="","",VLOOKUP(E682,الموظفين!$B:$C,2,FALSE)),"")</f>
        <v/>
      </c>
      <c r="G682" s="34" t="str">
        <f>IFERROR(IF(C682="","",VLOOKUP(C682,المستفيدين!$B:$F,5,FALSE)),"")</f>
        <v/>
      </c>
      <c r="H682" s="24"/>
      <c r="I682" s="20"/>
      <c r="J682" s="20"/>
      <c r="K682" s="20"/>
      <c r="L682" s="21"/>
    </row>
    <row r="683" spans="1:12" x14ac:dyDescent="0.2">
      <c r="A683" s="26"/>
      <c r="B683" s="22"/>
      <c r="C683" s="22"/>
      <c r="D683" s="34" t="str">
        <f>IFERROR(IF(C683="","",VLOOKUP(C683,المستفيدين!$B:$C,2,FALSE)),"")</f>
        <v/>
      </c>
      <c r="E683" s="20"/>
      <c r="F683" s="34" t="str">
        <f>IFERROR(IF(E683="","",VLOOKUP(E683,الموظفين!$B:$C,2,FALSE)),"")</f>
        <v/>
      </c>
      <c r="G683" s="34" t="str">
        <f>IFERROR(IF(C683="","",VLOOKUP(C683,المستفيدين!$B:$F,5,FALSE)),"")</f>
        <v/>
      </c>
      <c r="H683" s="24"/>
      <c r="I683" s="20"/>
      <c r="J683" s="20"/>
      <c r="K683" s="20"/>
      <c r="L683" s="21"/>
    </row>
    <row r="684" spans="1:12" x14ac:dyDescent="0.2">
      <c r="A684" s="26"/>
      <c r="B684" s="22"/>
      <c r="C684" s="22"/>
      <c r="D684" s="34" t="str">
        <f>IFERROR(IF(C684="","",VLOOKUP(C684,المستفيدين!$B:$C,2,FALSE)),"")</f>
        <v/>
      </c>
      <c r="E684" s="20"/>
      <c r="F684" s="34" t="str">
        <f>IFERROR(IF(E684="","",VLOOKUP(E684,الموظفين!$B:$C,2,FALSE)),"")</f>
        <v/>
      </c>
      <c r="G684" s="34" t="str">
        <f>IFERROR(IF(C684="","",VLOOKUP(C684,المستفيدين!$B:$F,5,FALSE)),"")</f>
        <v/>
      </c>
      <c r="H684" s="24"/>
      <c r="I684" s="20"/>
      <c r="J684" s="20"/>
      <c r="K684" s="20"/>
      <c r="L684" s="21"/>
    </row>
    <row r="685" spans="1:12" x14ac:dyDescent="0.2">
      <c r="A685" s="26"/>
      <c r="B685" s="22"/>
      <c r="C685" s="22"/>
      <c r="D685" s="34" t="str">
        <f>IFERROR(IF(C685="","",VLOOKUP(C685,المستفيدين!$B:$C,2,FALSE)),"")</f>
        <v/>
      </c>
      <c r="E685" s="20"/>
      <c r="F685" s="34" t="str">
        <f>IFERROR(IF(E685="","",VLOOKUP(E685,الموظفين!$B:$C,2,FALSE)),"")</f>
        <v/>
      </c>
      <c r="G685" s="34" t="str">
        <f>IFERROR(IF(C685="","",VLOOKUP(C685,المستفيدين!$B:$F,5,FALSE)),"")</f>
        <v/>
      </c>
      <c r="H685" s="24"/>
      <c r="I685" s="20"/>
      <c r="J685" s="20"/>
      <c r="K685" s="20"/>
      <c r="L685" s="21"/>
    </row>
    <row r="686" spans="1:12" x14ac:dyDescent="0.2">
      <c r="A686" s="26"/>
      <c r="B686" s="22"/>
      <c r="C686" s="22"/>
      <c r="D686" s="34" t="str">
        <f>IFERROR(IF(C686="","",VLOOKUP(C686,المستفيدين!$B:$C,2,FALSE)),"")</f>
        <v/>
      </c>
      <c r="E686" s="20"/>
      <c r="F686" s="34" t="str">
        <f>IFERROR(IF(E686="","",VLOOKUP(E686,الموظفين!$B:$C,2,FALSE)),"")</f>
        <v/>
      </c>
      <c r="G686" s="34" t="str">
        <f>IFERROR(IF(C686="","",VLOOKUP(C686,المستفيدين!$B:$F,5,FALSE)),"")</f>
        <v/>
      </c>
      <c r="H686" s="24"/>
      <c r="I686" s="20"/>
      <c r="J686" s="20"/>
      <c r="K686" s="20"/>
      <c r="L686" s="21"/>
    </row>
    <row r="687" spans="1:12" x14ac:dyDescent="0.2">
      <c r="A687" s="26"/>
      <c r="B687" s="22"/>
      <c r="C687" s="22"/>
      <c r="D687" s="34" t="str">
        <f>IFERROR(IF(C687="","",VLOOKUP(C687,المستفيدين!$B:$C,2,FALSE)),"")</f>
        <v/>
      </c>
      <c r="E687" s="20"/>
      <c r="F687" s="34" t="str">
        <f>IFERROR(IF(E687="","",VLOOKUP(E687,الموظفين!$B:$C,2,FALSE)),"")</f>
        <v/>
      </c>
      <c r="G687" s="34" t="str">
        <f>IFERROR(IF(C687="","",VLOOKUP(C687,المستفيدين!$B:$F,5,FALSE)),"")</f>
        <v/>
      </c>
      <c r="H687" s="24"/>
      <c r="I687" s="20"/>
      <c r="J687" s="20"/>
      <c r="K687" s="20"/>
      <c r="L687" s="21"/>
    </row>
    <row r="688" spans="1:12" x14ac:dyDescent="0.2">
      <c r="A688" s="26"/>
      <c r="B688" s="22"/>
      <c r="C688" s="22"/>
      <c r="D688" s="34" t="str">
        <f>IFERROR(IF(C688="","",VLOOKUP(C688,المستفيدين!$B:$C,2,FALSE)),"")</f>
        <v/>
      </c>
      <c r="E688" s="20"/>
      <c r="F688" s="34" t="str">
        <f>IFERROR(IF(E688="","",VLOOKUP(E688,الموظفين!$B:$C,2,FALSE)),"")</f>
        <v/>
      </c>
      <c r="G688" s="34" t="str">
        <f>IFERROR(IF(C688="","",VLOOKUP(C688,المستفيدين!$B:$F,5,FALSE)),"")</f>
        <v/>
      </c>
      <c r="H688" s="24"/>
      <c r="I688" s="20"/>
      <c r="J688" s="20"/>
      <c r="K688" s="20"/>
      <c r="L688" s="21"/>
    </row>
    <row r="689" spans="1:12" x14ac:dyDescent="0.2">
      <c r="A689" s="26"/>
      <c r="B689" s="22"/>
      <c r="C689" s="22"/>
      <c r="D689" s="34" t="str">
        <f>IFERROR(IF(C689="","",VLOOKUP(C689,المستفيدين!$B:$C,2,FALSE)),"")</f>
        <v/>
      </c>
      <c r="E689" s="20"/>
      <c r="F689" s="34" t="str">
        <f>IFERROR(IF(E689="","",VLOOKUP(E689,الموظفين!$B:$C,2,FALSE)),"")</f>
        <v/>
      </c>
      <c r="G689" s="34" t="str">
        <f>IFERROR(IF(C689="","",VLOOKUP(C689,المستفيدين!$B:$F,5,FALSE)),"")</f>
        <v/>
      </c>
      <c r="H689" s="24"/>
      <c r="I689" s="20"/>
      <c r="J689" s="20"/>
      <c r="K689" s="20"/>
      <c r="L689" s="21"/>
    </row>
    <row r="690" spans="1:12" x14ac:dyDescent="0.2">
      <c r="A690" s="26"/>
      <c r="B690" s="22"/>
      <c r="C690" s="22"/>
      <c r="D690" s="34" t="str">
        <f>IFERROR(IF(C690="","",VLOOKUP(C690,المستفيدين!$B:$C,2,FALSE)),"")</f>
        <v/>
      </c>
      <c r="E690" s="20"/>
      <c r="F690" s="34" t="str">
        <f>IFERROR(IF(E690="","",VLOOKUP(E690,الموظفين!$B:$C,2,FALSE)),"")</f>
        <v/>
      </c>
      <c r="G690" s="34" t="str">
        <f>IFERROR(IF(C690="","",VLOOKUP(C690,المستفيدين!$B:$F,5,FALSE)),"")</f>
        <v/>
      </c>
      <c r="H690" s="24"/>
      <c r="I690" s="20"/>
      <c r="J690" s="20"/>
      <c r="K690" s="20"/>
      <c r="L690" s="21"/>
    </row>
    <row r="691" spans="1:12" x14ac:dyDescent="0.2">
      <c r="A691" s="26"/>
      <c r="B691" s="22"/>
      <c r="C691" s="22"/>
      <c r="D691" s="34" t="str">
        <f>IFERROR(IF(C691="","",VLOOKUP(C691,المستفيدين!$B:$C,2,FALSE)),"")</f>
        <v/>
      </c>
      <c r="E691" s="20"/>
      <c r="F691" s="34" t="str">
        <f>IFERROR(IF(E691="","",VLOOKUP(E691,الموظفين!$B:$C,2,FALSE)),"")</f>
        <v/>
      </c>
      <c r="G691" s="34" t="str">
        <f>IFERROR(IF(C691="","",VLOOKUP(C691,المستفيدين!$B:$F,5,FALSE)),"")</f>
        <v/>
      </c>
      <c r="H691" s="24"/>
      <c r="I691" s="20"/>
      <c r="J691" s="20"/>
      <c r="K691" s="20"/>
      <c r="L691" s="21"/>
    </row>
    <row r="692" spans="1:12" x14ac:dyDescent="0.2">
      <c r="A692" s="26"/>
      <c r="B692" s="22"/>
      <c r="C692" s="22"/>
      <c r="D692" s="34" t="str">
        <f>IFERROR(IF(C692="","",VLOOKUP(C692,المستفيدين!$B:$C,2,FALSE)),"")</f>
        <v/>
      </c>
      <c r="E692" s="20"/>
      <c r="F692" s="34" t="str">
        <f>IFERROR(IF(E692="","",VLOOKUP(E692,الموظفين!$B:$C,2,FALSE)),"")</f>
        <v/>
      </c>
      <c r="G692" s="34" t="str">
        <f>IFERROR(IF(C692="","",VLOOKUP(C692,المستفيدين!$B:$F,5,FALSE)),"")</f>
        <v/>
      </c>
      <c r="H692" s="24"/>
      <c r="I692" s="20"/>
      <c r="J692" s="20"/>
      <c r="K692" s="20"/>
      <c r="L692" s="21"/>
    </row>
    <row r="693" spans="1:12" x14ac:dyDescent="0.2">
      <c r="A693" s="26"/>
      <c r="B693" s="22"/>
      <c r="C693" s="22"/>
      <c r="D693" s="34" t="str">
        <f>IFERROR(IF(C693="","",VLOOKUP(C693,المستفيدين!$B:$C,2,FALSE)),"")</f>
        <v/>
      </c>
      <c r="E693" s="20"/>
      <c r="F693" s="34" t="str">
        <f>IFERROR(IF(E693="","",VLOOKUP(E693,الموظفين!$B:$C,2,FALSE)),"")</f>
        <v/>
      </c>
      <c r="G693" s="34" t="str">
        <f>IFERROR(IF(C693="","",VLOOKUP(C693,المستفيدين!$B:$F,5,FALSE)),"")</f>
        <v/>
      </c>
      <c r="H693" s="24"/>
      <c r="I693" s="20"/>
      <c r="J693" s="20"/>
      <c r="K693" s="20"/>
      <c r="L693" s="21"/>
    </row>
    <row r="694" spans="1:12" x14ac:dyDescent="0.2">
      <c r="A694" s="26"/>
      <c r="B694" s="22"/>
      <c r="C694" s="22"/>
      <c r="D694" s="34" t="str">
        <f>IFERROR(IF(C694="","",VLOOKUP(C694,المستفيدين!$B:$C,2,FALSE)),"")</f>
        <v/>
      </c>
      <c r="E694" s="20"/>
      <c r="F694" s="34" t="str">
        <f>IFERROR(IF(E694="","",VLOOKUP(E694,الموظفين!$B:$C,2,FALSE)),"")</f>
        <v/>
      </c>
      <c r="G694" s="34" t="str">
        <f>IFERROR(IF(C694="","",VLOOKUP(C694,المستفيدين!$B:$F,5,FALSE)),"")</f>
        <v/>
      </c>
      <c r="H694" s="24"/>
      <c r="I694" s="20"/>
      <c r="J694" s="20"/>
      <c r="K694" s="20"/>
      <c r="L694" s="21"/>
    </row>
    <row r="695" spans="1:12" x14ac:dyDescent="0.2">
      <c r="A695" s="26"/>
      <c r="B695" s="22"/>
      <c r="C695" s="22"/>
      <c r="D695" s="34" t="str">
        <f>IFERROR(IF(C695="","",VLOOKUP(C695,المستفيدين!$B:$C,2,FALSE)),"")</f>
        <v/>
      </c>
      <c r="E695" s="20"/>
      <c r="F695" s="34" t="str">
        <f>IFERROR(IF(E695="","",VLOOKUP(E695,الموظفين!$B:$C,2,FALSE)),"")</f>
        <v/>
      </c>
      <c r="G695" s="34" t="str">
        <f>IFERROR(IF(C695="","",VLOOKUP(C695,المستفيدين!$B:$F,5,FALSE)),"")</f>
        <v/>
      </c>
      <c r="H695" s="24"/>
      <c r="I695" s="20"/>
      <c r="J695" s="20"/>
      <c r="K695" s="20"/>
      <c r="L695" s="21"/>
    </row>
    <row r="696" spans="1:12" x14ac:dyDescent="0.2">
      <c r="A696" s="26"/>
      <c r="B696" s="22"/>
      <c r="C696" s="22"/>
      <c r="D696" s="34" t="str">
        <f>IFERROR(IF(C696="","",VLOOKUP(C696,المستفيدين!$B:$C,2,FALSE)),"")</f>
        <v/>
      </c>
      <c r="E696" s="20"/>
      <c r="F696" s="34" t="str">
        <f>IFERROR(IF(E696="","",VLOOKUP(E696,الموظفين!$B:$C,2,FALSE)),"")</f>
        <v/>
      </c>
      <c r="G696" s="34" t="str">
        <f>IFERROR(IF(C696="","",VLOOKUP(C696,المستفيدين!$B:$F,5,FALSE)),"")</f>
        <v/>
      </c>
      <c r="H696" s="24"/>
      <c r="I696" s="20"/>
      <c r="J696" s="20"/>
      <c r="K696" s="20"/>
      <c r="L696" s="21"/>
    </row>
    <row r="697" spans="1:12" x14ac:dyDescent="0.2">
      <c r="A697" s="26"/>
      <c r="B697" s="22"/>
      <c r="C697" s="22"/>
      <c r="D697" s="34" t="str">
        <f>IFERROR(IF(C697="","",VLOOKUP(C697,المستفيدين!$B:$C,2,FALSE)),"")</f>
        <v/>
      </c>
      <c r="E697" s="20"/>
      <c r="F697" s="34" t="str">
        <f>IFERROR(IF(E697="","",VLOOKUP(E697,الموظفين!$B:$C,2,FALSE)),"")</f>
        <v/>
      </c>
      <c r="G697" s="34" t="str">
        <f>IFERROR(IF(C697="","",VLOOKUP(C697,المستفيدين!$B:$F,5,FALSE)),"")</f>
        <v/>
      </c>
      <c r="H697" s="24"/>
      <c r="I697" s="20"/>
      <c r="J697" s="20"/>
      <c r="K697" s="20"/>
      <c r="L697" s="21"/>
    </row>
    <row r="698" spans="1:12" x14ac:dyDescent="0.2">
      <c r="A698" s="26"/>
      <c r="B698" s="22"/>
      <c r="C698" s="22"/>
      <c r="D698" s="34" t="str">
        <f>IFERROR(IF(C698="","",VLOOKUP(C698,المستفيدين!$B:$C,2,FALSE)),"")</f>
        <v/>
      </c>
      <c r="E698" s="20"/>
      <c r="F698" s="34" t="str">
        <f>IFERROR(IF(E698="","",VLOOKUP(E698,الموظفين!$B:$C,2,FALSE)),"")</f>
        <v/>
      </c>
      <c r="G698" s="34" t="str">
        <f>IFERROR(IF(C698="","",VLOOKUP(C698,المستفيدين!$B:$F,5,FALSE)),"")</f>
        <v/>
      </c>
      <c r="H698" s="24"/>
      <c r="I698" s="20"/>
      <c r="J698" s="20"/>
      <c r="K698" s="20"/>
      <c r="L698" s="21"/>
    </row>
    <row r="699" spans="1:12" x14ac:dyDescent="0.2">
      <c r="A699" s="26"/>
      <c r="B699" s="22"/>
      <c r="C699" s="22"/>
      <c r="D699" s="34" t="str">
        <f>IFERROR(IF(C699="","",VLOOKUP(C699,المستفيدين!$B:$C,2,FALSE)),"")</f>
        <v/>
      </c>
      <c r="E699" s="20"/>
      <c r="F699" s="34" t="str">
        <f>IFERROR(IF(E699="","",VLOOKUP(E699,الموظفين!$B:$C,2,FALSE)),"")</f>
        <v/>
      </c>
      <c r="G699" s="34" t="str">
        <f>IFERROR(IF(C699="","",VLOOKUP(C699,المستفيدين!$B:$F,5,FALSE)),"")</f>
        <v/>
      </c>
      <c r="H699" s="24"/>
      <c r="I699" s="20"/>
      <c r="J699" s="20"/>
      <c r="K699" s="20"/>
      <c r="L699" s="21"/>
    </row>
    <row r="700" spans="1:12" x14ac:dyDescent="0.2">
      <c r="A700" s="26"/>
      <c r="B700" s="22"/>
      <c r="C700" s="22"/>
      <c r="D700" s="34" t="str">
        <f>IFERROR(IF(C700="","",VLOOKUP(C700,المستفيدين!$B:$C,2,FALSE)),"")</f>
        <v/>
      </c>
      <c r="E700" s="20"/>
      <c r="F700" s="34" t="str">
        <f>IFERROR(IF(E700="","",VLOOKUP(E700,الموظفين!$B:$C,2,FALSE)),"")</f>
        <v/>
      </c>
      <c r="G700" s="34" t="str">
        <f>IFERROR(IF(C700="","",VLOOKUP(C700,المستفيدين!$B:$F,5,FALSE)),"")</f>
        <v/>
      </c>
      <c r="H700" s="24"/>
      <c r="I700" s="20"/>
      <c r="J700" s="20"/>
      <c r="K700" s="20"/>
      <c r="L700" s="21"/>
    </row>
    <row r="701" spans="1:12" x14ac:dyDescent="0.2">
      <c r="A701" s="26"/>
      <c r="B701" s="22"/>
      <c r="C701" s="22"/>
      <c r="D701" s="34" t="str">
        <f>IFERROR(IF(C701="","",VLOOKUP(C701,المستفيدين!$B:$C,2,FALSE)),"")</f>
        <v/>
      </c>
      <c r="E701" s="20"/>
      <c r="F701" s="34" t="str">
        <f>IFERROR(IF(E701="","",VLOOKUP(E701,الموظفين!$B:$C,2,FALSE)),"")</f>
        <v/>
      </c>
      <c r="G701" s="34" t="str">
        <f>IFERROR(IF(C701="","",VLOOKUP(C701,المستفيدين!$B:$F,5,FALSE)),"")</f>
        <v/>
      </c>
      <c r="H701" s="24"/>
      <c r="I701" s="20"/>
      <c r="J701" s="20"/>
      <c r="K701" s="20"/>
      <c r="L701" s="21"/>
    </row>
    <row r="702" spans="1:12" x14ac:dyDescent="0.2">
      <c r="A702" s="26"/>
      <c r="B702" s="22"/>
      <c r="C702" s="22"/>
      <c r="D702" s="34" t="str">
        <f>IFERROR(IF(C702="","",VLOOKUP(C702,المستفيدين!$B:$C,2,FALSE)),"")</f>
        <v/>
      </c>
      <c r="E702" s="20"/>
      <c r="F702" s="34" t="str">
        <f>IFERROR(IF(E702="","",VLOOKUP(E702,الموظفين!$B:$C,2,FALSE)),"")</f>
        <v/>
      </c>
      <c r="G702" s="34" t="str">
        <f>IFERROR(IF(C702="","",VLOOKUP(C702,المستفيدين!$B:$F,5,FALSE)),"")</f>
        <v/>
      </c>
      <c r="H702" s="24"/>
      <c r="I702" s="20"/>
      <c r="J702" s="20"/>
      <c r="K702" s="20"/>
      <c r="L702" s="21"/>
    </row>
    <row r="703" spans="1:12" x14ac:dyDescent="0.2">
      <c r="A703" s="26"/>
      <c r="B703" s="22"/>
      <c r="C703" s="22"/>
      <c r="D703" s="34" t="str">
        <f>IFERROR(IF(C703="","",VLOOKUP(C703,المستفيدين!$B:$C,2,FALSE)),"")</f>
        <v/>
      </c>
      <c r="E703" s="20"/>
      <c r="F703" s="34" t="str">
        <f>IFERROR(IF(E703="","",VLOOKUP(E703,الموظفين!$B:$C,2,FALSE)),"")</f>
        <v/>
      </c>
      <c r="G703" s="34" t="str">
        <f>IFERROR(IF(C703="","",VLOOKUP(C703,المستفيدين!$B:$F,5,FALSE)),"")</f>
        <v/>
      </c>
      <c r="H703" s="24"/>
      <c r="I703" s="20"/>
      <c r="J703" s="20"/>
      <c r="K703" s="20"/>
      <c r="L703" s="21"/>
    </row>
    <row r="704" spans="1:12" x14ac:dyDescent="0.2">
      <c r="A704" s="26"/>
      <c r="B704" s="22"/>
      <c r="C704" s="22"/>
      <c r="D704" s="34" t="str">
        <f>IFERROR(IF(C704="","",VLOOKUP(C704,المستفيدين!$B:$C,2,FALSE)),"")</f>
        <v/>
      </c>
      <c r="E704" s="20"/>
      <c r="F704" s="34" t="str">
        <f>IFERROR(IF(E704="","",VLOOKUP(E704,الموظفين!$B:$C,2,FALSE)),"")</f>
        <v/>
      </c>
      <c r="G704" s="34" t="str">
        <f>IFERROR(IF(C704="","",VLOOKUP(C704,المستفيدين!$B:$F,5,FALSE)),"")</f>
        <v/>
      </c>
      <c r="H704" s="24"/>
      <c r="I704" s="20"/>
      <c r="J704" s="20"/>
      <c r="K704" s="20"/>
      <c r="L704" s="21"/>
    </row>
    <row r="705" spans="1:12" x14ac:dyDescent="0.2">
      <c r="A705" s="26"/>
      <c r="B705" s="22"/>
      <c r="C705" s="22"/>
      <c r="D705" s="34" t="str">
        <f>IFERROR(IF(C705="","",VLOOKUP(C705,المستفيدين!$B:$C,2,FALSE)),"")</f>
        <v/>
      </c>
      <c r="E705" s="20"/>
      <c r="F705" s="34" t="str">
        <f>IFERROR(IF(E705="","",VLOOKUP(E705,الموظفين!$B:$C,2,FALSE)),"")</f>
        <v/>
      </c>
      <c r="G705" s="34" t="str">
        <f>IFERROR(IF(C705="","",VLOOKUP(C705,المستفيدين!$B:$F,5,FALSE)),"")</f>
        <v/>
      </c>
      <c r="H705" s="24"/>
      <c r="I705" s="20"/>
      <c r="J705" s="20"/>
      <c r="K705" s="20"/>
      <c r="L705" s="21"/>
    </row>
    <row r="706" spans="1:12" x14ac:dyDescent="0.2">
      <c r="A706" s="26"/>
      <c r="B706" s="22"/>
      <c r="C706" s="22"/>
      <c r="D706" s="34" t="str">
        <f>IFERROR(IF(C706="","",VLOOKUP(C706,المستفيدين!$B:$C,2,FALSE)),"")</f>
        <v/>
      </c>
      <c r="E706" s="20"/>
      <c r="F706" s="34" t="str">
        <f>IFERROR(IF(E706="","",VLOOKUP(E706,الموظفين!$B:$C,2,FALSE)),"")</f>
        <v/>
      </c>
      <c r="G706" s="34" t="str">
        <f>IFERROR(IF(C706="","",VLOOKUP(C706,المستفيدين!$B:$F,5,FALSE)),"")</f>
        <v/>
      </c>
      <c r="H706" s="24"/>
      <c r="I706" s="20"/>
      <c r="J706" s="20"/>
      <c r="K706" s="20"/>
      <c r="L706" s="21"/>
    </row>
    <row r="707" spans="1:12" x14ac:dyDescent="0.2">
      <c r="A707" s="26"/>
      <c r="B707" s="22"/>
      <c r="C707" s="22"/>
      <c r="D707" s="34" t="str">
        <f>IFERROR(IF(C707="","",VLOOKUP(C707,المستفيدين!$B:$C,2,FALSE)),"")</f>
        <v/>
      </c>
      <c r="E707" s="20"/>
      <c r="F707" s="34" t="str">
        <f>IFERROR(IF(E707="","",VLOOKUP(E707,الموظفين!$B:$C,2,FALSE)),"")</f>
        <v/>
      </c>
      <c r="G707" s="34" t="str">
        <f>IFERROR(IF(C707="","",VLOOKUP(C707,المستفيدين!$B:$F,5,FALSE)),"")</f>
        <v/>
      </c>
      <c r="H707" s="24"/>
      <c r="I707" s="20"/>
      <c r="J707" s="20"/>
      <c r="K707" s="20"/>
      <c r="L707" s="21"/>
    </row>
    <row r="708" spans="1:12" x14ac:dyDescent="0.2">
      <c r="A708" s="26"/>
      <c r="B708" s="22"/>
      <c r="C708" s="22"/>
      <c r="D708" s="34" t="str">
        <f>IFERROR(IF(C708="","",VLOOKUP(C708,المستفيدين!$B:$C,2,FALSE)),"")</f>
        <v/>
      </c>
      <c r="E708" s="20"/>
      <c r="F708" s="34" t="str">
        <f>IFERROR(IF(E708="","",VLOOKUP(E708,الموظفين!$B:$C,2,FALSE)),"")</f>
        <v/>
      </c>
      <c r="G708" s="34" t="str">
        <f>IFERROR(IF(C708="","",VLOOKUP(C708,المستفيدين!$B:$F,5,FALSE)),"")</f>
        <v/>
      </c>
      <c r="H708" s="24"/>
      <c r="I708" s="20"/>
      <c r="J708" s="20"/>
      <c r="K708" s="20"/>
      <c r="L708" s="21"/>
    </row>
    <row r="709" spans="1:12" x14ac:dyDescent="0.2">
      <c r="A709" s="26"/>
      <c r="B709" s="22"/>
      <c r="C709" s="22"/>
      <c r="D709" s="34" t="str">
        <f>IFERROR(IF(C709="","",VLOOKUP(C709,المستفيدين!$B:$C,2,FALSE)),"")</f>
        <v/>
      </c>
      <c r="E709" s="20"/>
      <c r="F709" s="34" t="str">
        <f>IFERROR(IF(E709="","",VLOOKUP(E709,الموظفين!$B:$C,2,FALSE)),"")</f>
        <v/>
      </c>
      <c r="G709" s="34" t="str">
        <f>IFERROR(IF(C709="","",VLOOKUP(C709,المستفيدين!$B:$F,5,FALSE)),"")</f>
        <v/>
      </c>
      <c r="H709" s="24"/>
      <c r="I709" s="20"/>
      <c r="J709" s="20"/>
      <c r="K709" s="20"/>
      <c r="L709" s="21"/>
    </row>
    <row r="710" spans="1:12" x14ac:dyDescent="0.2">
      <c r="A710" s="26"/>
      <c r="B710" s="22"/>
      <c r="C710" s="22"/>
      <c r="D710" s="34" t="str">
        <f>IFERROR(IF(C710="","",VLOOKUP(C710,المستفيدين!$B:$C,2,FALSE)),"")</f>
        <v/>
      </c>
      <c r="E710" s="20"/>
      <c r="F710" s="34" t="str">
        <f>IFERROR(IF(E710="","",VLOOKUP(E710,الموظفين!$B:$C,2,FALSE)),"")</f>
        <v/>
      </c>
      <c r="G710" s="34" t="str">
        <f>IFERROR(IF(C710="","",VLOOKUP(C710,المستفيدين!$B:$F,5,FALSE)),"")</f>
        <v/>
      </c>
      <c r="H710" s="24"/>
      <c r="I710" s="20"/>
      <c r="J710" s="20"/>
      <c r="K710" s="20"/>
      <c r="L710" s="21"/>
    </row>
    <row r="711" spans="1:12" x14ac:dyDescent="0.2">
      <c r="A711" s="26"/>
      <c r="B711" s="22"/>
      <c r="C711" s="22"/>
      <c r="D711" s="34" t="str">
        <f>IFERROR(IF(C711="","",VLOOKUP(C711,المستفيدين!$B:$C,2,FALSE)),"")</f>
        <v/>
      </c>
      <c r="E711" s="20"/>
      <c r="F711" s="34" t="str">
        <f>IFERROR(IF(E711="","",VLOOKUP(E711,الموظفين!$B:$C,2,FALSE)),"")</f>
        <v/>
      </c>
      <c r="G711" s="34" t="str">
        <f>IFERROR(IF(C711="","",VLOOKUP(C711,المستفيدين!$B:$F,5,FALSE)),"")</f>
        <v/>
      </c>
      <c r="H711" s="24"/>
      <c r="I711" s="20"/>
      <c r="J711" s="20"/>
      <c r="K711" s="20"/>
      <c r="L711" s="21"/>
    </row>
    <row r="712" spans="1:12" x14ac:dyDescent="0.2">
      <c r="A712" s="26"/>
      <c r="B712" s="22"/>
      <c r="C712" s="22"/>
      <c r="D712" s="34" t="str">
        <f>IFERROR(IF(C712="","",VLOOKUP(C712,المستفيدين!$B:$C,2,FALSE)),"")</f>
        <v/>
      </c>
      <c r="E712" s="20"/>
      <c r="F712" s="34" t="str">
        <f>IFERROR(IF(E712="","",VLOOKUP(E712,الموظفين!$B:$C,2,FALSE)),"")</f>
        <v/>
      </c>
      <c r="G712" s="34" t="str">
        <f>IFERROR(IF(C712="","",VLOOKUP(C712,المستفيدين!$B:$F,5,FALSE)),"")</f>
        <v/>
      </c>
      <c r="H712" s="24"/>
      <c r="I712" s="20"/>
      <c r="J712" s="20"/>
      <c r="K712" s="20"/>
      <c r="L712" s="21"/>
    </row>
    <row r="713" spans="1:12" x14ac:dyDescent="0.2">
      <c r="A713" s="26"/>
      <c r="B713" s="22"/>
      <c r="C713" s="22"/>
      <c r="D713" s="34" t="str">
        <f>IFERROR(IF(C713="","",VLOOKUP(C713,المستفيدين!$B:$C,2,FALSE)),"")</f>
        <v/>
      </c>
      <c r="E713" s="20"/>
      <c r="F713" s="34" t="str">
        <f>IFERROR(IF(E713="","",VLOOKUP(E713,الموظفين!$B:$C,2,FALSE)),"")</f>
        <v/>
      </c>
      <c r="G713" s="34" t="str">
        <f>IFERROR(IF(C713="","",VLOOKUP(C713,المستفيدين!$B:$F,5,FALSE)),"")</f>
        <v/>
      </c>
      <c r="H713" s="24"/>
      <c r="I713" s="20"/>
      <c r="J713" s="20"/>
      <c r="K713" s="20"/>
      <c r="L713" s="21"/>
    </row>
    <row r="714" spans="1:12" x14ac:dyDescent="0.2">
      <c r="A714" s="26"/>
      <c r="B714" s="22"/>
      <c r="C714" s="22"/>
      <c r="D714" s="34" t="str">
        <f>IFERROR(IF(C714="","",VLOOKUP(C714,المستفيدين!$B:$C,2,FALSE)),"")</f>
        <v/>
      </c>
      <c r="E714" s="20"/>
      <c r="F714" s="34" t="str">
        <f>IFERROR(IF(E714="","",VLOOKUP(E714,الموظفين!$B:$C,2,FALSE)),"")</f>
        <v/>
      </c>
      <c r="G714" s="34" t="str">
        <f>IFERROR(IF(C714="","",VLOOKUP(C714,المستفيدين!$B:$F,5,FALSE)),"")</f>
        <v/>
      </c>
      <c r="H714" s="24"/>
      <c r="I714" s="20"/>
      <c r="J714" s="20"/>
      <c r="K714" s="20"/>
      <c r="L714" s="21"/>
    </row>
    <row r="715" spans="1:12" x14ac:dyDescent="0.2">
      <c r="A715" s="26"/>
      <c r="B715" s="22"/>
      <c r="C715" s="22"/>
      <c r="D715" s="34" t="str">
        <f>IFERROR(IF(C715="","",VLOOKUP(C715,المستفيدين!$B:$C,2,FALSE)),"")</f>
        <v/>
      </c>
      <c r="E715" s="20"/>
      <c r="F715" s="34" t="str">
        <f>IFERROR(IF(E715="","",VLOOKUP(E715,الموظفين!$B:$C,2,FALSE)),"")</f>
        <v/>
      </c>
      <c r="G715" s="34" t="str">
        <f>IFERROR(IF(C715="","",VLOOKUP(C715,المستفيدين!$B:$F,5,FALSE)),"")</f>
        <v/>
      </c>
      <c r="H715" s="24"/>
      <c r="I715" s="20"/>
      <c r="J715" s="20"/>
      <c r="K715" s="20"/>
      <c r="L715" s="21"/>
    </row>
    <row r="716" spans="1:12" x14ac:dyDescent="0.2">
      <c r="A716" s="26"/>
      <c r="B716" s="22"/>
      <c r="C716" s="22"/>
      <c r="D716" s="34" t="str">
        <f>IFERROR(IF(C716="","",VLOOKUP(C716,المستفيدين!$B:$C,2,FALSE)),"")</f>
        <v/>
      </c>
      <c r="E716" s="20"/>
      <c r="F716" s="34" t="str">
        <f>IFERROR(IF(E716="","",VLOOKUP(E716,الموظفين!$B:$C,2,FALSE)),"")</f>
        <v/>
      </c>
      <c r="G716" s="34" t="str">
        <f>IFERROR(IF(C716="","",VLOOKUP(C716,المستفيدين!$B:$F,5,FALSE)),"")</f>
        <v/>
      </c>
      <c r="H716" s="24"/>
      <c r="I716" s="20"/>
      <c r="J716" s="20"/>
      <c r="K716" s="20"/>
      <c r="L716" s="21"/>
    </row>
    <row r="717" spans="1:12" x14ac:dyDescent="0.2">
      <c r="A717" s="26"/>
      <c r="B717" s="22"/>
      <c r="C717" s="22"/>
      <c r="D717" s="34" t="str">
        <f>IFERROR(IF(C717="","",VLOOKUP(C717,المستفيدين!$B:$C,2,FALSE)),"")</f>
        <v/>
      </c>
      <c r="E717" s="20"/>
      <c r="F717" s="34" t="str">
        <f>IFERROR(IF(E717="","",VLOOKUP(E717,الموظفين!$B:$C,2,FALSE)),"")</f>
        <v/>
      </c>
      <c r="G717" s="34" t="str">
        <f>IFERROR(IF(C717="","",VLOOKUP(C717,المستفيدين!$B:$F,5,FALSE)),"")</f>
        <v/>
      </c>
      <c r="H717" s="24"/>
      <c r="I717" s="20"/>
      <c r="J717" s="20"/>
      <c r="K717" s="20"/>
      <c r="L717" s="21"/>
    </row>
    <row r="718" spans="1:12" x14ac:dyDescent="0.2">
      <c r="A718" s="26"/>
      <c r="B718" s="22"/>
      <c r="C718" s="22"/>
      <c r="D718" s="34" t="str">
        <f>IFERROR(IF(C718="","",VLOOKUP(C718,المستفيدين!$B:$C,2,FALSE)),"")</f>
        <v/>
      </c>
      <c r="E718" s="20"/>
      <c r="F718" s="34" t="str">
        <f>IFERROR(IF(E718="","",VLOOKUP(E718,الموظفين!$B:$C,2,FALSE)),"")</f>
        <v/>
      </c>
      <c r="G718" s="34" t="str">
        <f>IFERROR(IF(C718="","",VLOOKUP(C718,المستفيدين!$B:$F,5,FALSE)),"")</f>
        <v/>
      </c>
      <c r="H718" s="24"/>
      <c r="I718" s="20"/>
      <c r="J718" s="20"/>
      <c r="K718" s="20"/>
      <c r="L718" s="21"/>
    </row>
    <row r="719" spans="1:12" x14ac:dyDescent="0.2">
      <c r="A719" s="26"/>
      <c r="B719" s="22"/>
      <c r="C719" s="22"/>
      <c r="D719" s="34" t="str">
        <f>IFERROR(IF(C719="","",VLOOKUP(C719,المستفيدين!$B:$C,2,FALSE)),"")</f>
        <v/>
      </c>
      <c r="E719" s="20"/>
      <c r="F719" s="34" t="str">
        <f>IFERROR(IF(E719="","",VLOOKUP(E719,الموظفين!$B:$C,2,FALSE)),"")</f>
        <v/>
      </c>
      <c r="G719" s="34" t="str">
        <f>IFERROR(IF(C719="","",VLOOKUP(C719,المستفيدين!$B:$F,5,FALSE)),"")</f>
        <v/>
      </c>
      <c r="H719" s="24"/>
      <c r="I719" s="20"/>
      <c r="J719" s="20"/>
      <c r="K719" s="20"/>
      <c r="L719" s="21"/>
    </row>
    <row r="720" spans="1:12" x14ac:dyDescent="0.2">
      <c r="A720" s="26"/>
      <c r="B720" s="22"/>
      <c r="C720" s="22"/>
      <c r="D720" s="34" t="str">
        <f>IFERROR(IF(C720="","",VLOOKUP(C720,المستفيدين!$B:$C,2,FALSE)),"")</f>
        <v/>
      </c>
      <c r="E720" s="20"/>
      <c r="F720" s="34" t="str">
        <f>IFERROR(IF(E720="","",VLOOKUP(E720,الموظفين!$B:$C,2,FALSE)),"")</f>
        <v/>
      </c>
      <c r="G720" s="34" t="str">
        <f>IFERROR(IF(C720="","",VLOOKUP(C720,المستفيدين!$B:$F,5,FALSE)),"")</f>
        <v/>
      </c>
      <c r="H720" s="24"/>
      <c r="I720" s="20"/>
      <c r="J720" s="20"/>
      <c r="K720" s="20"/>
      <c r="L720" s="21"/>
    </row>
    <row r="721" spans="1:12" x14ac:dyDescent="0.2">
      <c r="A721" s="26"/>
      <c r="B721" s="22"/>
      <c r="C721" s="22"/>
      <c r="D721" s="34" t="str">
        <f>IFERROR(IF(C721="","",VLOOKUP(C721,المستفيدين!$B:$C,2,FALSE)),"")</f>
        <v/>
      </c>
      <c r="E721" s="20"/>
      <c r="F721" s="34" t="str">
        <f>IFERROR(IF(E721="","",VLOOKUP(E721,الموظفين!$B:$C,2,FALSE)),"")</f>
        <v/>
      </c>
      <c r="G721" s="34" t="str">
        <f>IFERROR(IF(C721="","",VLOOKUP(C721,المستفيدين!$B:$F,5,FALSE)),"")</f>
        <v/>
      </c>
      <c r="H721" s="24"/>
      <c r="I721" s="20"/>
      <c r="J721" s="20"/>
      <c r="K721" s="20"/>
      <c r="L721" s="21"/>
    </row>
    <row r="722" spans="1:12" x14ac:dyDescent="0.2">
      <c r="A722" s="26"/>
      <c r="B722" s="22"/>
      <c r="C722" s="22"/>
      <c r="D722" s="34" t="str">
        <f>IFERROR(IF(C722="","",VLOOKUP(C722,المستفيدين!$B:$C,2,FALSE)),"")</f>
        <v/>
      </c>
      <c r="E722" s="20"/>
      <c r="F722" s="34" t="str">
        <f>IFERROR(IF(E722="","",VLOOKUP(E722,الموظفين!$B:$C,2,FALSE)),"")</f>
        <v/>
      </c>
      <c r="G722" s="34" t="str">
        <f>IFERROR(IF(C722="","",VLOOKUP(C722,المستفيدين!$B:$F,5,FALSE)),"")</f>
        <v/>
      </c>
      <c r="H722" s="24"/>
      <c r="I722" s="20"/>
      <c r="J722" s="20"/>
      <c r="K722" s="20"/>
      <c r="L722" s="21"/>
    </row>
    <row r="723" spans="1:12" x14ac:dyDescent="0.2">
      <c r="A723" s="26"/>
      <c r="B723" s="22"/>
      <c r="C723" s="22"/>
      <c r="D723" s="34" t="str">
        <f>IFERROR(IF(C723="","",VLOOKUP(C723,المستفيدين!$B:$C,2,FALSE)),"")</f>
        <v/>
      </c>
      <c r="E723" s="20"/>
      <c r="F723" s="34" t="str">
        <f>IFERROR(IF(E723="","",VLOOKUP(E723,الموظفين!$B:$C,2,FALSE)),"")</f>
        <v/>
      </c>
      <c r="G723" s="34" t="str">
        <f>IFERROR(IF(C723="","",VLOOKUP(C723,المستفيدين!$B:$F,5,FALSE)),"")</f>
        <v/>
      </c>
      <c r="H723" s="24"/>
      <c r="I723" s="20"/>
      <c r="J723" s="20"/>
      <c r="K723" s="20"/>
      <c r="L723" s="21"/>
    </row>
    <row r="724" spans="1:12" x14ac:dyDescent="0.2">
      <c r="A724" s="26"/>
      <c r="B724" s="22"/>
      <c r="C724" s="22"/>
      <c r="D724" s="34" t="str">
        <f>IFERROR(IF(C724="","",VLOOKUP(C724,المستفيدين!$B:$C,2,FALSE)),"")</f>
        <v/>
      </c>
      <c r="E724" s="20"/>
      <c r="F724" s="34" t="str">
        <f>IFERROR(IF(E724="","",VLOOKUP(E724,الموظفين!$B:$C,2,FALSE)),"")</f>
        <v/>
      </c>
      <c r="G724" s="34" t="str">
        <f>IFERROR(IF(C724="","",VLOOKUP(C724,المستفيدين!$B:$F,5,FALSE)),"")</f>
        <v/>
      </c>
      <c r="H724" s="24"/>
      <c r="I724" s="20"/>
      <c r="J724" s="20"/>
      <c r="K724" s="20"/>
      <c r="L724" s="21"/>
    </row>
    <row r="725" spans="1:12" x14ac:dyDescent="0.2">
      <c r="A725" s="26"/>
      <c r="B725" s="22"/>
      <c r="C725" s="22"/>
      <c r="D725" s="34" t="str">
        <f>IFERROR(IF(C725="","",VLOOKUP(C725,المستفيدين!$B:$C,2,FALSE)),"")</f>
        <v/>
      </c>
      <c r="E725" s="20"/>
      <c r="F725" s="34" t="str">
        <f>IFERROR(IF(E725="","",VLOOKUP(E725,الموظفين!$B:$C,2,FALSE)),"")</f>
        <v/>
      </c>
      <c r="G725" s="34" t="str">
        <f>IFERROR(IF(C725="","",VLOOKUP(C725,المستفيدين!$B:$F,5,FALSE)),"")</f>
        <v/>
      </c>
      <c r="H725" s="24"/>
      <c r="I725" s="20"/>
      <c r="J725" s="20"/>
      <c r="K725" s="20"/>
      <c r="L725" s="21"/>
    </row>
    <row r="726" spans="1:12" x14ac:dyDescent="0.2">
      <c r="A726" s="26"/>
      <c r="B726" s="22"/>
      <c r="C726" s="22"/>
      <c r="D726" s="34" t="str">
        <f>IFERROR(IF(C726="","",VLOOKUP(C726,المستفيدين!$B:$C,2,FALSE)),"")</f>
        <v/>
      </c>
      <c r="E726" s="20"/>
      <c r="F726" s="34" t="str">
        <f>IFERROR(IF(E726="","",VLOOKUP(E726,الموظفين!$B:$C,2,FALSE)),"")</f>
        <v/>
      </c>
      <c r="G726" s="34" t="str">
        <f>IFERROR(IF(C726="","",VLOOKUP(C726,المستفيدين!$B:$F,5,FALSE)),"")</f>
        <v/>
      </c>
      <c r="H726" s="24"/>
      <c r="I726" s="20"/>
      <c r="J726" s="20"/>
      <c r="K726" s="20"/>
      <c r="L726" s="21"/>
    </row>
    <row r="727" spans="1:12" x14ac:dyDescent="0.2">
      <c r="A727" s="26"/>
      <c r="B727" s="22"/>
      <c r="C727" s="22"/>
      <c r="D727" s="34" t="str">
        <f>IFERROR(IF(C727="","",VLOOKUP(C727,المستفيدين!$B:$C,2,FALSE)),"")</f>
        <v/>
      </c>
      <c r="E727" s="20"/>
      <c r="F727" s="34" t="str">
        <f>IFERROR(IF(E727="","",VLOOKUP(E727,الموظفين!$B:$C,2,FALSE)),"")</f>
        <v/>
      </c>
      <c r="G727" s="34" t="str">
        <f>IFERROR(IF(C727="","",VLOOKUP(C727,المستفيدين!$B:$F,5,FALSE)),"")</f>
        <v/>
      </c>
      <c r="H727" s="24"/>
      <c r="I727" s="20"/>
      <c r="J727" s="20"/>
      <c r="K727" s="20"/>
      <c r="L727" s="21"/>
    </row>
    <row r="728" spans="1:12" x14ac:dyDescent="0.2">
      <c r="A728" s="26"/>
      <c r="B728" s="22"/>
      <c r="C728" s="22"/>
      <c r="D728" s="34" t="str">
        <f>IFERROR(IF(C728="","",VLOOKUP(C728,المستفيدين!$B:$C,2,FALSE)),"")</f>
        <v/>
      </c>
      <c r="E728" s="20"/>
      <c r="F728" s="34" t="str">
        <f>IFERROR(IF(E728="","",VLOOKUP(E728,الموظفين!$B:$C,2,FALSE)),"")</f>
        <v/>
      </c>
      <c r="G728" s="34" t="str">
        <f>IFERROR(IF(C728="","",VLOOKUP(C728,المستفيدين!$B:$F,5,FALSE)),"")</f>
        <v/>
      </c>
      <c r="H728" s="24"/>
      <c r="I728" s="20"/>
      <c r="J728" s="20"/>
      <c r="K728" s="20"/>
      <c r="L728" s="21"/>
    </row>
    <row r="729" spans="1:12" x14ac:dyDescent="0.2">
      <c r="A729" s="26"/>
      <c r="B729" s="22"/>
      <c r="C729" s="22"/>
      <c r="D729" s="34" t="str">
        <f>IFERROR(IF(C729="","",VLOOKUP(C729,المستفيدين!$B:$C,2,FALSE)),"")</f>
        <v/>
      </c>
      <c r="E729" s="20"/>
      <c r="F729" s="34" t="str">
        <f>IFERROR(IF(E729="","",VLOOKUP(E729,الموظفين!$B:$C,2,FALSE)),"")</f>
        <v/>
      </c>
      <c r="G729" s="34" t="str">
        <f>IFERROR(IF(C729="","",VLOOKUP(C729,المستفيدين!$B:$F,5,FALSE)),"")</f>
        <v/>
      </c>
      <c r="H729" s="24"/>
      <c r="I729" s="20"/>
      <c r="J729" s="20"/>
      <c r="K729" s="20"/>
      <c r="L729" s="21"/>
    </row>
    <row r="730" spans="1:12" x14ac:dyDescent="0.2">
      <c r="A730" s="26"/>
      <c r="B730" s="22"/>
      <c r="C730" s="22"/>
      <c r="D730" s="34" t="str">
        <f>IFERROR(IF(C730="","",VLOOKUP(C730,المستفيدين!$B:$C,2,FALSE)),"")</f>
        <v/>
      </c>
      <c r="E730" s="20"/>
      <c r="F730" s="34" t="str">
        <f>IFERROR(IF(E730="","",VLOOKUP(E730,الموظفين!$B:$C,2,FALSE)),"")</f>
        <v/>
      </c>
      <c r="G730" s="34" t="str">
        <f>IFERROR(IF(C730="","",VLOOKUP(C730,المستفيدين!$B:$F,5,FALSE)),"")</f>
        <v/>
      </c>
      <c r="H730" s="24"/>
      <c r="I730" s="20"/>
      <c r="J730" s="20"/>
      <c r="K730" s="20"/>
      <c r="L730" s="21"/>
    </row>
    <row r="731" spans="1:12" x14ac:dyDescent="0.2">
      <c r="A731" s="26"/>
      <c r="B731" s="22"/>
      <c r="C731" s="22"/>
      <c r="D731" s="34" t="str">
        <f>IFERROR(IF(C731="","",VLOOKUP(C731,المستفيدين!$B:$C,2,FALSE)),"")</f>
        <v/>
      </c>
      <c r="E731" s="20"/>
      <c r="F731" s="34" t="str">
        <f>IFERROR(IF(E731="","",VLOOKUP(E731,الموظفين!$B:$C,2,FALSE)),"")</f>
        <v/>
      </c>
      <c r="G731" s="34" t="str">
        <f>IFERROR(IF(C731="","",VLOOKUP(C731,المستفيدين!$B:$F,5,FALSE)),"")</f>
        <v/>
      </c>
      <c r="H731" s="24"/>
      <c r="I731" s="20"/>
      <c r="J731" s="20"/>
      <c r="K731" s="20"/>
      <c r="L731" s="21"/>
    </row>
    <row r="732" spans="1:12" x14ac:dyDescent="0.2">
      <c r="A732" s="26"/>
      <c r="B732" s="22"/>
      <c r="C732" s="22"/>
      <c r="D732" s="34" t="str">
        <f>IFERROR(IF(C732="","",VLOOKUP(C732,المستفيدين!$B:$C,2,FALSE)),"")</f>
        <v/>
      </c>
      <c r="E732" s="20"/>
      <c r="F732" s="34" t="str">
        <f>IFERROR(IF(E732="","",VLOOKUP(E732,الموظفين!$B:$C,2,FALSE)),"")</f>
        <v/>
      </c>
      <c r="G732" s="34" t="str">
        <f>IFERROR(IF(C732="","",VLOOKUP(C732,المستفيدين!$B:$F,5,FALSE)),"")</f>
        <v/>
      </c>
      <c r="H732" s="24"/>
      <c r="I732" s="20"/>
      <c r="J732" s="20"/>
      <c r="K732" s="20"/>
      <c r="L732" s="21"/>
    </row>
    <row r="733" spans="1:12" x14ac:dyDescent="0.2">
      <c r="A733" s="26"/>
      <c r="B733" s="22"/>
      <c r="C733" s="22"/>
      <c r="D733" s="34" t="str">
        <f>IFERROR(IF(C733="","",VLOOKUP(C733,المستفيدين!$B:$C,2,FALSE)),"")</f>
        <v/>
      </c>
      <c r="E733" s="20"/>
      <c r="F733" s="34" t="str">
        <f>IFERROR(IF(E733="","",VLOOKUP(E733,الموظفين!$B:$C,2,FALSE)),"")</f>
        <v/>
      </c>
      <c r="G733" s="34" t="str">
        <f>IFERROR(IF(C733="","",VLOOKUP(C733,المستفيدين!$B:$F,5,FALSE)),"")</f>
        <v/>
      </c>
      <c r="H733" s="24"/>
      <c r="I733" s="20"/>
      <c r="J733" s="20"/>
      <c r="K733" s="20"/>
      <c r="L733" s="21"/>
    </row>
    <row r="734" spans="1:12" x14ac:dyDescent="0.2">
      <c r="A734" s="26"/>
      <c r="B734" s="22"/>
      <c r="C734" s="22"/>
      <c r="D734" s="34" t="str">
        <f>IFERROR(IF(C734="","",VLOOKUP(C734,المستفيدين!$B:$C,2,FALSE)),"")</f>
        <v/>
      </c>
      <c r="E734" s="20"/>
      <c r="F734" s="34" t="str">
        <f>IFERROR(IF(E734="","",VLOOKUP(E734,الموظفين!$B:$C,2,FALSE)),"")</f>
        <v/>
      </c>
      <c r="G734" s="34" t="str">
        <f>IFERROR(IF(C734="","",VLOOKUP(C734,المستفيدين!$B:$F,5,FALSE)),"")</f>
        <v/>
      </c>
      <c r="H734" s="24"/>
      <c r="I734" s="20"/>
      <c r="J734" s="20"/>
      <c r="K734" s="20"/>
      <c r="L734" s="21"/>
    </row>
    <row r="735" spans="1:12" x14ac:dyDescent="0.2">
      <c r="A735" s="26"/>
      <c r="B735" s="22"/>
      <c r="C735" s="22"/>
      <c r="D735" s="34" t="str">
        <f>IFERROR(IF(C735="","",VLOOKUP(C735,المستفيدين!$B:$C,2,FALSE)),"")</f>
        <v/>
      </c>
      <c r="E735" s="20"/>
      <c r="F735" s="34" t="str">
        <f>IFERROR(IF(E735="","",VLOOKUP(E735,الموظفين!$B:$C,2,FALSE)),"")</f>
        <v/>
      </c>
      <c r="G735" s="34" t="str">
        <f>IFERROR(IF(C735="","",VLOOKUP(C735,المستفيدين!$B:$F,5,FALSE)),"")</f>
        <v/>
      </c>
      <c r="H735" s="24"/>
      <c r="I735" s="20"/>
      <c r="J735" s="20"/>
      <c r="K735" s="20"/>
      <c r="L735" s="21"/>
    </row>
    <row r="736" spans="1:12" x14ac:dyDescent="0.2">
      <c r="A736" s="26"/>
      <c r="B736" s="22"/>
      <c r="C736" s="22"/>
      <c r="D736" s="34" t="str">
        <f>IFERROR(IF(C736="","",VLOOKUP(C736,المستفيدين!$B:$C,2,FALSE)),"")</f>
        <v/>
      </c>
      <c r="E736" s="20"/>
      <c r="F736" s="34" t="str">
        <f>IFERROR(IF(E736="","",VLOOKUP(E736,الموظفين!$B:$C,2,FALSE)),"")</f>
        <v/>
      </c>
      <c r="G736" s="34" t="str">
        <f>IFERROR(IF(C736="","",VLOOKUP(C736,المستفيدين!$B:$F,5,FALSE)),"")</f>
        <v/>
      </c>
      <c r="H736" s="24"/>
      <c r="I736" s="20"/>
      <c r="J736" s="20"/>
      <c r="K736" s="20"/>
      <c r="L736" s="21"/>
    </row>
    <row r="737" spans="1:12" x14ac:dyDescent="0.2">
      <c r="A737" s="26"/>
      <c r="B737" s="22"/>
      <c r="C737" s="22"/>
      <c r="D737" s="34" t="str">
        <f>IFERROR(IF(C737="","",VLOOKUP(C737,المستفيدين!$B:$C,2,FALSE)),"")</f>
        <v/>
      </c>
      <c r="E737" s="20"/>
      <c r="F737" s="34" t="str">
        <f>IFERROR(IF(E737="","",VLOOKUP(E737,الموظفين!$B:$C,2,FALSE)),"")</f>
        <v/>
      </c>
      <c r="G737" s="34" t="str">
        <f>IFERROR(IF(C737="","",VLOOKUP(C737,المستفيدين!$B:$F,5,FALSE)),"")</f>
        <v/>
      </c>
      <c r="H737" s="24"/>
      <c r="I737" s="20"/>
      <c r="J737" s="20"/>
      <c r="K737" s="20"/>
      <c r="L737" s="21"/>
    </row>
    <row r="738" spans="1:12" x14ac:dyDescent="0.2">
      <c r="A738" s="26"/>
      <c r="B738" s="22"/>
      <c r="C738" s="22"/>
      <c r="D738" s="34" t="str">
        <f>IFERROR(IF(C738="","",VLOOKUP(C738,المستفيدين!$B:$C,2,FALSE)),"")</f>
        <v/>
      </c>
      <c r="E738" s="20"/>
      <c r="F738" s="34" t="str">
        <f>IFERROR(IF(E738="","",VLOOKUP(E738,الموظفين!$B:$C,2,FALSE)),"")</f>
        <v/>
      </c>
      <c r="G738" s="34" t="str">
        <f>IFERROR(IF(C738="","",VLOOKUP(C738,المستفيدين!$B:$F,5,FALSE)),"")</f>
        <v/>
      </c>
      <c r="H738" s="24"/>
      <c r="I738" s="20"/>
      <c r="J738" s="20"/>
      <c r="K738" s="20"/>
      <c r="L738" s="21"/>
    </row>
    <row r="739" spans="1:12" x14ac:dyDescent="0.2">
      <c r="A739" s="26"/>
      <c r="B739" s="22"/>
      <c r="C739" s="22"/>
      <c r="D739" s="34" t="str">
        <f>IFERROR(IF(C739="","",VLOOKUP(C739,المستفيدين!$B:$C,2,FALSE)),"")</f>
        <v/>
      </c>
      <c r="E739" s="20"/>
      <c r="F739" s="34" t="str">
        <f>IFERROR(IF(E739="","",VLOOKUP(E739,الموظفين!$B:$C,2,FALSE)),"")</f>
        <v/>
      </c>
      <c r="G739" s="34" t="str">
        <f>IFERROR(IF(C739="","",VLOOKUP(C739,المستفيدين!$B:$F,5,FALSE)),"")</f>
        <v/>
      </c>
      <c r="H739" s="24"/>
      <c r="I739" s="20"/>
      <c r="J739" s="20"/>
      <c r="K739" s="20"/>
      <c r="L739" s="21"/>
    </row>
    <row r="740" spans="1:12" x14ac:dyDescent="0.2">
      <c r="A740" s="26"/>
      <c r="B740" s="22"/>
      <c r="C740" s="22"/>
      <c r="D740" s="34" t="str">
        <f>IFERROR(IF(C740="","",VLOOKUP(C740,المستفيدين!$B:$C,2,FALSE)),"")</f>
        <v/>
      </c>
      <c r="E740" s="20"/>
      <c r="F740" s="34" t="str">
        <f>IFERROR(IF(E740="","",VLOOKUP(E740,الموظفين!$B:$C,2,FALSE)),"")</f>
        <v/>
      </c>
      <c r="G740" s="34" t="str">
        <f>IFERROR(IF(C740="","",VLOOKUP(C740,المستفيدين!$B:$F,5,FALSE)),"")</f>
        <v/>
      </c>
      <c r="H740" s="24"/>
      <c r="I740" s="20"/>
      <c r="J740" s="20"/>
      <c r="K740" s="20"/>
      <c r="L740" s="21"/>
    </row>
    <row r="741" spans="1:12" x14ac:dyDescent="0.2">
      <c r="A741" s="26"/>
      <c r="B741" s="22"/>
      <c r="C741" s="22"/>
      <c r="D741" s="34" t="str">
        <f>IFERROR(IF(C741="","",VLOOKUP(C741,المستفيدين!$B:$C,2,FALSE)),"")</f>
        <v/>
      </c>
      <c r="E741" s="20"/>
      <c r="F741" s="34" t="str">
        <f>IFERROR(IF(E741="","",VLOOKUP(E741,الموظفين!$B:$C,2,FALSE)),"")</f>
        <v/>
      </c>
      <c r="G741" s="34" t="str">
        <f>IFERROR(IF(C741="","",VLOOKUP(C741,المستفيدين!$B:$F,5,FALSE)),"")</f>
        <v/>
      </c>
      <c r="H741" s="24"/>
      <c r="I741" s="20"/>
      <c r="J741" s="20"/>
      <c r="K741" s="20"/>
      <c r="L741" s="21"/>
    </row>
    <row r="742" spans="1:12" x14ac:dyDescent="0.2">
      <c r="A742" s="26"/>
      <c r="B742" s="22"/>
      <c r="C742" s="22"/>
      <c r="D742" s="34" t="str">
        <f>IFERROR(IF(C742="","",VLOOKUP(C742,المستفيدين!$B:$C,2,FALSE)),"")</f>
        <v/>
      </c>
      <c r="E742" s="20"/>
      <c r="F742" s="34" t="str">
        <f>IFERROR(IF(E742="","",VLOOKUP(E742,الموظفين!$B:$C,2,FALSE)),"")</f>
        <v/>
      </c>
      <c r="G742" s="34" t="str">
        <f>IFERROR(IF(C742="","",VLOOKUP(C742,المستفيدين!$B:$F,5,FALSE)),"")</f>
        <v/>
      </c>
      <c r="H742" s="24"/>
      <c r="I742" s="20"/>
      <c r="J742" s="20"/>
      <c r="K742" s="20"/>
      <c r="L742" s="21"/>
    </row>
    <row r="743" spans="1:12" x14ac:dyDescent="0.2">
      <c r="A743" s="26"/>
      <c r="B743" s="22"/>
      <c r="C743" s="22"/>
      <c r="D743" s="34" t="str">
        <f>IFERROR(IF(C743="","",VLOOKUP(C743,المستفيدين!$B:$C,2,FALSE)),"")</f>
        <v/>
      </c>
      <c r="E743" s="20"/>
      <c r="F743" s="34" t="str">
        <f>IFERROR(IF(E743="","",VLOOKUP(E743,الموظفين!$B:$C,2,FALSE)),"")</f>
        <v/>
      </c>
      <c r="G743" s="34" t="str">
        <f>IFERROR(IF(C743="","",VLOOKUP(C743,المستفيدين!$B:$F,5,FALSE)),"")</f>
        <v/>
      </c>
      <c r="H743" s="24"/>
      <c r="I743" s="20"/>
      <c r="J743" s="20"/>
      <c r="K743" s="20"/>
      <c r="L743" s="21"/>
    </row>
    <row r="744" spans="1:12" x14ac:dyDescent="0.2">
      <c r="A744" s="26"/>
      <c r="B744" s="22"/>
      <c r="C744" s="22"/>
      <c r="D744" s="34" t="str">
        <f>IFERROR(IF(C744="","",VLOOKUP(C744,المستفيدين!$B:$C,2,FALSE)),"")</f>
        <v/>
      </c>
      <c r="E744" s="20"/>
      <c r="F744" s="34" t="str">
        <f>IFERROR(IF(E744="","",VLOOKUP(E744,الموظفين!$B:$C,2,FALSE)),"")</f>
        <v/>
      </c>
      <c r="G744" s="34" t="str">
        <f>IFERROR(IF(C744="","",VLOOKUP(C744,المستفيدين!$B:$F,5,FALSE)),"")</f>
        <v/>
      </c>
      <c r="H744" s="24"/>
      <c r="I744" s="20"/>
      <c r="J744" s="20"/>
      <c r="K744" s="20"/>
      <c r="L744" s="21"/>
    </row>
    <row r="745" spans="1:12" x14ac:dyDescent="0.2">
      <c r="A745" s="26"/>
      <c r="B745" s="22"/>
      <c r="C745" s="22"/>
      <c r="D745" s="34" t="str">
        <f>IFERROR(IF(C745="","",VLOOKUP(C745,المستفيدين!$B:$C,2,FALSE)),"")</f>
        <v/>
      </c>
      <c r="E745" s="20"/>
      <c r="F745" s="34" t="str">
        <f>IFERROR(IF(E745="","",VLOOKUP(E745,الموظفين!$B:$C,2,FALSE)),"")</f>
        <v/>
      </c>
      <c r="G745" s="34" t="str">
        <f>IFERROR(IF(C745="","",VLOOKUP(C745,المستفيدين!$B:$F,5,FALSE)),"")</f>
        <v/>
      </c>
      <c r="H745" s="24"/>
      <c r="I745" s="20"/>
      <c r="J745" s="20"/>
      <c r="K745" s="20"/>
      <c r="L745" s="21"/>
    </row>
    <row r="746" spans="1:12" x14ac:dyDescent="0.2">
      <c r="A746" s="26"/>
      <c r="B746" s="22"/>
      <c r="C746" s="22"/>
      <c r="D746" s="34" t="str">
        <f>IFERROR(IF(C746="","",VLOOKUP(C746,المستفيدين!$B:$C,2,FALSE)),"")</f>
        <v/>
      </c>
      <c r="E746" s="20"/>
      <c r="F746" s="34" t="str">
        <f>IFERROR(IF(E746="","",VLOOKUP(E746,الموظفين!$B:$C,2,FALSE)),"")</f>
        <v/>
      </c>
      <c r="G746" s="34" t="str">
        <f>IFERROR(IF(C746="","",VLOOKUP(C746,المستفيدين!$B:$F,5,FALSE)),"")</f>
        <v/>
      </c>
      <c r="H746" s="24"/>
      <c r="I746" s="20"/>
      <c r="J746" s="20"/>
      <c r="K746" s="20"/>
      <c r="L746" s="21"/>
    </row>
    <row r="747" spans="1:12" x14ac:dyDescent="0.2">
      <c r="A747" s="26"/>
      <c r="B747" s="22"/>
      <c r="C747" s="22"/>
      <c r="D747" s="34" t="str">
        <f>IFERROR(IF(C747="","",VLOOKUP(C747,المستفيدين!$B:$C,2,FALSE)),"")</f>
        <v/>
      </c>
      <c r="E747" s="20"/>
      <c r="F747" s="34" t="str">
        <f>IFERROR(IF(E747="","",VLOOKUP(E747,الموظفين!$B:$C,2,FALSE)),"")</f>
        <v/>
      </c>
      <c r="G747" s="34" t="str">
        <f>IFERROR(IF(C747="","",VLOOKUP(C747,المستفيدين!$B:$F,5,FALSE)),"")</f>
        <v/>
      </c>
      <c r="H747" s="24"/>
      <c r="I747" s="20"/>
      <c r="J747" s="20"/>
      <c r="K747" s="20"/>
      <c r="L747" s="21"/>
    </row>
    <row r="748" spans="1:12" x14ac:dyDescent="0.2">
      <c r="A748" s="26"/>
      <c r="B748" s="22"/>
      <c r="C748" s="22"/>
      <c r="D748" s="34" t="str">
        <f>IFERROR(IF(C748="","",VLOOKUP(C748,المستفيدين!$B:$C,2,FALSE)),"")</f>
        <v/>
      </c>
      <c r="E748" s="20"/>
      <c r="F748" s="34" t="str">
        <f>IFERROR(IF(E748="","",VLOOKUP(E748,الموظفين!$B:$C,2,FALSE)),"")</f>
        <v/>
      </c>
      <c r="G748" s="34" t="str">
        <f>IFERROR(IF(C748="","",VLOOKUP(C748,المستفيدين!$B:$F,5,FALSE)),"")</f>
        <v/>
      </c>
      <c r="H748" s="24"/>
      <c r="I748" s="20"/>
      <c r="J748" s="20"/>
      <c r="K748" s="20"/>
      <c r="L748" s="21"/>
    </row>
    <row r="749" spans="1:12" x14ac:dyDescent="0.2">
      <c r="A749" s="26"/>
      <c r="B749" s="22"/>
      <c r="C749" s="22"/>
      <c r="D749" s="34" t="str">
        <f>IFERROR(IF(C749="","",VLOOKUP(C749,المستفيدين!$B:$C,2,FALSE)),"")</f>
        <v/>
      </c>
      <c r="E749" s="20"/>
      <c r="F749" s="34" t="str">
        <f>IFERROR(IF(E749="","",VLOOKUP(E749,الموظفين!$B:$C,2,FALSE)),"")</f>
        <v/>
      </c>
      <c r="G749" s="34" t="str">
        <f>IFERROR(IF(C749="","",VLOOKUP(C749,المستفيدين!$B:$F,5,FALSE)),"")</f>
        <v/>
      </c>
      <c r="H749" s="24"/>
      <c r="I749" s="20"/>
      <c r="J749" s="20"/>
      <c r="K749" s="20"/>
      <c r="L749" s="21"/>
    </row>
    <row r="750" spans="1:12" x14ac:dyDescent="0.2">
      <c r="A750" s="26"/>
      <c r="B750" s="22"/>
      <c r="C750" s="22"/>
      <c r="D750" s="34" t="str">
        <f>IFERROR(IF(C750="","",VLOOKUP(C750,المستفيدين!$B:$C,2,FALSE)),"")</f>
        <v/>
      </c>
      <c r="E750" s="20"/>
      <c r="F750" s="34" t="str">
        <f>IFERROR(IF(E750="","",VLOOKUP(E750,الموظفين!$B:$C,2,FALSE)),"")</f>
        <v/>
      </c>
      <c r="G750" s="34" t="str">
        <f>IFERROR(IF(C750="","",VLOOKUP(C750,المستفيدين!$B:$F,5,FALSE)),"")</f>
        <v/>
      </c>
      <c r="H750" s="24"/>
      <c r="I750" s="20"/>
      <c r="J750" s="20"/>
      <c r="K750" s="20"/>
      <c r="L750" s="21"/>
    </row>
    <row r="751" spans="1:12" x14ac:dyDescent="0.2">
      <c r="A751" s="26"/>
      <c r="B751" s="22"/>
      <c r="C751" s="22"/>
      <c r="D751" s="34" t="str">
        <f>IFERROR(IF(C751="","",VLOOKUP(C751,المستفيدين!$B:$C,2,FALSE)),"")</f>
        <v/>
      </c>
      <c r="E751" s="20"/>
      <c r="F751" s="34" t="str">
        <f>IFERROR(IF(E751="","",VLOOKUP(E751,الموظفين!$B:$C,2,FALSE)),"")</f>
        <v/>
      </c>
      <c r="G751" s="34" t="str">
        <f>IFERROR(IF(C751="","",VLOOKUP(C751,المستفيدين!$B:$F,5,FALSE)),"")</f>
        <v/>
      </c>
      <c r="H751" s="24"/>
      <c r="I751" s="20"/>
      <c r="J751" s="20"/>
      <c r="K751" s="20"/>
      <c r="L751" s="21"/>
    </row>
    <row r="752" spans="1:12" x14ac:dyDescent="0.2">
      <c r="A752" s="26"/>
      <c r="B752" s="22"/>
      <c r="C752" s="22"/>
      <c r="D752" s="34" t="str">
        <f>IFERROR(IF(C752="","",VLOOKUP(C752,المستفيدين!$B:$C,2,FALSE)),"")</f>
        <v/>
      </c>
      <c r="E752" s="20"/>
      <c r="F752" s="34" t="str">
        <f>IFERROR(IF(E752="","",VLOOKUP(E752,الموظفين!$B:$C,2,FALSE)),"")</f>
        <v/>
      </c>
      <c r="G752" s="34" t="str">
        <f>IFERROR(IF(C752="","",VLOOKUP(C752,المستفيدين!$B:$F,5,FALSE)),"")</f>
        <v/>
      </c>
      <c r="H752" s="24"/>
      <c r="I752" s="20"/>
      <c r="J752" s="20"/>
      <c r="K752" s="20"/>
      <c r="L752" s="21"/>
    </row>
    <row r="753" spans="1:12" x14ac:dyDescent="0.2">
      <c r="A753" s="26"/>
      <c r="B753" s="22"/>
      <c r="C753" s="22"/>
      <c r="D753" s="34" t="str">
        <f>IFERROR(IF(C753="","",VLOOKUP(C753,المستفيدين!$B:$C,2,FALSE)),"")</f>
        <v/>
      </c>
      <c r="E753" s="20"/>
      <c r="F753" s="34" t="str">
        <f>IFERROR(IF(E753="","",VLOOKUP(E753,الموظفين!$B:$C,2,FALSE)),"")</f>
        <v/>
      </c>
      <c r="G753" s="34" t="str">
        <f>IFERROR(IF(C753="","",VLOOKUP(C753,المستفيدين!$B:$F,5,FALSE)),"")</f>
        <v/>
      </c>
      <c r="H753" s="24"/>
      <c r="I753" s="20"/>
      <c r="J753" s="20"/>
      <c r="K753" s="20"/>
      <c r="L753" s="21"/>
    </row>
    <row r="754" spans="1:12" x14ac:dyDescent="0.2">
      <c r="A754" s="26"/>
      <c r="B754" s="22"/>
      <c r="C754" s="22"/>
      <c r="D754" s="34" t="str">
        <f>IFERROR(IF(C754="","",VLOOKUP(C754,المستفيدين!$B:$C,2,FALSE)),"")</f>
        <v/>
      </c>
      <c r="E754" s="20"/>
      <c r="F754" s="34" t="str">
        <f>IFERROR(IF(E754="","",VLOOKUP(E754,الموظفين!$B:$C,2,FALSE)),"")</f>
        <v/>
      </c>
      <c r="G754" s="34" t="str">
        <f>IFERROR(IF(C754="","",VLOOKUP(C754,المستفيدين!$B:$F,5,FALSE)),"")</f>
        <v/>
      </c>
      <c r="H754" s="24"/>
      <c r="I754" s="20"/>
      <c r="J754" s="20"/>
      <c r="K754" s="20"/>
      <c r="L754" s="21"/>
    </row>
    <row r="755" spans="1:12" x14ac:dyDescent="0.2">
      <c r="A755" s="26"/>
      <c r="B755" s="22"/>
      <c r="C755" s="22"/>
      <c r="D755" s="34" t="str">
        <f>IFERROR(IF(C755="","",VLOOKUP(C755,المستفيدين!$B:$C,2,FALSE)),"")</f>
        <v/>
      </c>
      <c r="E755" s="20"/>
      <c r="F755" s="34" t="str">
        <f>IFERROR(IF(E755="","",VLOOKUP(E755,الموظفين!$B:$C,2,FALSE)),"")</f>
        <v/>
      </c>
      <c r="G755" s="34" t="str">
        <f>IFERROR(IF(C755="","",VLOOKUP(C755,المستفيدين!$B:$F,5,FALSE)),"")</f>
        <v/>
      </c>
      <c r="H755" s="24"/>
      <c r="I755" s="20"/>
      <c r="J755" s="20"/>
      <c r="K755" s="20"/>
      <c r="L755" s="21"/>
    </row>
    <row r="756" spans="1:12" x14ac:dyDescent="0.2">
      <c r="A756" s="26"/>
      <c r="B756" s="22"/>
      <c r="C756" s="22"/>
      <c r="D756" s="34" t="str">
        <f>IFERROR(IF(C756="","",VLOOKUP(C756,المستفيدين!$B:$C,2,FALSE)),"")</f>
        <v/>
      </c>
      <c r="E756" s="20"/>
      <c r="F756" s="34" t="str">
        <f>IFERROR(IF(E756="","",VLOOKUP(E756,الموظفين!$B:$C,2,FALSE)),"")</f>
        <v/>
      </c>
      <c r="G756" s="34" t="str">
        <f>IFERROR(IF(C756="","",VLOOKUP(C756,المستفيدين!$B:$F,5,FALSE)),"")</f>
        <v/>
      </c>
      <c r="H756" s="24"/>
      <c r="I756" s="20"/>
      <c r="J756" s="20"/>
      <c r="K756" s="20"/>
      <c r="L756" s="21"/>
    </row>
    <row r="757" spans="1:12" x14ac:dyDescent="0.2">
      <c r="A757" s="26"/>
      <c r="B757" s="22"/>
      <c r="C757" s="22"/>
      <c r="D757" s="34" t="str">
        <f>IFERROR(IF(C757="","",VLOOKUP(C757,المستفيدين!$B:$C,2,FALSE)),"")</f>
        <v/>
      </c>
      <c r="E757" s="20"/>
      <c r="F757" s="34" t="str">
        <f>IFERROR(IF(E757="","",VLOOKUP(E757,الموظفين!$B:$C,2,FALSE)),"")</f>
        <v/>
      </c>
      <c r="G757" s="34" t="str">
        <f>IFERROR(IF(C757="","",VLOOKUP(C757,المستفيدين!$B:$F,5,FALSE)),"")</f>
        <v/>
      </c>
      <c r="H757" s="24"/>
      <c r="I757" s="20"/>
      <c r="J757" s="20"/>
      <c r="K757" s="20"/>
      <c r="L757" s="21"/>
    </row>
    <row r="758" spans="1:12" x14ac:dyDescent="0.2">
      <c r="A758" s="26"/>
      <c r="B758" s="22"/>
      <c r="C758" s="22"/>
      <c r="D758" s="34" t="str">
        <f>IFERROR(IF(C758="","",VLOOKUP(C758,المستفيدين!$B:$C,2,FALSE)),"")</f>
        <v/>
      </c>
      <c r="E758" s="20"/>
      <c r="F758" s="34" t="str">
        <f>IFERROR(IF(E758="","",VLOOKUP(E758,الموظفين!$B:$C,2,FALSE)),"")</f>
        <v/>
      </c>
      <c r="G758" s="34" t="str">
        <f>IFERROR(IF(C758="","",VLOOKUP(C758,المستفيدين!$B:$F,5,FALSE)),"")</f>
        <v/>
      </c>
      <c r="H758" s="24"/>
      <c r="I758" s="20"/>
      <c r="J758" s="20"/>
      <c r="K758" s="20"/>
      <c r="L758" s="21"/>
    </row>
    <row r="759" spans="1:12" x14ac:dyDescent="0.2">
      <c r="A759" s="26"/>
      <c r="B759" s="22"/>
      <c r="C759" s="22"/>
      <c r="D759" s="34" t="str">
        <f>IFERROR(IF(C759="","",VLOOKUP(C759,المستفيدين!$B:$C,2,FALSE)),"")</f>
        <v/>
      </c>
      <c r="E759" s="20"/>
      <c r="F759" s="34" t="str">
        <f>IFERROR(IF(E759="","",VLOOKUP(E759,الموظفين!$B:$C,2,FALSE)),"")</f>
        <v/>
      </c>
      <c r="G759" s="34" t="str">
        <f>IFERROR(IF(C759="","",VLOOKUP(C759,المستفيدين!$B:$F,5,FALSE)),"")</f>
        <v/>
      </c>
      <c r="H759" s="24"/>
      <c r="I759" s="20"/>
      <c r="J759" s="20"/>
      <c r="K759" s="20"/>
      <c r="L759" s="21"/>
    </row>
    <row r="760" spans="1:12" x14ac:dyDescent="0.2">
      <c r="A760" s="26"/>
      <c r="B760" s="22"/>
      <c r="C760" s="22"/>
      <c r="D760" s="34" t="str">
        <f>IFERROR(IF(C760="","",VLOOKUP(C760,المستفيدين!$B:$C,2,FALSE)),"")</f>
        <v/>
      </c>
      <c r="E760" s="20"/>
      <c r="F760" s="34" t="str">
        <f>IFERROR(IF(E760="","",VLOOKUP(E760,الموظفين!$B:$C,2,FALSE)),"")</f>
        <v/>
      </c>
      <c r="G760" s="34" t="str">
        <f>IFERROR(IF(C760="","",VLOOKUP(C760,المستفيدين!$B:$F,5,FALSE)),"")</f>
        <v/>
      </c>
      <c r="H760" s="24"/>
      <c r="I760" s="20"/>
      <c r="J760" s="20"/>
      <c r="K760" s="20"/>
      <c r="L760" s="21"/>
    </row>
    <row r="761" spans="1:12" x14ac:dyDescent="0.2">
      <c r="A761" s="26"/>
      <c r="B761" s="22"/>
      <c r="C761" s="22"/>
      <c r="D761" s="34" t="str">
        <f>IFERROR(IF(C761="","",VLOOKUP(C761,المستفيدين!$B:$C,2,FALSE)),"")</f>
        <v/>
      </c>
      <c r="E761" s="20"/>
      <c r="F761" s="34" t="str">
        <f>IFERROR(IF(E761="","",VLOOKUP(E761,الموظفين!$B:$C,2,FALSE)),"")</f>
        <v/>
      </c>
      <c r="G761" s="34" t="str">
        <f>IFERROR(IF(C761="","",VLOOKUP(C761,المستفيدين!$B:$F,5,FALSE)),"")</f>
        <v/>
      </c>
      <c r="H761" s="24"/>
      <c r="I761" s="20"/>
      <c r="J761" s="20"/>
      <c r="K761" s="20"/>
      <c r="L761" s="21"/>
    </row>
    <row r="762" spans="1:12" x14ac:dyDescent="0.2">
      <c r="A762" s="26"/>
      <c r="B762" s="22"/>
      <c r="C762" s="22"/>
      <c r="D762" s="34" t="str">
        <f>IFERROR(IF(C762="","",VLOOKUP(C762,المستفيدين!$B:$C,2,FALSE)),"")</f>
        <v/>
      </c>
      <c r="E762" s="20"/>
      <c r="F762" s="34" t="str">
        <f>IFERROR(IF(E762="","",VLOOKUP(E762,الموظفين!$B:$C,2,FALSE)),"")</f>
        <v/>
      </c>
      <c r="G762" s="34" t="str">
        <f>IFERROR(IF(C762="","",VLOOKUP(C762,المستفيدين!$B:$F,5,FALSE)),"")</f>
        <v/>
      </c>
      <c r="H762" s="24"/>
      <c r="I762" s="20"/>
      <c r="J762" s="20"/>
      <c r="K762" s="20"/>
      <c r="L762" s="21"/>
    </row>
    <row r="763" spans="1:12" x14ac:dyDescent="0.2">
      <c r="A763" s="26"/>
      <c r="B763" s="22"/>
      <c r="C763" s="22"/>
      <c r="D763" s="34" t="str">
        <f>IFERROR(IF(C763="","",VLOOKUP(C763,المستفيدين!$B:$C,2,FALSE)),"")</f>
        <v/>
      </c>
      <c r="E763" s="20"/>
      <c r="F763" s="34" t="str">
        <f>IFERROR(IF(E763="","",VLOOKUP(E763,الموظفين!$B:$C,2,FALSE)),"")</f>
        <v/>
      </c>
      <c r="G763" s="34" t="str">
        <f>IFERROR(IF(C763="","",VLOOKUP(C763,المستفيدين!$B:$F,5,FALSE)),"")</f>
        <v/>
      </c>
      <c r="H763" s="24"/>
      <c r="I763" s="20"/>
      <c r="J763" s="20"/>
      <c r="K763" s="20"/>
      <c r="L763" s="21"/>
    </row>
    <row r="764" spans="1:12" x14ac:dyDescent="0.2">
      <c r="A764" s="26"/>
      <c r="B764" s="22"/>
      <c r="C764" s="22"/>
      <c r="D764" s="34" t="str">
        <f>IFERROR(IF(C764="","",VLOOKUP(C764,المستفيدين!$B:$C,2,FALSE)),"")</f>
        <v/>
      </c>
      <c r="E764" s="20"/>
      <c r="F764" s="34" t="str">
        <f>IFERROR(IF(E764="","",VLOOKUP(E764,الموظفين!$B:$C,2,FALSE)),"")</f>
        <v/>
      </c>
      <c r="G764" s="34" t="str">
        <f>IFERROR(IF(C764="","",VLOOKUP(C764,المستفيدين!$B:$F,5,FALSE)),"")</f>
        <v/>
      </c>
      <c r="H764" s="24"/>
      <c r="I764" s="20"/>
      <c r="J764" s="20"/>
      <c r="K764" s="20"/>
      <c r="L764" s="21"/>
    </row>
    <row r="765" spans="1:12" x14ac:dyDescent="0.2">
      <c r="A765" s="26"/>
      <c r="B765" s="22"/>
      <c r="C765" s="22"/>
      <c r="D765" s="34" t="str">
        <f>IFERROR(IF(C765="","",VLOOKUP(C765,المستفيدين!$B:$C,2,FALSE)),"")</f>
        <v/>
      </c>
      <c r="E765" s="20"/>
      <c r="F765" s="34" t="str">
        <f>IFERROR(IF(E765="","",VLOOKUP(E765,الموظفين!$B:$C,2,FALSE)),"")</f>
        <v/>
      </c>
      <c r="G765" s="34" t="str">
        <f>IFERROR(IF(C765="","",VLOOKUP(C765,المستفيدين!$B:$F,5,FALSE)),"")</f>
        <v/>
      </c>
      <c r="H765" s="24"/>
      <c r="I765" s="20"/>
      <c r="J765" s="20"/>
      <c r="K765" s="20"/>
      <c r="L765" s="21"/>
    </row>
    <row r="766" spans="1:12" x14ac:dyDescent="0.2">
      <c r="A766" s="26"/>
      <c r="B766" s="22"/>
      <c r="C766" s="22"/>
      <c r="D766" s="34" t="str">
        <f>IFERROR(IF(C766="","",VLOOKUP(C766,المستفيدين!$B:$C,2,FALSE)),"")</f>
        <v/>
      </c>
      <c r="E766" s="20"/>
      <c r="F766" s="34" t="str">
        <f>IFERROR(IF(E766="","",VLOOKUP(E766,الموظفين!$B:$C,2,FALSE)),"")</f>
        <v/>
      </c>
      <c r="G766" s="34" t="str">
        <f>IFERROR(IF(C766="","",VLOOKUP(C766,المستفيدين!$B:$F,5,FALSE)),"")</f>
        <v/>
      </c>
      <c r="H766" s="24"/>
      <c r="I766" s="20"/>
      <c r="J766" s="20"/>
      <c r="K766" s="20"/>
      <c r="L766" s="21"/>
    </row>
    <row r="767" spans="1:12" x14ac:dyDescent="0.2">
      <c r="A767" s="26"/>
      <c r="B767" s="22"/>
      <c r="C767" s="22"/>
      <c r="D767" s="34" t="str">
        <f>IFERROR(IF(C767="","",VLOOKUP(C767,المستفيدين!$B:$C,2,FALSE)),"")</f>
        <v/>
      </c>
      <c r="E767" s="20"/>
      <c r="F767" s="34" t="str">
        <f>IFERROR(IF(E767="","",VLOOKUP(E767,الموظفين!$B:$C,2,FALSE)),"")</f>
        <v/>
      </c>
      <c r="G767" s="34" t="str">
        <f>IFERROR(IF(C767="","",VLOOKUP(C767,المستفيدين!$B:$F,5,FALSE)),"")</f>
        <v/>
      </c>
      <c r="H767" s="24"/>
      <c r="I767" s="20"/>
      <c r="J767" s="20"/>
      <c r="K767" s="20"/>
      <c r="L767" s="21"/>
    </row>
    <row r="768" spans="1:12" x14ac:dyDescent="0.2">
      <c r="A768" s="26"/>
      <c r="B768" s="22"/>
      <c r="C768" s="22"/>
      <c r="D768" s="34" t="str">
        <f>IFERROR(IF(C768="","",VLOOKUP(C768,المستفيدين!$B:$C,2,FALSE)),"")</f>
        <v/>
      </c>
      <c r="E768" s="20"/>
      <c r="F768" s="34" t="str">
        <f>IFERROR(IF(E768="","",VLOOKUP(E768,الموظفين!$B:$C,2,FALSE)),"")</f>
        <v/>
      </c>
      <c r="G768" s="34" t="str">
        <f>IFERROR(IF(C768="","",VLOOKUP(C768,المستفيدين!$B:$F,5,FALSE)),"")</f>
        <v/>
      </c>
      <c r="H768" s="24"/>
      <c r="I768" s="20"/>
      <c r="J768" s="20"/>
      <c r="K768" s="20"/>
      <c r="L768" s="21"/>
    </row>
    <row r="769" spans="1:12" x14ac:dyDescent="0.2">
      <c r="A769" s="26"/>
      <c r="B769" s="22"/>
      <c r="C769" s="22"/>
      <c r="D769" s="34" t="str">
        <f>IFERROR(IF(C769="","",VLOOKUP(C769,المستفيدين!$B:$C,2,FALSE)),"")</f>
        <v/>
      </c>
      <c r="E769" s="20"/>
      <c r="F769" s="34" t="str">
        <f>IFERROR(IF(E769="","",VLOOKUP(E769,الموظفين!$B:$C,2,FALSE)),"")</f>
        <v/>
      </c>
      <c r="G769" s="34" t="str">
        <f>IFERROR(IF(C769="","",VLOOKUP(C769,المستفيدين!$B:$F,5,FALSE)),"")</f>
        <v/>
      </c>
      <c r="H769" s="24"/>
      <c r="I769" s="20"/>
      <c r="J769" s="20"/>
      <c r="K769" s="20"/>
      <c r="L769" s="21"/>
    </row>
    <row r="770" spans="1:12" x14ac:dyDescent="0.2">
      <c r="A770" s="26"/>
      <c r="B770" s="22"/>
      <c r="C770" s="22"/>
      <c r="D770" s="34" t="str">
        <f>IFERROR(IF(C770="","",VLOOKUP(C770,المستفيدين!$B:$C,2,FALSE)),"")</f>
        <v/>
      </c>
      <c r="E770" s="20"/>
      <c r="F770" s="34" t="str">
        <f>IFERROR(IF(E770="","",VLOOKUP(E770,الموظفين!$B:$C,2,FALSE)),"")</f>
        <v/>
      </c>
      <c r="G770" s="34" t="str">
        <f>IFERROR(IF(C770="","",VLOOKUP(C770,المستفيدين!$B:$F,5,FALSE)),"")</f>
        <v/>
      </c>
      <c r="H770" s="24"/>
      <c r="I770" s="20"/>
      <c r="J770" s="20"/>
      <c r="K770" s="20"/>
      <c r="L770" s="21"/>
    </row>
    <row r="771" spans="1:12" x14ac:dyDescent="0.2">
      <c r="A771" s="26"/>
      <c r="B771" s="22"/>
      <c r="C771" s="22"/>
      <c r="D771" s="34" t="str">
        <f>IFERROR(IF(C771="","",VLOOKUP(C771,المستفيدين!$B:$C,2,FALSE)),"")</f>
        <v/>
      </c>
      <c r="E771" s="20"/>
      <c r="F771" s="34" t="str">
        <f>IFERROR(IF(E771="","",VLOOKUP(E771,الموظفين!$B:$C,2,FALSE)),"")</f>
        <v/>
      </c>
      <c r="G771" s="34" t="str">
        <f>IFERROR(IF(C771="","",VLOOKUP(C771,المستفيدين!$B:$F,5,FALSE)),"")</f>
        <v/>
      </c>
      <c r="H771" s="24"/>
      <c r="I771" s="20"/>
      <c r="J771" s="20"/>
      <c r="K771" s="20"/>
      <c r="L771" s="21"/>
    </row>
    <row r="772" spans="1:12" x14ac:dyDescent="0.2">
      <c r="A772" s="26"/>
      <c r="B772" s="22"/>
      <c r="C772" s="22"/>
      <c r="D772" s="34" t="str">
        <f>IFERROR(IF(C772="","",VLOOKUP(C772,المستفيدين!$B:$C,2,FALSE)),"")</f>
        <v/>
      </c>
      <c r="E772" s="20"/>
      <c r="F772" s="34" t="str">
        <f>IFERROR(IF(E772="","",VLOOKUP(E772,الموظفين!$B:$C,2,FALSE)),"")</f>
        <v/>
      </c>
      <c r="G772" s="34" t="str">
        <f>IFERROR(IF(C772="","",VLOOKUP(C772,المستفيدين!$B:$F,5,FALSE)),"")</f>
        <v/>
      </c>
      <c r="H772" s="24"/>
      <c r="I772" s="20"/>
      <c r="J772" s="20"/>
      <c r="K772" s="20"/>
      <c r="L772" s="21"/>
    </row>
    <row r="773" spans="1:12" x14ac:dyDescent="0.2">
      <c r="A773" s="26"/>
      <c r="B773" s="22"/>
      <c r="C773" s="22"/>
      <c r="D773" s="34" t="str">
        <f>IFERROR(IF(C773="","",VLOOKUP(C773,المستفيدين!$B:$C,2,FALSE)),"")</f>
        <v/>
      </c>
      <c r="E773" s="20"/>
      <c r="F773" s="34" t="str">
        <f>IFERROR(IF(E773="","",VLOOKUP(E773,الموظفين!$B:$C,2,FALSE)),"")</f>
        <v/>
      </c>
      <c r="G773" s="34" t="str">
        <f>IFERROR(IF(C773="","",VLOOKUP(C773,المستفيدين!$B:$F,5,FALSE)),"")</f>
        <v/>
      </c>
      <c r="H773" s="24"/>
      <c r="I773" s="20"/>
      <c r="J773" s="20"/>
      <c r="K773" s="20"/>
      <c r="L773" s="21"/>
    </row>
    <row r="774" spans="1:12" x14ac:dyDescent="0.2">
      <c r="A774" s="26"/>
      <c r="B774" s="22"/>
      <c r="C774" s="22"/>
      <c r="D774" s="34" t="str">
        <f>IFERROR(IF(C774="","",VLOOKUP(C774,المستفيدين!$B:$C,2,FALSE)),"")</f>
        <v/>
      </c>
      <c r="E774" s="20"/>
      <c r="F774" s="34" t="str">
        <f>IFERROR(IF(E774="","",VLOOKUP(E774,الموظفين!$B:$C,2,FALSE)),"")</f>
        <v/>
      </c>
      <c r="G774" s="34" t="str">
        <f>IFERROR(IF(C774="","",VLOOKUP(C774,المستفيدين!$B:$F,5,FALSE)),"")</f>
        <v/>
      </c>
      <c r="H774" s="24"/>
      <c r="I774" s="20"/>
      <c r="J774" s="20"/>
      <c r="K774" s="20"/>
      <c r="L774" s="21"/>
    </row>
    <row r="775" spans="1:12" x14ac:dyDescent="0.2">
      <c r="A775" s="26"/>
      <c r="B775" s="22"/>
      <c r="C775" s="22"/>
      <c r="D775" s="34" t="str">
        <f>IFERROR(IF(C775="","",VLOOKUP(C775,المستفيدين!$B:$C,2,FALSE)),"")</f>
        <v/>
      </c>
      <c r="E775" s="20"/>
      <c r="F775" s="34" t="str">
        <f>IFERROR(IF(E775="","",VLOOKUP(E775,الموظفين!$B:$C,2,FALSE)),"")</f>
        <v/>
      </c>
      <c r="G775" s="34" t="str">
        <f>IFERROR(IF(C775="","",VLOOKUP(C775,المستفيدين!$B:$F,5,FALSE)),"")</f>
        <v/>
      </c>
      <c r="H775" s="24"/>
      <c r="I775" s="20"/>
      <c r="J775" s="20"/>
      <c r="K775" s="20"/>
      <c r="L775" s="21"/>
    </row>
    <row r="776" spans="1:12" x14ac:dyDescent="0.2">
      <c r="A776" s="26"/>
      <c r="B776" s="22"/>
      <c r="C776" s="22"/>
      <c r="D776" s="34" t="str">
        <f>IFERROR(IF(C776="","",VLOOKUP(C776,المستفيدين!$B:$C,2,FALSE)),"")</f>
        <v/>
      </c>
      <c r="E776" s="20"/>
      <c r="F776" s="34" t="str">
        <f>IFERROR(IF(E776="","",VLOOKUP(E776,الموظفين!$B:$C,2,FALSE)),"")</f>
        <v/>
      </c>
      <c r="G776" s="34" t="str">
        <f>IFERROR(IF(C776="","",VLOOKUP(C776,المستفيدين!$B:$F,5,FALSE)),"")</f>
        <v/>
      </c>
      <c r="H776" s="24"/>
      <c r="I776" s="20"/>
      <c r="J776" s="20"/>
      <c r="K776" s="20"/>
      <c r="L776" s="21"/>
    </row>
    <row r="777" spans="1:12" x14ac:dyDescent="0.2">
      <c r="A777" s="26"/>
      <c r="B777" s="22"/>
      <c r="C777" s="22"/>
      <c r="D777" s="34" t="str">
        <f>IFERROR(IF(C777="","",VLOOKUP(C777,المستفيدين!$B:$C,2,FALSE)),"")</f>
        <v/>
      </c>
      <c r="E777" s="20"/>
      <c r="F777" s="34" t="str">
        <f>IFERROR(IF(E777="","",VLOOKUP(E777,الموظفين!$B:$C,2,FALSE)),"")</f>
        <v/>
      </c>
      <c r="G777" s="34" t="str">
        <f>IFERROR(IF(C777="","",VLOOKUP(C777,المستفيدين!$B:$F,5,FALSE)),"")</f>
        <v/>
      </c>
      <c r="H777" s="24"/>
      <c r="I777" s="20"/>
      <c r="J777" s="20"/>
      <c r="K777" s="20"/>
      <c r="L777" s="21"/>
    </row>
    <row r="778" spans="1:12" x14ac:dyDescent="0.2">
      <c r="A778" s="26"/>
      <c r="B778" s="22"/>
      <c r="C778" s="22"/>
      <c r="D778" s="34" t="str">
        <f>IFERROR(IF(C778="","",VLOOKUP(C778,المستفيدين!$B:$C,2,FALSE)),"")</f>
        <v/>
      </c>
      <c r="E778" s="20"/>
      <c r="F778" s="34" t="str">
        <f>IFERROR(IF(E778="","",VLOOKUP(E778,الموظفين!$B:$C,2,FALSE)),"")</f>
        <v/>
      </c>
      <c r="G778" s="34" t="str">
        <f>IFERROR(IF(C778="","",VLOOKUP(C778,المستفيدين!$B:$F,5,FALSE)),"")</f>
        <v/>
      </c>
      <c r="H778" s="24"/>
      <c r="I778" s="20"/>
      <c r="J778" s="20"/>
      <c r="K778" s="20"/>
      <c r="L778" s="21"/>
    </row>
    <row r="779" spans="1:12" x14ac:dyDescent="0.2">
      <c r="A779" s="26"/>
      <c r="B779" s="22"/>
      <c r="C779" s="22"/>
      <c r="D779" s="34" t="str">
        <f>IFERROR(IF(C779="","",VLOOKUP(C779,المستفيدين!$B:$C,2,FALSE)),"")</f>
        <v/>
      </c>
      <c r="E779" s="20"/>
      <c r="F779" s="34" t="str">
        <f>IFERROR(IF(E779="","",VLOOKUP(E779,الموظفين!$B:$C,2,FALSE)),"")</f>
        <v/>
      </c>
      <c r="G779" s="34" t="str">
        <f>IFERROR(IF(C779="","",VLOOKUP(C779,المستفيدين!$B:$F,5,FALSE)),"")</f>
        <v/>
      </c>
      <c r="H779" s="24"/>
      <c r="I779" s="20"/>
      <c r="J779" s="20"/>
      <c r="K779" s="20"/>
      <c r="L779" s="21"/>
    </row>
    <row r="780" spans="1:12" x14ac:dyDescent="0.2">
      <c r="A780" s="26"/>
      <c r="B780" s="22"/>
      <c r="C780" s="22"/>
      <c r="D780" s="34" t="str">
        <f>IFERROR(IF(C780="","",VLOOKUP(C780,المستفيدين!$B:$C,2,FALSE)),"")</f>
        <v/>
      </c>
      <c r="E780" s="20"/>
      <c r="F780" s="34" t="str">
        <f>IFERROR(IF(E780="","",VLOOKUP(E780,الموظفين!$B:$C,2,FALSE)),"")</f>
        <v/>
      </c>
      <c r="G780" s="34" t="str">
        <f>IFERROR(IF(C780="","",VLOOKUP(C780,المستفيدين!$B:$F,5,FALSE)),"")</f>
        <v/>
      </c>
      <c r="H780" s="24"/>
      <c r="I780" s="20"/>
      <c r="J780" s="20"/>
      <c r="K780" s="20"/>
      <c r="L780" s="21"/>
    </row>
    <row r="781" spans="1:12" x14ac:dyDescent="0.2">
      <c r="A781" s="26"/>
      <c r="B781" s="22"/>
      <c r="C781" s="22"/>
      <c r="D781" s="34" t="str">
        <f>IFERROR(IF(C781="","",VLOOKUP(C781,المستفيدين!$B:$C,2,FALSE)),"")</f>
        <v/>
      </c>
      <c r="E781" s="20"/>
      <c r="F781" s="34" t="str">
        <f>IFERROR(IF(E781="","",VLOOKUP(E781,الموظفين!$B:$C,2,FALSE)),"")</f>
        <v/>
      </c>
      <c r="G781" s="34" t="str">
        <f>IFERROR(IF(C781="","",VLOOKUP(C781,المستفيدين!$B:$F,5,FALSE)),"")</f>
        <v/>
      </c>
      <c r="H781" s="24"/>
      <c r="I781" s="20"/>
      <c r="J781" s="20"/>
      <c r="K781" s="20"/>
      <c r="L781" s="21"/>
    </row>
    <row r="782" spans="1:12" x14ac:dyDescent="0.2">
      <c r="A782" s="26"/>
      <c r="B782" s="22"/>
      <c r="C782" s="22"/>
      <c r="D782" s="34" t="str">
        <f>IFERROR(IF(C782="","",VLOOKUP(C782,المستفيدين!$B:$C,2,FALSE)),"")</f>
        <v/>
      </c>
      <c r="E782" s="20"/>
      <c r="F782" s="34" t="str">
        <f>IFERROR(IF(E782="","",VLOOKUP(E782,الموظفين!$B:$C,2,FALSE)),"")</f>
        <v/>
      </c>
      <c r="G782" s="34" t="str">
        <f>IFERROR(IF(C782="","",VLOOKUP(C782,المستفيدين!$B:$F,5,FALSE)),"")</f>
        <v/>
      </c>
      <c r="H782" s="24"/>
      <c r="I782" s="20"/>
      <c r="J782" s="20"/>
      <c r="K782" s="20"/>
      <c r="L782" s="21"/>
    </row>
    <row r="783" spans="1:12" x14ac:dyDescent="0.2">
      <c r="A783" s="26"/>
      <c r="B783" s="22"/>
      <c r="C783" s="22"/>
      <c r="D783" s="34" t="str">
        <f>IFERROR(IF(C783="","",VLOOKUP(C783,المستفيدين!$B:$C,2,FALSE)),"")</f>
        <v/>
      </c>
      <c r="E783" s="20"/>
      <c r="F783" s="34" t="str">
        <f>IFERROR(IF(E783="","",VLOOKUP(E783,الموظفين!$B:$C,2,FALSE)),"")</f>
        <v/>
      </c>
      <c r="G783" s="34" t="str">
        <f>IFERROR(IF(C783="","",VLOOKUP(C783,المستفيدين!$B:$F,5,FALSE)),"")</f>
        <v/>
      </c>
      <c r="H783" s="24"/>
      <c r="I783" s="20"/>
      <c r="J783" s="20"/>
      <c r="K783" s="20"/>
      <c r="L783" s="21"/>
    </row>
    <row r="784" spans="1:12" x14ac:dyDescent="0.2">
      <c r="A784" s="26"/>
      <c r="B784" s="22"/>
      <c r="C784" s="22"/>
      <c r="D784" s="34" t="str">
        <f>IFERROR(IF(C784="","",VLOOKUP(C784,المستفيدين!$B:$C,2,FALSE)),"")</f>
        <v/>
      </c>
      <c r="E784" s="20"/>
      <c r="F784" s="34" t="str">
        <f>IFERROR(IF(E784="","",VLOOKUP(E784,الموظفين!$B:$C,2,FALSE)),"")</f>
        <v/>
      </c>
      <c r="G784" s="34" t="str">
        <f>IFERROR(IF(C784="","",VLOOKUP(C784,المستفيدين!$B:$F,5,FALSE)),"")</f>
        <v/>
      </c>
      <c r="H784" s="24"/>
      <c r="I784" s="20"/>
      <c r="J784" s="20"/>
      <c r="K784" s="20"/>
      <c r="L784" s="21"/>
    </row>
    <row r="785" spans="1:12" x14ac:dyDescent="0.2">
      <c r="A785" s="26"/>
      <c r="B785" s="22"/>
      <c r="C785" s="22"/>
      <c r="D785" s="34" t="str">
        <f>IFERROR(IF(C785="","",VLOOKUP(C785,المستفيدين!$B:$C,2,FALSE)),"")</f>
        <v/>
      </c>
      <c r="E785" s="20"/>
      <c r="F785" s="34" t="str">
        <f>IFERROR(IF(E785="","",VLOOKUP(E785,الموظفين!$B:$C,2,FALSE)),"")</f>
        <v/>
      </c>
      <c r="G785" s="34" t="str">
        <f>IFERROR(IF(C785="","",VLOOKUP(C785,المستفيدين!$B:$F,5,FALSE)),"")</f>
        <v/>
      </c>
      <c r="H785" s="24"/>
      <c r="I785" s="20"/>
      <c r="J785" s="20"/>
      <c r="K785" s="20"/>
      <c r="L785" s="21"/>
    </row>
    <row r="786" spans="1:12" x14ac:dyDescent="0.2">
      <c r="A786" s="26"/>
      <c r="B786" s="22"/>
      <c r="C786" s="22"/>
      <c r="D786" s="34" t="str">
        <f>IFERROR(IF(C786="","",VLOOKUP(C786,المستفيدين!$B:$C,2,FALSE)),"")</f>
        <v/>
      </c>
      <c r="E786" s="20"/>
      <c r="F786" s="34" t="str">
        <f>IFERROR(IF(E786="","",VLOOKUP(E786,الموظفين!$B:$C,2,FALSE)),"")</f>
        <v/>
      </c>
      <c r="G786" s="34" t="str">
        <f>IFERROR(IF(C786="","",VLOOKUP(C786,المستفيدين!$B:$F,5,FALSE)),"")</f>
        <v/>
      </c>
      <c r="H786" s="24"/>
      <c r="I786" s="20"/>
      <c r="J786" s="20"/>
      <c r="K786" s="20"/>
      <c r="L786" s="21"/>
    </row>
    <row r="787" spans="1:12" x14ac:dyDescent="0.2">
      <c r="A787" s="26"/>
      <c r="B787" s="22"/>
      <c r="C787" s="22"/>
      <c r="D787" s="34" t="str">
        <f>IFERROR(IF(C787="","",VLOOKUP(C787,المستفيدين!$B:$C,2,FALSE)),"")</f>
        <v/>
      </c>
      <c r="E787" s="20"/>
      <c r="F787" s="34" t="str">
        <f>IFERROR(IF(E787="","",VLOOKUP(E787,الموظفين!$B:$C,2,FALSE)),"")</f>
        <v/>
      </c>
      <c r="G787" s="34" t="str">
        <f>IFERROR(IF(C787="","",VLOOKUP(C787,المستفيدين!$B:$F,5,FALSE)),"")</f>
        <v/>
      </c>
      <c r="H787" s="24"/>
      <c r="I787" s="20"/>
      <c r="J787" s="20"/>
      <c r="K787" s="20"/>
      <c r="L787" s="21"/>
    </row>
    <row r="788" spans="1:12" x14ac:dyDescent="0.2">
      <c r="A788" s="26"/>
      <c r="B788" s="22"/>
      <c r="C788" s="22"/>
      <c r="D788" s="34" t="str">
        <f>IFERROR(IF(C788="","",VLOOKUP(C788,المستفيدين!$B:$C,2,FALSE)),"")</f>
        <v/>
      </c>
      <c r="E788" s="20"/>
      <c r="F788" s="34" t="str">
        <f>IFERROR(IF(E788="","",VLOOKUP(E788,الموظفين!$B:$C,2,FALSE)),"")</f>
        <v/>
      </c>
      <c r="G788" s="34" t="str">
        <f>IFERROR(IF(C788="","",VLOOKUP(C788,المستفيدين!$B:$F,5,FALSE)),"")</f>
        <v/>
      </c>
      <c r="H788" s="24"/>
      <c r="I788" s="20"/>
      <c r="J788" s="20"/>
      <c r="K788" s="20"/>
      <c r="L788" s="21"/>
    </row>
    <row r="789" spans="1:12" x14ac:dyDescent="0.2">
      <c r="A789" s="26"/>
      <c r="B789" s="22"/>
      <c r="C789" s="22"/>
      <c r="D789" s="34" t="str">
        <f>IFERROR(IF(C789="","",VLOOKUP(C789,المستفيدين!$B:$C,2,FALSE)),"")</f>
        <v/>
      </c>
      <c r="E789" s="20"/>
      <c r="F789" s="34" t="str">
        <f>IFERROR(IF(E789="","",VLOOKUP(E789,الموظفين!$B:$C,2,FALSE)),"")</f>
        <v/>
      </c>
      <c r="G789" s="34" t="str">
        <f>IFERROR(IF(C789="","",VLOOKUP(C789,المستفيدين!$B:$F,5,FALSE)),"")</f>
        <v/>
      </c>
      <c r="H789" s="24"/>
      <c r="I789" s="20"/>
      <c r="J789" s="20"/>
      <c r="K789" s="20"/>
      <c r="L789" s="21"/>
    </row>
    <row r="790" spans="1:12" x14ac:dyDescent="0.2">
      <c r="A790" s="26"/>
      <c r="B790" s="22"/>
      <c r="C790" s="22"/>
      <c r="D790" s="34" t="str">
        <f>IFERROR(IF(C790="","",VLOOKUP(C790,المستفيدين!$B:$C,2,FALSE)),"")</f>
        <v/>
      </c>
      <c r="E790" s="20"/>
      <c r="F790" s="34" t="str">
        <f>IFERROR(IF(E790="","",VLOOKUP(E790,الموظفين!$B:$C,2,FALSE)),"")</f>
        <v/>
      </c>
      <c r="G790" s="34" t="str">
        <f>IFERROR(IF(C790="","",VLOOKUP(C790,المستفيدين!$B:$F,5,FALSE)),"")</f>
        <v/>
      </c>
      <c r="H790" s="24"/>
      <c r="I790" s="20"/>
      <c r="J790" s="20"/>
      <c r="K790" s="20"/>
      <c r="L790" s="21"/>
    </row>
    <row r="791" spans="1:12" x14ac:dyDescent="0.2">
      <c r="A791" s="26"/>
      <c r="B791" s="22"/>
      <c r="C791" s="22"/>
      <c r="D791" s="34" t="str">
        <f>IFERROR(IF(C791="","",VLOOKUP(C791,المستفيدين!$B:$C,2,FALSE)),"")</f>
        <v/>
      </c>
      <c r="E791" s="20"/>
      <c r="F791" s="34" t="str">
        <f>IFERROR(IF(E791="","",VLOOKUP(E791,الموظفين!$B:$C,2,FALSE)),"")</f>
        <v/>
      </c>
      <c r="G791" s="34" t="str">
        <f>IFERROR(IF(C791="","",VLOOKUP(C791,المستفيدين!$B:$F,5,FALSE)),"")</f>
        <v/>
      </c>
      <c r="H791" s="24"/>
      <c r="I791" s="20"/>
      <c r="J791" s="20"/>
      <c r="K791" s="20"/>
      <c r="L791" s="21"/>
    </row>
    <row r="792" spans="1:12" x14ac:dyDescent="0.2">
      <c r="A792" s="26"/>
      <c r="B792" s="22"/>
      <c r="C792" s="22"/>
      <c r="D792" s="34" t="str">
        <f>IFERROR(IF(C792="","",VLOOKUP(C792,المستفيدين!$B:$C,2,FALSE)),"")</f>
        <v/>
      </c>
      <c r="E792" s="20"/>
      <c r="F792" s="34" t="str">
        <f>IFERROR(IF(E792="","",VLOOKUP(E792,الموظفين!$B:$C,2,FALSE)),"")</f>
        <v/>
      </c>
      <c r="G792" s="34" t="str">
        <f>IFERROR(IF(C792="","",VLOOKUP(C792,المستفيدين!$B:$F,5,FALSE)),"")</f>
        <v/>
      </c>
      <c r="H792" s="24"/>
      <c r="I792" s="20"/>
      <c r="J792" s="20"/>
      <c r="K792" s="20"/>
      <c r="L792" s="21"/>
    </row>
    <row r="793" spans="1:12" x14ac:dyDescent="0.2">
      <c r="A793" s="26"/>
      <c r="B793" s="22"/>
      <c r="C793" s="22"/>
      <c r="D793" s="34" t="str">
        <f>IFERROR(IF(C793="","",VLOOKUP(C793,المستفيدين!$B:$C,2,FALSE)),"")</f>
        <v/>
      </c>
      <c r="E793" s="20"/>
      <c r="F793" s="34" t="str">
        <f>IFERROR(IF(E793="","",VLOOKUP(E793,الموظفين!$B:$C,2,FALSE)),"")</f>
        <v/>
      </c>
      <c r="G793" s="34" t="str">
        <f>IFERROR(IF(C793="","",VLOOKUP(C793,المستفيدين!$B:$F,5,FALSE)),"")</f>
        <v/>
      </c>
      <c r="H793" s="24"/>
      <c r="I793" s="20"/>
      <c r="J793" s="20"/>
      <c r="K793" s="20"/>
      <c r="L793" s="21"/>
    </row>
    <row r="794" spans="1:12" x14ac:dyDescent="0.2">
      <c r="A794" s="26"/>
      <c r="B794" s="22"/>
      <c r="C794" s="22"/>
      <c r="D794" s="34" t="str">
        <f>IFERROR(IF(C794="","",VLOOKUP(C794,المستفيدين!$B:$C,2,FALSE)),"")</f>
        <v/>
      </c>
      <c r="E794" s="20"/>
      <c r="F794" s="34" t="str">
        <f>IFERROR(IF(E794="","",VLOOKUP(E794,الموظفين!$B:$C,2,FALSE)),"")</f>
        <v/>
      </c>
      <c r="G794" s="34" t="str">
        <f>IFERROR(IF(C794="","",VLOOKUP(C794,المستفيدين!$B:$F,5,FALSE)),"")</f>
        <v/>
      </c>
      <c r="H794" s="24"/>
      <c r="I794" s="20"/>
      <c r="J794" s="20"/>
      <c r="K794" s="20"/>
      <c r="L794" s="21"/>
    </row>
    <row r="795" spans="1:12" x14ac:dyDescent="0.2">
      <c r="A795" s="26"/>
      <c r="B795" s="22"/>
      <c r="C795" s="22"/>
      <c r="D795" s="34" t="str">
        <f>IFERROR(IF(C795="","",VLOOKUP(C795,المستفيدين!$B:$C,2,FALSE)),"")</f>
        <v/>
      </c>
      <c r="E795" s="20"/>
      <c r="F795" s="34" t="str">
        <f>IFERROR(IF(E795="","",VLOOKUP(E795,الموظفين!$B:$C,2,FALSE)),"")</f>
        <v/>
      </c>
      <c r="G795" s="34" t="str">
        <f>IFERROR(IF(C795="","",VLOOKUP(C795,المستفيدين!$B:$F,5,FALSE)),"")</f>
        <v/>
      </c>
      <c r="H795" s="24"/>
      <c r="I795" s="20"/>
      <c r="J795" s="20"/>
      <c r="K795" s="20"/>
      <c r="L795" s="21"/>
    </row>
    <row r="796" spans="1:12" x14ac:dyDescent="0.2">
      <c r="A796" s="26"/>
      <c r="B796" s="22"/>
      <c r="C796" s="22"/>
      <c r="D796" s="34" t="str">
        <f>IFERROR(IF(C796="","",VLOOKUP(C796,المستفيدين!$B:$C,2,FALSE)),"")</f>
        <v/>
      </c>
      <c r="E796" s="20"/>
      <c r="F796" s="34" t="str">
        <f>IFERROR(IF(E796="","",VLOOKUP(E796,الموظفين!$B:$C,2,FALSE)),"")</f>
        <v/>
      </c>
      <c r="G796" s="34" t="str">
        <f>IFERROR(IF(C796="","",VLOOKUP(C796,المستفيدين!$B:$F,5,FALSE)),"")</f>
        <v/>
      </c>
      <c r="H796" s="24"/>
      <c r="I796" s="20"/>
      <c r="J796" s="20"/>
      <c r="K796" s="20"/>
      <c r="L796" s="21"/>
    </row>
    <row r="797" spans="1:12" x14ac:dyDescent="0.2">
      <c r="A797" s="26"/>
      <c r="B797" s="22"/>
      <c r="C797" s="22"/>
      <c r="D797" s="34" t="str">
        <f>IFERROR(IF(C797="","",VLOOKUP(C797,المستفيدين!$B:$C,2,FALSE)),"")</f>
        <v/>
      </c>
      <c r="E797" s="20"/>
      <c r="F797" s="34" t="str">
        <f>IFERROR(IF(E797="","",VLOOKUP(E797,الموظفين!$B:$C,2,FALSE)),"")</f>
        <v/>
      </c>
      <c r="G797" s="34" t="str">
        <f>IFERROR(IF(C797="","",VLOOKUP(C797,المستفيدين!$B:$F,5,FALSE)),"")</f>
        <v/>
      </c>
      <c r="H797" s="24"/>
      <c r="I797" s="20"/>
      <c r="J797" s="20"/>
      <c r="K797" s="20"/>
      <c r="L797" s="21"/>
    </row>
    <row r="798" spans="1:12" x14ac:dyDescent="0.2">
      <c r="A798" s="26"/>
      <c r="B798" s="22"/>
      <c r="C798" s="22"/>
      <c r="D798" s="34" t="str">
        <f>IFERROR(IF(C798="","",VLOOKUP(C798,المستفيدين!$B:$C,2,FALSE)),"")</f>
        <v/>
      </c>
      <c r="E798" s="20"/>
      <c r="F798" s="34" t="str">
        <f>IFERROR(IF(E798="","",VLOOKUP(E798,الموظفين!$B:$C,2,FALSE)),"")</f>
        <v/>
      </c>
      <c r="G798" s="34" t="str">
        <f>IFERROR(IF(C798="","",VLOOKUP(C798,المستفيدين!$B:$F,5,FALSE)),"")</f>
        <v/>
      </c>
      <c r="H798" s="24"/>
      <c r="I798" s="20"/>
      <c r="J798" s="20"/>
      <c r="K798" s="20"/>
      <c r="L798" s="21"/>
    </row>
    <row r="799" spans="1:12" x14ac:dyDescent="0.2">
      <c r="A799" s="26"/>
      <c r="B799" s="22"/>
      <c r="C799" s="22"/>
      <c r="D799" s="34" t="str">
        <f>IFERROR(IF(C799="","",VLOOKUP(C799,المستفيدين!$B:$C,2,FALSE)),"")</f>
        <v/>
      </c>
      <c r="E799" s="20"/>
      <c r="F799" s="34" t="str">
        <f>IFERROR(IF(E799="","",VLOOKUP(E799,الموظفين!$B:$C,2,FALSE)),"")</f>
        <v/>
      </c>
      <c r="G799" s="34" t="str">
        <f>IFERROR(IF(C799="","",VLOOKUP(C799,المستفيدين!$B:$F,5,FALSE)),"")</f>
        <v/>
      </c>
      <c r="H799" s="24"/>
      <c r="I799" s="20"/>
      <c r="J799" s="20"/>
      <c r="K799" s="20"/>
      <c r="L799" s="21"/>
    </row>
    <row r="800" spans="1:12" x14ac:dyDescent="0.2">
      <c r="A800" s="26"/>
      <c r="B800" s="22"/>
      <c r="C800" s="22"/>
      <c r="D800" s="34" t="str">
        <f>IFERROR(IF(C800="","",VLOOKUP(C800,المستفيدين!$B:$C,2,FALSE)),"")</f>
        <v/>
      </c>
      <c r="E800" s="20"/>
      <c r="F800" s="34" t="str">
        <f>IFERROR(IF(E800="","",VLOOKUP(E800,الموظفين!$B:$C,2,FALSE)),"")</f>
        <v/>
      </c>
      <c r="G800" s="34" t="str">
        <f>IFERROR(IF(C800="","",VLOOKUP(C800,المستفيدين!$B:$F,5,FALSE)),"")</f>
        <v/>
      </c>
      <c r="H800" s="24"/>
      <c r="I800" s="20"/>
      <c r="J800" s="20"/>
      <c r="K800" s="20"/>
      <c r="L800" s="21"/>
    </row>
    <row r="801" spans="1:12" x14ac:dyDescent="0.2">
      <c r="A801" s="26"/>
      <c r="B801" s="22"/>
      <c r="C801" s="22"/>
      <c r="D801" s="34" t="str">
        <f>IFERROR(IF(C801="","",VLOOKUP(C801,المستفيدين!$B:$C,2,FALSE)),"")</f>
        <v/>
      </c>
      <c r="E801" s="20"/>
      <c r="F801" s="34" t="str">
        <f>IFERROR(IF(E801="","",VLOOKUP(E801,الموظفين!$B:$C,2,FALSE)),"")</f>
        <v/>
      </c>
      <c r="G801" s="34" t="str">
        <f>IFERROR(IF(C801="","",VLOOKUP(C801,المستفيدين!$B:$F,5,FALSE)),"")</f>
        <v/>
      </c>
      <c r="H801" s="24"/>
      <c r="I801" s="20"/>
      <c r="J801" s="20"/>
      <c r="K801" s="20"/>
      <c r="L801" s="21"/>
    </row>
    <row r="802" spans="1:12" x14ac:dyDescent="0.2">
      <c r="A802" s="26"/>
      <c r="B802" s="22"/>
      <c r="C802" s="22"/>
      <c r="D802" s="34" t="str">
        <f>IFERROR(IF(C802="","",VLOOKUP(C802,المستفيدين!$B:$C,2,FALSE)),"")</f>
        <v/>
      </c>
      <c r="E802" s="20"/>
      <c r="F802" s="34" t="str">
        <f>IFERROR(IF(E802="","",VLOOKUP(E802,الموظفين!$B:$C,2,FALSE)),"")</f>
        <v/>
      </c>
      <c r="G802" s="34" t="str">
        <f>IFERROR(IF(C802="","",VLOOKUP(C802,المستفيدين!$B:$F,5,FALSE)),"")</f>
        <v/>
      </c>
      <c r="H802" s="24"/>
      <c r="I802" s="20"/>
      <c r="J802" s="20"/>
      <c r="K802" s="20"/>
      <c r="L802" s="21"/>
    </row>
    <row r="803" spans="1:12" x14ac:dyDescent="0.2">
      <c r="A803" s="26"/>
      <c r="B803" s="22"/>
      <c r="C803" s="22"/>
      <c r="D803" s="34" t="str">
        <f>IFERROR(IF(C803="","",VLOOKUP(C803,المستفيدين!$B:$C,2,FALSE)),"")</f>
        <v/>
      </c>
      <c r="E803" s="20"/>
      <c r="F803" s="34" t="str">
        <f>IFERROR(IF(E803="","",VLOOKUP(E803,الموظفين!$B:$C,2,FALSE)),"")</f>
        <v/>
      </c>
      <c r="G803" s="34" t="str">
        <f>IFERROR(IF(C803="","",VLOOKUP(C803,المستفيدين!$B:$F,5,FALSE)),"")</f>
        <v/>
      </c>
      <c r="H803" s="24"/>
      <c r="I803" s="20"/>
      <c r="J803" s="20"/>
      <c r="K803" s="20"/>
      <c r="L803" s="21"/>
    </row>
    <row r="804" spans="1:12" x14ac:dyDescent="0.2">
      <c r="A804" s="26"/>
      <c r="B804" s="22"/>
      <c r="C804" s="22"/>
      <c r="D804" s="34" t="str">
        <f>IFERROR(IF(C804="","",VLOOKUP(C804,المستفيدين!$B:$C,2,FALSE)),"")</f>
        <v/>
      </c>
      <c r="E804" s="20"/>
      <c r="F804" s="34" t="str">
        <f>IFERROR(IF(E804="","",VLOOKUP(E804,الموظفين!$B:$C,2,FALSE)),"")</f>
        <v/>
      </c>
      <c r="G804" s="34" t="str">
        <f>IFERROR(IF(C804="","",VLOOKUP(C804,المستفيدين!$B:$F,5,FALSE)),"")</f>
        <v/>
      </c>
      <c r="H804" s="24"/>
      <c r="I804" s="20"/>
      <c r="J804" s="20"/>
      <c r="K804" s="20"/>
      <c r="L804" s="21"/>
    </row>
    <row r="805" spans="1:12" x14ac:dyDescent="0.2">
      <c r="A805" s="26"/>
      <c r="B805" s="22"/>
      <c r="C805" s="22"/>
      <c r="D805" s="34" t="str">
        <f>IFERROR(IF(C805="","",VLOOKUP(C805,المستفيدين!$B:$C,2,FALSE)),"")</f>
        <v/>
      </c>
      <c r="E805" s="20"/>
      <c r="F805" s="34" t="str">
        <f>IFERROR(IF(E805="","",VLOOKUP(E805,الموظفين!$B:$C,2,FALSE)),"")</f>
        <v/>
      </c>
      <c r="G805" s="34" t="str">
        <f>IFERROR(IF(C805="","",VLOOKUP(C805,المستفيدين!$B:$F,5,FALSE)),"")</f>
        <v/>
      </c>
      <c r="H805" s="24"/>
      <c r="I805" s="20"/>
      <c r="J805" s="20"/>
      <c r="K805" s="20"/>
      <c r="L805" s="21"/>
    </row>
    <row r="806" spans="1:12" x14ac:dyDescent="0.2">
      <c r="A806" s="26"/>
      <c r="B806" s="22"/>
      <c r="C806" s="22"/>
      <c r="D806" s="34" t="str">
        <f>IFERROR(IF(C806="","",VLOOKUP(C806,المستفيدين!$B:$C,2,FALSE)),"")</f>
        <v/>
      </c>
      <c r="E806" s="20"/>
      <c r="F806" s="34" t="str">
        <f>IFERROR(IF(E806="","",VLOOKUP(E806,الموظفين!$B:$C,2,FALSE)),"")</f>
        <v/>
      </c>
      <c r="G806" s="34" t="str">
        <f>IFERROR(IF(C806="","",VLOOKUP(C806,المستفيدين!$B:$F,5,FALSE)),"")</f>
        <v/>
      </c>
      <c r="H806" s="24"/>
      <c r="I806" s="20"/>
      <c r="J806" s="20"/>
      <c r="K806" s="20"/>
      <c r="L806" s="21"/>
    </row>
    <row r="807" spans="1:12" x14ac:dyDescent="0.2">
      <c r="A807" s="26"/>
      <c r="B807" s="22"/>
      <c r="C807" s="22"/>
      <c r="D807" s="34" t="str">
        <f>IFERROR(IF(C807="","",VLOOKUP(C807,المستفيدين!$B:$C,2,FALSE)),"")</f>
        <v/>
      </c>
      <c r="E807" s="20"/>
      <c r="F807" s="34" t="str">
        <f>IFERROR(IF(E807="","",VLOOKUP(E807,الموظفين!$B:$C,2,FALSE)),"")</f>
        <v/>
      </c>
      <c r="G807" s="34" t="str">
        <f>IFERROR(IF(C807="","",VLOOKUP(C807,المستفيدين!$B:$F,5,FALSE)),"")</f>
        <v/>
      </c>
      <c r="H807" s="24"/>
      <c r="I807" s="20"/>
      <c r="J807" s="20"/>
      <c r="K807" s="20"/>
      <c r="L807" s="21"/>
    </row>
    <row r="808" spans="1:12" x14ac:dyDescent="0.2">
      <c r="A808" s="26"/>
      <c r="B808" s="22"/>
      <c r="C808" s="22"/>
      <c r="D808" s="34" t="str">
        <f>IFERROR(IF(C808="","",VLOOKUP(C808,المستفيدين!$B:$C,2,FALSE)),"")</f>
        <v/>
      </c>
      <c r="E808" s="20"/>
      <c r="F808" s="34" t="str">
        <f>IFERROR(IF(E808="","",VLOOKUP(E808,الموظفين!$B:$C,2,FALSE)),"")</f>
        <v/>
      </c>
      <c r="G808" s="34" t="str">
        <f>IFERROR(IF(C808="","",VLOOKUP(C808,المستفيدين!$B:$F,5,FALSE)),"")</f>
        <v/>
      </c>
      <c r="H808" s="24"/>
      <c r="I808" s="20"/>
      <c r="J808" s="20"/>
      <c r="K808" s="20"/>
      <c r="L808" s="21"/>
    </row>
    <row r="809" spans="1:12" x14ac:dyDescent="0.2">
      <c r="A809" s="26"/>
      <c r="B809" s="22"/>
      <c r="C809" s="22"/>
      <c r="D809" s="34" t="str">
        <f>IFERROR(IF(C809="","",VLOOKUP(C809,المستفيدين!$B:$C,2,FALSE)),"")</f>
        <v/>
      </c>
      <c r="E809" s="20"/>
      <c r="F809" s="34" t="str">
        <f>IFERROR(IF(E809="","",VLOOKUP(E809,الموظفين!$B:$C,2,FALSE)),"")</f>
        <v/>
      </c>
      <c r="G809" s="34" t="str">
        <f>IFERROR(IF(C809="","",VLOOKUP(C809,المستفيدين!$B:$F,5,FALSE)),"")</f>
        <v/>
      </c>
      <c r="H809" s="24"/>
      <c r="I809" s="20"/>
      <c r="J809" s="20"/>
      <c r="K809" s="20"/>
      <c r="L809" s="21"/>
    </row>
    <row r="810" spans="1:12" x14ac:dyDescent="0.2">
      <c r="A810" s="26"/>
      <c r="B810" s="22"/>
      <c r="C810" s="22"/>
      <c r="D810" s="34" t="str">
        <f>IFERROR(IF(C810="","",VLOOKUP(C810,المستفيدين!$B:$C,2,FALSE)),"")</f>
        <v/>
      </c>
      <c r="E810" s="20"/>
      <c r="F810" s="34" t="str">
        <f>IFERROR(IF(E810="","",VLOOKUP(E810,الموظفين!$B:$C,2,FALSE)),"")</f>
        <v/>
      </c>
      <c r="G810" s="34" t="str">
        <f>IFERROR(IF(C810="","",VLOOKUP(C810,المستفيدين!$B:$F,5,FALSE)),"")</f>
        <v/>
      </c>
      <c r="H810" s="24"/>
      <c r="I810" s="20"/>
      <c r="J810" s="20"/>
      <c r="K810" s="20"/>
      <c r="L810" s="21"/>
    </row>
    <row r="811" spans="1:12" x14ac:dyDescent="0.2">
      <c r="A811" s="26"/>
      <c r="B811" s="22"/>
      <c r="C811" s="22"/>
      <c r="D811" s="34" t="str">
        <f>IFERROR(IF(C811="","",VLOOKUP(C811,المستفيدين!$B:$C,2,FALSE)),"")</f>
        <v/>
      </c>
      <c r="E811" s="20"/>
      <c r="F811" s="34" t="str">
        <f>IFERROR(IF(E811="","",VLOOKUP(E811,الموظفين!$B:$C,2,FALSE)),"")</f>
        <v/>
      </c>
      <c r="G811" s="34" t="str">
        <f>IFERROR(IF(C811="","",VLOOKUP(C811,المستفيدين!$B:$F,5,FALSE)),"")</f>
        <v/>
      </c>
      <c r="H811" s="24"/>
      <c r="I811" s="20"/>
      <c r="J811" s="20"/>
      <c r="K811" s="20"/>
      <c r="L811" s="21"/>
    </row>
    <row r="812" spans="1:12" x14ac:dyDescent="0.2">
      <c r="A812" s="26"/>
      <c r="B812" s="22"/>
      <c r="C812" s="22"/>
      <c r="D812" s="34" t="str">
        <f>IFERROR(IF(C812="","",VLOOKUP(C812,المستفيدين!$B:$C,2,FALSE)),"")</f>
        <v/>
      </c>
      <c r="E812" s="20"/>
      <c r="F812" s="34" t="str">
        <f>IFERROR(IF(E812="","",VLOOKUP(E812,الموظفين!$B:$C,2,FALSE)),"")</f>
        <v/>
      </c>
      <c r="G812" s="34" t="str">
        <f>IFERROR(IF(C812="","",VLOOKUP(C812,المستفيدين!$B:$F,5,FALSE)),"")</f>
        <v/>
      </c>
      <c r="H812" s="24"/>
      <c r="I812" s="20"/>
      <c r="J812" s="20"/>
      <c r="K812" s="20"/>
      <c r="L812" s="21"/>
    </row>
    <row r="813" spans="1:12" x14ac:dyDescent="0.2">
      <c r="A813" s="26"/>
      <c r="B813" s="22"/>
      <c r="C813" s="22"/>
      <c r="D813" s="34" t="str">
        <f>IFERROR(IF(C813="","",VLOOKUP(C813,المستفيدين!$B:$C,2,FALSE)),"")</f>
        <v/>
      </c>
      <c r="E813" s="20"/>
      <c r="F813" s="34" t="str">
        <f>IFERROR(IF(E813="","",VLOOKUP(E813,الموظفين!$B:$C,2,FALSE)),"")</f>
        <v/>
      </c>
      <c r="G813" s="34" t="str">
        <f>IFERROR(IF(C813="","",VLOOKUP(C813,المستفيدين!$B:$F,5,FALSE)),"")</f>
        <v/>
      </c>
      <c r="H813" s="24"/>
      <c r="I813" s="20"/>
      <c r="J813" s="20"/>
      <c r="K813" s="20"/>
      <c r="L813" s="21"/>
    </row>
    <row r="814" spans="1:12" x14ac:dyDescent="0.2">
      <c r="A814" s="26"/>
      <c r="B814" s="22"/>
      <c r="C814" s="22"/>
      <c r="D814" s="34" t="str">
        <f>IFERROR(IF(C814="","",VLOOKUP(C814,المستفيدين!$B:$C,2,FALSE)),"")</f>
        <v/>
      </c>
      <c r="E814" s="20"/>
      <c r="F814" s="34" t="str">
        <f>IFERROR(IF(E814="","",VLOOKUP(E814,الموظفين!$B:$C,2,FALSE)),"")</f>
        <v/>
      </c>
      <c r="G814" s="34" t="str">
        <f>IFERROR(IF(C814="","",VLOOKUP(C814,المستفيدين!$B:$F,5,FALSE)),"")</f>
        <v/>
      </c>
      <c r="H814" s="24"/>
      <c r="I814" s="20"/>
      <c r="J814" s="20"/>
      <c r="K814" s="20"/>
      <c r="L814" s="21"/>
    </row>
    <row r="815" spans="1:12" x14ac:dyDescent="0.2">
      <c r="A815" s="26"/>
      <c r="B815" s="22"/>
      <c r="C815" s="22"/>
      <c r="D815" s="34" t="str">
        <f>IFERROR(IF(C815="","",VLOOKUP(C815,المستفيدين!$B:$C,2,FALSE)),"")</f>
        <v/>
      </c>
      <c r="E815" s="20"/>
      <c r="F815" s="34" t="str">
        <f>IFERROR(IF(E815="","",VLOOKUP(E815,الموظفين!$B:$C,2,FALSE)),"")</f>
        <v/>
      </c>
      <c r="G815" s="34" t="str">
        <f>IFERROR(IF(C815="","",VLOOKUP(C815,المستفيدين!$B:$F,5,FALSE)),"")</f>
        <v/>
      </c>
      <c r="H815" s="24"/>
      <c r="I815" s="20"/>
      <c r="J815" s="20"/>
      <c r="K815" s="20"/>
      <c r="L815" s="21"/>
    </row>
    <row r="816" spans="1:12" x14ac:dyDescent="0.2">
      <c r="A816" s="26"/>
      <c r="B816" s="22"/>
      <c r="C816" s="22"/>
      <c r="D816" s="34" t="str">
        <f>IFERROR(IF(C816="","",VLOOKUP(C816,المستفيدين!$B:$C,2,FALSE)),"")</f>
        <v/>
      </c>
      <c r="E816" s="20"/>
      <c r="F816" s="34" t="str">
        <f>IFERROR(IF(E816="","",VLOOKUP(E816,الموظفين!$B:$C,2,FALSE)),"")</f>
        <v/>
      </c>
      <c r="G816" s="34" t="str">
        <f>IFERROR(IF(C816="","",VLOOKUP(C816,المستفيدين!$B:$F,5,FALSE)),"")</f>
        <v/>
      </c>
      <c r="H816" s="24"/>
      <c r="I816" s="20"/>
      <c r="J816" s="20"/>
      <c r="K816" s="20"/>
      <c r="L816" s="21"/>
    </row>
    <row r="817" spans="1:12" x14ac:dyDescent="0.2">
      <c r="A817" s="26"/>
      <c r="B817" s="22"/>
      <c r="C817" s="22"/>
      <c r="D817" s="34" t="str">
        <f>IFERROR(IF(C817="","",VLOOKUP(C817,المستفيدين!$B:$C,2,FALSE)),"")</f>
        <v/>
      </c>
      <c r="E817" s="20"/>
      <c r="F817" s="34" t="str">
        <f>IFERROR(IF(E817="","",VLOOKUP(E817,الموظفين!$B:$C,2,FALSE)),"")</f>
        <v/>
      </c>
      <c r="G817" s="34" t="str">
        <f>IFERROR(IF(C817="","",VLOOKUP(C817,المستفيدين!$B:$F,5,FALSE)),"")</f>
        <v/>
      </c>
      <c r="H817" s="24"/>
      <c r="I817" s="20"/>
      <c r="J817" s="20"/>
      <c r="K817" s="20"/>
      <c r="L817" s="21"/>
    </row>
    <row r="818" spans="1:12" x14ac:dyDescent="0.2">
      <c r="A818" s="26"/>
      <c r="B818" s="22"/>
      <c r="C818" s="22"/>
      <c r="D818" s="34" t="str">
        <f>IFERROR(IF(C818="","",VLOOKUP(C818,المستفيدين!$B:$C,2,FALSE)),"")</f>
        <v/>
      </c>
      <c r="E818" s="20"/>
      <c r="F818" s="34" t="str">
        <f>IFERROR(IF(E818="","",VLOOKUP(E818,الموظفين!$B:$C,2,FALSE)),"")</f>
        <v/>
      </c>
      <c r="G818" s="34" t="str">
        <f>IFERROR(IF(C818="","",VLOOKUP(C818,المستفيدين!$B:$F,5,FALSE)),"")</f>
        <v/>
      </c>
      <c r="H818" s="24"/>
      <c r="I818" s="20"/>
      <c r="J818" s="20"/>
      <c r="K818" s="20"/>
      <c r="L818" s="21"/>
    </row>
    <row r="819" spans="1:12" x14ac:dyDescent="0.2">
      <c r="A819" s="26"/>
      <c r="B819" s="22"/>
      <c r="C819" s="22"/>
      <c r="D819" s="34" t="str">
        <f>IFERROR(IF(C819="","",VLOOKUP(C819,المستفيدين!$B:$C,2,FALSE)),"")</f>
        <v/>
      </c>
      <c r="E819" s="20"/>
      <c r="F819" s="34" t="str">
        <f>IFERROR(IF(E819="","",VLOOKUP(E819,الموظفين!$B:$C,2,FALSE)),"")</f>
        <v/>
      </c>
      <c r="G819" s="34" t="str">
        <f>IFERROR(IF(C819="","",VLOOKUP(C819,المستفيدين!$B:$F,5,FALSE)),"")</f>
        <v/>
      </c>
      <c r="H819" s="24"/>
      <c r="I819" s="20"/>
      <c r="J819" s="20"/>
      <c r="K819" s="20"/>
      <c r="L819" s="21"/>
    </row>
    <row r="820" spans="1:12" x14ac:dyDescent="0.2">
      <c r="A820" s="26"/>
      <c r="B820" s="22"/>
      <c r="C820" s="22"/>
      <c r="D820" s="34" t="str">
        <f>IFERROR(IF(C820="","",VLOOKUP(C820,المستفيدين!$B:$C,2,FALSE)),"")</f>
        <v/>
      </c>
      <c r="E820" s="20"/>
      <c r="F820" s="34" t="str">
        <f>IFERROR(IF(E820="","",VLOOKUP(E820,الموظفين!$B:$C,2,FALSE)),"")</f>
        <v/>
      </c>
      <c r="G820" s="34" t="str">
        <f>IFERROR(IF(C820="","",VLOOKUP(C820,المستفيدين!$B:$F,5,FALSE)),"")</f>
        <v/>
      </c>
      <c r="H820" s="24"/>
      <c r="I820" s="20"/>
      <c r="J820" s="20"/>
      <c r="K820" s="20"/>
      <c r="L820" s="21"/>
    </row>
    <row r="821" spans="1:12" x14ac:dyDescent="0.2">
      <c r="A821" s="26"/>
      <c r="B821" s="22"/>
      <c r="C821" s="22"/>
      <c r="D821" s="34" t="str">
        <f>IFERROR(IF(C821="","",VLOOKUP(C821,المستفيدين!$B:$C,2,FALSE)),"")</f>
        <v/>
      </c>
      <c r="E821" s="20"/>
      <c r="F821" s="34" t="str">
        <f>IFERROR(IF(E821="","",VLOOKUP(E821,الموظفين!$B:$C,2,FALSE)),"")</f>
        <v/>
      </c>
      <c r="G821" s="34" t="str">
        <f>IFERROR(IF(C821="","",VLOOKUP(C821,المستفيدين!$B:$F,5,FALSE)),"")</f>
        <v/>
      </c>
      <c r="H821" s="24"/>
      <c r="I821" s="20"/>
      <c r="J821" s="20"/>
      <c r="K821" s="20"/>
      <c r="L821" s="21"/>
    </row>
    <row r="822" spans="1:12" x14ac:dyDescent="0.2">
      <c r="A822" s="26"/>
      <c r="B822" s="22"/>
      <c r="C822" s="22"/>
      <c r="D822" s="34" t="str">
        <f>IFERROR(IF(C822="","",VLOOKUP(C822,المستفيدين!$B:$C,2,FALSE)),"")</f>
        <v/>
      </c>
      <c r="E822" s="20"/>
      <c r="F822" s="34" t="str">
        <f>IFERROR(IF(E822="","",VLOOKUP(E822,الموظفين!$B:$C,2,FALSE)),"")</f>
        <v/>
      </c>
      <c r="G822" s="34" t="str">
        <f>IFERROR(IF(C822="","",VLOOKUP(C822,المستفيدين!$B:$F,5,FALSE)),"")</f>
        <v/>
      </c>
      <c r="H822" s="24"/>
      <c r="I822" s="20"/>
      <c r="J822" s="20"/>
      <c r="K822" s="20"/>
      <c r="L822" s="21"/>
    </row>
    <row r="823" spans="1:12" x14ac:dyDescent="0.2">
      <c r="A823" s="26"/>
      <c r="B823" s="22"/>
      <c r="C823" s="22"/>
      <c r="D823" s="34" t="str">
        <f>IFERROR(IF(C823="","",VLOOKUP(C823,المستفيدين!$B:$C,2,FALSE)),"")</f>
        <v/>
      </c>
      <c r="E823" s="20"/>
      <c r="F823" s="34" t="str">
        <f>IFERROR(IF(E823="","",VLOOKUP(E823,الموظفين!$B:$C,2,FALSE)),"")</f>
        <v/>
      </c>
      <c r="G823" s="34" t="str">
        <f>IFERROR(IF(C823="","",VLOOKUP(C823,المستفيدين!$B:$F,5,FALSE)),"")</f>
        <v/>
      </c>
      <c r="H823" s="24"/>
      <c r="I823" s="20"/>
      <c r="J823" s="20"/>
      <c r="K823" s="20"/>
      <c r="L823" s="21"/>
    </row>
    <row r="824" spans="1:12" x14ac:dyDescent="0.2">
      <c r="A824" s="26"/>
      <c r="B824" s="22"/>
      <c r="C824" s="22"/>
      <c r="D824" s="34" t="str">
        <f>IFERROR(IF(C824="","",VLOOKUP(C824,المستفيدين!$B:$C,2,FALSE)),"")</f>
        <v/>
      </c>
      <c r="E824" s="20"/>
      <c r="F824" s="34" t="str">
        <f>IFERROR(IF(E824="","",VLOOKUP(E824,الموظفين!$B:$C,2,FALSE)),"")</f>
        <v/>
      </c>
      <c r="G824" s="34" t="str">
        <f>IFERROR(IF(C824="","",VLOOKUP(C824,المستفيدين!$B:$F,5,FALSE)),"")</f>
        <v/>
      </c>
      <c r="H824" s="24"/>
      <c r="I824" s="20"/>
      <c r="J824" s="20"/>
      <c r="K824" s="20"/>
      <c r="L824" s="21"/>
    </row>
    <row r="825" spans="1:12" x14ac:dyDescent="0.2">
      <c r="A825" s="26"/>
      <c r="B825" s="22"/>
      <c r="C825" s="22"/>
      <c r="D825" s="34" t="str">
        <f>IFERROR(IF(C825="","",VLOOKUP(C825,المستفيدين!$B:$C,2,FALSE)),"")</f>
        <v/>
      </c>
      <c r="E825" s="20"/>
      <c r="F825" s="34" t="str">
        <f>IFERROR(IF(E825="","",VLOOKUP(E825,الموظفين!$B:$C,2,FALSE)),"")</f>
        <v/>
      </c>
      <c r="G825" s="34" t="str">
        <f>IFERROR(IF(C825="","",VLOOKUP(C825,المستفيدين!$B:$F,5,FALSE)),"")</f>
        <v/>
      </c>
      <c r="H825" s="24"/>
      <c r="I825" s="20"/>
      <c r="J825" s="20"/>
      <c r="K825" s="20"/>
      <c r="L825" s="21"/>
    </row>
    <row r="826" spans="1:12" x14ac:dyDescent="0.2">
      <c r="A826" s="26"/>
      <c r="B826" s="22"/>
      <c r="C826" s="22"/>
      <c r="D826" s="34" t="str">
        <f>IFERROR(IF(C826="","",VLOOKUP(C826,المستفيدين!$B:$C,2,FALSE)),"")</f>
        <v/>
      </c>
      <c r="E826" s="20"/>
      <c r="F826" s="34" t="str">
        <f>IFERROR(IF(E826="","",VLOOKUP(E826,الموظفين!$B:$C,2,FALSE)),"")</f>
        <v/>
      </c>
      <c r="G826" s="34" t="str">
        <f>IFERROR(IF(C826="","",VLOOKUP(C826,المستفيدين!$B:$F,5,FALSE)),"")</f>
        <v/>
      </c>
      <c r="H826" s="24"/>
      <c r="I826" s="20"/>
      <c r="J826" s="20"/>
      <c r="K826" s="20"/>
      <c r="L826" s="21"/>
    </row>
    <row r="827" spans="1:12" x14ac:dyDescent="0.2">
      <c r="A827" s="26"/>
      <c r="B827" s="22"/>
      <c r="C827" s="22"/>
      <c r="D827" s="34" t="str">
        <f>IFERROR(IF(C827="","",VLOOKUP(C827,المستفيدين!$B:$C,2,FALSE)),"")</f>
        <v/>
      </c>
      <c r="E827" s="20"/>
      <c r="F827" s="34" t="str">
        <f>IFERROR(IF(E827="","",VLOOKUP(E827,الموظفين!$B:$C,2,FALSE)),"")</f>
        <v/>
      </c>
      <c r="G827" s="34" t="str">
        <f>IFERROR(IF(C827="","",VLOOKUP(C827,المستفيدين!$B:$F,5,FALSE)),"")</f>
        <v/>
      </c>
      <c r="H827" s="24"/>
      <c r="I827" s="20"/>
      <c r="J827" s="20"/>
      <c r="K827" s="20"/>
      <c r="L827" s="21"/>
    </row>
    <row r="828" spans="1:12" x14ac:dyDescent="0.2">
      <c r="A828" s="26"/>
      <c r="B828" s="22"/>
      <c r="C828" s="22"/>
      <c r="D828" s="34" t="str">
        <f>IFERROR(IF(C828="","",VLOOKUP(C828,المستفيدين!$B:$C,2,FALSE)),"")</f>
        <v/>
      </c>
      <c r="E828" s="20"/>
      <c r="F828" s="34" t="str">
        <f>IFERROR(IF(E828="","",VLOOKUP(E828,الموظفين!$B:$C,2,FALSE)),"")</f>
        <v/>
      </c>
      <c r="G828" s="34" t="str">
        <f>IFERROR(IF(C828="","",VLOOKUP(C828,المستفيدين!$B:$F,5,FALSE)),"")</f>
        <v/>
      </c>
      <c r="H828" s="24"/>
      <c r="I828" s="20"/>
      <c r="J828" s="20"/>
      <c r="K828" s="20"/>
      <c r="L828" s="21"/>
    </row>
    <row r="829" spans="1:12" x14ac:dyDescent="0.2">
      <c r="A829" s="26"/>
      <c r="B829" s="22"/>
      <c r="C829" s="22"/>
      <c r="D829" s="34" t="str">
        <f>IFERROR(IF(C829="","",VLOOKUP(C829,المستفيدين!$B:$C,2,FALSE)),"")</f>
        <v/>
      </c>
      <c r="E829" s="20"/>
      <c r="F829" s="34" t="str">
        <f>IFERROR(IF(E829="","",VLOOKUP(E829,الموظفين!$B:$C,2,FALSE)),"")</f>
        <v/>
      </c>
      <c r="G829" s="34" t="str">
        <f>IFERROR(IF(C829="","",VLOOKUP(C829,المستفيدين!$B:$F,5,FALSE)),"")</f>
        <v/>
      </c>
      <c r="H829" s="24"/>
      <c r="I829" s="20"/>
      <c r="J829" s="20"/>
      <c r="K829" s="20"/>
      <c r="L829" s="21"/>
    </row>
    <row r="830" spans="1:12" x14ac:dyDescent="0.2">
      <c r="A830" s="26"/>
      <c r="B830" s="22"/>
      <c r="C830" s="22"/>
      <c r="D830" s="34" t="str">
        <f>IFERROR(IF(C830="","",VLOOKUP(C830,المستفيدين!$B:$C,2,FALSE)),"")</f>
        <v/>
      </c>
      <c r="E830" s="20"/>
      <c r="F830" s="34" t="str">
        <f>IFERROR(IF(E830="","",VLOOKUP(E830,الموظفين!$B:$C,2,FALSE)),"")</f>
        <v/>
      </c>
      <c r="G830" s="34" t="str">
        <f>IFERROR(IF(C830="","",VLOOKUP(C830,المستفيدين!$B:$F,5,FALSE)),"")</f>
        <v/>
      </c>
      <c r="H830" s="24"/>
      <c r="I830" s="20"/>
      <c r="J830" s="20"/>
      <c r="K830" s="20"/>
      <c r="L830" s="21"/>
    </row>
    <row r="831" spans="1:12" x14ac:dyDescent="0.2">
      <c r="A831" s="26"/>
      <c r="B831" s="22"/>
      <c r="C831" s="22"/>
      <c r="D831" s="34" t="str">
        <f>IFERROR(IF(C831="","",VLOOKUP(C831,المستفيدين!$B:$C,2,FALSE)),"")</f>
        <v/>
      </c>
      <c r="E831" s="20"/>
      <c r="F831" s="34" t="str">
        <f>IFERROR(IF(E831="","",VLOOKUP(E831,الموظفين!$B:$C,2,FALSE)),"")</f>
        <v/>
      </c>
      <c r="G831" s="34" t="str">
        <f>IFERROR(IF(C831="","",VLOOKUP(C831,المستفيدين!$B:$F,5,FALSE)),"")</f>
        <v/>
      </c>
      <c r="H831" s="24"/>
      <c r="I831" s="20"/>
      <c r="J831" s="20"/>
      <c r="K831" s="20"/>
      <c r="L831" s="21"/>
    </row>
    <row r="832" spans="1:12" x14ac:dyDescent="0.2">
      <c r="A832" s="26"/>
      <c r="B832" s="22"/>
      <c r="C832" s="22"/>
      <c r="D832" s="34" t="str">
        <f>IFERROR(IF(C832="","",VLOOKUP(C832,المستفيدين!$B:$C,2,FALSE)),"")</f>
        <v/>
      </c>
      <c r="E832" s="20"/>
      <c r="F832" s="34" t="str">
        <f>IFERROR(IF(E832="","",VLOOKUP(E832,الموظفين!$B:$C,2,FALSE)),"")</f>
        <v/>
      </c>
      <c r="G832" s="34" t="str">
        <f>IFERROR(IF(C832="","",VLOOKUP(C832,المستفيدين!$B:$F,5,FALSE)),"")</f>
        <v/>
      </c>
      <c r="H832" s="24"/>
      <c r="I832" s="20"/>
      <c r="J832" s="20"/>
      <c r="K832" s="20"/>
      <c r="L832" s="21"/>
    </row>
    <row r="833" spans="1:12" x14ac:dyDescent="0.2">
      <c r="A833" s="26"/>
      <c r="B833" s="22"/>
      <c r="C833" s="22"/>
      <c r="D833" s="34" t="str">
        <f>IFERROR(IF(C833="","",VLOOKUP(C833,المستفيدين!$B:$C,2,FALSE)),"")</f>
        <v/>
      </c>
      <c r="E833" s="20"/>
      <c r="F833" s="34" t="str">
        <f>IFERROR(IF(E833="","",VLOOKUP(E833,الموظفين!$B:$C,2,FALSE)),"")</f>
        <v/>
      </c>
      <c r="G833" s="34" t="str">
        <f>IFERROR(IF(C833="","",VLOOKUP(C833,المستفيدين!$B:$F,5,FALSE)),"")</f>
        <v/>
      </c>
      <c r="H833" s="24"/>
      <c r="I833" s="20"/>
      <c r="J833" s="20"/>
      <c r="K833" s="20"/>
      <c r="L833" s="21"/>
    </row>
    <row r="834" spans="1:12" x14ac:dyDescent="0.2">
      <c r="A834" s="26"/>
      <c r="B834" s="22"/>
      <c r="C834" s="22"/>
      <c r="D834" s="34" t="str">
        <f>IFERROR(IF(C834="","",VLOOKUP(C834,المستفيدين!$B:$C,2,FALSE)),"")</f>
        <v/>
      </c>
      <c r="E834" s="20"/>
      <c r="F834" s="34" t="str">
        <f>IFERROR(IF(E834="","",VLOOKUP(E834,الموظفين!$B:$C,2,FALSE)),"")</f>
        <v/>
      </c>
      <c r="G834" s="34" t="str">
        <f>IFERROR(IF(C834="","",VLOOKUP(C834,المستفيدين!$B:$F,5,FALSE)),"")</f>
        <v/>
      </c>
      <c r="H834" s="24"/>
      <c r="I834" s="20"/>
      <c r="J834" s="20"/>
      <c r="K834" s="20"/>
      <c r="L834" s="21"/>
    </row>
    <row r="835" spans="1:12" x14ac:dyDescent="0.2">
      <c r="A835" s="26"/>
      <c r="B835" s="22"/>
      <c r="C835" s="22"/>
      <c r="D835" s="34" t="str">
        <f>IFERROR(IF(C835="","",VLOOKUP(C835,المستفيدين!$B:$C,2,FALSE)),"")</f>
        <v/>
      </c>
      <c r="E835" s="20"/>
      <c r="F835" s="34" t="str">
        <f>IFERROR(IF(E835="","",VLOOKUP(E835,الموظفين!$B:$C,2,FALSE)),"")</f>
        <v/>
      </c>
      <c r="G835" s="34" t="str">
        <f>IFERROR(IF(C835="","",VLOOKUP(C835,المستفيدين!$B:$F,5,FALSE)),"")</f>
        <v/>
      </c>
      <c r="H835" s="24"/>
      <c r="I835" s="20"/>
      <c r="J835" s="20"/>
      <c r="K835" s="20"/>
      <c r="L835" s="21"/>
    </row>
    <row r="836" spans="1:12" x14ac:dyDescent="0.2">
      <c r="A836" s="26"/>
      <c r="B836" s="22"/>
      <c r="C836" s="22"/>
      <c r="D836" s="34" t="str">
        <f>IFERROR(IF(C836="","",VLOOKUP(C836,المستفيدين!$B:$C,2,FALSE)),"")</f>
        <v/>
      </c>
      <c r="E836" s="20"/>
      <c r="F836" s="34" t="str">
        <f>IFERROR(IF(E836="","",VLOOKUP(E836,الموظفين!$B:$C,2,FALSE)),"")</f>
        <v/>
      </c>
      <c r="G836" s="34" t="str">
        <f>IFERROR(IF(C836="","",VLOOKUP(C836,المستفيدين!$B:$F,5,FALSE)),"")</f>
        <v/>
      </c>
      <c r="H836" s="24"/>
      <c r="I836" s="20"/>
      <c r="J836" s="20"/>
      <c r="K836" s="20"/>
      <c r="L836" s="21"/>
    </row>
    <row r="837" spans="1:12" x14ac:dyDescent="0.2">
      <c r="A837" s="26"/>
      <c r="B837" s="22"/>
      <c r="C837" s="22"/>
      <c r="D837" s="34" t="str">
        <f>IFERROR(IF(C837="","",VLOOKUP(C837,المستفيدين!$B:$C,2,FALSE)),"")</f>
        <v/>
      </c>
      <c r="E837" s="20"/>
      <c r="F837" s="34" t="str">
        <f>IFERROR(IF(E837="","",VLOOKUP(E837,الموظفين!$B:$C,2,FALSE)),"")</f>
        <v/>
      </c>
      <c r="G837" s="34" t="str">
        <f>IFERROR(IF(C837="","",VLOOKUP(C837,المستفيدين!$B:$F,5,FALSE)),"")</f>
        <v/>
      </c>
      <c r="H837" s="24"/>
      <c r="I837" s="20"/>
      <c r="J837" s="20"/>
      <c r="K837" s="20"/>
      <c r="L837" s="21"/>
    </row>
    <row r="838" spans="1:12" x14ac:dyDescent="0.2">
      <c r="A838" s="26"/>
      <c r="B838" s="22"/>
      <c r="C838" s="22"/>
      <c r="D838" s="34" t="str">
        <f>IFERROR(IF(C838="","",VLOOKUP(C838,المستفيدين!$B:$C,2,FALSE)),"")</f>
        <v/>
      </c>
      <c r="E838" s="20"/>
      <c r="F838" s="34" t="str">
        <f>IFERROR(IF(E838="","",VLOOKUP(E838,الموظفين!$B:$C,2,FALSE)),"")</f>
        <v/>
      </c>
      <c r="G838" s="34" t="str">
        <f>IFERROR(IF(C838="","",VLOOKUP(C838,المستفيدين!$B:$F,5,FALSE)),"")</f>
        <v/>
      </c>
      <c r="H838" s="24"/>
      <c r="I838" s="20"/>
      <c r="J838" s="20"/>
      <c r="K838" s="20"/>
      <c r="L838" s="21"/>
    </row>
    <row r="839" spans="1:12" x14ac:dyDescent="0.2">
      <c r="A839" s="26"/>
      <c r="B839" s="22"/>
      <c r="C839" s="22"/>
      <c r="D839" s="34" t="str">
        <f>IFERROR(IF(C839="","",VLOOKUP(C839,المستفيدين!$B:$C,2,FALSE)),"")</f>
        <v/>
      </c>
      <c r="E839" s="20"/>
      <c r="F839" s="34" t="str">
        <f>IFERROR(IF(E839="","",VLOOKUP(E839,الموظفين!$B:$C,2,FALSE)),"")</f>
        <v/>
      </c>
      <c r="G839" s="34" t="str">
        <f>IFERROR(IF(C839="","",VLOOKUP(C839,المستفيدين!$B:$F,5,FALSE)),"")</f>
        <v/>
      </c>
      <c r="H839" s="24"/>
      <c r="I839" s="20"/>
      <c r="J839" s="20"/>
      <c r="K839" s="20"/>
      <c r="L839" s="21"/>
    </row>
    <row r="840" spans="1:12" x14ac:dyDescent="0.2">
      <c r="A840" s="26"/>
      <c r="B840" s="22"/>
      <c r="C840" s="22"/>
      <c r="D840" s="34" t="str">
        <f>IFERROR(IF(C840="","",VLOOKUP(C840,المستفيدين!$B:$C,2,FALSE)),"")</f>
        <v/>
      </c>
      <c r="E840" s="20"/>
      <c r="F840" s="34" t="str">
        <f>IFERROR(IF(E840="","",VLOOKUP(E840,الموظفين!$B:$C,2,FALSE)),"")</f>
        <v/>
      </c>
      <c r="G840" s="34" t="str">
        <f>IFERROR(IF(C840="","",VLOOKUP(C840,المستفيدين!$B:$F,5,FALSE)),"")</f>
        <v/>
      </c>
      <c r="H840" s="24"/>
      <c r="I840" s="20"/>
      <c r="J840" s="20"/>
      <c r="K840" s="20"/>
      <c r="L840" s="21"/>
    </row>
    <row r="841" spans="1:12" x14ac:dyDescent="0.2">
      <c r="A841" s="26"/>
      <c r="B841" s="22"/>
      <c r="C841" s="22"/>
      <c r="D841" s="34" t="str">
        <f>IFERROR(IF(C841="","",VLOOKUP(C841,المستفيدين!$B:$C,2,FALSE)),"")</f>
        <v/>
      </c>
      <c r="E841" s="20"/>
      <c r="F841" s="34" t="str">
        <f>IFERROR(IF(E841="","",VLOOKUP(E841,الموظفين!$B:$C,2,FALSE)),"")</f>
        <v/>
      </c>
      <c r="G841" s="34" t="str">
        <f>IFERROR(IF(C841="","",VLOOKUP(C841,المستفيدين!$B:$F,5,FALSE)),"")</f>
        <v/>
      </c>
      <c r="H841" s="24"/>
      <c r="I841" s="20"/>
      <c r="J841" s="20"/>
      <c r="K841" s="20"/>
      <c r="L841" s="21"/>
    </row>
    <row r="842" spans="1:12" x14ac:dyDescent="0.2">
      <c r="A842" s="26"/>
      <c r="B842" s="22"/>
      <c r="C842" s="22"/>
      <c r="D842" s="34" t="str">
        <f>IFERROR(IF(C842="","",VLOOKUP(C842,المستفيدين!$B:$C,2,FALSE)),"")</f>
        <v/>
      </c>
      <c r="E842" s="20"/>
      <c r="F842" s="34" t="str">
        <f>IFERROR(IF(E842="","",VLOOKUP(E842,الموظفين!$B:$C,2,FALSE)),"")</f>
        <v/>
      </c>
      <c r="G842" s="34" t="str">
        <f>IFERROR(IF(C842="","",VLOOKUP(C842,المستفيدين!$B:$F,5,FALSE)),"")</f>
        <v/>
      </c>
      <c r="H842" s="24"/>
      <c r="I842" s="20"/>
      <c r="J842" s="20"/>
      <c r="K842" s="20"/>
      <c r="L842" s="21"/>
    </row>
    <row r="843" spans="1:12" x14ac:dyDescent="0.2">
      <c r="A843" s="26"/>
      <c r="B843" s="22"/>
      <c r="C843" s="22"/>
      <c r="D843" s="34" t="str">
        <f>IFERROR(IF(C843="","",VLOOKUP(C843,المستفيدين!$B:$C,2,FALSE)),"")</f>
        <v/>
      </c>
      <c r="E843" s="20"/>
      <c r="F843" s="34" t="str">
        <f>IFERROR(IF(E843="","",VLOOKUP(E843,الموظفين!$B:$C,2,FALSE)),"")</f>
        <v/>
      </c>
      <c r="G843" s="34" t="str">
        <f>IFERROR(IF(C843="","",VLOOKUP(C843,المستفيدين!$B:$F,5,FALSE)),"")</f>
        <v/>
      </c>
      <c r="H843" s="24"/>
      <c r="I843" s="20"/>
      <c r="J843" s="20"/>
      <c r="K843" s="20"/>
      <c r="L843" s="21"/>
    </row>
    <row r="844" spans="1:12" x14ac:dyDescent="0.2">
      <c r="A844" s="26"/>
      <c r="B844" s="22"/>
      <c r="C844" s="22"/>
      <c r="D844" s="34" t="str">
        <f>IFERROR(IF(C844="","",VLOOKUP(C844,المستفيدين!$B:$C,2,FALSE)),"")</f>
        <v/>
      </c>
      <c r="E844" s="20"/>
      <c r="F844" s="34" t="str">
        <f>IFERROR(IF(E844="","",VLOOKUP(E844,الموظفين!$B:$C,2,FALSE)),"")</f>
        <v/>
      </c>
      <c r="G844" s="34" t="str">
        <f>IFERROR(IF(C844="","",VLOOKUP(C844,المستفيدين!$B:$F,5,FALSE)),"")</f>
        <v/>
      </c>
      <c r="H844" s="24"/>
      <c r="I844" s="20"/>
      <c r="J844" s="20"/>
      <c r="K844" s="20"/>
      <c r="L844" s="21"/>
    </row>
    <row r="845" spans="1:12" x14ac:dyDescent="0.2">
      <c r="A845" s="26"/>
      <c r="B845" s="22"/>
      <c r="C845" s="22"/>
      <c r="D845" s="34" t="str">
        <f>IFERROR(IF(C845="","",VLOOKUP(C845,المستفيدين!$B:$C,2,FALSE)),"")</f>
        <v/>
      </c>
      <c r="E845" s="20"/>
      <c r="F845" s="34" t="str">
        <f>IFERROR(IF(E845="","",VLOOKUP(E845,الموظفين!$B:$C,2,FALSE)),"")</f>
        <v/>
      </c>
      <c r="G845" s="34" t="str">
        <f>IFERROR(IF(C845="","",VLOOKUP(C845,المستفيدين!$B:$F,5,FALSE)),"")</f>
        <v/>
      </c>
      <c r="H845" s="24"/>
      <c r="I845" s="20"/>
      <c r="J845" s="20"/>
      <c r="K845" s="20"/>
      <c r="L845" s="21"/>
    </row>
    <row r="846" spans="1:12" x14ac:dyDescent="0.2">
      <c r="A846" s="26"/>
      <c r="B846" s="22"/>
      <c r="C846" s="22"/>
      <c r="D846" s="34" t="str">
        <f>IFERROR(IF(C846="","",VLOOKUP(C846,المستفيدين!$B:$C,2,FALSE)),"")</f>
        <v/>
      </c>
      <c r="E846" s="20"/>
      <c r="F846" s="34" t="str">
        <f>IFERROR(IF(E846="","",VLOOKUP(E846,الموظفين!$B:$C,2,FALSE)),"")</f>
        <v/>
      </c>
      <c r="G846" s="34" t="str">
        <f>IFERROR(IF(C846="","",VLOOKUP(C846,المستفيدين!$B:$F,5,FALSE)),"")</f>
        <v/>
      </c>
      <c r="H846" s="24"/>
      <c r="I846" s="20"/>
      <c r="J846" s="20"/>
      <c r="K846" s="20"/>
      <c r="L846" s="21"/>
    </row>
    <row r="847" spans="1:12" x14ac:dyDescent="0.2">
      <c r="A847" s="26"/>
      <c r="B847" s="22"/>
      <c r="C847" s="22"/>
      <c r="D847" s="34" t="str">
        <f>IFERROR(IF(C847="","",VLOOKUP(C847,المستفيدين!$B:$C,2,FALSE)),"")</f>
        <v/>
      </c>
      <c r="E847" s="20"/>
      <c r="F847" s="34" t="str">
        <f>IFERROR(IF(E847="","",VLOOKUP(E847,الموظفين!$B:$C,2,FALSE)),"")</f>
        <v/>
      </c>
      <c r="G847" s="34" t="str">
        <f>IFERROR(IF(C847="","",VLOOKUP(C847,المستفيدين!$B:$F,5,FALSE)),"")</f>
        <v/>
      </c>
      <c r="H847" s="24"/>
      <c r="I847" s="20"/>
      <c r="J847" s="20"/>
      <c r="K847" s="20"/>
      <c r="L847" s="21"/>
    </row>
    <row r="848" spans="1:12" x14ac:dyDescent="0.2">
      <c r="A848" s="26"/>
      <c r="B848" s="22"/>
      <c r="C848" s="22"/>
      <c r="D848" s="34" t="str">
        <f>IFERROR(IF(C848="","",VLOOKUP(C848,المستفيدين!$B:$C,2,FALSE)),"")</f>
        <v/>
      </c>
      <c r="E848" s="20"/>
      <c r="F848" s="34" t="str">
        <f>IFERROR(IF(E848="","",VLOOKUP(E848,الموظفين!$B:$C,2,FALSE)),"")</f>
        <v/>
      </c>
      <c r="G848" s="34" t="str">
        <f>IFERROR(IF(C848="","",VLOOKUP(C848,المستفيدين!$B:$F,5,FALSE)),"")</f>
        <v/>
      </c>
      <c r="H848" s="24"/>
      <c r="I848" s="20"/>
      <c r="J848" s="20"/>
      <c r="K848" s="20"/>
      <c r="L848" s="21"/>
    </row>
    <row r="849" spans="1:12" x14ac:dyDescent="0.2">
      <c r="A849" s="26"/>
      <c r="B849" s="22"/>
      <c r="C849" s="22"/>
      <c r="D849" s="34" t="str">
        <f>IFERROR(IF(C849="","",VLOOKUP(C849,المستفيدين!$B:$C,2,FALSE)),"")</f>
        <v/>
      </c>
      <c r="E849" s="20"/>
      <c r="F849" s="34" t="str">
        <f>IFERROR(IF(E849="","",VLOOKUP(E849,الموظفين!$B:$C,2,FALSE)),"")</f>
        <v/>
      </c>
      <c r="G849" s="34" t="str">
        <f>IFERROR(IF(C849="","",VLOOKUP(C849,المستفيدين!$B:$F,5,FALSE)),"")</f>
        <v/>
      </c>
      <c r="H849" s="24"/>
      <c r="I849" s="20"/>
      <c r="J849" s="20"/>
      <c r="K849" s="20"/>
      <c r="L849" s="21"/>
    </row>
    <row r="850" spans="1:12" x14ac:dyDescent="0.2">
      <c r="A850" s="26"/>
      <c r="B850" s="22"/>
      <c r="C850" s="22"/>
      <c r="D850" s="34" t="str">
        <f>IFERROR(IF(C850="","",VLOOKUP(C850,المستفيدين!$B:$C,2,FALSE)),"")</f>
        <v/>
      </c>
      <c r="E850" s="20"/>
      <c r="F850" s="34" t="str">
        <f>IFERROR(IF(E850="","",VLOOKUP(E850,الموظفين!$B:$C,2,FALSE)),"")</f>
        <v/>
      </c>
      <c r="G850" s="34" t="str">
        <f>IFERROR(IF(C850="","",VLOOKUP(C850,المستفيدين!$B:$F,5,FALSE)),"")</f>
        <v/>
      </c>
      <c r="H850" s="24"/>
      <c r="I850" s="20"/>
      <c r="J850" s="20"/>
      <c r="K850" s="20"/>
      <c r="L850" s="21"/>
    </row>
    <row r="851" spans="1:12" x14ac:dyDescent="0.2">
      <c r="A851" s="26"/>
      <c r="B851" s="22"/>
      <c r="C851" s="22"/>
      <c r="D851" s="34" t="str">
        <f>IFERROR(IF(C851="","",VLOOKUP(C851,المستفيدين!$B:$C,2,FALSE)),"")</f>
        <v/>
      </c>
      <c r="E851" s="20"/>
      <c r="F851" s="34" t="str">
        <f>IFERROR(IF(E851="","",VLOOKUP(E851,الموظفين!$B:$C,2,FALSE)),"")</f>
        <v/>
      </c>
      <c r="G851" s="34" t="str">
        <f>IFERROR(IF(C851="","",VLOOKUP(C851,المستفيدين!$B:$F,5,FALSE)),"")</f>
        <v/>
      </c>
      <c r="H851" s="24"/>
      <c r="I851" s="20"/>
      <c r="J851" s="20"/>
      <c r="K851" s="20"/>
      <c r="L851" s="21"/>
    </row>
    <row r="852" spans="1:12" x14ac:dyDescent="0.2">
      <c r="A852" s="26"/>
      <c r="B852" s="22"/>
      <c r="C852" s="22"/>
      <c r="D852" s="34" t="str">
        <f>IFERROR(IF(C852="","",VLOOKUP(C852,المستفيدين!$B:$C,2,FALSE)),"")</f>
        <v/>
      </c>
      <c r="E852" s="20"/>
      <c r="F852" s="34" t="str">
        <f>IFERROR(IF(E852="","",VLOOKUP(E852,الموظفين!$B:$C,2,FALSE)),"")</f>
        <v/>
      </c>
      <c r="G852" s="34" t="str">
        <f>IFERROR(IF(C852="","",VLOOKUP(C852,المستفيدين!$B:$F,5,FALSE)),"")</f>
        <v/>
      </c>
      <c r="H852" s="24"/>
      <c r="I852" s="20"/>
      <c r="J852" s="20"/>
      <c r="K852" s="20"/>
      <c r="L852" s="21"/>
    </row>
    <row r="853" spans="1:12" x14ac:dyDescent="0.2">
      <c r="A853" s="26"/>
      <c r="B853" s="22"/>
      <c r="C853" s="22"/>
      <c r="D853" s="34" t="str">
        <f>IFERROR(IF(C853="","",VLOOKUP(C853,المستفيدين!$B:$C,2,FALSE)),"")</f>
        <v/>
      </c>
      <c r="E853" s="20"/>
      <c r="F853" s="34" t="str">
        <f>IFERROR(IF(E853="","",VLOOKUP(E853,الموظفين!$B:$C,2,FALSE)),"")</f>
        <v/>
      </c>
      <c r="G853" s="34" t="str">
        <f>IFERROR(IF(C853="","",VLOOKUP(C853,المستفيدين!$B:$F,5,FALSE)),"")</f>
        <v/>
      </c>
      <c r="H853" s="24"/>
      <c r="I853" s="20"/>
      <c r="J853" s="20"/>
      <c r="K853" s="20"/>
      <c r="L853" s="21"/>
    </row>
    <row r="854" spans="1:12" x14ac:dyDescent="0.2">
      <c r="A854" s="26"/>
      <c r="B854" s="22"/>
      <c r="C854" s="22"/>
      <c r="D854" s="34" t="str">
        <f>IFERROR(IF(C854="","",VLOOKUP(C854,المستفيدين!$B:$C,2,FALSE)),"")</f>
        <v/>
      </c>
      <c r="E854" s="20"/>
      <c r="F854" s="34" t="str">
        <f>IFERROR(IF(E854="","",VLOOKUP(E854,الموظفين!$B:$C,2,FALSE)),"")</f>
        <v/>
      </c>
      <c r="G854" s="34" t="str">
        <f>IFERROR(IF(C854="","",VLOOKUP(C854,المستفيدين!$B:$F,5,FALSE)),"")</f>
        <v/>
      </c>
      <c r="H854" s="24"/>
      <c r="I854" s="20"/>
      <c r="J854" s="20"/>
      <c r="K854" s="20"/>
      <c r="L854" s="21"/>
    </row>
    <row r="855" spans="1:12" x14ac:dyDescent="0.2">
      <c r="A855" s="26"/>
      <c r="B855" s="22"/>
      <c r="C855" s="22"/>
      <c r="D855" s="34" t="str">
        <f>IFERROR(IF(C855="","",VLOOKUP(C855,المستفيدين!$B:$C,2,FALSE)),"")</f>
        <v/>
      </c>
      <c r="E855" s="20"/>
      <c r="F855" s="34" t="str">
        <f>IFERROR(IF(E855="","",VLOOKUP(E855,الموظفين!$B:$C,2,FALSE)),"")</f>
        <v/>
      </c>
      <c r="G855" s="34" t="str">
        <f>IFERROR(IF(C855="","",VLOOKUP(C855,المستفيدين!$B:$F,5,FALSE)),"")</f>
        <v/>
      </c>
      <c r="H855" s="24"/>
      <c r="I855" s="20"/>
      <c r="J855" s="20"/>
      <c r="K855" s="20"/>
      <c r="L855" s="21"/>
    </row>
    <row r="856" spans="1:12" x14ac:dyDescent="0.2">
      <c r="A856" s="26"/>
      <c r="B856" s="22"/>
      <c r="C856" s="22"/>
      <c r="D856" s="34" t="str">
        <f>IFERROR(IF(C856="","",VLOOKUP(C856,المستفيدين!$B:$C,2,FALSE)),"")</f>
        <v/>
      </c>
      <c r="E856" s="20"/>
      <c r="F856" s="34" t="str">
        <f>IFERROR(IF(E856="","",VLOOKUP(E856,الموظفين!$B:$C,2,FALSE)),"")</f>
        <v/>
      </c>
      <c r="G856" s="34" t="str">
        <f>IFERROR(IF(C856="","",VLOOKUP(C856,المستفيدين!$B:$F,5,FALSE)),"")</f>
        <v/>
      </c>
      <c r="H856" s="24"/>
      <c r="I856" s="20"/>
      <c r="J856" s="20"/>
      <c r="K856" s="20"/>
      <c r="L856" s="21"/>
    </row>
    <row r="857" spans="1:12" x14ac:dyDescent="0.2">
      <c r="A857" s="26"/>
      <c r="B857" s="22"/>
      <c r="C857" s="22"/>
      <c r="D857" s="34" t="str">
        <f>IFERROR(IF(C857="","",VLOOKUP(C857,المستفيدين!$B:$C,2,FALSE)),"")</f>
        <v/>
      </c>
      <c r="E857" s="20"/>
      <c r="F857" s="34" t="str">
        <f>IFERROR(IF(E857="","",VLOOKUP(E857,الموظفين!$B:$C,2,FALSE)),"")</f>
        <v/>
      </c>
      <c r="G857" s="34" t="str">
        <f>IFERROR(IF(C857="","",VLOOKUP(C857,المستفيدين!$B:$F,5,FALSE)),"")</f>
        <v/>
      </c>
      <c r="H857" s="24"/>
      <c r="I857" s="20"/>
      <c r="J857" s="20"/>
      <c r="K857" s="20"/>
      <c r="L857" s="21"/>
    </row>
    <row r="858" spans="1:12" x14ac:dyDescent="0.2">
      <c r="A858" s="26"/>
      <c r="B858" s="22"/>
      <c r="C858" s="22"/>
      <c r="D858" s="34" t="str">
        <f>IFERROR(IF(C858="","",VLOOKUP(C858,المستفيدين!$B:$C,2,FALSE)),"")</f>
        <v/>
      </c>
      <c r="E858" s="20"/>
      <c r="F858" s="34" t="str">
        <f>IFERROR(IF(E858="","",VLOOKUP(E858,الموظفين!$B:$C,2,FALSE)),"")</f>
        <v/>
      </c>
      <c r="G858" s="34" t="str">
        <f>IFERROR(IF(C858="","",VLOOKUP(C858,المستفيدين!$B:$F,5,FALSE)),"")</f>
        <v/>
      </c>
      <c r="H858" s="24"/>
      <c r="I858" s="20"/>
      <c r="J858" s="20"/>
      <c r="K858" s="20"/>
      <c r="L858" s="21"/>
    </row>
    <row r="859" spans="1:12" x14ac:dyDescent="0.2">
      <c r="A859" s="26"/>
      <c r="B859" s="22"/>
      <c r="C859" s="22"/>
      <c r="D859" s="34" t="str">
        <f>IFERROR(IF(C859="","",VLOOKUP(C859,المستفيدين!$B:$C,2,FALSE)),"")</f>
        <v/>
      </c>
      <c r="E859" s="20"/>
      <c r="F859" s="34" t="str">
        <f>IFERROR(IF(E859="","",VLOOKUP(E859,الموظفين!$B:$C,2,FALSE)),"")</f>
        <v/>
      </c>
      <c r="G859" s="34" t="str">
        <f>IFERROR(IF(C859="","",VLOOKUP(C859,المستفيدين!$B:$F,5,FALSE)),"")</f>
        <v/>
      </c>
      <c r="H859" s="24"/>
      <c r="I859" s="20"/>
      <c r="J859" s="20"/>
      <c r="K859" s="20"/>
      <c r="L859" s="21"/>
    </row>
    <row r="860" spans="1:12" x14ac:dyDescent="0.2">
      <c r="A860" s="26"/>
      <c r="B860" s="22"/>
      <c r="C860" s="22"/>
      <c r="D860" s="34" t="str">
        <f>IFERROR(IF(C860="","",VLOOKUP(C860,المستفيدين!$B:$C,2,FALSE)),"")</f>
        <v/>
      </c>
      <c r="E860" s="20"/>
      <c r="F860" s="34" t="str">
        <f>IFERROR(IF(E860="","",VLOOKUP(E860,الموظفين!$B:$C,2,FALSE)),"")</f>
        <v/>
      </c>
      <c r="G860" s="34" t="str">
        <f>IFERROR(IF(C860="","",VLOOKUP(C860,المستفيدين!$B:$F,5,FALSE)),"")</f>
        <v/>
      </c>
      <c r="H860" s="24"/>
      <c r="I860" s="20"/>
      <c r="J860" s="20"/>
      <c r="K860" s="20"/>
      <c r="L860" s="21"/>
    </row>
    <row r="861" spans="1:12" x14ac:dyDescent="0.2">
      <c r="A861" s="26"/>
      <c r="B861" s="22"/>
      <c r="C861" s="22"/>
      <c r="D861" s="34" t="str">
        <f>IFERROR(IF(C861="","",VLOOKUP(C861,المستفيدين!$B:$C,2,FALSE)),"")</f>
        <v/>
      </c>
      <c r="E861" s="20"/>
      <c r="F861" s="34" t="str">
        <f>IFERROR(IF(E861="","",VLOOKUP(E861,الموظفين!$B:$C,2,FALSE)),"")</f>
        <v/>
      </c>
      <c r="G861" s="34" t="str">
        <f>IFERROR(IF(C861="","",VLOOKUP(C861,المستفيدين!$B:$F,5,FALSE)),"")</f>
        <v/>
      </c>
      <c r="H861" s="24"/>
      <c r="I861" s="20"/>
      <c r="J861" s="20"/>
      <c r="K861" s="20"/>
      <c r="L861" s="21"/>
    </row>
    <row r="862" spans="1:12" x14ac:dyDescent="0.2">
      <c r="A862" s="26"/>
      <c r="B862" s="22"/>
      <c r="C862" s="22"/>
      <c r="D862" s="34" t="str">
        <f>IFERROR(IF(C862="","",VLOOKUP(C862,المستفيدين!$B:$C,2,FALSE)),"")</f>
        <v/>
      </c>
      <c r="E862" s="20"/>
      <c r="F862" s="34" t="str">
        <f>IFERROR(IF(E862="","",VLOOKUP(E862,الموظفين!$B:$C,2,FALSE)),"")</f>
        <v/>
      </c>
      <c r="G862" s="34" t="str">
        <f>IFERROR(IF(C862="","",VLOOKUP(C862,المستفيدين!$B:$F,5,FALSE)),"")</f>
        <v/>
      </c>
      <c r="H862" s="24"/>
      <c r="I862" s="20"/>
      <c r="J862" s="20"/>
      <c r="K862" s="20"/>
      <c r="L862" s="21"/>
    </row>
    <row r="863" spans="1:12" x14ac:dyDescent="0.2">
      <c r="A863" s="26"/>
      <c r="B863" s="22"/>
      <c r="C863" s="22"/>
      <c r="D863" s="34" t="str">
        <f>IFERROR(IF(C863="","",VLOOKUP(C863,المستفيدين!$B:$C,2,FALSE)),"")</f>
        <v/>
      </c>
      <c r="E863" s="20"/>
      <c r="F863" s="34" t="str">
        <f>IFERROR(IF(E863="","",VLOOKUP(E863,الموظفين!$B:$C,2,FALSE)),"")</f>
        <v/>
      </c>
      <c r="G863" s="34" t="str">
        <f>IFERROR(IF(C863="","",VLOOKUP(C863,المستفيدين!$B:$F,5,FALSE)),"")</f>
        <v/>
      </c>
      <c r="H863" s="24"/>
      <c r="I863" s="20"/>
      <c r="J863" s="20"/>
      <c r="K863" s="20"/>
      <c r="L863" s="21"/>
    </row>
    <row r="864" spans="1:12" x14ac:dyDescent="0.2">
      <c r="A864" s="26"/>
      <c r="B864" s="22"/>
      <c r="C864" s="22"/>
      <c r="D864" s="34" t="str">
        <f>IFERROR(IF(C864="","",VLOOKUP(C864,المستفيدين!$B:$C,2,FALSE)),"")</f>
        <v/>
      </c>
      <c r="E864" s="20"/>
      <c r="F864" s="34" t="str">
        <f>IFERROR(IF(E864="","",VLOOKUP(E864,الموظفين!$B:$C,2,FALSE)),"")</f>
        <v/>
      </c>
      <c r="G864" s="34" t="str">
        <f>IFERROR(IF(C864="","",VLOOKUP(C864,المستفيدين!$B:$F,5,FALSE)),"")</f>
        <v/>
      </c>
      <c r="H864" s="24"/>
      <c r="I864" s="20"/>
      <c r="J864" s="20"/>
      <c r="K864" s="20"/>
      <c r="L864" s="21"/>
    </row>
    <row r="865" spans="1:12" x14ac:dyDescent="0.2">
      <c r="A865" s="26"/>
      <c r="B865" s="22"/>
      <c r="C865" s="22"/>
      <c r="D865" s="34" t="str">
        <f>IFERROR(IF(C865="","",VLOOKUP(C865,المستفيدين!$B:$C,2,FALSE)),"")</f>
        <v/>
      </c>
      <c r="E865" s="20"/>
      <c r="F865" s="34" t="str">
        <f>IFERROR(IF(E865="","",VLOOKUP(E865,الموظفين!$B:$C,2,FALSE)),"")</f>
        <v/>
      </c>
      <c r="G865" s="34" t="str">
        <f>IFERROR(IF(C865="","",VLOOKUP(C865,المستفيدين!$B:$F,5,FALSE)),"")</f>
        <v/>
      </c>
      <c r="H865" s="24"/>
      <c r="I865" s="20"/>
      <c r="J865" s="20"/>
      <c r="K865" s="20"/>
      <c r="L865" s="21"/>
    </row>
    <row r="866" spans="1:12" x14ac:dyDescent="0.2">
      <c r="A866" s="26"/>
      <c r="B866" s="22"/>
      <c r="C866" s="22"/>
      <c r="D866" s="34" t="str">
        <f>IFERROR(IF(C866="","",VLOOKUP(C866,المستفيدين!$B:$C,2,FALSE)),"")</f>
        <v/>
      </c>
      <c r="E866" s="20"/>
      <c r="F866" s="34" t="str">
        <f>IFERROR(IF(E866="","",VLOOKUP(E866,الموظفين!$B:$C,2,FALSE)),"")</f>
        <v/>
      </c>
      <c r="G866" s="34" t="str">
        <f>IFERROR(IF(C866="","",VLOOKUP(C866,المستفيدين!$B:$F,5,FALSE)),"")</f>
        <v/>
      </c>
      <c r="H866" s="24"/>
      <c r="I866" s="20"/>
      <c r="J866" s="20"/>
      <c r="K866" s="20"/>
      <c r="L866" s="21"/>
    </row>
    <row r="867" spans="1:12" x14ac:dyDescent="0.2">
      <c r="A867" s="26"/>
      <c r="B867" s="22"/>
      <c r="C867" s="22"/>
      <c r="D867" s="34" t="str">
        <f>IFERROR(IF(C867="","",VLOOKUP(C867,المستفيدين!$B:$C,2,FALSE)),"")</f>
        <v/>
      </c>
      <c r="E867" s="20"/>
      <c r="F867" s="34" t="str">
        <f>IFERROR(IF(E867="","",VLOOKUP(E867,الموظفين!$B:$C,2,FALSE)),"")</f>
        <v/>
      </c>
      <c r="G867" s="34" t="str">
        <f>IFERROR(IF(C867="","",VLOOKUP(C867,المستفيدين!$B:$F,5,FALSE)),"")</f>
        <v/>
      </c>
      <c r="H867" s="24"/>
      <c r="I867" s="20"/>
      <c r="J867" s="20"/>
      <c r="K867" s="20"/>
      <c r="L867" s="21"/>
    </row>
    <row r="868" spans="1:12" x14ac:dyDescent="0.2">
      <c r="A868" s="26"/>
      <c r="B868" s="22"/>
      <c r="C868" s="22"/>
      <c r="D868" s="34" t="str">
        <f>IFERROR(IF(C868="","",VLOOKUP(C868,المستفيدين!$B:$C,2,FALSE)),"")</f>
        <v/>
      </c>
      <c r="E868" s="20"/>
      <c r="F868" s="34" t="str">
        <f>IFERROR(IF(E868="","",VLOOKUP(E868,الموظفين!$B:$C,2,FALSE)),"")</f>
        <v/>
      </c>
      <c r="G868" s="34" t="str">
        <f>IFERROR(IF(C868="","",VLOOKUP(C868,المستفيدين!$B:$F,5,FALSE)),"")</f>
        <v/>
      </c>
      <c r="H868" s="24"/>
      <c r="I868" s="20"/>
      <c r="J868" s="20"/>
      <c r="K868" s="20"/>
      <c r="L868" s="21"/>
    </row>
    <row r="869" spans="1:12" x14ac:dyDescent="0.2">
      <c r="A869" s="26"/>
      <c r="B869" s="22"/>
      <c r="C869" s="22"/>
      <c r="D869" s="34" t="str">
        <f>IFERROR(IF(C869="","",VLOOKUP(C869,المستفيدين!$B:$C,2,FALSE)),"")</f>
        <v/>
      </c>
      <c r="E869" s="20"/>
      <c r="F869" s="34" t="str">
        <f>IFERROR(IF(E869="","",VLOOKUP(E869,الموظفين!$B:$C,2,FALSE)),"")</f>
        <v/>
      </c>
      <c r="G869" s="34" t="str">
        <f>IFERROR(IF(C869="","",VLOOKUP(C869,المستفيدين!$B:$F,5,FALSE)),"")</f>
        <v/>
      </c>
      <c r="H869" s="24"/>
      <c r="I869" s="20"/>
      <c r="J869" s="20"/>
      <c r="K869" s="20"/>
      <c r="L869" s="21"/>
    </row>
    <row r="870" spans="1:12" x14ac:dyDescent="0.2">
      <c r="A870" s="26"/>
      <c r="B870" s="22"/>
      <c r="C870" s="22"/>
      <c r="D870" s="34" t="str">
        <f>IFERROR(IF(C870="","",VLOOKUP(C870,المستفيدين!$B:$C,2,FALSE)),"")</f>
        <v/>
      </c>
      <c r="E870" s="20"/>
      <c r="F870" s="34" t="str">
        <f>IFERROR(IF(E870="","",VLOOKUP(E870,الموظفين!$B:$C,2,FALSE)),"")</f>
        <v/>
      </c>
      <c r="G870" s="34" t="str">
        <f>IFERROR(IF(C870="","",VLOOKUP(C870,المستفيدين!$B:$F,5,FALSE)),"")</f>
        <v/>
      </c>
      <c r="H870" s="24"/>
      <c r="I870" s="20"/>
      <c r="J870" s="20"/>
      <c r="K870" s="20"/>
      <c r="L870" s="21"/>
    </row>
    <row r="871" spans="1:12" x14ac:dyDescent="0.2">
      <c r="A871" s="26"/>
      <c r="B871" s="22"/>
      <c r="C871" s="22"/>
      <c r="D871" s="34" t="str">
        <f>IFERROR(IF(C871="","",VLOOKUP(C871,المستفيدين!$B:$C,2,FALSE)),"")</f>
        <v/>
      </c>
      <c r="E871" s="20"/>
      <c r="F871" s="34" t="str">
        <f>IFERROR(IF(E871="","",VLOOKUP(E871,الموظفين!$B:$C,2,FALSE)),"")</f>
        <v/>
      </c>
      <c r="G871" s="34" t="str">
        <f>IFERROR(IF(C871="","",VLOOKUP(C871,المستفيدين!$B:$F,5,FALSE)),"")</f>
        <v/>
      </c>
      <c r="H871" s="24"/>
      <c r="I871" s="20"/>
      <c r="J871" s="20"/>
      <c r="K871" s="20"/>
      <c r="L871" s="21"/>
    </row>
    <row r="872" spans="1:12" x14ac:dyDescent="0.2">
      <c r="A872" s="26"/>
      <c r="B872" s="22"/>
      <c r="C872" s="22"/>
      <c r="D872" s="34" t="str">
        <f>IFERROR(IF(C872="","",VLOOKUP(C872,المستفيدين!$B:$C,2,FALSE)),"")</f>
        <v/>
      </c>
      <c r="E872" s="20"/>
      <c r="F872" s="34" t="str">
        <f>IFERROR(IF(E872="","",VLOOKUP(E872,الموظفين!$B:$C,2,FALSE)),"")</f>
        <v/>
      </c>
      <c r="G872" s="34" t="str">
        <f>IFERROR(IF(C872="","",VLOOKUP(C872,المستفيدين!$B:$F,5,FALSE)),"")</f>
        <v/>
      </c>
      <c r="H872" s="24"/>
      <c r="I872" s="20"/>
      <c r="J872" s="20"/>
      <c r="K872" s="20"/>
      <c r="L872" s="21"/>
    </row>
    <row r="873" spans="1:12" x14ac:dyDescent="0.2">
      <c r="A873" s="26"/>
      <c r="B873" s="22"/>
      <c r="C873" s="22"/>
      <c r="D873" s="34" t="str">
        <f>IFERROR(IF(C873="","",VLOOKUP(C873,المستفيدين!$B:$C,2,FALSE)),"")</f>
        <v/>
      </c>
      <c r="E873" s="20"/>
      <c r="F873" s="34" t="str">
        <f>IFERROR(IF(E873="","",VLOOKUP(E873,الموظفين!$B:$C,2,FALSE)),"")</f>
        <v/>
      </c>
      <c r="G873" s="34" t="str">
        <f>IFERROR(IF(C873="","",VLOOKUP(C873,المستفيدين!$B:$F,5,FALSE)),"")</f>
        <v/>
      </c>
      <c r="H873" s="24"/>
      <c r="I873" s="20"/>
      <c r="J873" s="20"/>
      <c r="K873" s="20"/>
      <c r="L873" s="21"/>
    </row>
    <row r="874" spans="1:12" x14ac:dyDescent="0.2">
      <c r="A874" s="26"/>
      <c r="B874" s="22"/>
      <c r="C874" s="22"/>
      <c r="D874" s="34" t="str">
        <f>IFERROR(IF(C874="","",VLOOKUP(C874,المستفيدين!$B:$C,2,FALSE)),"")</f>
        <v/>
      </c>
      <c r="E874" s="20"/>
      <c r="F874" s="34" t="str">
        <f>IFERROR(IF(E874="","",VLOOKUP(E874,الموظفين!$B:$C,2,FALSE)),"")</f>
        <v/>
      </c>
      <c r="G874" s="34" t="str">
        <f>IFERROR(IF(C874="","",VLOOKUP(C874,المستفيدين!$B:$F,5,FALSE)),"")</f>
        <v/>
      </c>
      <c r="H874" s="24"/>
      <c r="I874" s="20"/>
      <c r="J874" s="20"/>
      <c r="K874" s="20"/>
      <c r="L874" s="21"/>
    </row>
    <row r="875" spans="1:12" x14ac:dyDescent="0.2">
      <c r="A875" s="26"/>
      <c r="B875" s="22"/>
      <c r="C875" s="22"/>
      <c r="D875" s="34" t="str">
        <f>IFERROR(IF(C875="","",VLOOKUP(C875,المستفيدين!$B:$C,2,FALSE)),"")</f>
        <v/>
      </c>
      <c r="E875" s="20"/>
      <c r="F875" s="34" t="str">
        <f>IFERROR(IF(E875="","",VLOOKUP(E875,الموظفين!$B:$C,2,FALSE)),"")</f>
        <v/>
      </c>
      <c r="G875" s="34" t="str">
        <f>IFERROR(IF(C875="","",VLOOKUP(C875,المستفيدين!$B:$F,5,FALSE)),"")</f>
        <v/>
      </c>
      <c r="H875" s="24"/>
      <c r="I875" s="20"/>
      <c r="J875" s="20"/>
      <c r="K875" s="20"/>
      <c r="L875" s="21"/>
    </row>
    <row r="876" spans="1:12" x14ac:dyDescent="0.2">
      <c r="A876" s="26"/>
      <c r="B876" s="22"/>
      <c r="C876" s="22"/>
      <c r="D876" s="34" t="str">
        <f>IFERROR(IF(C876="","",VLOOKUP(C876,المستفيدين!$B:$C,2,FALSE)),"")</f>
        <v/>
      </c>
      <c r="E876" s="20"/>
      <c r="F876" s="34" t="str">
        <f>IFERROR(IF(E876="","",VLOOKUP(E876,الموظفين!$B:$C,2,FALSE)),"")</f>
        <v/>
      </c>
      <c r="G876" s="34" t="str">
        <f>IFERROR(IF(C876="","",VLOOKUP(C876,المستفيدين!$B:$F,5,FALSE)),"")</f>
        <v/>
      </c>
      <c r="H876" s="24"/>
      <c r="I876" s="20"/>
      <c r="J876" s="20"/>
      <c r="K876" s="20"/>
      <c r="L876" s="21"/>
    </row>
    <row r="877" spans="1:12" x14ac:dyDescent="0.2">
      <c r="A877" s="26"/>
      <c r="B877" s="22"/>
      <c r="C877" s="22"/>
      <c r="D877" s="34" t="str">
        <f>IFERROR(IF(C877="","",VLOOKUP(C877,المستفيدين!$B:$C,2,FALSE)),"")</f>
        <v/>
      </c>
      <c r="E877" s="20"/>
      <c r="F877" s="34" t="str">
        <f>IFERROR(IF(E877="","",VLOOKUP(E877,الموظفين!$B:$C,2,FALSE)),"")</f>
        <v/>
      </c>
      <c r="G877" s="34" t="str">
        <f>IFERROR(IF(C877="","",VLOOKUP(C877,المستفيدين!$B:$F,5,FALSE)),"")</f>
        <v/>
      </c>
      <c r="H877" s="24"/>
      <c r="I877" s="20"/>
      <c r="J877" s="20"/>
      <c r="K877" s="20"/>
      <c r="L877" s="21"/>
    </row>
    <row r="878" spans="1:12" x14ac:dyDescent="0.2">
      <c r="A878" s="26"/>
      <c r="B878" s="22"/>
      <c r="C878" s="22"/>
      <c r="D878" s="34" t="str">
        <f>IFERROR(IF(C878="","",VLOOKUP(C878,المستفيدين!$B:$C,2,FALSE)),"")</f>
        <v/>
      </c>
      <c r="E878" s="20"/>
      <c r="F878" s="34" t="str">
        <f>IFERROR(IF(E878="","",VLOOKUP(E878,الموظفين!$B:$C,2,FALSE)),"")</f>
        <v/>
      </c>
      <c r="G878" s="34" t="str">
        <f>IFERROR(IF(C878="","",VLOOKUP(C878,المستفيدين!$B:$F,5,FALSE)),"")</f>
        <v/>
      </c>
      <c r="H878" s="24"/>
      <c r="I878" s="20"/>
      <c r="J878" s="20"/>
      <c r="K878" s="20"/>
      <c r="L878" s="21"/>
    </row>
    <row r="879" spans="1:12" x14ac:dyDescent="0.2">
      <c r="A879" s="26"/>
      <c r="B879" s="22"/>
      <c r="C879" s="22"/>
      <c r="D879" s="34" t="str">
        <f>IFERROR(IF(C879="","",VLOOKUP(C879,المستفيدين!$B:$C,2,FALSE)),"")</f>
        <v/>
      </c>
      <c r="E879" s="20"/>
      <c r="F879" s="34" t="str">
        <f>IFERROR(IF(E879="","",VLOOKUP(E879,الموظفين!$B:$C,2,FALSE)),"")</f>
        <v/>
      </c>
      <c r="G879" s="34" t="str">
        <f>IFERROR(IF(C879="","",VLOOKUP(C879,المستفيدين!$B:$F,5,FALSE)),"")</f>
        <v/>
      </c>
      <c r="H879" s="24"/>
      <c r="I879" s="20"/>
      <c r="J879" s="20"/>
      <c r="K879" s="20"/>
      <c r="L879" s="21"/>
    </row>
    <row r="880" spans="1:12" x14ac:dyDescent="0.2">
      <c r="A880" s="26"/>
      <c r="B880" s="22"/>
      <c r="C880" s="22"/>
      <c r="D880" s="34" t="str">
        <f>IFERROR(IF(C880="","",VLOOKUP(C880,المستفيدين!$B:$C,2,FALSE)),"")</f>
        <v/>
      </c>
      <c r="E880" s="20"/>
      <c r="F880" s="34" t="str">
        <f>IFERROR(IF(E880="","",VLOOKUP(E880,الموظفين!$B:$C,2,FALSE)),"")</f>
        <v/>
      </c>
      <c r="G880" s="34" t="str">
        <f>IFERROR(IF(C880="","",VLOOKUP(C880,المستفيدين!$B:$F,5,FALSE)),"")</f>
        <v/>
      </c>
      <c r="H880" s="24"/>
      <c r="I880" s="20"/>
      <c r="J880" s="20"/>
      <c r="K880" s="20"/>
      <c r="L880" s="21"/>
    </row>
    <row r="881" spans="1:12" x14ac:dyDescent="0.2">
      <c r="A881" s="26"/>
      <c r="B881" s="22"/>
      <c r="C881" s="22"/>
      <c r="D881" s="34" t="str">
        <f>IFERROR(IF(C881="","",VLOOKUP(C881,المستفيدين!$B:$C,2,FALSE)),"")</f>
        <v/>
      </c>
      <c r="E881" s="20"/>
      <c r="F881" s="34" t="str">
        <f>IFERROR(IF(E881="","",VLOOKUP(E881,الموظفين!$B:$C,2,FALSE)),"")</f>
        <v/>
      </c>
      <c r="G881" s="34" t="str">
        <f>IFERROR(IF(C881="","",VLOOKUP(C881,المستفيدين!$B:$F,5,FALSE)),"")</f>
        <v/>
      </c>
      <c r="H881" s="24"/>
      <c r="I881" s="20"/>
      <c r="J881" s="20"/>
      <c r="K881" s="20"/>
      <c r="L881" s="21"/>
    </row>
    <row r="882" spans="1:12" x14ac:dyDescent="0.2">
      <c r="A882" s="26"/>
      <c r="B882" s="22"/>
      <c r="C882" s="22"/>
      <c r="D882" s="34" t="str">
        <f>IFERROR(IF(C882="","",VLOOKUP(C882,المستفيدين!$B:$C,2,FALSE)),"")</f>
        <v/>
      </c>
      <c r="E882" s="20"/>
      <c r="F882" s="34" t="str">
        <f>IFERROR(IF(E882="","",VLOOKUP(E882,الموظفين!$B:$C,2,FALSE)),"")</f>
        <v/>
      </c>
      <c r="G882" s="34" t="str">
        <f>IFERROR(IF(C882="","",VLOOKUP(C882,المستفيدين!$B:$F,5,FALSE)),"")</f>
        <v/>
      </c>
      <c r="H882" s="24"/>
      <c r="I882" s="20"/>
      <c r="J882" s="20"/>
      <c r="K882" s="20"/>
      <c r="L882" s="21"/>
    </row>
    <row r="883" spans="1:12" x14ac:dyDescent="0.2">
      <c r="A883" s="26"/>
      <c r="B883" s="22"/>
      <c r="C883" s="22"/>
      <c r="D883" s="34" t="str">
        <f>IFERROR(IF(C883="","",VLOOKUP(C883,المستفيدين!$B:$C,2,FALSE)),"")</f>
        <v/>
      </c>
      <c r="E883" s="20"/>
      <c r="F883" s="34" t="str">
        <f>IFERROR(IF(E883="","",VLOOKUP(E883,الموظفين!$B:$C,2,FALSE)),"")</f>
        <v/>
      </c>
      <c r="G883" s="34" t="str">
        <f>IFERROR(IF(C883="","",VLOOKUP(C883,المستفيدين!$B:$F,5,FALSE)),"")</f>
        <v/>
      </c>
      <c r="H883" s="24"/>
      <c r="I883" s="20"/>
      <c r="J883" s="20"/>
      <c r="K883" s="20"/>
      <c r="L883" s="21"/>
    </row>
    <row r="884" spans="1:12" x14ac:dyDescent="0.2">
      <c r="A884" s="26"/>
      <c r="B884" s="22"/>
      <c r="C884" s="22"/>
      <c r="D884" s="34" t="str">
        <f>IFERROR(IF(C884="","",VLOOKUP(C884,المستفيدين!$B:$C,2,FALSE)),"")</f>
        <v/>
      </c>
      <c r="E884" s="20"/>
      <c r="F884" s="34" t="str">
        <f>IFERROR(IF(E884="","",VLOOKUP(E884,الموظفين!$B:$C,2,FALSE)),"")</f>
        <v/>
      </c>
      <c r="G884" s="34" t="str">
        <f>IFERROR(IF(C884="","",VLOOKUP(C884,المستفيدين!$B:$F,5,FALSE)),"")</f>
        <v/>
      </c>
      <c r="H884" s="24"/>
      <c r="I884" s="20"/>
      <c r="J884" s="20"/>
      <c r="K884" s="20"/>
      <c r="L884" s="21"/>
    </row>
    <row r="885" spans="1:12" x14ac:dyDescent="0.2">
      <c r="A885" s="26"/>
      <c r="B885" s="22"/>
      <c r="C885" s="22"/>
      <c r="D885" s="34" t="str">
        <f>IFERROR(IF(C885="","",VLOOKUP(C885,المستفيدين!$B:$C,2,FALSE)),"")</f>
        <v/>
      </c>
      <c r="E885" s="20"/>
      <c r="F885" s="34" t="str">
        <f>IFERROR(IF(E885="","",VLOOKUP(E885,الموظفين!$B:$C,2,FALSE)),"")</f>
        <v/>
      </c>
      <c r="G885" s="34" t="str">
        <f>IFERROR(IF(C885="","",VLOOKUP(C885,المستفيدين!$B:$F,5,FALSE)),"")</f>
        <v/>
      </c>
      <c r="H885" s="24"/>
      <c r="I885" s="20"/>
      <c r="J885" s="20"/>
      <c r="K885" s="20"/>
      <c r="L885" s="21"/>
    </row>
    <row r="886" spans="1:12" x14ac:dyDescent="0.2">
      <c r="A886" s="26"/>
      <c r="B886" s="22"/>
      <c r="C886" s="22"/>
      <c r="D886" s="34" t="str">
        <f>IFERROR(IF(C886="","",VLOOKUP(C886,المستفيدين!$B:$C,2,FALSE)),"")</f>
        <v/>
      </c>
      <c r="E886" s="20"/>
      <c r="F886" s="34" t="str">
        <f>IFERROR(IF(E886="","",VLOOKUP(E886,الموظفين!$B:$C,2,FALSE)),"")</f>
        <v/>
      </c>
      <c r="G886" s="34" t="str">
        <f>IFERROR(IF(C886="","",VLOOKUP(C886,المستفيدين!$B:$F,5,FALSE)),"")</f>
        <v/>
      </c>
      <c r="H886" s="24"/>
      <c r="I886" s="20"/>
      <c r="J886" s="20"/>
      <c r="K886" s="20"/>
      <c r="L886" s="21"/>
    </row>
    <row r="887" spans="1:12" x14ac:dyDescent="0.2">
      <c r="A887" s="26"/>
      <c r="B887" s="22"/>
      <c r="C887" s="22"/>
      <c r="D887" s="34" t="str">
        <f>IFERROR(IF(C887="","",VLOOKUP(C887,المستفيدين!$B:$C,2,FALSE)),"")</f>
        <v/>
      </c>
      <c r="E887" s="20"/>
      <c r="F887" s="34" t="str">
        <f>IFERROR(IF(E887="","",VLOOKUP(E887,الموظفين!$B:$C,2,FALSE)),"")</f>
        <v/>
      </c>
      <c r="G887" s="34" t="str">
        <f>IFERROR(IF(C887="","",VLOOKUP(C887,المستفيدين!$B:$F,5,FALSE)),"")</f>
        <v/>
      </c>
      <c r="H887" s="24"/>
      <c r="I887" s="20"/>
      <c r="J887" s="20"/>
      <c r="K887" s="20"/>
      <c r="L887" s="21"/>
    </row>
    <row r="888" spans="1:12" x14ac:dyDescent="0.2">
      <c r="A888" s="26"/>
      <c r="B888" s="22"/>
      <c r="C888" s="22"/>
      <c r="D888" s="34" t="str">
        <f>IFERROR(IF(C888="","",VLOOKUP(C888,المستفيدين!$B:$C,2,FALSE)),"")</f>
        <v/>
      </c>
      <c r="E888" s="20"/>
      <c r="F888" s="34" t="str">
        <f>IFERROR(IF(E888="","",VLOOKUP(E888,الموظفين!$B:$C,2,FALSE)),"")</f>
        <v/>
      </c>
      <c r="G888" s="34" t="str">
        <f>IFERROR(IF(C888="","",VLOOKUP(C888,المستفيدين!$B:$F,5,FALSE)),"")</f>
        <v/>
      </c>
      <c r="H888" s="24"/>
      <c r="I888" s="20"/>
      <c r="J888" s="20"/>
      <c r="K888" s="20"/>
      <c r="L888" s="21"/>
    </row>
    <row r="889" spans="1:12" x14ac:dyDescent="0.2">
      <c r="A889" s="26"/>
      <c r="B889" s="22"/>
      <c r="C889" s="22"/>
      <c r="D889" s="34" t="str">
        <f>IFERROR(IF(C889="","",VLOOKUP(C889,المستفيدين!$B:$C,2,FALSE)),"")</f>
        <v/>
      </c>
      <c r="E889" s="20"/>
      <c r="F889" s="34" t="str">
        <f>IFERROR(IF(E889="","",VLOOKUP(E889,الموظفين!$B:$C,2,FALSE)),"")</f>
        <v/>
      </c>
      <c r="G889" s="34" t="str">
        <f>IFERROR(IF(C889="","",VLOOKUP(C889,المستفيدين!$B:$F,5,FALSE)),"")</f>
        <v/>
      </c>
      <c r="H889" s="24"/>
      <c r="I889" s="20"/>
      <c r="J889" s="20"/>
      <c r="K889" s="20"/>
      <c r="L889" s="21"/>
    </row>
    <row r="890" spans="1:12" x14ac:dyDescent="0.2">
      <c r="A890" s="26"/>
      <c r="B890" s="22"/>
      <c r="C890" s="22"/>
      <c r="D890" s="34" t="str">
        <f>IFERROR(IF(C890="","",VLOOKUP(C890,المستفيدين!$B:$C,2,FALSE)),"")</f>
        <v/>
      </c>
      <c r="E890" s="20"/>
      <c r="F890" s="34" t="str">
        <f>IFERROR(IF(E890="","",VLOOKUP(E890,الموظفين!$B:$C,2,FALSE)),"")</f>
        <v/>
      </c>
      <c r="G890" s="34" t="str">
        <f>IFERROR(IF(C890="","",VLOOKUP(C890,المستفيدين!$B:$F,5,FALSE)),"")</f>
        <v/>
      </c>
      <c r="H890" s="24"/>
      <c r="I890" s="20"/>
      <c r="J890" s="20"/>
      <c r="K890" s="20"/>
      <c r="L890" s="21"/>
    </row>
    <row r="891" spans="1:12" x14ac:dyDescent="0.2">
      <c r="A891" s="26"/>
      <c r="B891" s="22"/>
      <c r="C891" s="22"/>
      <c r="D891" s="34" t="str">
        <f>IFERROR(IF(C891="","",VLOOKUP(C891,المستفيدين!$B:$C,2,FALSE)),"")</f>
        <v/>
      </c>
      <c r="E891" s="20"/>
      <c r="F891" s="34" t="str">
        <f>IFERROR(IF(E891="","",VLOOKUP(E891,الموظفين!$B:$C,2,FALSE)),"")</f>
        <v/>
      </c>
      <c r="G891" s="34" t="str">
        <f>IFERROR(IF(C891="","",VLOOKUP(C891,المستفيدين!$B:$F,5,FALSE)),"")</f>
        <v/>
      </c>
      <c r="H891" s="24"/>
      <c r="I891" s="20"/>
      <c r="J891" s="20"/>
      <c r="K891" s="20"/>
      <c r="L891" s="21"/>
    </row>
    <row r="892" spans="1:12" x14ac:dyDescent="0.2">
      <c r="A892" s="26"/>
      <c r="B892" s="22"/>
      <c r="C892" s="22"/>
      <c r="D892" s="34" t="str">
        <f>IFERROR(IF(C892="","",VLOOKUP(C892,المستفيدين!$B:$C,2,FALSE)),"")</f>
        <v/>
      </c>
      <c r="E892" s="20"/>
      <c r="F892" s="34" t="str">
        <f>IFERROR(IF(E892="","",VLOOKUP(E892,الموظفين!$B:$C,2,FALSE)),"")</f>
        <v/>
      </c>
      <c r="G892" s="34" t="str">
        <f>IFERROR(IF(C892="","",VLOOKUP(C892,المستفيدين!$B:$F,5,FALSE)),"")</f>
        <v/>
      </c>
      <c r="H892" s="24"/>
      <c r="I892" s="20"/>
      <c r="J892" s="20"/>
      <c r="K892" s="20"/>
      <c r="L892" s="21"/>
    </row>
    <row r="893" spans="1:12" x14ac:dyDescent="0.2">
      <c r="A893" s="26"/>
      <c r="B893" s="22"/>
      <c r="C893" s="22"/>
      <c r="D893" s="34" t="str">
        <f>IFERROR(IF(C893="","",VLOOKUP(C893,المستفيدين!$B:$C,2,FALSE)),"")</f>
        <v/>
      </c>
      <c r="E893" s="20"/>
      <c r="F893" s="34" t="str">
        <f>IFERROR(IF(E893="","",VLOOKUP(E893,الموظفين!$B:$C,2,FALSE)),"")</f>
        <v/>
      </c>
      <c r="G893" s="34" t="str">
        <f>IFERROR(IF(C893="","",VLOOKUP(C893,المستفيدين!$B:$F,5,FALSE)),"")</f>
        <v/>
      </c>
      <c r="H893" s="24"/>
      <c r="I893" s="20"/>
      <c r="J893" s="20"/>
      <c r="K893" s="20"/>
      <c r="L893" s="21"/>
    </row>
    <row r="894" spans="1:12" x14ac:dyDescent="0.2">
      <c r="A894" s="26"/>
      <c r="B894" s="22"/>
      <c r="C894" s="22"/>
      <c r="D894" s="34" t="str">
        <f>IFERROR(IF(C894="","",VLOOKUP(C894,المستفيدين!$B:$C,2,FALSE)),"")</f>
        <v/>
      </c>
      <c r="E894" s="20"/>
      <c r="F894" s="34" t="str">
        <f>IFERROR(IF(E894="","",VLOOKUP(E894,الموظفين!$B:$C,2,FALSE)),"")</f>
        <v/>
      </c>
      <c r="G894" s="34" t="str">
        <f>IFERROR(IF(C894="","",VLOOKUP(C894,المستفيدين!$B:$F,5,FALSE)),"")</f>
        <v/>
      </c>
      <c r="H894" s="24"/>
      <c r="I894" s="20"/>
      <c r="J894" s="20"/>
      <c r="K894" s="20"/>
      <c r="L894" s="21"/>
    </row>
    <row r="895" spans="1:12" x14ac:dyDescent="0.2">
      <c r="A895" s="26"/>
      <c r="B895" s="22"/>
      <c r="C895" s="22"/>
      <c r="D895" s="34" t="str">
        <f>IFERROR(IF(C895="","",VLOOKUP(C895,المستفيدين!$B:$C,2,FALSE)),"")</f>
        <v/>
      </c>
      <c r="E895" s="20"/>
      <c r="F895" s="34" t="str">
        <f>IFERROR(IF(E895="","",VLOOKUP(E895,الموظفين!$B:$C,2,FALSE)),"")</f>
        <v/>
      </c>
      <c r="G895" s="34" t="str">
        <f>IFERROR(IF(C895="","",VLOOKUP(C895,المستفيدين!$B:$F,5,FALSE)),"")</f>
        <v/>
      </c>
      <c r="H895" s="24"/>
      <c r="I895" s="20"/>
      <c r="J895" s="20"/>
      <c r="K895" s="20"/>
      <c r="L895" s="21"/>
    </row>
    <row r="896" spans="1:12" x14ac:dyDescent="0.2">
      <c r="A896" s="26"/>
      <c r="B896" s="22"/>
      <c r="C896" s="22"/>
      <c r="D896" s="34" t="str">
        <f>IFERROR(IF(C896="","",VLOOKUP(C896,المستفيدين!$B:$C,2,FALSE)),"")</f>
        <v/>
      </c>
      <c r="E896" s="20"/>
      <c r="F896" s="34" t="str">
        <f>IFERROR(IF(E896="","",VLOOKUP(E896,الموظفين!$B:$C,2,FALSE)),"")</f>
        <v/>
      </c>
      <c r="G896" s="34" t="str">
        <f>IFERROR(IF(C896="","",VLOOKUP(C896,المستفيدين!$B:$F,5,FALSE)),"")</f>
        <v/>
      </c>
      <c r="H896" s="24"/>
      <c r="I896" s="20"/>
      <c r="J896" s="20"/>
      <c r="K896" s="20"/>
      <c r="L896" s="21"/>
    </row>
    <row r="897" spans="1:12" x14ac:dyDescent="0.2">
      <c r="A897" s="26"/>
      <c r="B897" s="22"/>
      <c r="C897" s="22"/>
      <c r="D897" s="34" t="str">
        <f>IFERROR(IF(C897="","",VLOOKUP(C897,المستفيدين!$B:$C,2,FALSE)),"")</f>
        <v/>
      </c>
      <c r="E897" s="20"/>
      <c r="F897" s="34" t="str">
        <f>IFERROR(IF(E897="","",VLOOKUP(E897,الموظفين!$B:$C,2,FALSE)),"")</f>
        <v/>
      </c>
      <c r="G897" s="34" t="str">
        <f>IFERROR(IF(C897="","",VLOOKUP(C897,المستفيدين!$B:$F,5,FALSE)),"")</f>
        <v/>
      </c>
      <c r="H897" s="24"/>
      <c r="I897" s="20"/>
      <c r="J897" s="20"/>
      <c r="K897" s="20"/>
      <c r="L897" s="21"/>
    </row>
    <row r="898" spans="1:12" x14ac:dyDescent="0.2">
      <c r="A898" s="26"/>
      <c r="B898" s="22"/>
      <c r="C898" s="22"/>
      <c r="D898" s="34" t="str">
        <f>IFERROR(IF(C898="","",VLOOKUP(C898,المستفيدين!$B:$C,2,FALSE)),"")</f>
        <v/>
      </c>
      <c r="E898" s="20"/>
      <c r="F898" s="34" t="str">
        <f>IFERROR(IF(E898="","",VLOOKUP(E898,الموظفين!$B:$C,2,FALSE)),"")</f>
        <v/>
      </c>
      <c r="G898" s="34" t="str">
        <f>IFERROR(IF(C898="","",VLOOKUP(C898,المستفيدين!$B:$F,5,FALSE)),"")</f>
        <v/>
      </c>
      <c r="H898" s="24"/>
      <c r="I898" s="20"/>
      <c r="J898" s="20"/>
      <c r="K898" s="20"/>
      <c r="L898" s="21"/>
    </row>
    <row r="899" spans="1:12" x14ac:dyDescent="0.2">
      <c r="A899" s="26"/>
      <c r="B899" s="22"/>
      <c r="C899" s="22"/>
      <c r="D899" s="34" t="str">
        <f>IFERROR(IF(C899="","",VLOOKUP(C899,المستفيدين!$B:$C,2,FALSE)),"")</f>
        <v/>
      </c>
      <c r="E899" s="20"/>
      <c r="F899" s="34" t="str">
        <f>IFERROR(IF(E899="","",VLOOKUP(E899,الموظفين!$B:$C,2,FALSE)),"")</f>
        <v/>
      </c>
      <c r="G899" s="34" t="str">
        <f>IFERROR(IF(C899="","",VLOOKUP(C899,المستفيدين!$B:$F,5,FALSE)),"")</f>
        <v/>
      </c>
      <c r="H899" s="24"/>
      <c r="I899" s="20"/>
      <c r="J899" s="20"/>
      <c r="K899" s="20"/>
      <c r="L899" s="21"/>
    </row>
    <row r="900" spans="1:12" x14ac:dyDescent="0.2">
      <c r="A900" s="26"/>
      <c r="B900" s="22"/>
      <c r="C900" s="22"/>
      <c r="D900" s="34" t="str">
        <f>IFERROR(IF(C900="","",VLOOKUP(C900,المستفيدين!$B:$C,2,FALSE)),"")</f>
        <v/>
      </c>
      <c r="E900" s="20"/>
      <c r="F900" s="34" t="str">
        <f>IFERROR(IF(E900="","",VLOOKUP(E900,الموظفين!$B:$C,2,FALSE)),"")</f>
        <v/>
      </c>
      <c r="G900" s="34" t="str">
        <f>IFERROR(IF(C900="","",VLOOKUP(C900,المستفيدين!$B:$F,5,FALSE)),"")</f>
        <v/>
      </c>
      <c r="H900" s="24"/>
      <c r="I900" s="20"/>
      <c r="J900" s="20"/>
      <c r="K900" s="20"/>
      <c r="L900" s="21"/>
    </row>
    <row r="901" spans="1:12" x14ac:dyDescent="0.2">
      <c r="A901" s="26"/>
      <c r="B901" s="22"/>
      <c r="C901" s="22"/>
      <c r="D901" s="34" t="str">
        <f>IFERROR(IF(C901="","",VLOOKUP(C901,المستفيدين!$B:$C,2,FALSE)),"")</f>
        <v/>
      </c>
      <c r="E901" s="20"/>
      <c r="F901" s="34" t="str">
        <f>IFERROR(IF(E901="","",VLOOKUP(E901,الموظفين!$B:$C,2,FALSE)),"")</f>
        <v/>
      </c>
      <c r="G901" s="34" t="str">
        <f>IFERROR(IF(C901="","",VLOOKUP(C901,المستفيدين!$B:$F,5,FALSE)),"")</f>
        <v/>
      </c>
      <c r="H901" s="24"/>
      <c r="I901" s="20"/>
      <c r="J901" s="20"/>
      <c r="K901" s="20"/>
      <c r="L901" s="21"/>
    </row>
    <row r="902" spans="1:12" x14ac:dyDescent="0.2">
      <c r="A902" s="26"/>
      <c r="B902" s="22"/>
      <c r="C902" s="22"/>
      <c r="D902" s="34" t="str">
        <f>IFERROR(IF(C902="","",VLOOKUP(C902,المستفيدين!$B:$C,2,FALSE)),"")</f>
        <v/>
      </c>
      <c r="E902" s="20"/>
      <c r="F902" s="34" t="str">
        <f>IFERROR(IF(E902="","",VLOOKUP(E902,الموظفين!$B:$C,2,FALSE)),"")</f>
        <v/>
      </c>
      <c r="G902" s="34" t="str">
        <f>IFERROR(IF(C902="","",VLOOKUP(C902,المستفيدين!$B:$F,5,FALSE)),"")</f>
        <v/>
      </c>
      <c r="H902" s="24"/>
      <c r="I902" s="20"/>
      <c r="J902" s="20"/>
      <c r="K902" s="20"/>
      <c r="L902" s="21"/>
    </row>
    <row r="903" spans="1:12" x14ac:dyDescent="0.2">
      <c r="A903" s="26"/>
      <c r="B903" s="22"/>
      <c r="C903" s="22"/>
      <c r="D903" s="34" t="str">
        <f>IFERROR(IF(C903="","",VLOOKUP(C903,المستفيدين!$B:$C,2,FALSE)),"")</f>
        <v/>
      </c>
      <c r="E903" s="20"/>
      <c r="F903" s="34" t="str">
        <f>IFERROR(IF(E903="","",VLOOKUP(E903,الموظفين!$B:$C,2,FALSE)),"")</f>
        <v/>
      </c>
      <c r="G903" s="34" t="str">
        <f>IFERROR(IF(C903="","",VLOOKUP(C903,المستفيدين!$B:$F,5,FALSE)),"")</f>
        <v/>
      </c>
      <c r="H903" s="24"/>
      <c r="I903" s="20"/>
      <c r="J903" s="20"/>
      <c r="K903" s="20"/>
      <c r="L903" s="21"/>
    </row>
    <row r="904" spans="1:12" x14ac:dyDescent="0.2">
      <c r="A904" s="26"/>
      <c r="B904" s="22"/>
      <c r="C904" s="22"/>
      <c r="D904" s="34" t="str">
        <f>IFERROR(IF(C904="","",VLOOKUP(C904,المستفيدين!$B:$C,2,FALSE)),"")</f>
        <v/>
      </c>
      <c r="E904" s="20"/>
      <c r="F904" s="34" t="str">
        <f>IFERROR(IF(E904="","",VLOOKUP(E904,الموظفين!$B:$C,2,FALSE)),"")</f>
        <v/>
      </c>
      <c r="G904" s="34" t="str">
        <f>IFERROR(IF(C904="","",VLOOKUP(C904,المستفيدين!$B:$F,5,FALSE)),"")</f>
        <v/>
      </c>
      <c r="H904" s="24"/>
      <c r="I904" s="20"/>
      <c r="J904" s="20"/>
      <c r="K904" s="20"/>
      <c r="L904" s="21"/>
    </row>
    <row r="905" spans="1:12" x14ac:dyDescent="0.2">
      <c r="A905" s="26"/>
      <c r="B905" s="22"/>
      <c r="C905" s="22"/>
      <c r="D905" s="34" t="str">
        <f>IFERROR(IF(C905="","",VLOOKUP(C905,المستفيدين!$B:$C,2,FALSE)),"")</f>
        <v/>
      </c>
      <c r="E905" s="20"/>
      <c r="F905" s="34" t="str">
        <f>IFERROR(IF(E905="","",VLOOKUP(E905,الموظفين!$B:$C,2,FALSE)),"")</f>
        <v/>
      </c>
      <c r="G905" s="34" t="str">
        <f>IFERROR(IF(C905="","",VLOOKUP(C905,المستفيدين!$B:$F,5,FALSE)),"")</f>
        <v/>
      </c>
      <c r="H905" s="24"/>
      <c r="I905" s="20"/>
      <c r="J905" s="20"/>
      <c r="K905" s="20"/>
      <c r="L905" s="21"/>
    </row>
    <row r="906" spans="1:12" x14ac:dyDescent="0.2">
      <c r="A906" s="26"/>
      <c r="B906" s="22"/>
      <c r="C906" s="22"/>
      <c r="D906" s="34" t="str">
        <f>IFERROR(IF(C906="","",VLOOKUP(C906,المستفيدين!$B:$C,2,FALSE)),"")</f>
        <v/>
      </c>
      <c r="E906" s="20"/>
      <c r="F906" s="34" t="str">
        <f>IFERROR(IF(E906="","",VLOOKUP(E906,الموظفين!$B:$C,2,FALSE)),"")</f>
        <v/>
      </c>
      <c r="G906" s="34" t="str">
        <f>IFERROR(IF(C906="","",VLOOKUP(C906,المستفيدين!$B:$F,5,FALSE)),"")</f>
        <v/>
      </c>
      <c r="H906" s="24"/>
      <c r="I906" s="20"/>
      <c r="J906" s="20"/>
      <c r="K906" s="20"/>
      <c r="L906" s="21"/>
    </row>
    <row r="907" spans="1:12" x14ac:dyDescent="0.2">
      <c r="A907" s="26"/>
      <c r="B907" s="22"/>
      <c r="C907" s="22"/>
      <c r="D907" s="34" t="str">
        <f>IFERROR(IF(C907="","",VLOOKUP(C907,المستفيدين!$B:$C,2,FALSE)),"")</f>
        <v/>
      </c>
      <c r="E907" s="20"/>
      <c r="F907" s="34" t="str">
        <f>IFERROR(IF(E907="","",VLOOKUP(E907,الموظفين!$B:$C,2,FALSE)),"")</f>
        <v/>
      </c>
      <c r="G907" s="34" t="str">
        <f>IFERROR(IF(C907="","",VLOOKUP(C907,المستفيدين!$B:$F,5,FALSE)),"")</f>
        <v/>
      </c>
      <c r="H907" s="24"/>
      <c r="I907" s="20"/>
      <c r="J907" s="20"/>
      <c r="K907" s="20"/>
      <c r="L907" s="21"/>
    </row>
    <row r="908" spans="1:12" x14ac:dyDescent="0.2">
      <c r="A908" s="26"/>
      <c r="B908" s="22"/>
      <c r="C908" s="22"/>
      <c r="D908" s="34" t="str">
        <f>IFERROR(IF(C908="","",VLOOKUP(C908,المستفيدين!$B:$C,2,FALSE)),"")</f>
        <v/>
      </c>
      <c r="E908" s="20"/>
      <c r="F908" s="34" t="str">
        <f>IFERROR(IF(E908="","",VLOOKUP(E908,الموظفين!$B:$C,2,FALSE)),"")</f>
        <v/>
      </c>
      <c r="G908" s="34" t="str">
        <f>IFERROR(IF(C908="","",VLOOKUP(C908,المستفيدين!$B:$F,5,FALSE)),"")</f>
        <v/>
      </c>
      <c r="H908" s="24"/>
      <c r="I908" s="20"/>
      <c r="J908" s="20"/>
      <c r="K908" s="20"/>
      <c r="L908" s="21"/>
    </row>
    <row r="909" spans="1:12" x14ac:dyDescent="0.2">
      <c r="A909" s="26"/>
      <c r="B909" s="22"/>
      <c r="C909" s="22"/>
      <c r="D909" s="34" t="str">
        <f>IFERROR(IF(C909="","",VLOOKUP(C909,المستفيدين!$B:$C,2,FALSE)),"")</f>
        <v/>
      </c>
      <c r="E909" s="20"/>
      <c r="F909" s="34" t="str">
        <f>IFERROR(IF(E909="","",VLOOKUP(E909,الموظفين!$B:$C,2,FALSE)),"")</f>
        <v/>
      </c>
      <c r="G909" s="34" t="str">
        <f>IFERROR(IF(C909="","",VLOOKUP(C909,المستفيدين!$B:$F,5,FALSE)),"")</f>
        <v/>
      </c>
      <c r="H909" s="24"/>
      <c r="I909" s="20"/>
      <c r="J909" s="20"/>
      <c r="K909" s="20"/>
      <c r="L909" s="21"/>
    </row>
    <row r="910" spans="1:12" x14ac:dyDescent="0.2">
      <c r="A910" s="26"/>
      <c r="B910" s="22"/>
      <c r="C910" s="22"/>
      <c r="D910" s="34" t="str">
        <f>IFERROR(IF(C910="","",VLOOKUP(C910,المستفيدين!$B:$C,2,FALSE)),"")</f>
        <v/>
      </c>
      <c r="E910" s="20"/>
      <c r="F910" s="34" t="str">
        <f>IFERROR(IF(E910="","",VLOOKUP(E910,الموظفين!$B:$C,2,FALSE)),"")</f>
        <v/>
      </c>
      <c r="G910" s="34" t="str">
        <f>IFERROR(IF(C910="","",VLOOKUP(C910,المستفيدين!$B:$F,5,FALSE)),"")</f>
        <v/>
      </c>
      <c r="H910" s="24"/>
      <c r="I910" s="20"/>
      <c r="J910" s="20"/>
      <c r="K910" s="20"/>
      <c r="L910" s="21"/>
    </row>
    <row r="911" spans="1:12" x14ac:dyDescent="0.2">
      <c r="A911" s="26"/>
      <c r="B911" s="22"/>
      <c r="C911" s="22"/>
      <c r="D911" s="34" t="str">
        <f>IFERROR(IF(C911="","",VLOOKUP(C911,المستفيدين!$B:$C,2,FALSE)),"")</f>
        <v/>
      </c>
      <c r="E911" s="20"/>
      <c r="F911" s="34" t="str">
        <f>IFERROR(IF(E911="","",VLOOKUP(E911,الموظفين!$B:$C,2,FALSE)),"")</f>
        <v/>
      </c>
      <c r="G911" s="34" t="str">
        <f>IFERROR(IF(C911="","",VLOOKUP(C911,المستفيدين!$B:$F,5,FALSE)),"")</f>
        <v/>
      </c>
      <c r="H911" s="24"/>
      <c r="I911" s="20"/>
      <c r="J911" s="20"/>
      <c r="K911" s="20"/>
      <c r="L911" s="21"/>
    </row>
    <row r="912" spans="1:12" x14ac:dyDescent="0.2">
      <c r="A912" s="26"/>
      <c r="B912" s="22"/>
      <c r="C912" s="22"/>
      <c r="D912" s="34" t="str">
        <f>IFERROR(IF(C912="","",VLOOKUP(C912,المستفيدين!$B:$C,2,FALSE)),"")</f>
        <v/>
      </c>
      <c r="E912" s="20"/>
      <c r="F912" s="34" t="str">
        <f>IFERROR(IF(E912="","",VLOOKUP(E912,الموظفين!$B:$C,2,FALSE)),"")</f>
        <v/>
      </c>
      <c r="G912" s="34" t="str">
        <f>IFERROR(IF(C912="","",VLOOKUP(C912,المستفيدين!$B:$F,5,FALSE)),"")</f>
        <v/>
      </c>
      <c r="H912" s="24"/>
      <c r="I912" s="20"/>
      <c r="J912" s="20"/>
      <c r="K912" s="20"/>
      <c r="L912" s="21"/>
    </row>
    <row r="913" spans="1:12" x14ac:dyDescent="0.2">
      <c r="A913" s="26"/>
      <c r="B913" s="22"/>
      <c r="C913" s="22"/>
      <c r="D913" s="34" t="str">
        <f>IFERROR(IF(C913="","",VLOOKUP(C913,المستفيدين!$B:$C,2,FALSE)),"")</f>
        <v/>
      </c>
      <c r="E913" s="20"/>
      <c r="F913" s="34" t="str">
        <f>IFERROR(IF(E913="","",VLOOKUP(E913,الموظفين!$B:$C,2,FALSE)),"")</f>
        <v/>
      </c>
      <c r="G913" s="34" t="str">
        <f>IFERROR(IF(C913="","",VLOOKUP(C913,المستفيدين!$B:$F,5,FALSE)),"")</f>
        <v/>
      </c>
      <c r="H913" s="24"/>
      <c r="I913" s="20"/>
      <c r="J913" s="20"/>
      <c r="K913" s="20"/>
      <c r="L913" s="21"/>
    </row>
    <row r="914" spans="1:12" x14ac:dyDescent="0.2">
      <c r="A914" s="26"/>
      <c r="B914" s="22"/>
      <c r="C914" s="22"/>
      <c r="D914" s="34" t="str">
        <f>IFERROR(IF(C914="","",VLOOKUP(C914,المستفيدين!$B:$C,2,FALSE)),"")</f>
        <v/>
      </c>
      <c r="E914" s="20"/>
      <c r="F914" s="34" t="str">
        <f>IFERROR(IF(E914="","",VLOOKUP(E914,الموظفين!$B:$C,2,FALSE)),"")</f>
        <v/>
      </c>
      <c r="G914" s="34" t="str">
        <f>IFERROR(IF(C914="","",VLOOKUP(C914,المستفيدين!$B:$F,5,FALSE)),"")</f>
        <v/>
      </c>
      <c r="H914" s="24"/>
      <c r="I914" s="20"/>
      <c r="J914" s="20"/>
      <c r="K914" s="20"/>
      <c r="L914" s="21"/>
    </row>
    <row r="915" spans="1:12" x14ac:dyDescent="0.2">
      <c r="A915" s="26"/>
      <c r="B915" s="22"/>
      <c r="C915" s="22"/>
      <c r="D915" s="34" t="str">
        <f>IFERROR(IF(C915="","",VLOOKUP(C915,المستفيدين!$B:$C,2,FALSE)),"")</f>
        <v/>
      </c>
      <c r="E915" s="20"/>
      <c r="F915" s="34" t="str">
        <f>IFERROR(IF(E915="","",VLOOKUP(E915,الموظفين!$B:$C,2,FALSE)),"")</f>
        <v/>
      </c>
      <c r="G915" s="34" t="str">
        <f>IFERROR(IF(C915="","",VLOOKUP(C915,المستفيدين!$B:$F,5,FALSE)),"")</f>
        <v/>
      </c>
      <c r="H915" s="24"/>
      <c r="I915" s="20"/>
      <c r="J915" s="20"/>
      <c r="K915" s="20"/>
      <c r="L915" s="21"/>
    </row>
    <row r="916" spans="1:12" x14ac:dyDescent="0.2">
      <c r="A916" s="26"/>
      <c r="B916" s="22"/>
      <c r="C916" s="22"/>
      <c r="D916" s="34" t="str">
        <f>IFERROR(IF(C916="","",VLOOKUP(C916,المستفيدين!$B:$C,2,FALSE)),"")</f>
        <v/>
      </c>
      <c r="E916" s="20"/>
      <c r="F916" s="34" t="str">
        <f>IFERROR(IF(E916="","",VLOOKUP(E916,الموظفين!$B:$C,2,FALSE)),"")</f>
        <v/>
      </c>
      <c r="G916" s="34" t="str">
        <f>IFERROR(IF(C916="","",VLOOKUP(C916,المستفيدين!$B:$F,5,FALSE)),"")</f>
        <v/>
      </c>
      <c r="H916" s="24"/>
      <c r="I916" s="20"/>
      <c r="J916" s="20"/>
      <c r="K916" s="20"/>
      <c r="L916" s="21"/>
    </row>
    <row r="917" spans="1:12" x14ac:dyDescent="0.2">
      <c r="A917" s="26"/>
      <c r="B917" s="22"/>
      <c r="C917" s="22"/>
      <c r="D917" s="34" t="str">
        <f>IFERROR(IF(C917="","",VLOOKUP(C917,المستفيدين!$B:$C,2,FALSE)),"")</f>
        <v/>
      </c>
      <c r="E917" s="20"/>
      <c r="F917" s="34" t="str">
        <f>IFERROR(IF(E917="","",VLOOKUP(E917,الموظفين!$B:$C,2,FALSE)),"")</f>
        <v/>
      </c>
      <c r="G917" s="34" t="str">
        <f>IFERROR(IF(C917="","",VLOOKUP(C917,المستفيدين!$B:$F,5,FALSE)),"")</f>
        <v/>
      </c>
      <c r="H917" s="24"/>
      <c r="I917" s="20"/>
      <c r="J917" s="20"/>
      <c r="K917" s="20"/>
      <c r="L917" s="21"/>
    </row>
    <row r="918" spans="1:12" x14ac:dyDescent="0.2">
      <c r="A918" s="26"/>
      <c r="B918" s="22"/>
      <c r="C918" s="22"/>
      <c r="D918" s="34" t="str">
        <f>IFERROR(IF(C918="","",VLOOKUP(C918,المستفيدين!$B:$C,2,FALSE)),"")</f>
        <v/>
      </c>
      <c r="E918" s="20"/>
      <c r="F918" s="34" t="str">
        <f>IFERROR(IF(E918="","",VLOOKUP(E918,الموظفين!$B:$C,2,FALSE)),"")</f>
        <v/>
      </c>
      <c r="G918" s="34" t="str">
        <f>IFERROR(IF(C918="","",VLOOKUP(C918,المستفيدين!$B:$F,5,FALSE)),"")</f>
        <v/>
      </c>
      <c r="H918" s="24"/>
      <c r="I918" s="20"/>
      <c r="J918" s="20"/>
      <c r="K918" s="20"/>
      <c r="L918" s="21"/>
    </row>
    <row r="919" spans="1:12" x14ac:dyDescent="0.2">
      <c r="A919" s="26"/>
      <c r="B919" s="22"/>
      <c r="C919" s="22"/>
      <c r="D919" s="34" t="str">
        <f>IFERROR(IF(C919="","",VLOOKUP(C919,المستفيدين!$B:$C,2,FALSE)),"")</f>
        <v/>
      </c>
      <c r="E919" s="20"/>
      <c r="F919" s="34" t="str">
        <f>IFERROR(IF(E919="","",VLOOKUP(E919,الموظفين!$B:$C,2,FALSE)),"")</f>
        <v/>
      </c>
      <c r="G919" s="34" t="str">
        <f>IFERROR(IF(C919="","",VLOOKUP(C919,المستفيدين!$B:$F,5,FALSE)),"")</f>
        <v/>
      </c>
      <c r="H919" s="24"/>
      <c r="I919" s="20"/>
      <c r="J919" s="20"/>
      <c r="K919" s="20"/>
      <c r="L919" s="21"/>
    </row>
    <row r="920" spans="1:12" x14ac:dyDescent="0.2">
      <c r="A920" s="26"/>
      <c r="B920" s="22"/>
      <c r="C920" s="22"/>
      <c r="D920" s="34" t="str">
        <f>IFERROR(IF(C920="","",VLOOKUP(C920,المستفيدين!$B:$C,2,FALSE)),"")</f>
        <v/>
      </c>
      <c r="E920" s="20"/>
      <c r="F920" s="34" t="str">
        <f>IFERROR(IF(E920="","",VLOOKUP(E920,الموظفين!$B:$C,2,FALSE)),"")</f>
        <v/>
      </c>
      <c r="G920" s="34" t="str">
        <f>IFERROR(IF(C920="","",VLOOKUP(C920,المستفيدين!$B:$F,5,FALSE)),"")</f>
        <v/>
      </c>
      <c r="H920" s="24"/>
      <c r="I920" s="20"/>
      <c r="J920" s="20"/>
      <c r="K920" s="20"/>
      <c r="L920" s="21"/>
    </row>
    <row r="921" spans="1:12" x14ac:dyDescent="0.2">
      <c r="A921" s="26"/>
      <c r="B921" s="22"/>
      <c r="C921" s="22"/>
      <c r="D921" s="34" t="str">
        <f>IFERROR(IF(C921="","",VLOOKUP(C921,المستفيدين!$B:$C,2,FALSE)),"")</f>
        <v/>
      </c>
      <c r="E921" s="20"/>
      <c r="F921" s="34" t="str">
        <f>IFERROR(IF(E921="","",VLOOKUP(E921,الموظفين!$B:$C,2,FALSE)),"")</f>
        <v/>
      </c>
      <c r="G921" s="34" t="str">
        <f>IFERROR(IF(C921="","",VLOOKUP(C921,المستفيدين!$B:$F,5,FALSE)),"")</f>
        <v/>
      </c>
      <c r="H921" s="24"/>
      <c r="I921" s="20"/>
      <c r="J921" s="20"/>
      <c r="K921" s="20"/>
      <c r="L921" s="21"/>
    </row>
    <row r="922" spans="1:12" x14ac:dyDescent="0.2">
      <c r="A922" s="26"/>
      <c r="B922" s="22"/>
      <c r="C922" s="22"/>
      <c r="D922" s="34" t="str">
        <f>IFERROR(IF(C922="","",VLOOKUP(C922,المستفيدين!$B:$C,2,FALSE)),"")</f>
        <v/>
      </c>
      <c r="E922" s="20"/>
      <c r="F922" s="34" t="str">
        <f>IFERROR(IF(E922="","",VLOOKUP(E922,الموظفين!$B:$C,2,FALSE)),"")</f>
        <v/>
      </c>
      <c r="G922" s="34" t="str">
        <f>IFERROR(IF(C922="","",VLOOKUP(C922,المستفيدين!$B:$F,5,FALSE)),"")</f>
        <v/>
      </c>
      <c r="H922" s="24"/>
      <c r="I922" s="20"/>
      <c r="J922" s="20"/>
      <c r="K922" s="20"/>
      <c r="L922" s="21"/>
    </row>
    <row r="923" spans="1:12" x14ac:dyDescent="0.2">
      <c r="A923" s="26"/>
      <c r="B923" s="22"/>
      <c r="C923" s="22"/>
      <c r="D923" s="34" t="str">
        <f>IFERROR(IF(C923="","",VLOOKUP(C923,المستفيدين!$B:$C,2,FALSE)),"")</f>
        <v/>
      </c>
      <c r="E923" s="20"/>
      <c r="F923" s="34" t="str">
        <f>IFERROR(IF(E923="","",VLOOKUP(E923,الموظفين!$B:$C,2,FALSE)),"")</f>
        <v/>
      </c>
      <c r="G923" s="34" t="str">
        <f>IFERROR(IF(C923="","",VLOOKUP(C923,المستفيدين!$B:$F,5,FALSE)),"")</f>
        <v/>
      </c>
      <c r="H923" s="24"/>
      <c r="I923" s="20"/>
      <c r="J923" s="20"/>
      <c r="K923" s="20"/>
      <c r="L923" s="21"/>
    </row>
    <row r="924" spans="1:12" x14ac:dyDescent="0.2">
      <c r="A924" s="26"/>
      <c r="B924" s="22"/>
      <c r="C924" s="22"/>
      <c r="D924" s="34" t="str">
        <f>IFERROR(IF(C924="","",VLOOKUP(C924,المستفيدين!$B:$C,2,FALSE)),"")</f>
        <v/>
      </c>
      <c r="E924" s="20"/>
      <c r="F924" s="34" t="str">
        <f>IFERROR(IF(E924="","",VLOOKUP(E924,الموظفين!$B:$C,2,FALSE)),"")</f>
        <v/>
      </c>
      <c r="G924" s="34" t="str">
        <f>IFERROR(IF(C924="","",VLOOKUP(C924,المستفيدين!$B:$F,5,FALSE)),"")</f>
        <v/>
      </c>
      <c r="H924" s="24"/>
      <c r="I924" s="20"/>
      <c r="J924" s="20"/>
      <c r="K924" s="20"/>
      <c r="L924" s="21"/>
    </row>
    <row r="925" spans="1:12" x14ac:dyDescent="0.2">
      <c r="A925" s="26"/>
      <c r="B925" s="22"/>
      <c r="C925" s="22"/>
      <c r="D925" s="34" t="str">
        <f>IFERROR(IF(C925="","",VLOOKUP(C925,المستفيدين!$B:$C,2,FALSE)),"")</f>
        <v/>
      </c>
      <c r="E925" s="20"/>
      <c r="F925" s="34" t="str">
        <f>IFERROR(IF(E925="","",VLOOKUP(E925,الموظفين!$B:$C,2,FALSE)),"")</f>
        <v/>
      </c>
      <c r="G925" s="34" t="str">
        <f>IFERROR(IF(C925="","",VLOOKUP(C925,المستفيدين!$B:$F,5,FALSE)),"")</f>
        <v/>
      </c>
      <c r="H925" s="24"/>
      <c r="I925" s="20"/>
      <c r="J925" s="20"/>
      <c r="K925" s="20"/>
      <c r="L925" s="21"/>
    </row>
    <row r="926" spans="1:12" x14ac:dyDescent="0.2">
      <c r="A926" s="26"/>
      <c r="B926" s="22"/>
      <c r="C926" s="22"/>
      <c r="D926" s="34" t="str">
        <f>IFERROR(IF(C926="","",VLOOKUP(C926,المستفيدين!$B:$C,2,FALSE)),"")</f>
        <v/>
      </c>
      <c r="E926" s="20"/>
      <c r="F926" s="34" t="str">
        <f>IFERROR(IF(E926="","",VLOOKUP(E926,الموظفين!$B:$C,2,FALSE)),"")</f>
        <v/>
      </c>
      <c r="G926" s="34" t="str">
        <f>IFERROR(IF(C926="","",VLOOKUP(C926,المستفيدين!$B:$F,5,FALSE)),"")</f>
        <v/>
      </c>
      <c r="H926" s="24"/>
      <c r="I926" s="20"/>
      <c r="J926" s="20"/>
      <c r="K926" s="20"/>
      <c r="L926" s="21"/>
    </row>
    <row r="927" spans="1:12" x14ac:dyDescent="0.2">
      <c r="A927" s="26"/>
      <c r="B927" s="22"/>
      <c r="C927" s="22"/>
      <c r="D927" s="34" t="str">
        <f>IFERROR(IF(C927="","",VLOOKUP(C927,المستفيدين!$B:$C,2,FALSE)),"")</f>
        <v/>
      </c>
      <c r="E927" s="20"/>
      <c r="F927" s="34" t="str">
        <f>IFERROR(IF(E927="","",VLOOKUP(E927,الموظفين!$B:$C,2,FALSE)),"")</f>
        <v/>
      </c>
      <c r="G927" s="34" t="str">
        <f>IFERROR(IF(C927="","",VLOOKUP(C927,المستفيدين!$B:$F,5,FALSE)),"")</f>
        <v/>
      </c>
      <c r="H927" s="24"/>
      <c r="I927" s="20"/>
      <c r="J927" s="20"/>
      <c r="K927" s="20"/>
      <c r="L927" s="21"/>
    </row>
    <row r="928" spans="1:12" x14ac:dyDescent="0.2">
      <c r="A928" s="26"/>
      <c r="B928" s="22"/>
      <c r="C928" s="22"/>
      <c r="D928" s="34" t="str">
        <f>IFERROR(IF(C928="","",VLOOKUP(C928,المستفيدين!$B:$C,2,FALSE)),"")</f>
        <v/>
      </c>
      <c r="E928" s="20"/>
      <c r="F928" s="34" t="str">
        <f>IFERROR(IF(E928="","",VLOOKUP(E928,الموظفين!$B:$C,2,FALSE)),"")</f>
        <v/>
      </c>
      <c r="G928" s="34" t="str">
        <f>IFERROR(IF(C928="","",VLOOKUP(C928,المستفيدين!$B:$F,5,FALSE)),"")</f>
        <v/>
      </c>
      <c r="H928" s="24"/>
      <c r="I928" s="20"/>
      <c r="J928" s="20"/>
      <c r="K928" s="20"/>
      <c r="L928" s="21"/>
    </row>
    <row r="929" spans="1:12" x14ac:dyDescent="0.2">
      <c r="A929" s="26"/>
      <c r="B929" s="22"/>
      <c r="C929" s="22"/>
      <c r="D929" s="34" t="str">
        <f>IFERROR(IF(C929="","",VLOOKUP(C929,المستفيدين!$B:$C,2,FALSE)),"")</f>
        <v/>
      </c>
      <c r="E929" s="20"/>
      <c r="F929" s="34" t="str">
        <f>IFERROR(IF(E929="","",VLOOKUP(E929,الموظفين!$B:$C,2,FALSE)),"")</f>
        <v/>
      </c>
      <c r="G929" s="34" t="str">
        <f>IFERROR(IF(C929="","",VLOOKUP(C929,المستفيدين!$B:$F,5,FALSE)),"")</f>
        <v/>
      </c>
      <c r="H929" s="24"/>
      <c r="I929" s="20"/>
      <c r="J929" s="20"/>
      <c r="K929" s="20"/>
      <c r="L929" s="21"/>
    </row>
    <row r="930" spans="1:12" x14ac:dyDescent="0.2">
      <c r="A930" s="26"/>
      <c r="B930" s="22"/>
      <c r="C930" s="22"/>
      <c r="D930" s="34" t="str">
        <f>IFERROR(IF(C930="","",VLOOKUP(C930,المستفيدين!$B:$C,2,FALSE)),"")</f>
        <v/>
      </c>
      <c r="E930" s="20"/>
      <c r="F930" s="34" t="str">
        <f>IFERROR(IF(E930="","",VLOOKUP(E930,الموظفين!$B:$C,2,FALSE)),"")</f>
        <v/>
      </c>
      <c r="G930" s="34" t="str">
        <f>IFERROR(IF(C930="","",VLOOKUP(C930,المستفيدين!$B:$F,5,FALSE)),"")</f>
        <v/>
      </c>
      <c r="H930" s="24"/>
      <c r="I930" s="20"/>
      <c r="J930" s="20"/>
      <c r="K930" s="20"/>
      <c r="L930" s="21"/>
    </row>
    <row r="931" spans="1:12" x14ac:dyDescent="0.2">
      <c r="A931" s="26"/>
      <c r="B931" s="22"/>
      <c r="C931" s="22"/>
      <c r="D931" s="34" t="str">
        <f>IFERROR(IF(C931="","",VLOOKUP(C931,المستفيدين!$B:$C,2,FALSE)),"")</f>
        <v/>
      </c>
      <c r="E931" s="20"/>
      <c r="F931" s="34" t="str">
        <f>IFERROR(IF(E931="","",VLOOKUP(E931,الموظفين!$B:$C,2,FALSE)),"")</f>
        <v/>
      </c>
      <c r="G931" s="34" t="str">
        <f>IFERROR(IF(C931="","",VLOOKUP(C931,المستفيدين!$B:$F,5,FALSE)),"")</f>
        <v/>
      </c>
      <c r="H931" s="24"/>
      <c r="I931" s="20"/>
      <c r="J931" s="20"/>
      <c r="K931" s="20"/>
      <c r="L931" s="21"/>
    </row>
    <row r="932" spans="1:12" x14ac:dyDescent="0.2">
      <c r="A932" s="26"/>
      <c r="B932" s="22"/>
      <c r="C932" s="22"/>
      <c r="D932" s="34" t="str">
        <f>IFERROR(IF(C932="","",VLOOKUP(C932,المستفيدين!$B:$C,2,FALSE)),"")</f>
        <v/>
      </c>
      <c r="E932" s="20"/>
      <c r="F932" s="34" t="str">
        <f>IFERROR(IF(E932="","",VLOOKUP(E932,الموظفين!$B:$C,2,FALSE)),"")</f>
        <v/>
      </c>
      <c r="G932" s="34" t="str">
        <f>IFERROR(IF(C932="","",VLOOKUP(C932,المستفيدين!$B:$F,5,FALSE)),"")</f>
        <v/>
      </c>
      <c r="H932" s="24"/>
      <c r="I932" s="20"/>
      <c r="J932" s="20"/>
      <c r="K932" s="20"/>
      <c r="L932" s="21"/>
    </row>
    <row r="933" spans="1:12" x14ac:dyDescent="0.2">
      <c r="A933" s="26"/>
      <c r="B933" s="22"/>
      <c r="C933" s="22"/>
      <c r="D933" s="34" t="str">
        <f>IFERROR(IF(C933="","",VLOOKUP(C933,المستفيدين!$B:$C,2,FALSE)),"")</f>
        <v/>
      </c>
      <c r="E933" s="20"/>
      <c r="F933" s="34" t="str">
        <f>IFERROR(IF(E933="","",VLOOKUP(E933,الموظفين!$B:$C,2,FALSE)),"")</f>
        <v/>
      </c>
      <c r="G933" s="34" t="str">
        <f>IFERROR(IF(C933="","",VLOOKUP(C933,المستفيدين!$B:$F,5,FALSE)),"")</f>
        <v/>
      </c>
      <c r="H933" s="24"/>
      <c r="I933" s="20"/>
      <c r="J933" s="20"/>
      <c r="K933" s="20"/>
      <c r="L933" s="21"/>
    </row>
    <row r="934" spans="1:12" x14ac:dyDescent="0.2">
      <c r="A934" s="26"/>
      <c r="B934" s="22"/>
      <c r="C934" s="22"/>
      <c r="D934" s="34" t="str">
        <f>IFERROR(IF(C934="","",VLOOKUP(C934,المستفيدين!$B:$C,2,FALSE)),"")</f>
        <v/>
      </c>
      <c r="E934" s="20"/>
      <c r="F934" s="34" t="str">
        <f>IFERROR(IF(E934="","",VLOOKUP(E934,الموظفين!$B:$C,2,FALSE)),"")</f>
        <v/>
      </c>
      <c r="G934" s="34" t="str">
        <f>IFERROR(IF(C934="","",VLOOKUP(C934,المستفيدين!$B:$F,5,FALSE)),"")</f>
        <v/>
      </c>
      <c r="H934" s="24"/>
      <c r="I934" s="20"/>
      <c r="J934" s="20"/>
      <c r="K934" s="20"/>
      <c r="L934" s="21"/>
    </row>
    <row r="935" spans="1:12" x14ac:dyDescent="0.2">
      <c r="A935" s="26"/>
      <c r="B935" s="22"/>
      <c r="C935" s="22"/>
      <c r="D935" s="34" t="str">
        <f>IFERROR(IF(C935="","",VLOOKUP(C935,المستفيدين!$B:$C,2,FALSE)),"")</f>
        <v/>
      </c>
      <c r="E935" s="20"/>
      <c r="F935" s="34" t="str">
        <f>IFERROR(IF(E935="","",VLOOKUP(E935,الموظفين!$B:$C,2,FALSE)),"")</f>
        <v/>
      </c>
      <c r="G935" s="34" t="str">
        <f>IFERROR(IF(C935="","",VLOOKUP(C935,المستفيدين!$B:$F,5,FALSE)),"")</f>
        <v/>
      </c>
      <c r="H935" s="24"/>
      <c r="I935" s="20"/>
      <c r="J935" s="20"/>
      <c r="K935" s="20"/>
      <c r="L935" s="21"/>
    </row>
    <row r="936" spans="1:12" x14ac:dyDescent="0.2">
      <c r="A936" s="26"/>
      <c r="B936" s="22"/>
      <c r="C936" s="22"/>
      <c r="D936" s="34" t="str">
        <f>IFERROR(IF(C936="","",VLOOKUP(C936,المستفيدين!$B:$C,2,FALSE)),"")</f>
        <v/>
      </c>
      <c r="E936" s="20"/>
      <c r="F936" s="34" t="str">
        <f>IFERROR(IF(E936="","",VLOOKUP(E936,الموظفين!$B:$C,2,FALSE)),"")</f>
        <v/>
      </c>
      <c r="G936" s="34" t="str">
        <f>IFERROR(IF(C936="","",VLOOKUP(C936,المستفيدين!$B:$F,5,FALSE)),"")</f>
        <v/>
      </c>
      <c r="H936" s="24"/>
      <c r="I936" s="20"/>
      <c r="J936" s="20"/>
      <c r="K936" s="20"/>
      <c r="L936" s="21"/>
    </row>
    <row r="937" spans="1:12" x14ac:dyDescent="0.2">
      <c r="A937" s="26"/>
      <c r="B937" s="22"/>
      <c r="C937" s="22"/>
      <c r="D937" s="34" t="str">
        <f>IFERROR(IF(C937="","",VLOOKUP(C937,المستفيدين!$B:$C,2,FALSE)),"")</f>
        <v/>
      </c>
      <c r="E937" s="20"/>
      <c r="F937" s="34" t="str">
        <f>IFERROR(IF(E937="","",VLOOKUP(E937,الموظفين!$B:$C,2,FALSE)),"")</f>
        <v/>
      </c>
      <c r="G937" s="34" t="str">
        <f>IFERROR(IF(C937="","",VLOOKUP(C937,المستفيدين!$B:$F,5,FALSE)),"")</f>
        <v/>
      </c>
      <c r="H937" s="24"/>
      <c r="I937" s="20"/>
      <c r="J937" s="20"/>
      <c r="K937" s="20"/>
      <c r="L937" s="21"/>
    </row>
    <row r="938" spans="1:12" x14ac:dyDescent="0.2">
      <c r="A938" s="26"/>
      <c r="B938" s="22"/>
      <c r="C938" s="22"/>
      <c r="D938" s="34" t="str">
        <f>IFERROR(IF(C938="","",VLOOKUP(C938,المستفيدين!$B:$C,2,FALSE)),"")</f>
        <v/>
      </c>
      <c r="E938" s="20"/>
      <c r="F938" s="34" t="str">
        <f>IFERROR(IF(E938="","",VLOOKUP(E938,الموظفين!$B:$C,2,FALSE)),"")</f>
        <v/>
      </c>
      <c r="G938" s="34" t="str">
        <f>IFERROR(IF(C938="","",VLOOKUP(C938,المستفيدين!$B:$F,5,FALSE)),"")</f>
        <v/>
      </c>
      <c r="H938" s="24"/>
      <c r="I938" s="20"/>
      <c r="J938" s="20"/>
      <c r="K938" s="20"/>
      <c r="L938" s="21"/>
    </row>
    <row r="939" spans="1:12" x14ac:dyDescent="0.2">
      <c r="A939" s="26"/>
      <c r="B939" s="22"/>
      <c r="C939" s="22"/>
      <c r="D939" s="34" t="str">
        <f>IFERROR(IF(C939="","",VLOOKUP(C939,المستفيدين!$B:$C,2,FALSE)),"")</f>
        <v/>
      </c>
      <c r="E939" s="20"/>
      <c r="F939" s="34" t="str">
        <f>IFERROR(IF(E939="","",VLOOKUP(E939,الموظفين!$B:$C,2,FALSE)),"")</f>
        <v/>
      </c>
      <c r="G939" s="34" t="str">
        <f>IFERROR(IF(C939="","",VLOOKUP(C939,المستفيدين!$B:$F,5,FALSE)),"")</f>
        <v/>
      </c>
      <c r="H939" s="24"/>
      <c r="I939" s="20"/>
      <c r="J939" s="20"/>
      <c r="K939" s="20"/>
      <c r="L939" s="21"/>
    </row>
    <row r="940" spans="1:12" x14ac:dyDescent="0.2">
      <c r="A940" s="26"/>
      <c r="B940" s="22"/>
      <c r="C940" s="22"/>
      <c r="D940" s="34" t="str">
        <f>IFERROR(IF(C940="","",VLOOKUP(C940,المستفيدين!$B:$C,2,FALSE)),"")</f>
        <v/>
      </c>
      <c r="E940" s="20"/>
      <c r="F940" s="34" t="str">
        <f>IFERROR(IF(E940="","",VLOOKUP(E940,الموظفين!$B:$C,2,FALSE)),"")</f>
        <v/>
      </c>
      <c r="G940" s="34" t="str">
        <f>IFERROR(IF(C940="","",VLOOKUP(C940,المستفيدين!$B:$F,5,FALSE)),"")</f>
        <v/>
      </c>
      <c r="H940" s="24"/>
      <c r="I940" s="20"/>
      <c r="J940" s="20"/>
      <c r="K940" s="20"/>
      <c r="L940" s="21"/>
    </row>
    <row r="941" spans="1:12" x14ac:dyDescent="0.2">
      <c r="A941" s="26"/>
      <c r="B941" s="22"/>
      <c r="C941" s="22"/>
      <c r="D941" s="34" t="str">
        <f>IFERROR(IF(C941="","",VLOOKUP(C941,المستفيدين!$B:$C,2,FALSE)),"")</f>
        <v/>
      </c>
      <c r="E941" s="20"/>
      <c r="F941" s="34" t="str">
        <f>IFERROR(IF(E941="","",VLOOKUP(E941,الموظفين!$B:$C,2,FALSE)),"")</f>
        <v/>
      </c>
      <c r="G941" s="34" t="str">
        <f>IFERROR(IF(C941="","",VLOOKUP(C941,المستفيدين!$B:$F,5,FALSE)),"")</f>
        <v/>
      </c>
      <c r="H941" s="24"/>
      <c r="I941" s="20"/>
      <c r="J941" s="20"/>
      <c r="K941" s="20"/>
      <c r="L941" s="21"/>
    </row>
    <row r="942" spans="1:12" x14ac:dyDescent="0.2">
      <c r="A942" s="26"/>
      <c r="B942" s="22"/>
      <c r="C942" s="22"/>
      <c r="D942" s="34" t="str">
        <f>IFERROR(IF(C942="","",VLOOKUP(C942,المستفيدين!$B:$C,2,FALSE)),"")</f>
        <v/>
      </c>
      <c r="E942" s="20"/>
      <c r="F942" s="34" t="str">
        <f>IFERROR(IF(E942="","",VLOOKUP(E942,الموظفين!$B:$C,2,FALSE)),"")</f>
        <v/>
      </c>
      <c r="G942" s="34" t="str">
        <f>IFERROR(IF(C942="","",VLOOKUP(C942,المستفيدين!$B:$F,5,FALSE)),"")</f>
        <v/>
      </c>
      <c r="H942" s="24"/>
      <c r="I942" s="20"/>
      <c r="J942" s="20"/>
      <c r="K942" s="20"/>
      <c r="L942" s="21"/>
    </row>
    <row r="943" spans="1:12" x14ac:dyDescent="0.2">
      <c r="A943" s="26"/>
      <c r="B943" s="22"/>
      <c r="C943" s="22"/>
      <c r="D943" s="34" t="str">
        <f>IFERROR(IF(C943="","",VLOOKUP(C943,المستفيدين!$B:$C,2,FALSE)),"")</f>
        <v/>
      </c>
      <c r="E943" s="20"/>
      <c r="F943" s="34" t="str">
        <f>IFERROR(IF(E943="","",VLOOKUP(E943,الموظفين!$B:$C,2,FALSE)),"")</f>
        <v/>
      </c>
      <c r="G943" s="34" t="str">
        <f>IFERROR(IF(C943="","",VLOOKUP(C943,المستفيدين!$B:$F,5,FALSE)),"")</f>
        <v/>
      </c>
      <c r="H943" s="24"/>
      <c r="I943" s="20"/>
      <c r="J943" s="20"/>
      <c r="K943" s="20"/>
      <c r="L943" s="21"/>
    </row>
    <row r="944" spans="1:12" x14ac:dyDescent="0.2">
      <c r="A944" s="26"/>
      <c r="B944" s="22"/>
      <c r="C944" s="22"/>
      <c r="D944" s="34" t="str">
        <f>IFERROR(IF(C944="","",VLOOKUP(C944,المستفيدين!$B:$C,2,FALSE)),"")</f>
        <v/>
      </c>
      <c r="E944" s="20"/>
      <c r="F944" s="34" t="str">
        <f>IFERROR(IF(E944="","",VLOOKUP(E944,الموظفين!$B:$C,2,FALSE)),"")</f>
        <v/>
      </c>
      <c r="G944" s="34" t="str">
        <f>IFERROR(IF(C944="","",VLOOKUP(C944,المستفيدين!$B:$F,5,FALSE)),"")</f>
        <v/>
      </c>
      <c r="H944" s="24"/>
      <c r="I944" s="20"/>
      <c r="J944" s="20"/>
      <c r="K944" s="20"/>
      <c r="L944" s="21"/>
    </row>
    <row r="945" spans="1:12" x14ac:dyDescent="0.2">
      <c r="A945" s="26"/>
      <c r="B945" s="22"/>
      <c r="C945" s="22"/>
      <c r="D945" s="34" t="str">
        <f>IFERROR(IF(C945="","",VLOOKUP(C945,المستفيدين!$B:$C,2,FALSE)),"")</f>
        <v/>
      </c>
      <c r="E945" s="20"/>
      <c r="F945" s="34" t="str">
        <f>IFERROR(IF(E945="","",VLOOKUP(E945,الموظفين!$B:$C,2,FALSE)),"")</f>
        <v/>
      </c>
      <c r="G945" s="34" t="str">
        <f>IFERROR(IF(C945="","",VLOOKUP(C945,المستفيدين!$B:$F,5,FALSE)),"")</f>
        <v/>
      </c>
      <c r="H945" s="24"/>
      <c r="I945" s="20"/>
      <c r="J945" s="20"/>
      <c r="K945" s="20"/>
      <c r="L945" s="21"/>
    </row>
    <row r="946" spans="1:12" x14ac:dyDescent="0.2">
      <c r="A946" s="26"/>
      <c r="B946" s="22"/>
      <c r="C946" s="22"/>
      <c r="D946" s="34" t="str">
        <f>IFERROR(IF(C946="","",VLOOKUP(C946,المستفيدين!$B:$C,2,FALSE)),"")</f>
        <v/>
      </c>
      <c r="E946" s="20"/>
      <c r="F946" s="34" t="str">
        <f>IFERROR(IF(E946="","",VLOOKUP(E946,الموظفين!$B:$C,2,FALSE)),"")</f>
        <v/>
      </c>
      <c r="G946" s="34" t="str">
        <f>IFERROR(IF(C946="","",VLOOKUP(C946,المستفيدين!$B:$F,5,FALSE)),"")</f>
        <v/>
      </c>
      <c r="H946" s="24"/>
      <c r="I946" s="20"/>
      <c r="J946" s="20"/>
      <c r="K946" s="20"/>
      <c r="L946" s="21"/>
    </row>
    <row r="947" spans="1:12" x14ac:dyDescent="0.2">
      <c r="A947" s="26"/>
      <c r="B947" s="22"/>
      <c r="C947" s="22"/>
      <c r="D947" s="34" t="str">
        <f>IFERROR(IF(C947="","",VLOOKUP(C947,المستفيدين!$B:$C,2,FALSE)),"")</f>
        <v/>
      </c>
      <c r="E947" s="20"/>
      <c r="F947" s="34" t="str">
        <f>IFERROR(IF(E947="","",VLOOKUP(E947,الموظفين!$B:$C,2,FALSE)),"")</f>
        <v/>
      </c>
      <c r="G947" s="34" t="str">
        <f>IFERROR(IF(C947="","",VLOOKUP(C947,المستفيدين!$B:$F,5,FALSE)),"")</f>
        <v/>
      </c>
      <c r="H947" s="24"/>
      <c r="I947" s="20"/>
      <c r="J947" s="20"/>
      <c r="K947" s="20"/>
      <c r="L947" s="21"/>
    </row>
    <row r="948" spans="1:12" x14ac:dyDescent="0.2">
      <c r="A948" s="26"/>
      <c r="B948" s="22"/>
      <c r="C948" s="22"/>
      <c r="D948" s="34" t="str">
        <f>IFERROR(IF(C948="","",VLOOKUP(C948,المستفيدين!$B:$C,2,FALSE)),"")</f>
        <v/>
      </c>
      <c r="E948" s="20"/>
      <c r="F948" s="34" t="str">
        <f>IFERROR(IF(E948="","",VLOOKUP(E948,الموظفين!$B:$C,2,FALSE)),"")</f>
        <v/>
      </c>
      <c r="G948" s="34" t="str">
        <f>IFERROR(IF(C948="","",VLOOKUP(C948,المستفيدين!$B:$F,5,FALSE)),"")</f>
        <v/>
      </c>
      <c r="H948" s="24"/>
      <c r="I948" s="20"/>
      <c r="J948" s="20"/>
      <c r="K948" s="20"/>
      <c r="L948" s="21"/>
    </row>
    <row r="949" spans="1:12" x14ac:dyDescent="0.2">
      <c r="A949" s="26"/>
      <c r="B949" s="22"/>
      <c r="C949" s="22"/>
      <c r="D949" s="34" t="str">
        <f>IFERROR(IF(C949="","",VLOOKUP(C949,المستفيدين!$B:$C,2,FALSE)),"")</f>
        <v/>
      </c>
      <c r="E949" s="20"/>
      <c r="F949" s="34" t="str">
        <f>IFERROR(IF(E949="","",VLOOKUP(E949,الموظفين!$B:$C,2,FALSE)),"")</f>
        <v/>
      </c>
      <c r="G949" s="34" t="str">
        <f>IFERROR(IF(C949="","",VLOOKUP(C949,المستفيدين!$B:$F,5,FALSE)),"")</f>
        <v/>
      </c>
      <c r="H949" s="24"/>
      <c r="I949" s="20"/>
      <c r="J949" s="20"/>
      <c r="K949" s="20"/>
      <c r="L949" s="21"/>
    </row>
    <row r="950" spans="1:12" x14ac:dyDescent="0.2">
      <c r="A950" s="26"/>
      <c r="B950" s="22"/>
      <c r="C950" s="22"/>
      <c r="D950" s="34" t="str">
        <f>IFERROR(IF(C950="","",VLOOKUP(C950,المستفيدين!$B:$C,2,FALSE)),"")</f>
        <v/>
      </c>
      <c r="E950" s="20"/>
      <c r="F950" s="34" t="str">
        <f>IFERROR(IF(E950="","",VLOOKUP(E950,الموظفين!$B:$C,2,FALSE)),"")</f>
        <v/>
      </c>
      <c r="G950" s="34" t="str">
        <f>IFERROR(IF(C950="","",VLOOKUP(C950,المستفيدين!$B:$F,5,FALSE)),"")</f>
        <v/>
      </c>
      <c r="H950" s="24"/>
      <c r="I950" s="20"/>
      <c r="J950" s="20"/>
      <c r="K950" s="20"/>
      <c r="L950" s="21"/>
    </row>
    <row r="951" spans="1:12" x14ac:dyDescent="0.2">
      <c r="A951" s="26"/>
      <c r="B951" s="22"/>
      <c r="C951" s="22"/>
      <c r="D951" s="34" t="str">
        <f>IFERROR(IF(C951="","",VLOOKUP(C951,المستفيدين!$B:$C,2,FALSE)),"")</f>
        <v/>
      </c>
      <c r="E951" s="20"/>
      <c r="F951" s="34" t="str">
        <f>IFERROR(IF(E951="","",VLOOKUP(E951,الموظفين!$B:$C,2,FALSE)),"")</f>
        <v/>
      </c>
      <c r="G951" s="34" t="str">
        <f>IFERROR(IF(C951="","",VLOOKUP(C951,المستفيدين!$B:$F,5,FALSE)),"")</f>
        <v/>
      </c>
      <c r="H951" s="24"/>
      <c r="I951" s="20"/>
      <c r="J951" s="20"/>
      <c r="K951" s="20"/>
      <c r="L951" s="21"/>
    </row>
    <row r="952" spans="1:12" x14ac:dyDescent="0.2">
      <c r="A952" s="26"/>
      <c r="B952" s="22"/>
      <c r="C952" s="22"/>
      <c r="D952" s="34" t="str">
        <f>IFERROR(IF(C952="","",VLOOKUP(C952,المستفيدين!$B:$C,2,FALSE)),"")</f>
        <v/>
      </c>
      <c r="E952" s="20"/>
      <c r="F952" s="34" t="str">
        <f>IFERROR(IF(E952="","",VLOOKUP(E952,الموظفين!$B:$C,2,FALSE)),"")</f>
        <v/>
      </c>
      <c r="G952" s="34" t="str">
        <f>IFERROR(IF(C952="","",VLOOKUP(C952,المستفيدين!$B:$F,5,FALSE)),"")</f>
        <v/>
      </c>
      <c r="H952" s="24"/>
      <c r="I952" s="20"/>
      <c r="J952" s="20"/>
      <c r="K952" s="20"/>
      <c r="L952" s="21"/>
    </row>
    <row r="953" spans="1:12" x14ac:dyDescent="0.2">
      <c r="A953" s="26"/>
      <c r="B953" s="22"/>
      <c r="C953" s="22"/>
      <c r="D953" s="34" t="str">
        <f>IFERROR(IF(C953="","",VLOOKUP(C953,المستفيدين!$B:$C,2,FALSE)),"")</f>
        <v/>
      </c>
      <c r="E953" s="20"/>
      <c r="F953" s="34" t="str">
        <f>IFERROR(IF(E953="","",VLOOKUP(E953,الموظفين!$B:$C,2,FALSE)),"")</f>
        <v/>
      </c>
      <c r="G953" s="34" t="str">
        <f>IFERROR(IF(C953="","",VLOOKUP(C953,المستفيدين!$B:$F,5,FALSE)),"")</f>
        <v/>
      </c>
      <c r="H953" s="24"/>
      <c r="I953" s="20"/>
      <c r="J953" s="20"/>
      <c r="K953" s="20"/>
      <c r="L953" s="21"/>
    </row>
    <row r="954" spans="1:12" x14ac:dyDescent="0.2">
      <c r="A954" s="26"/>
      <c r="B954" s="22"/>
      <c r="C954" s="22"/>
      <c r="D954" s="34" t="str">
        <f>IFERROR(IF(C954="","",VLOOKUP(C954,المستفيدين!$B:$C,2,FALSE)),"")</f>
        <v/>
      </c>
      <c r="E954" s="20"/>
      <c r="F954" s="34" t="str">
        <f>IFERROR(IF(E954="","",VLOOKUP(E954,الموظفين!$B:$C,2,FALSE)),"")</f>
        <v/>
      </c>
      <c r="G954" s="34" t="str">
        <f>IFERROR(IF(C954="","",VLOOKUP(C954,المستفيدين!$B:$F,5,FALSE)),"")</f>
        <v/>
      </c>
      <c r="H954" s="24"/>
      <c r="I954" s="20"/>
      <c r="J954" s="20"/>
      <c r="K954" s="20"/>
      <c r="L954" s="21"/>
    </row>
    <row r="955" spans="1:12" x14ac:dyDescent="0.2">
      <c r="A955" s="26"/>
      <c r="B955" s="22"/>
      <c r="C955" s="22"/>
      <c r="D955" s="34" t="str">
        <f>IFERROR(IF(C955="","",VLOOKUP(C955,المستفيدين!$B:$C,2,FALSE)),"")</f>
        <v/>
      </c>
      <c r="E955" s="20"/>
      <c r="F955" s="34" t="str">
        <f>IFERROR(IF(E955="","",VLOOKUP(E955,الموظفين!$B:$C,2,FALSE)),"")</f>
        <v/>
      </c>
      <c r="G955" s="34" t="str">
        <f>IFERROR(IF(C955="","",VLOOKUP(C955,المستفيدين!$B:$F,5,FALSE)),"")</f>
        <v/>
      </c>
      <c r="H955" s="24"/>
      <c r="I955" s="20"/>
      <c r="J955" s="20"/>
      <c r="K955" s="20"/>
      <c r="L955" s="21"/>
    </row>
    <row r="956" spans="1:12" x14ac:dyDescent="0.2">
      <c r="A956" s="26"/>
      <c r="B956" s="22"/>
      <c r="C956" s="22"/>
      <c r="D956" s="34" t="str">
        <f>IFERROR(IF(C956="","",VLOOKUP(C956,المستفيدين!$B:$C,2,FALSE)),"")</f>
        <v/>
      </c>
      <c r="E956" s="20"/>
      <c r="F956" s="34" t="str">
        <f>IFERROR(IF(E956="","",VLOOKUP(E956,الموظفين!$B:$C,2,FALSE)),"")</f>
        <v/>
      </c>
      <c r="G956" s="34" t="str">
        <f>IFERROR(IF(C956="","",VLOOKUP(C956,المستفيدين!$B:$F,5,FALSE)),"")</f>
        <v/>
      </c>
      <c r="H956" s="24"/>
      <c r="I956" s="20"/>
      <c r="J956" s="20"/>
      <c r="K956" s="20"/>
      <c r="L956" s="21"/>
    </row>
    <row r="957" spans="1:12" x14ac:dyDescent="0.2">
      <c r="A957" s="26"/>
      <c r="B957" s="22"/>
      <c r="C957" s="22"/>
      <c r="D957" s="34" t="str">
        <f>IFERROR(IF(C957="","",VLOOKUP(C957,المستفيدين!$B:$C,2,FALSE)),"")</f>
        <v/>
      </c>
      <c r="E957" s="20"/>
      <c r="F957" s="34" t="str">
        <f>IFERROR(IF(E957="","",VLOOKUP(E957,الموظفين!$B:$C,2,FALSE)),"")</f>
        <v/>
      </c>
      <c r="G957" s="34" t="str">
        <f>IFERROR(IF(C957="","",VLOOKUP(C957,المستفيدين!$B:$F,5,FALSE)),"")</f>
        <v/>
      </c>
      <c r="H957" s="24"/>
      <c r="I957" s="20"/>
      <c r="J957" s="20"/>
      <c r="K957" s="20"/>
      <c r="L957" s="21"/>
    </row>
    <row r="958" spans="1:12" x14ac:dyDescent="0.2">
      <c r="A958" s="26"/>
      <c r="B958" s="22"/>
      <c r="C958" s="22"/>
      <c r="D958" s="34" t="str">
        <f>IFERROR(IF(C958="","",VLOOKUP(C958,المستفيدين!$B:$C,2,FALSE)),"")</f>
        <v/>
      </c>
      <c r="E958" s="20"/>
      <c r="F958" s="34" t="str">
        <f>IFERROR(IF(E958="","",VLOOKUP(E958,الموظفين!$B:$C,2,FALSE)),"")</f>
        <v/>
      </c>
      <c r="G958" s="34" t="str">
        <f>IFERROR(IF(C958="","",VLOOKUP(C958,المستفيدين!$B:$F,5,FALSE)),"")</f>
        <v/>
      </c>
      <c r="H958" s="24"/>
      <c r="I958" s="20"/>
      <c r="J958" s="20"/>
      <c r="K958" s="20"/>
      <c r="L958" s="21"/>
    </row>
    <row r="959" spans="1:12" x14ac:dyDescent="0.2">
      <c r="A959" s="26"/>
      <c r="B959" s="22"/>
      <c r="C959" s="22"/>
      <c r="D959" s="34" t="str">
        <f>IFERROR(IF(C959="","",VLOOKUP(C959,المستفيدين!$B:$C,2,FALSE)),"")</f>
        <v/>
      </c>
      <c r="E959" s="20"/>
      <c r="F959" s="34" t="str">
        <f>IFERROR(IF(E959="","",VLOOKUP(E959,الموظفين!$B:$C,2,FALSE)),"")</f>
        <v/>
      </c>
      <c r="G959" s="34" t="str">
        <f>IFERROR(IF(C959="","",VLOOKUP(C959,المستفيدين!$B:$F,5,FALSE)),"")</f>
        <v/>
      </c>
      <c r="H959" s="24"/>
      <c r="I959" s="20"/>
      <c r="J959" s="20"/>
      <c r="K959" s="20"/>
      <c r="L959" s="21"/>
    </row>
    <row r="960" spans="1:12" x14ac:dyDescent="0.2">
      <c r="A960" s="26"/>
      <c r="B960" s="22"/>
      <c r="C960" s="22"/>
      <c r="D960" s="34" t="str">
        <f>IFERROR(IF(C960="","",VLOOKUP(C960,المستفيدين!$B:$C,2,FALSE)),"")</f>
        <v/>
      </c>
      <c r="E960" s="20"/>
      <c r="F960" s="34" t="str">
        <f>IFERROR(IF(E960="","",VLOOKUP(E960,الموظفين!$B:$C,2,FALSE)),"")</f>
        <v/>
      </c>
      <c r="G960" s="34" t="str">
        <f>IFERROR(IF(C960="","",VLOOKUP(C960,المستفيدين!$B:$F,5,FALSE)),"")</f>
        <v/>
      </c>
      <c r="H960" s="24"/>
      <c r="I960" s="20"/>
      <c r="J960" s="20"/>
      <c r="K960" s="20"/>
      <c r="L960" s="21"/>
    </row>
    <row r="961" spans="1:12" x14ac:dyDescent="0.2">
      <c r="A961" s="26"/>
      <c r="B961" s="22"/>
      <c r="C961" s="22"/>
      <c r="D961" s="34" t="str">
        <f>IFERROR(IF(C961="","",VLOOKUP(C961,المستفيدين!$B:$C,2,FALSE)),"")</f>
        <v/>
      </c>
      <c r="E961" s="20"/>
      <c r="F961" s="34" t="str">
        <f>IFERROR(IF(E961="","",VLOOKUP(E961,الموظفين!$B:$C,2,FALSE)),"")</f>
        <v/>
      </c>
      <c r="G961" s="34" t="str">
        <f>IFERROR(IF(C961="","",VLOOKUP(C961,المستفيدين!$B:$F,5,FALSE)),"")</f>
        <v/>
      </c>
      <c r="H961" s="24"/>
      <c r="I961" s="20"/>
      <c r="J961" s="20"/>
      <c r="K961" s="20"/>
      <c r="L961" s="21"/>
    </row>
    <row r="962" spans="1:12" x14ac:dyDescent="0.2">
      <c r="A962" s="26"/>
      <c r="B962" s="22"/>
      <c r="C962" s="22"/>
      <c r="D962" s="34" t="str">
        <f>IFERROR(IF(C962="","",VLOOKUP(C962,المستفيدين!$B:$C,2,FALSE)),"")</f>
        <v/>
      </c>
      <c r="E962" s="20"/>
      <c r="F962" s="34" t="str">
        <f>IFERROR(IF(E962="","",VLOOKUP(E962,الموظفين!$B:$C,2,FALSE)),"")</f>
        <v/>
      </c>
      <c r="G962" s="34" t="str">
        <f>IFERROR(IF(C962="","",VLOOKUP(C962,المستفيدين!$B:$F,5,FALSE)),"")</f>
        <v/>
      </c>
      <c r="H962" s="24"/>
      <c r="I962" s="20"/>
      <c r="J962" s="20"/>
      <c r="K962" s="20"/>
      <c r="L962" s="21"/>
    </row>
    <row r="963" spans="1:12" x14ac:dyDescent="0.2">
      <c r="A963" s="26"/>
      <c r="B963" s="22"/>
      <c r="C963" s="22"/>
      <c r="D963" s="34" t="str">
        <f>IFERROR(IF(C963="","",VLOOKUP(C963,المستفيدين!$B:$C,2,FALSE)),"")</f>
        <v/>
      </c>
      <c r="E963" s="20"/>
      <c r="F963" s="34" t="str">
        <f>IFERROR(IF(E963="","",VLOOKUP(E963,الموظفين!$B:$C,2,FALSE)),"")</f>
        <v/>
      </c>
      <c r="G963" s="34" t="str">
        <f>IFERROR(IF(C963="","",VLOOKUP(C963,المستفيدين!$B:$F,5,FALSE)),"")</f>
        <v/>
      </c>
      <c r="H963" s="24"/>
      <c r="I963" s="20"/>
      <c r="J963" s="20"/>
      <c r="K963" s="20"/>
      <c r="L963" s="21"/>
    </row>
    <row r="964" spans="1:12" x14ac:dyDescent="0.2">
      <c r="A964" s="26"/>
      <c r="B964" s="22"/>
      <c r="C964" s="22"/>
      <c r="D964" s="34" t="str">
        <f>IFERROR(IF(C964="","",VLOOKUP(C964,المستفيدين!$B:$C,2,FALSE)),"")</f>
        <v/>
      </c>
      <c r="E964" s="20"/>
      <c r="F964" s="34" t="str">
        <f>IFERROR(IF(E964="","",VLOOKUP(E964,الموظفين!$B:$C,2,FALSE)),"")</f>
        <v/>
      </c>
      <c r="G964" s="34" t="str">
        <f>IFERROR(IF(C964="","",VLOOKUP(C964,المستفيدين!$B:$F,5,FALSE)),"")</f>
        <v/>
      </c>
      <c r="H964" s="24"/>
      <c r="I964" s="20"/>
      <c r="J964" s="20"/>
      <c r="K964" s="20"/>
      <c r="L964" s="21"/>
    </row>
    <row r="965" spans="1:12" x14ac:dyDescent="0.2">
      <c r="A965" s="26"/>
      <c r="B965" s="22"/>
      <c r="C965" s="22"/>
      <c r="D965" s="34" t="str">
        <f>IFERROR(IF(C965="","",VLOOKUP(C965,المستفيدين!$B:$C,2,FALSE)),"")</f>
        <v/>
      </c>
      <c r="E965" s="20"/>
      <c r="F965" s="34" t="str">
        <f>IFERROR(IF(E965="","",VLOOKUP(E965,الموظفين!$B:$C,2,FALSE)),"")</f>
        <v/>
      </c>
      <c r="G965" s="34" t="str">
        <f>IFERROR(IF(C965="","",VLOOKUP(C965,المستفيدين!$B:$F,5,FALSE)),"")</f>
        <v/>
      </c>
      <c r="H965" s="24"/>
      <c r="I965" s="20"/>
      <c r="J965" s="20"/>
      <c r="K965" s="20"/>
      <c r="L965" s="21"/>
    </row>
    <row r="966" spans="1:12" x14ac:dyDescent="0.2">
      <c r="A966" s="26"/>
      <c r="B966" s="22"/>
      <c r="C966" s="22"/>
      <c r="D966" s="34" t="str">
        <f>IFERROR(IF(C966="","",VLOOKUP(C966,المستفيدين!$B:$C,2,FALSE)),"")</f>
        <v/>
      </c>
      <c r="E966" s="20"/>
      <c r="F966" s="34" t="str">
        <f>IFERROR(IF(E966="","",VLOOKUP(E966,الموظفين!$B:$C,2,FALSE)),"")</f>
        <v/>
      </c>
      <c r="G966" s="34" t="str">
        <f>IFERROR(IF(C966="","",VLOOKUP(C966,المستفيدين!$B:$F,5,FALSE)),"")</f>
        <v/>
      </c>
      <c r="H966" s="24"/>
      <c r="I966" s="20"/>
      <c r="J966" s="20"/>
      <c r="K966" s="20"/>
      <c r="L966" s="21"/>
    </row>
    <row r="967" spans="1:12" x14ac:dyDescent="0.2">
      <c r="A967" s="26"/>
      <c r="B967" s="22"/>
      <c r="C967" s="22"/>
      <c r="D967" s="34" t="str">
        <f>IFERROR(IF(C967="","",VLOOKUP(C967,المستفيدين!$B:$C,2,FALSE)),"")</f>
        <v/>
      </c>
      <c r="E967" s="20"/>
      <c r="F967" s="34" t="str">
        <f>IFERROR(IF(E967="","",VLOOKUP(E967,الموظفين!$B:$C,2,FALSE)),"")</f>
        <v/>
      </c>
      <c r="G967" s="34" t="str">
        <f>IFERROR(IF(C967="","",VLOOKUP(C967,المستفيدين!$B:$F,5,FALSE)),"")</f>
        <v/>
      </c>
      <c r="H967" s="24"/>
      <c r="I967" s="20"/>
      <c r="J967" s="20"/>
      <c r="K967" s="20"/>
      <c r="L967" s="21"/>
    </row>
    <row r="968" spans="1:12" x14ac:dyDescent="0.2">
      <c r="A968" s="26"/>
      <c r="B968" s="22"/>
      <c r="C968" s="22"/>
      <c r="D968" s="34" t="str">
        <f>IFERROR(IF(C968="","",VLOOKUP(C968,المستفيدين!$B:$C,2,FALSE)),"")</f>
        <v/>
      </c>
      <c r="E968" s="20"/>
      <c r="F968" s="34" t="str">
        <f>IFERROR(IF(E968="","",VLOOKUP(E968,الموظفين!$B:$C,2,FALSE)),"")</f>
        <v/>
      </c>
      <c r="G968" s="34" t="str">
        <f>IFERROR(IF(C968="","",VLOOKUP(C968,المستفيدين!$B:$F,5,FALSE)),"")</f>
        <v/>
      </c>
      <c r="H968" s="24"/>
      <c r="I968" s="20"/>
      <c r="J968" s="20"/>
      <c r="K968" s="20"/>
      <c r="L968" s="21"/>
    </row>
    <row r="969" spans="1:12" x14ac:dyDescent="0.2">
      <c r="A969" s="26"/>
      <c r="B969" s="22"/>
      <c r="C969" s="22"/>
      <c r="D969" s="34" t="str">
        <f>IFERROR(IF(C969="","",VLOOKUP(C969,المستفيدين!$B:$C,2,FALSE)),"")</f>
        <v/>
      </c>
      <c r="E969" s="20"/>
      <c r="F969" s="34" t="str">
        <f>IFERROR(IF(E969="","",VLOOKUP(E969,الموظفين!$B:$C,2,FALSE)),"")</f>
        <v/>
      </c>
      <c r="G969" s="34" t="str">
        <f>IFERROR(IF(C969="","",VLOOKUP(C969,المستفيدين!$B:$F,5,FALSE)),"")</f>
        <v/>
      </c>
      <c r="H969" s="24"/>
      <c r="I969" s="20"/>
      <c r="J969" s="20"/>
      <c r="K969" s="20"/>
      <c r="L969" s="21"/>
    </row>
    <row r="970" spans="1:12" x14ac:dyDescent="0.2">
      <c r="A970" s="26"/>
      <c r="B970" s="22"/>
      <c r="C970" s="22"/>
      <c r="D970" s="34" t="str">
        <f>IFERROR(IF(C970="","",VLOOKUP(C970,المستفيدين!$B:$C,2,FALSE)),"")</f>
        <v/>
      </c>
      <c r="E970" s="20"/>
      <c r="F970" s="34" t="str">
        <f>IFERROR(IF(E970="","",VLOOKUP(E970,الموظفين!$B:$C,2,FALSE)),"")</f>
        <v/>
      </c>
      <c r="G970" s="34" t="str">
        <f>IFERROR(IF(C970="","",VLOOKUP(C970,المستفيدين!$B:$F,5,FALSE)),"")</f>
        <v/>
      </c>
      <c r="H970" s="24"/>
      <c r="I970" s="20"/>
      <c r="J970" s="20"/>
      <c r="K970" s="20"/>
      <c r="L970" s="21"/>
    </row>
    <row r="971" spans="1:12" x14ac:dyDescent="0.2">
      <c r="A971" s="26"/>
      <c r="B971" s="22"/>
      <c r="C971" s="22"/>
      <c r="D971" s="34" t="str">
        <f>IFERROR(IF(C971="","",VLOOKUP(C971,المستفيدين!$B:$C,2,FALSE)),"")</f>
        <v/>
      </c>
      <c r="E971" s="20"/>
      <c r="F971" s="34" t="str">
        <f>IFERROR(IF(E971="","",VLOOKUP(E971,الموظفين!$B:$C,2,FALSE)),"")</f>
        <v/>
      </c>
      <c r="G971" s="34" t="str">
        <f>IFERROR(IF(C971="","",VLOOKUP(C971,المستفيدين!$B:$F,5,FALSE)),"")</f>
        <v/>
      </c>
      <c r="H971" s="24"/>
      <c r="I971" s="20"/>
      <c r="J971" s="20"/>
      <c r="K971" s="20"/>
      <c r="L971" s="21"/>
    </row>
    <row r="972" spans="1:12" x14ac:dyDescent="0.2">
      <c r="A972" s="26"/>
      <c r="B972" s="22"/>
      <c r="C972" s="22"/>
      <c r="D972" s="34" t="str">
        <f>IFERROR(IF(C972="","",VLOOKUP(C972,المستفيدين!$B:$C,2,FALSE)),"")</f>
        <v/>
      </c>
      <c r="E972" s="20"/>
      <c r="F972" s="34" t="str">
        <f>IFERROR(IF(E972="","",VLOOKUP(E972,الموظفين!$B:$C,2,FALSE)),"")</f>
        <v/>
      </c>
      <c r="G972" s="34" t="str">
        <f>IFERROR(IF(C972="","",VLOOKUP(C972,المستفيدين!$B:$F,5,FALSE)),"")</f>
        <v/>
      </c>
      <c r="H972" s="24"/>
      <c r="I972" s="20"/>
      <c r="J972" s="20"/>
      <c r="K972" s="20"/>
      <c r="L972" s="21"/>
    </row>
    <row r="973" spans="1:12" x14ac:dyDescent="0.2">
      <c r="A973" s="26"/>
      <c r="B973" s="22"/>
      <c r="C973" s="22"/>
      <c r="D973" s="34" t="str">
        <f>IFERROR(IF(C973="","",VLOOKUP(C973,المستفيدين!$B:$C,2,FALSE)),"")</f>
        <v/>
      </c>
      <c r="E973" s="20"/>
      <c r="F973" s="34" t="str">
        <f>IFERROR(IF(E973="","",VLOOKUP(E973,الموظفين!$B:$C,2,FALSE)),"")</f>
        <v/>
      </c>
      <c r="G973" s="34" t="str">
        <f>IFERROR(IF(C973="","",VLOOKUP(C973,المستفيدين!$B:$F,5,FALSE)),"")</f>
        <v/>
      </c>
      <c r="H973" s="24"/>
      <c r="I973" s="20"/>
      <c r="J973" s="20"/>
      <c r="K973" s="20"/>
      <c r="L973" s="21"/>
    </row>
    <row r="974" spans="1:12" x14ac:dyDescent="0.2">
      <c r="A974" s="26"/>
      <c r="B974" s="22"/>
      <c r="C974" s="22"/>
      <c r="D974" s="34" t="str">
        <f>IFERROR(IF(C974="","",VLOOKUP(C974,المستفيدين!$B:$C,2,FALSE)),"")</f>
        <v/>
      </c>
      <c r="E974" s="20"/>
      <c r="F974" s="34" t="str">
        <f>IFERROR(IF(E974="","",VLOOKUP(E974,الموظفين!$B:$C,2,FALSE)),"")</f>
        <v/>
      </c>
      <c r="G974" s="34" t="str">
        <f>IFERROR(IF(C974="","",VLOOKUP(C974,المستفيدين!$B:$F,5,FALSE)),"")</f>
        <v/>
      </c>
      <c r="H974" s="24"/>
      <c r="I974" s="20"/>
      <c r="J974" s="20"/>
      <c r="K974" s="20"/>
      <c r="L974" s="21"/>
    </row>
    <row r="975" spans="1:12" x14ac:dyDescent="0.2">
      <c r="A975" s="26"/>
      <c r="B975" s="22"/>
      <c r="C975" s="22"/>
      <c r="D975" s="34" t="str">
        <f>IFERROR(IF(C975="","",VLOOKUP(C975,المستفيدين!$B:$C,2,FALSE)),"")</f>
        <v/>
      </c>
      <c r="E975" s="20"/>
      <c r="F975" s="34" t="str">
        <f>IFERROR(IF(E975="","",VLOOKUP(E975,الموظفين!$B:$C,2,FALSE)),"")</f>
        <v/>
      </c>
      <c r="G975" s="34" t="str">
        <f>IFERROR(IF(C975="","",VLOOKUP(C975,المستفيدين!$B:$F,5,FALSE)),"")</f>
        <v/>
      </c>
      <c r="H975" s="24"/>
      <c r="I975" s="20"/>
      <c r="J975" s="20"/>
      <c r="K975" s="20"/>
      <c r="L975" s="21"/>
    </row>
    <row r="976" spans="1:12" x14ac:dyDescent="0.2">
      <c r="A976" s="26"/>
      <c r="B976" s="22"/>
      <c r="C976" s="22"/>
      <c r="D976" s="34" t="str">
        <f>IFERROR(IF(C976="","",VLOOKUP(C976,المستفيدين!$B:$C,2,FALSE)),"")</f>
        <v/>
      </c>
      <c r="E976" s="20"/>
      <c r="F976" s="34" t="str">
        <f>IFERROR(IF(E976="","",VLOOKUP(E976,الموظفين!$B:$C,2,FALSE)),"")</f>
        <v/>
      </c>
      <c r="G976" s="34" t="str">
        <f>IFERROR(IF(C976="","",VLOOKUP(C976,المستفيدين!$B:$F,5,FALSE)),"")</f>
        <v/>
      </c>
      <c r="H976" s="24"/>
      <c r="I976" s="20"/>
      <c r="J976" s="20"/>
      <c r="K976" s="20"/>
      <c r="L976" s="21"/>
    </row>
    <row r="977" spans="1:12" x14ac:dyDescent="0.2">
      <c r="A977" s="26"/>
      <c r="B977" s="22"/>
      <c r="C977" s="22"/>
      <c r="D977" s="34" t="str">
        <f>IFERROR(IF(C977="","",VLOOKUP(C977,المستفيدين!$B:$C,2,FALSE)),"")</f>
        <v/>
      </c>
      <c r="E977" s="20"/>
      <c r="F977" s="34" t="str">
        <f>IFERROR(IF(E977="","",VLOOKUP(E977,الموظفين!$B:$C,2,FALSE)),"")</f>
        <v/>
      </c>
      <c r="G977" s="34" t="str">
        <f>IFERROR(IF(C977="","",VLOOKUP(C977,المستفيدين!$B:$F,5,FALSE)),"")</f>
        <v/>
      </c>
      <c r="H977" s="24"/>
      <c r="I977" s="20"/>
      <c r="J977" s="20"/>
      <c r="K977" s="20"/>
      <c r="L977" s="21"/>
    </row>
    <row r="978" spans="1:12" x14ac:dyDescent="0.2">
      <c r="A978" s="26"/>
      <c r="B978" s="22"/>
      <c r="C978" s="22"/>
      <c r="D978" s="34" t="str">
        <f>IFERROR(IF(C978="","",VLOOKUP(C978,المستفيدين!$B:$C,2,FALSE)),"")</f>
        <v/>
      </c>
      <c r="E978" s="20"/>
      <c r="F978" s="34" t="str">
        <f>IFERROR(IF(E978="","",VLOOKUP(E978,الموظفين!$B:$C,2,FALSE)),"")</f>
        <v/>
      </c>
      <c r="G978" s="34" t="str">
        <f>IFERROR(IF(C978="","",VLOOKUP(C978,المستفيدين!$B:$F,5,FALSE)),"")</f>
        <v/>
      </c>
      <c r="H978" s="24"/>
      <c r="I978" s="20"/>
      <c r="J978" s="20"/>
      <c r="K978" s="20"/>
      <c r="L978" s="21"/>
    </row>
    <row r="979" spans="1:12" x14ac:dyDescent="0.2">
      <c r="A979" s="26"/>
      <c r="B979" s="22"/>
      <c r="C979" s="22"/>
      <c r="D979" s="34" t="str">
        <f>IFERROR(IF(C979="","",VLOOKUP(C979,المستفيدين!$B:$C,2,FALSE)),"")</f>
        <v/>
      </c>
      <c r="E979" s="20"/>
      <c r="F979" s="34" t="str">
        <f>IFERROR(IF(E979="","",VLOOKUP(E979,الموظفين!$B:$C,2,FALSE)),"")</f>
        <v/>
      </c>
      <c r="G979" s="34" t="str">
        <f>IFERROR(IF(C979="","",VLOOKUP(C979,المستفيدين!$B:$F,5,FALSE)),"")</f>
        <v/>
      </c>
      <c r="H979" s="24"/>
      <c r="I979" s="20"/>
      <c r="J979" s="20"/>
      <c r="K979" s="20"/>
      <c r="L979" s="21"/>
    </row>
    <row r="980" spans="1:12" x14ac:dyDescent="0.2">
      <c r="A980" s="26"/>
      <c r="B980" s="22"/>
      <c r="C980" s="22"/>
      <c r="D980" s="34" t="str">
        <f>IFERROR(IF(C980="","",VLOOKUP(C980,المستفيدين!$B:$C,2,FALSE)),"")</f>
        <v/>
      </c>
      <c r="E980" s="20"/>
      <c r="F980" s="34" t="str">
        <f>IFERROR(IF(E980="","",VLOOKUP(E980,الموظفين!$B:$C,2,FALSE)),"")</f>
        <v/>
      </c>
      <c r="G980" s="34" t="str">
        <f>IFERROR(IF(C980="","",VLOOKUP(C980,المستفيدين!$B:$F,5,FALSE)),"")</f>
        <v/>
      </c>
      <c r="H980" s="24"/>
      <c r="I980" s="20"/>
      <c r="J980" s="20"/>
      <c r="K980" s="20"/>
      <c r="L980" s="21"/>
    </row>
    <row r="981" spans="1:12" x14ac:dyDescent="0.2">
      <c r="A981" s="26"/>
      <c r="B981" s="22"/>
      <c r="C981" s="22"/>
      <c r="D981" s="34" t="str">
        <f>IFERROR(IF(C981="","",VLOOKUP(C981,المستفيدين!$B:$C,2,FALSE)),"")</f>
        <v/>
      </c>
      <c r="E981" s="20"/>
      <c r="F981" s="34" t="str">
        <f>IFERROR(IF(E981="","",VLOOKUP(E981,الموظفين!$B:$C,2,FALSE)),"")</f>
        <v/>
      </c>
      <c r="G981" s="34" t="str">
        <f>IFERROR(IF(C981="","",VLOOKUP(C981,المستفيدين!$B:$F,5,FALSE)),"")</f>
        <v/>
      </c>
      <c r="H981" s="24"/>
      <c r="I981" s="20"/>
      <c r="J981" s="20"/>
      <c r="K981" s="20"/>
      <c r="L981" s="21"/>
    </row>
    <row r="982" spans="1:12" x14ac:dyDescent="0.2">
      <c r="A982" s="26"/>
      <c r="B982" s="22"/>
      <c r="C982" s="22"/>
      <c r="D982" s="34" t="str">
        <f>IFERROR(IF(C982="","",VLOOKUP(C982,المستفيدين!$B:$C,2,FALSE)),"")</f>
        <v/>
      </c>
      <c r="E982" s="20"/>
      <c r="F982" s="34" t="str">
        <f>IFERROR(IF(E982="","",VLOOKUP(E982,الموظفين!$B:$C,2,FALSE)),"")</f>
        <v/>
      </c>
      <c r="G982" s="34" t="str">
        <f>IFERROR(IF(C982="","",VLOOKUP(C982,المستفيدين!$B:$F,5,FALSE)),"")</f>
        <v/>
      </c>
      <c r="H982" s="24"/>
      <c r="I982" s="20"/>
      <c r="J982" s="20"/>
      <c r="K982" s="20"/>
      <c r="L982" s="21"/>
    </row>
    <row r="983" spans="1:12" x14ac:dyDescent="0.2">
      <c r="A983" s="26"/>
      <c r="B983" s="22"/>
      <c r="C983" s="22"/>
      <c r="D983" s="34" t="str">
        <f>IFERROR(IF(C983="","",VLOOKUP(C983,المستفيدين!$B:$C,2,FALSE)),"")</f>
        <v/>
      </c>
      <c r="E983" s="20"/>
      <c r="F983" s="34" t="str">
        <f>IFERROR(IF(E983="","",VLOOKUP(E983,الموظفين!$B:$C,2,FALSE)),"")</f>
        <v/>
      </c>
      <c r="G983" s="34" t="str">
        <f>IFERROR(IF(C983="","",VLOOKUP(C983,المستفيدين!$B:$F,5,FALSE)),"")</f>
        <v/>
      </c>
      <c r="H983" s="24"/>
      <c r="I983" s="20"/>
      <c r="J983" s="20"/>
      <c r="K983" s="20"/>
      <c r="L983" s="21"/>
    </row>
    <row r="984" spans="1:12" x14ac:dyDescent="0.2">
      <c r="A984" s="26"/>
      <c r="B984" s="22"/>
      <c r="C984" s="22"/>
      <c r="D984" s="34" t="str">
        <f>IFERROR(IF(C984="","",VLOOKUP(C984,المستفيدين!$B:$C,2,FALSE)),"")</f>
        <v/>
      </c>
      <c r="E984" s="20"/>
      <c r="F984" s="34" t="str">
        <f>IFERROR(IF(E984="","",VLOOKUP(E984,الموظفين!$B:$C,2,FALSE)),"")</f>
        <v/>
      </c>
      <c r="G984" s="34" t="str">
        <f>IFERROR(IF(C984="","",VLOOKUP(C984,المستفيدين!$B:$F,5,FALSE)),"")</f>
        <v/>
      </c>
      <c r="H984" s="24"/>
      <c r="I984" s="20"/>
      <c r="J984" s="20"/>
      <c r="K984" s="20"/>
      <c r="L984" s="21"/>
    </row>
    <row r="985" spans="1:12" x14ac:dyDescent="0.2">
      <c r="A985" s="26"/>
      <c r="B985" s="22"/>
      <c r="C985" s="22"/>
      <c r="D985" s="34" t="str">
        <f>IFERROR(IF(C985="","",VLOOKUP(C985,المستفيدين!$B:$C,2,FALSE)),"")</f>
        <v/>
      </c>
      <c r="E985" s="20"/>
      <c r="F985" s="34" t="str">
        <f>IFERROR(IF(E985="","",VLOOKUP(E985,الموظفين!$B:$C,2,FALSE)),"")</f>
        <v/>
      </c>
      <c r="G985" s="34" t="str">
        <f>IFERROR(IF(C985="","",VLOOKUP(C985,المستفيدين!$B:$F,5,FALSE)),"")</f>
        <v/>
      </c>
      <c r="H985" s="24"/>
      <c r="I985" s="20"/>
      <c r="J985" s="20"/>
      <c r="K985" s="20"/>
      <c r="L985" s="21"/>
    </row>
    <row r="986" spans="1:12" x14ac:dyDescent="0.2">
      <c r="A986" s="26"/>
      <c r="B986" s="22"/>
      <c r="C986" s="22"/>
      <c r="D986" s="34" t="str">
        <f>IFERROR(IF(C986="","",VLOOKUP(C986,المستفيدين!$B:$C,2,FALSE)),"")</f>
        <v/>
      </c>
      <c r="E986" s="20"/>
      <c r="F986" s="34" t="str">
        <f>IFERROR(IF(E986="","",VLOOKUP(E986,الموظفين!$B:$C,2,FALSE)),"")</f>
        <v/>
      </c>
      <c r="G986" s="34" t="str">
        <f>IFERROR(IF(C986="","",VLOOKUP(C986,المستفيدين!$B:$F,5,FALSE)),"")</f>
        <v/>
      </c>
      <c r="H986" s="24"/>
      <c r="I986" s="20"/>
      <c r="J986" s="20"/>
      <c r="K986" s="20"/>
      <c r="L986" s="21"/>
    </row>
    <row r="987" spans="1:12" x14ac:dyDescent="0.2">
      <c r="A987" s="26"/>
      <c r="B987" s="22"/>
      <c r="C987" s="22"/>
      <c r="D987" s="34" t="str">
        <f>IFERROR(IF(C987="","",VLOOKUP(C987,المستفيدين!$B:$C,2,FALSE)),"")</f>
        <v/>
      </c>
      <c r="E987" s="20"/>
      <c r="F987" s="34" t="str">
        <f>IFERROR(IF(E987="","",VLOOKUP(E987,الموظفين!$B:$C,2,FALSE)),"")</f>
        <v/>
      </c>
      <c r="G987" s="34" t="str">
        <f>IFERROR(IF(C987="","",VLOOKUP(C987,المستفيدين!$B:$F,5,FALSE)),"")</f>
        <v/>
      </c>
      <c r="H987" s="24"/>
      <c r="I987" s="20"/>
      <c r="J987" s="20"/>
      <c r="K987" s="20"/>
      <c r="L987" s="21"/>
    </row>
    <row r="988" spans="1:12" x14ac:dyDescent="0.2">
      <c r="A988" s="26"/>
      <c r="B988" s="22"/>
      <c r="C988" s="22"/>
      <c r="D988" s="34" t="str">
        <f>IFERROR(IF(C988="","",VLOOKUP(C988,المستفيدين!$B:$C,2,FALSE)),"")</f>
        <v/>
      </c>
      <c r="E988" s="20"/>
      <c r="F988" s="34" t="str">
        <f>IFERROR(IF(E988="","",VLOOKUP(E988,الموظفين!$B:$C,2,FALSE)),"")</f>
        <v/>
      </c>
      <c r="G988" s="34" t="str">
        <f>IFERROR(IF(C988="","",VLOOKUP(C988,المستفيدين!$B:$F,5,FALSE)),"")</f>
        <v/>
      </c>
      <c r="H988" s="24"/>
      <c r="I988" s="20"/>
      <c r="J988" s="20"/>
      <c r="K988" s="20"/>
      <c r="L988" s="21"/>
    </row>
    <row r="989" spans="1:12" x14ac:dyDescent="0.2">
      <c r="A989" s="26"/>
      <c r="B989" s="22"/>
      <c r="C989" s="22"/>
      <c r="D989" s="34" t="str">
        <f>IFERROR(IF(C989="","",VLOOKUP(C989,المستفيدين!$B:$C,2,FALSE)),"")</f>
        <v/>
      </c>
      <c r="E989" s="20"/>
      <c r="F989" s="34" t="str">
        <f>IFERROR(IF(E989="","",VLOOKUP(E989,الموظفين!$B:$C,2,FALSE)),"")</f>
        <v/>
      </c>
      <c r="G989" s="34" t="str">
        <f>IFERROR(IF(C989="","",VLOOKUP(C989,المستفيدين!$B:$F,5,FALSE)),"")</f>
        <v/>
      </c>
      <c r="H989" s="24"/>
      <c r="I989" s="20"/>
      <c r="J989" s="20"/>
      <c r="K989" s="20"/>
      <c r="L989" s="21"/>
    </row>
    <row r="990" spans="1:12" x14ac:dyDescent="0.2">
      <c r="A990" s="26"/>
      <c r="B990" s="22"/>
      <c r="C990" s="22"/>
      <c r="D990" s="34" t="str">
        <f>IFERROR(IF(C990="","",VLOOKUP(C990,المستفيدين!$B:$C,2,FALSE)),"")</f>
        <v/>
      </c>
      <c r="E990" s="20"/>
      <c r="F990" s="34" t="str">
        <f>IFERROR(IF(E990="","",VLOOKUP(E990,الموظفين!$B:$C,2,FALSE)),"")</f>
        <v/>
      </c>
      <c r="G990" s="34" t="str">
        <f>IFERROR(IF(C990="","",VLOOKUP(C990,المستفيدين!$B:$F,5,FALSE)),"")</f>
        <v/>
      </c>
      <c r="H990" s="24"/>
      <c r="I990" s="20"/>
      <c r="J990" s="20"/>
      <c r="K990" s="20"/>
      <c r="L990" s="21"/>
    </row>
    <row r="991" spans="1:12" x14ac:dyDescent="0.2">
      <c r="A991" s="26"/>
      <c r="B991" s="22"/>
      <c r="C991" s="22"/>
      <c r="D991" s="34" t="str">
        <f>IFERROR(IF(C991="","",VLOOKUP(C991,المستفيدين!$B:$C,2,FALSE)),"")</f>
        <v/>
      </c>
      <c r="E991" s="20"/>
      <c r="F991" s="34" t="str">
        <f>IFERROR(IF(E991="","",VLOOKUP(E991,الموظفين!$B:$C,2,FALSE)),"")</f>
        <v/>
      </c>
      <c r="G991" s="34" t="str">
        <f>IFERROR(IF(C991="","",VLOOKUP(C991,المستفيدين!$B:$F,5,FALSE)),"")</f>
        <v/>
      </c>
      <c r="H991" s="24"/>
      <c r="I991" s="20"/>
      <c r="J991" s="20"/>
      <c r="K991" s="20"/>
      <c r="L991" s="21"/>
    </row>
    <row r="992" spans="1:12" x14ac:dyDescent="0.2">
      <c r="A992" s="26"/>
      <c r="B992" s="22"/>
      <c r="C992" s="22"/>
      <c r="D992" s="34" t="str">
        <f>IFERROR(IF(C992="","",VLOOKUP(C992,المستفيدين!$B:$C,2,FALSE)),"")</f>
        <v/>
      </c>
      <c r="E992" s="20"/>
      <c r="F992" s="34" t="str">
        <f>IFERROR(IF(E992="","",VLOOKUP(E992,الموظفين!$B:$C,2,FALSE)),"")</f>
        <v/>
      </c>
      <c r="G992" s="34" t="str">
        <f>IFERROR(IF(C992="","",VLOOKUP(C992,المستفيدين!$B:$F,5,FALSE)),"")</f>
        <v/>
      </c>
      <c r="H992" s="24"/>
      <c r="I992" s="20"/>
      <c r="J992" s="20"/>
      <c r="K992" s="20"/>
      <c r="L992" s="21"/>
    </row>
    <row r="993" spans="1:12" x14ac:dyDescent="0.2">
      <c r="A993" s="26"/>
      <c r="B993" s="22"/>
      <c r="C993" s="22"/>
      <c r="D993" s="34" t="str">
        <f>IFERROR(IF(C993="","",VLOOKUP(C993,المستفيدين!$B:$C,2,FALSE)),"")</f>
        <v/>
      </c>
      <c r="E993" s="20"/>
      <c r="F993" s="34" t="str">
        <f>IFERROR(IF(E993="","",VLOOKUP(E993,الموظفين!$B:$C,2,FALSE)),"")</f>
        <v/>
      </c>
      <c r="G993" s="34" t="str">
        <f>IFERROR(IF(C993="","",VLOOKUP(C993,المستفيدين!$B:$F,5,FALSE)),"")</f>
        <v/>
      </c>
      <c r="H993" s="24"/>
      <c r="I993" s="20"/>
      <c r="J993" s="20"/>
      <c r="K993" s="20"/>
      <c r="L993" s="21"/>
    </row>
    <row r="994" spans="1:12" x14ac:dyDescent="0.2">
      <c r="A994" s="26"/>
      <c r="B994" s="22"/>
      <c r="C994" s="22"/>
      <c r="D994" s="34" t="str">
        <f>IFERROR(IF(C994="","",VLOOKUP(C994,المستفيدين!$B:$C,2,FALSE)),"")</f>
        <v/>
      </c>
      <c r="E994" s="20"/>
      <c r="F994" s="34" t="str">
        <f>IFERROR(IF(E994="","",VLOOKUP(E994,الموظفين!$B:$C,2,FALSE)),"")</f>
        <v/>
      </c>
      <c r="G994" s="34" t="str">
        <f>IFERROR(IF(C994="","",VLOOKUP(C994,المستفيدين!$B:$F,5,FALSE)),"")</f>
        <v/>
      </c>
      <c r="H994" s="24"/>
      <c r="I994" s="20"/>
      <c r="J994" s="20"/>
      <c r="K994" s="20"/>
      <c r="L994" s="21"/>
    </row>
    <row r="995" spans="1:12" x14ac:dyDescent="0.2">
      <c r="A995" s="26"/>
      <c r="B995" s="22"/>
      <c r="C995" s="22"/>
      <c r="D995" s="34" t="str">
        <f>IFERROR(IF(C995="","",VLOOKUP(C995,المستفيدين!$B:$C,2,FALSE)),"")</f>
        <v/>
      </c>
      <c r="E995" s="20"/>
      <c r="F995" s="34" t="str">
        <f>IFERROR(IF(E995="","",VLOOKUP(E995,الموظفين!$B:$C,2,FALSE)),"")</f>
        <v/>
      </c>
      <c r="G995" s="34" t="str">
        <f>IFERROR(IF(C995="","",VLOOKUP(C995,المستفيدين!$B:$F,5,FALSE)),"")</f>
        <v/>
      </c>
      <c r="H995" s="24"/>
      <c r="I995" s="20"/>
      <c r="J995" s="20"/>
      <c r="K995" s="20"/>
      <c r="L995" s="21"/>
    </row>
    <row r="996" spans="1:12" x14ac:dyDescent="0.2">
      <c r="A996" s="26"/>
      <c r="B996" s="22"/>
      <c r="C996" s="22"/>
      <c r="D996" s="34" t="str">
        <f>IFERROR(IF(C996="","",VLOOKUP(C996,المستفيدين!$B:$C,2,FALSE)),"")</f>
        <v/>
      </c>
      <c r="E996" s="20"/>
      <c r="F996" s="34" t="str">
        <f>IFERROR(IF(E996="","",VLOOKUP(E996,الموظفين!$B:$C,2,FALSE)),"")</f>
        <v/>
      </c>
      <c r="G996" s="34" t="str">
        <f>IFERROR(IF(C996="","",VLOOKUP(C996,المستفيدين!$B:$F,5,FALSE)),"")</f>
        <v/>
      </c>
      <c r="H996" s="24"/>
      <c r="I996" s="20"/>
      <c r="J996" s="20"/>
      <c r="K996" s="20"/>
      <c r="L996" s="21"/>
    </row>
    <row r="997" spans="1:12" x14ac:dyDescent="0.2">
      <c r="A997" s="26"/>
      <c r="B997" s="22"/>
      <c r="C997" s="22"/>
      <c r="D997" s="34" t="str">
        <f>IFERROR(IF(C997="","",VLOOKUP(C997,المستفيدين!$B:$C,2,FALSE)),"")</f>
        <v/>
      </c>
      <c r="E997" s="20"/>
      <c r="F997" s="34" t="str">
        <f>IFERROR(IF(E997="","",VLOOKUP(E997,الموظفين!$B:$C,2,FALSE)),"")</f>
        <v/>
      </c>
      <c r="G997" s="34" t="str">
        <f>IFERROR(IF(C997="","",VLOOKUP(C997,المستفيدين!$B:$F,5,FALSE)),"")</f>
        <v/>
      </c>
      <c r="H997" s="24"/>
      <c r="I997" s="20"/>
      <c r="J997" s="20"/>
      <c r="K997" s="20"/>
      <c r="L997" s="21"/>
    </row>
    <row r="998" spans="1:12" x14ac:dyDescent="0.2">
      <c r="A998" s="26"/>
      <c r="B998" s="22"/>
      <c r="C998" s="22"/>
      <c r="D998" s="34" t="str">
        <f>IFERROR(IF(C998="","",VLOOKUP(C998,المستفيدين!$B:$C,2,FALSE)),"")</f>
        <v/>
      </c>
      <c r="E998" s="20"/>
      <c r="F998" s="34" t="str">
        <f>IFERROR(IF(E998="","",VLOOKUP(E998,الموظفين!$B:$C,2,FALSE)),"")</f>
        <v/>
      </c>
      <c r="G998" s="34" t="str">
        <f>IFERROR(IF(C998="","",VLOOKUP(C998,المستفيدين!$B:$F,5,FALSE)),"")</f>
        <v/>
      </c>
      <c r="H998" s="24"/>
      <c r="I998" s="20"/>
      <c r="J998" s="20"/>
      <c r="K998" s="20"/>
      <c r="L998" s="21"/>
    </row>
    <row r="999" spans="1:12" x14ac:dyDescent="0.2">
      <c r="A999" s="26"/>
      <c r="B999" s="22"/>
      <c r="C999" s="22"/>
      <c r="D999" s="34" t="str">
        <f>IFERROR(IF(C999="","",VLOOKUP(C999,المستفيدين!$B:$C,2,FALSE)),"")</f>
        <v/>
      </c>
      <c r="E999" s="20"/>
      <c r="F999" s="34" t="str">
        <f>IFERROR(IF(E999="","",VLOOKUP(E999,الموظفين!$B:$C,2,FALSE)),"")</f>
        <v/>
      </c>
      <c r="G999" s="34" t="str">
        <f>IFERROR(IF(C999="","",VLOOKUP(C999,المستفيدين!$B:$F,5,FALSE)),"")</f>
        <v/>
      </c>
      <c r="H999" s="24"/>
      <c r="I999" s="20"/>
      <c r="J999" s="20"/>
      <c r="K999" s="20"/>
      <c r="L999" s="21"/>
    </row>
    <row r="1000" spans="1:12" x14ac:dyDescent="0.2">
      <c r="A1000" s="26"/>
      <c r="B1000" s="22"/>
      <c r="C1000" s="22"/>
      <c r="D1000" s="34" t="str">
        <f>IFERROR(IF(C1000="","",VLOOKUP(C1000,المستفيدين!$B:$C,2,FALSE)),"")</f>
        <v/>
      </c>
      <c r="E1000" s="20"/>
      <c r="F1000" s="34" t="str">
        <f>IFERROR(IF(E1000="","",VLOOKUP(E1000,الموظفين!$B:$C,2,FALSE)),"")</f>
        <v/>
      </c>
      <c r="G1000" s="34" t="str">
        <f>IFERROR(IF(C1000="","",VLOOKUP(C1000,المستفيدين!$B:$F,5,FALSE)),"")</f>
        <v/>
      </c>
      <c r="H1000" s="24"/>
      <c r="I1000" s="20"/>
      <c r="J1000" s="20"/>
      <c r="K1000" s="20"/>
      <c r="L1000" s="21"/>
    </row>
    <row r="1001" spans="1:12" x14ac:dyDescent="0.2">
      <c r="A1001" s="26"/>
      <c r="B1001" s="22"/>
      <c r="C1001" s="22"/>
      <c r="D1001" s="34" t="str">
        <f>IFERROR(IF(C1001="","",VLOOKUP(C1001,المستفيدين!$B:$C,2,FALSE)),"")</f>
        <v/>
      </c>
      <c r="E1001" s="20"/>
      <c r="F1001" s="34" t="str">
        <f>IFERROR(IF(E1001="","",VLOOKUP(E1001,الموظفين!$B:$C,2,FALSE)),"")</f>
        <v/>
      </c>
      <c r="G1001" s="34" t="str">
        <f>IFERROR(IF(C1001="","",VLOOKUP(C1001,المستفيدين!$B:$F,5,FALSE)),"")</f>
        <v/>
      </c>
      <c r="H1001" s="24"/>
      <c r="I1001" s="20"/>
      <c r="J1001" s="20"/>
      <c r="K1001" s="20"/>
      <c r="L1001" s="21"/>
    </row>
    <row r="1002" spans="1:12" x14ac:dyDescent="0.2">
      <c r="A1002" s="26"/>
      <c r="B1002" s="22"/>
      <c r="C1002" s="22"/>
      <c r="D1002" s="34" t="str">
        <f>IFERROR(IF(C1002="","",VLOOKUP(C1002,المستفيدين!$B:$C,2,FALSE)),"")</f>
        <v/>
      </c>
      <c r="E1002" s="20"/>
      <c r="F1002" s="34" t="str">
        <f>IFERROR(IF(E1002="","",VLOOKUP(E1002,الموظفين!$B:$C,2,FALSE)),"")</f>
        <v/>
      </c>
      <c r="G1002" s="34" t="str">
        <f>IFERROR(IF(C1002="","",VLOOKUP(C1002,المستفيدين!$B:$F,5,FALSE)),"")</f>
        <v/>
      </c>
      <c r="H1002" s="24"/>
      <c r="I1002" s="20"/>
      <c r="J1002" s="20"/>
      <c r="K1002" s="20"/>
      <c r="L1002" s="21"/>
    </row>
    <row r="1003" spans="1:12" x14ac:dyDescent="0.2">
      <c r="A1003" s="26"/>
      <c r="B1003" s="22"/>
      <c r="C1003" s="22"/>
      <c r="D1003" s="34" t="str">
        <f>IFERROR(IF(C1003="","",VLOOKUP(C1003,المستفيدين!$B:$C,2,FALSE)),"")</f>
        <v/>
      </c>
      <c r="E1003" s="20"/>
      <c r="F1003" s="34" t="str">
        <f>IFERROR(IF(E1003="","",VLOOKUP(E1003,الموظفين!$B:$C,2,FALSE)),"")</f>
        <v/>
      </c>
      <c r="G1003" s="34" t="str">
        <f>IFERROR(IF(C1003="","",VLOOKUP(C1003,المستفيدين!$B:$F,5,FALSE)),"")</f>
        <v/>
      </c>
      <c r="H1003" s="24"/>
      <c r="I1003" s="20"/>
      <c r="J1003" s="20"/>
      <c r="K1003" s="20"/>
      <c r="L1003" s="21"/>
    </row>
    <row r="1004" spans="1:12" x14ac:dyDescent="0.2">
      <c r="A1004" s="26"/>
      <c r="B1004" s="22"/>
      <c r="C1004" s="22"/>
      <c r="D1004" s="34" t="str">
        <f>IFERROR(IF(C1004="","",VLOOKUP(C1004,المستفيدين!$B:$C,2,FALSE)),"")</f>
        <v/>
      </c>
      <c r="E1004" s="20"/>
      <c r="F1004" s="34"/>
      <c r="G1004" s="34" t="str">
        <f>IFERROR(IF(C1004="","",VLOOKUP(C1004,المستفيدين!$B:$F,5,FALSE)),"")</f>
        <v/>
      </c>
      <c r="H1004" s="24"/>
      <c r="I1004" s="20"/>
      <c r="J1004" s="20"/>
      <c r="K1004" s="20"/>
      <c r="L1004" s="21"/>
    </row>
    <row r="1005" spans="1:12" x14ac:dyDescent="0.2">
      <c r="A1005" s="26"/>
      <c r="B1005" s="22"/>
      <c r="C1005" s="22"/>
      <c r="D1005" s="34" t="str">
        <f>IFERROR(IF(C1005="","",VLOOKUP(C1005,المستفيدين!$B:$C,2,FALSE)),"")</f>
        <v/>
      </c>
      <c r="E1005" s="20"/>
      <c r="F1005" s="34"/>
      <c r="G1005" s="34" t="str">
        <f>IFERROR(IF(C1005="","",VLOOKUP(C1005,المستفيدين!$B:$F,5,FALSE)),"")</f>
        <v/>
      </c>
      <c r="H1005" s="24"/>
      <c r="I1005" s="20"/>
      <c r="J1005" s="20"/>
      <c r="K1005" s="20"/>
      <c r="L1005" s="21"/>
    </row>
    <row r="1006" spans="1:12" x14ac:dyDescent="0.2">
      <c r="A1006" s="26"/>
      <c r="B1006" s="22"/>
      <c r="C1006" s="22"/>
      <c r="D1006" s="34" t="str">
        <f>IFERROR(IF(C1006="","",VLOOKUP(C1006,المستفيدين!$B:$C,2,FALSE)),"")</f>
        <v/>
      </c>
      <c r="E1006" s="20"/>
      <c r="F1006" s="34"/>
      <c r="G1006" s="34" t="str">
        <f>IFERROR(IF(C1006="","",VLOOKUP(C1006,المستفيدين!$B:$F,5,FALSE)),"")</f>
        <v/>
      </c>
      <c r="H1006" s="24"/>
      <c r="I1006" s="20"/>
      <c r="J1006" s="20"/>
      <c r="K1006" s="20"/>
      <c r="L1006" s="21"/>
    </row>
    <row r="1007" spans="1:12" x14ac:dyDescent="0.2">
      <c r="A1007" s="26"/>
      <c r="B1007" s="22"/>
      <c r="C1007" s="22"/>
      <c r="D1007" s="34" t="str">
        <f>IFERROR(IF(C1007="","",VLOOKUP(C1007,المستفيدين!$B:$C,2,FALSE)),"")</f>
        <v/>
      </c>
      <c r="E1007" s="20"/>
      <c r="F1007" s="34"/>
      <c r="G1007" s="34" t="str">
        <f>IFERROR(IF(C1007="","",VLOOKUP(C1007,المستفيدين!$B:$F,5,FALSE)),"")</f>
        <v/>
      </c>
      <c r="H1007" s="24"/>
      <c r="I1007" s="20"/>
      <c r="J1007" s="20"/>
      <c r="K1007" s="20"/>
      <c r="L1007" s="21"/>
    </row>
    <row r="1008" spans="1:12" x14ac:dyDescent="0.2">
      <c r="A1008" s="26"/>
      <c r="B1008" s="22"/>
      <c r="C1008" s="22"/>
      <c r="D1008" s="34" t="str">
        <f>IFERROR(IF(C1008="","",VLOOKUP(C1008,المستفيدين!$B:$C,2,FALSE)),"")</f>
        <v/>
      </c>
      <c r="E1008" s="20"/>
      <c r="F1008" s="34"/>
      <c r="G1008" s="34" t="str">
        <f>IFERROR(IF(C1008="","",VLOOKUP(C1008,المستفيدين!$B:$F,5,FALSE)),"")</f>
        <v/>
      </c>
      <c r="H1008" s="24"/>
      <c r="I1008" s="20"/>
      <c r="J1008" s="20"/>
      <c r="K1008" s="20"/>
      <c r="L1008" s="21"/>
    </row>
    <row r="1009" spans="1:12" x14ac:dyDescent="0.2">
      <c r="A1009" s="26"/>
      <c r="B1009" s="22"/>
      <c r="C1009" s="22"/>
      <c r="D1009" s="34" t="str">
        <f>IFERROR(IF(C1009="","",VLOOKUP(C1009,المستفيدين!$B:$C,2,FALSE)),"")</f>
        <v/>
      </c>
      <c r="E1009" s="20"/>
      <c r="F1009" s="34"/>
      <c r="G1009" s="34" t="str">
        <f>IFERROR(IF(C1009="","",VLOOKUP(C1009,المستفيدين!$B:$F,5,FALSE)),"")</f>
        <v/>
      </c>
      <c r="H1009" s="24"/>
      <c r="I1009" s="20"/>
      <c r="J1009" s="20"/>
      <c r="K1009" s="20"/>
      <c r="L1009" s="21"/>
    </row>
    <row r="1010" spans="1:12" x14ac:dyDescent="0.2">
      <c r="A1010" s="26"/>
      <c r="B1010" s="22"/>
      <c r="C1010" s="22"/>
      <c r="D1010" s="34" t="str">
        <f>IFERROR(IF(C1010="","",VLOOKUP(C1010,المستفيدين!$B:$C,2,FALSE)),"")</f>
        <v/>
      </c>
      <c r="E1010" s="20"/>
      <c r="F1010" s="34"/>
      <c r="G1010" s="34" t="str">
        <f>IFERROR(IF(C1010="","",VLOOKUP(C1010,المستفيدين!$B:$F,5,FALSE)),"")</f>
        <v/>
      </c>
      <c r="H1010" s="24"/>
      <c r="I1010" s="20"/>
      <c r="J1010" s="20"/>
      <c r="K1010" s="20"/>
      <c r="L1010" s="21"/>
    </row>
    <row r="1011" spans="1:12" x14ac:dyDescent="0.2">
      <c r="A1011" s="26"/>
      <c r="B1011" s="22"/>
      <c r="C1011" s="22"/>
      <c r="D1011" s="34" t="str">
        <f>IFERROR(IF(C1011="","",VLOOKUP(C1011,المستفيدين!$B:$C,2,FALSE)),"")</f>
        <v/>
      </c>
      <c r="E1011" s="20"/>
      <c r="F1011" s="34"/>
      <c r="G1011" s="34" t="str">
        <f>IFERROR(IF(C1011="","",VLOOKUP(C1011,المستفيدين!$B:$F,5,FALSE)),"")</f>
        <v/>
      </c>
      <c r="H1011" s="24"/>
      <c r="I1011" s="20"/>
      <c r="J1011" s="20"/>
      <c r="K1011" s="20"/>
      <c r="L1011" s="21"/>
    </row>
    <row r="1012" spans="1:12" x14ac:dyDescent="0.2">
      <c r="A1012" s="26"/>
      <c r="B1012" s="22"/>
      <c r="C1012" s="22"/>
      <c r="D1012" s="34" t="str">
        <f>IFERROR(IF(C1012="","",VLOOKUP(C1012,المستفيدين!$B:$C,2,FALSE)),"")</f>
        <v/>
      </c>
      <c r="E1012" s="20"/>
      <c r="F1012" s="34"/>
      <c r="G1012" s="34" t="str">
        <f>IFERROR(IF(C1012="","",VLOOKUP(C1012,المستفيدين!$B:$F,5,FALSE)),"")</f>
        <v/>
      </c>
      <c r="H1012" s="24"/>
      <c r="I1012" s="20"/>
      <c r="J1012" s="20"/>
      <c r="K1012" s="20"/>
      <c r="L1012" s="21"/>
    </row>
    <row r="1013" spans="1:12" x14ac:dyDescent="0.2">
      <c r="A1013" s="26"/>
      <c r="B1013" s="22"/>
      <c r="C1013" s="22"/>
      <c r="D1013" s="34" t="str">
        <f>IFERROR(IF(C1013="","",VLOOKUP(C1013,المستفيدين!$B:$C,2,FALSE)),"")</f>
        <v/>
      </c>
      <c r="E1013" s="20"/>
      <c r="F1013" s="34"/>
      <c r="G1013" s="34" t="str">
        <f>IFERROR(IF(C1013="","",VLOOKUP(C1013,المستفيدين!$B:$F,5,FALSE)),"")</f>
        <v/>
      </c>
      <c r="H1013" s="24"/>
      <c r="I1013" s="20"/>
      <c r="J1013" s="20"/>
      <c r="K1013" s="20"/>
      <c r="L1013" s="21"/>
    </row>
    <row r="1014" spans="1:12" x14ac:dyDescent="0.2">
      <c r="A1014" s="26"/>
      <c r="B1014" s="22"/>
      <c r="C1014" s="22"/>
      <c r="D1014" s="34" t="str">
        <f>IFERROR(IF(C1014="","",VLOOKUP(C1014,المستفيدين!$B:$C,2,FALSE)),"")</f>
        <v/>
      </c>
      <c r="E1014" s="20"/>
      <c r="F1014" s="34"/>
      <c r="G1014" s="34" t="str">
        <f>IFERROR(IF(C1014="","",VLOOKUP(C1014,المستفيدين!$B:$F,5,FALSE)),"")</f>
        <v/>
      </c>
      <c r="H1014" s="24"/>
      <c r="I1014" s="20"/>
      <c r="J1014" s="20"/>
      <c r="K1014" s="20"/>
      <c r="L1014" s="21"/>
    </row>
    <row r="1015" spans="1:12" x14ac:dyDescent="0.2">
      <c r="A1015" s="26"/>
      <c r="B1015" s="22"/>
      <c r="C1015" s="22"/>
      <c r="D1015" s="34" t="str">
        <f>IFERROR(IF(C1015="","",VLOOKUP(C1015,المستفيدين!$B:$C,2,FALSE)),"")</f>
        <v/>
      </c>
      <c r="E1015" s="20"/>
      <c r="F1015" s="34"/>
      <c r="G1015" s="34" t="str">
        <f>IFERROR(IF(C1015="","",VLOOKUP(C1015,المستفيدين!$B:$F,5,FALSE)),"")</f>
        <v/>
      </c>
      <c r="H1015" s="24"/>
      <c r="I1015" s="20"/>
      <c r="J1015" s="20"/>
      <c r="K1015" s="20"/>
      <c r="L1015" s="21"/>
    </row>
    <row r="1016" spans="1:12" x14ac:dyDescent="0.2">
      <c r="A1016" s="26"/>
      <c r="B1016" s="22"/>
      <c r="C1016" s="22"/>
      <c r="D1016" s="34" t="str">
        <f>IFERROR(IF(C1016="","",VLOOKUP(C1016,المستفيدين!$B:$C,2,FALSE)),"")</f>
        <v/>
      </c>
      <c r="E1016" s="20"/>
      <c r="F1016" s="34"/>
      <c r="G1016" s="34" t="str">
        <f>IFERROR(IF(C1016="","",VLOOKUP(C1016,المستفيدين!$B:$F,5,FALSE)),"")</f>
        <v/>
      </c>
      <c r="H1016" s="24"/>
      <c r="I1016" s="20"/>
      <c r="J1016" s="20"/>
      <c r="K1016" s="20"/>
      <c r="L1016" s="21"/>
    </row>
    <row r="1017" spans="1:12" x14ac:dyDescent="0.2">
      <c r="A1017" s="26"/>
      <c r="B1017" s="22"/>
      <c r="C1017" s="22"/>
      <c r="D1017" s="34" t="str">
        <f>IFERROR(IF(C1017="","",VLOOKUP(C1017,المستفيدين!$B:$C,2,FALSE)),"")</f>
        <v/>
      </c>
      <c r="E1017" s="20"/>
      <c r="F1017" s="34"/>
      <c r="G1017" s="34" t="str">
        <f>IFERROR(IF(C1017="","",VLOOKUP(C1017,المستفيدين!$B:$F,5,FALSE)),"")</f>
        <v/>
      </c>
      <c r="H1017" s="24"/>
      <c r="I1017" s="20"/>
      <c r="J1017" s="20"/>
      <c r="K1017" s="20"/>
      <c r="L1017" s="21"/>
    </row>
    <row r="1018" spans="1:12" x14ac:dyDescent="0.2">
      <c r="A1018" s="26"/>
      <c r="B1018" s="22"/>
      <c r="C1018" s="22"/>
      <c r="D1018" s="34" t="str">
        <f>IFERROR(IF(C1018="","",VLOOKUP(C1018,المستفيدين!$B:$C,2,FALSE)),"")</f>
        <v/>
      </c>
      <c r="E1018" s="20"/>
      <c r="F1018" s="34"/>
      <c r="G1018" s="34" t="str">
        <f>IFERROR(IF(C1018="","",VLOOKUP(C1018,المستفيدين!$B:$F,5,FALSE)),"")</f>
        <v/>
      </c>
      <c r="H1018" s="24"/>
      <c r="I1018" s="20"/>
      <c r="J1018" s="20"/>
      <c r="K1018" s="20"/>
      <c r="L1018" s="21"/>
    </row>
    <row r="1019" spans="1:12" x14ac:dyDescent="0.2">
      <c r="A1019" s="26"/>
      <c r="B1019" s="22"/>
      <c r="C1019" s="22"/>
      <c r="D1019" s="34" t="str">
        <f>IFERROR(IF(C1019="","",VLOOKUP(C1019,المستفيدين!$B:$C,2,FALSE)),"")</f>
        <v/>
      </c>
      <c r="E1019" s="20"/>
      <c r="F1019" s="34"/>
      <c r="G1019" s="34" t="str">
        <f>IFERROR(IF(C1019="","",VLOOKUP(C1019,المستفيدين!$B:$F,5,FALSE)),"")</f>
        <v/>
      </c>
      <c r="H1019" s="24"/>
      <c r="I1019" s="20"/>
      <c r="J1019" s="20"/>
      <c r="K1019" s="20"/>
      <c r="L1019" s="21"/>
    </row>
    <row r="1020" spans="1:12" x14ac:dyDescent="0.2">
      <c r="A1020" s="26"/>
      <c r="B1020" s="22"/>
      <c r="C1020" s="22"/>
      <c r="D1020" s="34" t="str">
        <f>IFERROR(IF(C1020="","",VLOOKUP(C1020,المستفيدين!$B:$C,2,FALSE)),"")</f>
        <v/>
      </c>
      <c r="E1020" s="20"/>
      <c r="F1020" s="34"/>
      <c r="G1020" s="34" t="str">
        <f>IFERROR(IF(C1020="","",VLOOKUP(C1020,المستفيدين!$B:$F,5,FALSE)),"")</f>
        <v/>
      </c>
      <c r="H1020" s="24"/>
      <c r="I1020" s="20"/>
      <c r="J1020" s="20"/>
      <c r="K1020" s="20"/>
      <c r="L1020" s="21"/>
    </row>
    <row r="1021" spans="1:12" x14ac:dyDescent="0.2">
      <c r="A1021" s="26"/>
      <c r="B1021" s="22"/>
      <c r="C1021" s="22"/>
      <c r="D1021" s="34" t="str">
        <f>IFERROR(IF(C1021="","",VLOOKUP(C1021,المستفيدين!$B:$C,2,FALSE)),"")</f>
        <v/>
      </c>
      <c r="E1021" s="20"/>
      <c r="F1021" s="34"/>
      <c r="G1021" s="34" t="str">
        <f>IFERROR(IF(C1021="","",VLOOKUP(C1021,المستفيدين!$B:$F,5,FALSE)),"")</f>
        <v/>
      </c>
      <c r="H1021" s="24"/>
      <c r="I1021" s="20"/>
      <c r="J1021" s="20"/>
      <c r="K1021" s="20"/>
      <c r="L1021" s="21"/>
    </row>
    <row r="1022" spans="1:12" x14ac:dyDescent="0.2">
      <c r="A1022" s="26"/>
      <c r="B1022" s="22"/>
      <c r="C1022" s="22"/>
      <c r="D1022" s="34" t="str">
        <f>IFERROR(IF(C1022="","",VLOOKUP(C1022,المستفيدين!$B:$C,2,FALSE)),"")</f>
        <v/>
      </c>
      <c r="E1022" s="20"/>
      <c r="F1022" s="34"/>
      <c r="G1022" s="34" t="str">
        <f>IFERROR(IF(C1022="","",VLOOKUP(C1022,المستفيدين!$B:$F,5,FALSE)),"")</f>
        <v/>
      </c>
      <c r="H1022" s="24"/>
      <c r="I1022" s="20"/>
      <c r="J1022" s="20"/>
      <c r="K1022" s="20"/>
      <c r="L1022" s="21"/>
    </row>
    <row r="1023" spans="1:12" x14ac:dyDescent="0.2">
      <c r="A1023" s="26"/>
      <c r="B1023" s="22"/>
      <c r="C1023" s="22"/>
      <c r="D1023" s="34" t="str">
        <f>IFERROR(IF(C1023="","",VLOOKUP(C1023,المستفيدين!$B:$C,2,FALSE)),"")</f>
        <v/>
      </c>
      <c r="E1023" s="20"/>
      <c r="F1023" s="34"/>
      <c r="G1023" s="34" t="str">
        <f>IFERROR(IF(C1023="","",VLOOKUP(C1023,المستفيدين!$B:$F,5,FALSE)),"")</f>
        <v/>
      </c>
      <c r="H1023" s="24"/>
      <c r="I1023" s="20"/>
      <c r="J1023" s="20"/>
      <c r="K1023" s="20"/>
      <c r="L1023" s="21"/>
    </row>
    <row r="1024" spans="1:12" x14ac:dyDescent="0.2">
      <c r="A1024" s="26"/>
      <c r="B1024" s="22"/>
      <c r="C1024" s="22"/>
      <c r="D1024" s="34" t="str">
        <f>IFERROR(IF(C1024="","",VLOOKUP(C1024,المستفيدين!$B:$C,2,FALSE)),"")</f>
        <v/>
      </c>
      <c r="E1024" s="20"/>
      <c r="F1024" s="34"/>
      <c r="G1024" s="34" t="str">
        <f>IFERROR(IF(C1024="","",VLOOKUP(C1024,المستفيدين!$B:$F,5,FALSE)),"")</f>
        <v/>
      </c>
      <c r="H1024" s="24"/>
      <c r="I1024" s="20"/>
      <c r="J1024" s="20"/>
      <c r="K1024" s="20"/>
      <c r="L1024" s="21"/>
    </row>
    <row r="1025" spans="1:12" x14ac:dyDescent="0.2">
      <c r="A1025" s="26"/>
      <c r="B1025" s="22"/>
      <c r="C1025" s="22"/>
      <c r="D1025" s="34" t="str">
        <f>IFERROR(IF(C1025="","",VLOOKUP(C1025,المستفيدين!$B:$C,2,FALSE)),"")</f>
        <v/>
      </c>
      <c r="E1025" s="20"/>
      <c r="F1025" s="34"/>
      <c r="G1025" s="34" t="str">
        <f>IFERROR(IF(C1025="","",VLOOKUP(C1025,المستفيدين!$B:$F,5,FALSE)),"")</f>
        <v/>
      </c>
      <c r="H1025" s="24"/>
      <c r="I1025" s="20"/>
      <c r="J1025" s="20"/>
      <c r="K1025" s="20"/>
      <c r="L1025" s="21"/>
    </row>
    <row r="1026" spans="1:12" x14ac:dyDescent="0.2">
      <c r="A1026" s="26"/>
      <c r="B1026" s="22"/>
      <c r="C1026" s="22"/>
      <c r="D1026" s="34" t="str">
        <f>IFERROR(IF(C1026="","",VLOOKUP(C1026,المستفيدين!$B:$C,2,FALSE)),"")</f>
        <v/>
      </c>
      <c r="E1026" s="20"/>
      <c r="F1026" s="34"/>
      <c r="G1026" s="34" t="str">
        <f>IFERROR(IF(C1026="","",VLOOKUP(C1026,المستفيدين!$B:$F,5,FALSE)),"")</f>
        <v/>
      </c>
      <c r="H1026" s="24"/>
      <c r="I1026" s="20"/>
      <c r="J1026" s="20"/>
      <c r="K1026" s="20"/>
      <c r="L1026" s="21"/>
    </row>
    <row r="1027" spans="1:12" x14ac:dyDescent="0.2">
      <c r="A1027" s="26"/>
      <c r="B1027" s="22"/>
      <c r="C1027" s="22"/>
      <c r="D1027" s="34" t="str">
        <f>IFERROR(IF(C1027="","",VLOOKUP(C1027,المستفيدين!$B:$C,2,FALSE)),"")</f>
        <v/>
      </c>
      <c r="E1027" s="20"/>
      <c r="F1027" s="34"/>
      <c r="G1027" s="34" t="str">
        <f>IFERROR(IF(C1027="","",VLOOKUP(C1027,المستفيدين!$B:$F,5,FALSE)),"")</f>
        <v/>
      </c>
      <c r="H1027" s="24"/>
      <c r="I1027" s="20"/>
      <c r="J1027" s="20"/>
      <c r="K1027" s="20"/>
      <c r="L1027" s="21"/>
    </row>
    <row r="1028" spans="1:12" x14ac:dyDescent="0.2">
      <c r="A1028" s="26"/>
      <c r="B1028" s="22"/>
      <c r="C1028" s="22"/>
      <c r="D1028" s="34" t="str">
        <f>IFERROR(IF(C1028="","",VLOOKUP(C1028,المستفيدين!$B:$C,2,FALSE)),"")</f>
        <v/>
      </c>
      <c r="E1028" s="20"/>
      <c r="F1028" s="34"/>
      <c r="G1028" s="34" t="str">
        <f>IFERROR(IF(C1028="","",VLOOKUP(C1028,المستفيدين!$B:$F,5,FALSE)),"")</f>
        <v/>
      </c>
      <c r="H1028" s="24"/>
      <c r="I1028" s="20"/>
      <c r="J1028" s="20"/>
      <c r="K1028" s="20"/>
      <c r="L1028" s="21"/>
    </row>
    <row r="1029" spans="1:12" x14ac:dyDescent="0.2">
      <c r="A1029" s="26"/>
      <c r="B1029" s="22"/>
      <c r="C1029" s="22"/>
      <c r="D1029" s="34" t="str">
        <f>IFERROR(IF(C1029="","",VLOOKUP(C1029,المستفيدين!$B:$C,2,FALSE)),"")</f>
        <v/>
      </c>
      <c r="E1029" s="20"/>
      <c r="F1029" s="34"/>
      <c r="G1029" s="34" t="str">
        <f>IFERROR(IF(C1029="","",VLOOKUP(C1029,المستفيدين!$B:$F,5,FALSE)),"")</f>
        <v/>
      </c>
      <c r="H1029" s="24"/>
      <c r="I1029" s="20"/>
      <c r="J1029" s="20"/>
      <c r="K1029" s="20"/>
      <c r="L1029" s="21"/>
    </row>
    <row r="1030" spans="1:12" x14ac:dyDescent="0.2">
      <c r="A1030" s="26"/>
      <c r="B1030" s="22"/>
      <c r="C1030" s="22"/>
      <c r="D1030" s="34" t="str">
        <f>IFERROR(IF(C1030="","",VLOOKUP(C1030,المستفيدين!$B:$C,2,FALSE)),"")</f>
        <v/>
      </c>
      <c r="E1030" s="20"/>
      <c r="F1030" s="34"/>
      <c r="G1030" s="34" t="str">
        <f>IFERROR(IF(C1030="","",VLOOKUP(C1030,المستفيدين!$B:$F,5,FALSE)),"")</f>
        <v/>
      </c>
      <c r="H1030" s="24"/>
      <c r="I1030" s="20"/>
      <c r="J1030" s="20"/>
      <c r="K1030" s="20"/>
      <c r="L1030" s="21"/>
    </row>
    <row r="1031" spans="1:12" x14ac:dyDescent="0.2">
      <c r="A1031" s="26"/>
      <c r="B1031" s="22"/>
      <c r="C1031" s="22"/>
      <c r="D1031" s="34" t="str">
        <f>IFERROR(IF(C1031="","",VLOOKUP(C1031,المستفيدين!$B:$C,2,FALSE)),"")</f>
        <v/>
      </c>
      <c r="E1031" s="20"/>
      <c r="F1031" s="34"/>
      <c r="G1031" s="34" t="str">
        <f>IFERROR(IF(C1031="","",VLOOKUP(C1031,المستفيدين!$B:$F,5,FALSE)),"")</f>
        <v/>
      </c>
      <c r="H1031" s="24"/>
      <c r="I1031" s="20"/>
      <c r="J1031" s="20"/>
      <c r="K1031" s="20"/>
      <c r="L1031" s="21"/>
    </row>
    <row r="1032" spans="1:12" x14ac:dyDescent="0.2">
      <c r="A1032" s="26"/>
      <c r="B1032" s="22"/>
      <c r="C1032" s="22"/>
      <c r="D1032" s="34" t="str">
        <f>IFERROR(IF(C1032="","",VLOOKUP(C1032,المستفيدين!$B:$C,2,FALSE)),"")</f>
        <v/>
      </c>
      <c r="E1032" s="20"/>
      <c r="F1032" s="34"/>
      <c r="G1032" s="34" t="str">
        <f>IFERROR(IF(C1032="","",VLOOKUP(C1032,المستفيدين!$B:$F,5,FALSE)),"")</f>
        <v/>
      </c>
      <c r="H1032" s="24"/>
      <c r="I1032" s="20"/>
      <c r="J1032" s="20"/>
      <c r="K1032" s="20"/>
      <c r="L1032" s="21"/>
    </row>
    <row r="1033" spans="1:12" x14ac:dyDescent="0.2">
      <c r="A1033" s="26"/>
      <c r="B1033" s="22"/>
      <c r="C1033" s="22"/>
      <c r="D1033" s="34" t="str">
        <f>IFERROR(IF(C1033="","",VLOOKUP(C1033,المستفيدين!$B:$C,2,FALSE)),"")</f>
        <v/>
      </c>
      <c r="E1033" s="20"/>
      <c r="F1033" s="34"/>
      <c r="G1033" s="34" t="str">
        <f>IFERROR(IF(C1033="","",VLOOKUP(C1033,المستفيدين!$B:$F,5,FALSE)),"")</f>
        <v/>
      </c>
      <c r="H1033" s="24"/>
      <c r="I1033" s="20"/>
      <c r="J1033" s="20"/>
      <c r="K1033" s="20"/>
      <c r="L1033" s="21"/>
    </row>
    <row r="1034" spans="1:12" x14ac:dyDescent="0.2">
      <c r="A1034" s="26"/>
      <c r="B1034" s="22"/>
      <c r="C1034" s="22"/>
      <c r="D1034" s="34" t="str">
        <f>IFERROR(IF(C1034="","",VLOOKUP(C1034,المستفيدين!$B:$C,2,FALSE)),"")</f>
        <v/>
      </c>
      <c r="E1034" s="20"/>
      <c r="F1034" s="34"/>
      <c r="G1034" s="34" t="str">
        <f>IFERROR(IF(C1034="","",VLOOKUP(C1034,المستفيدين!$B:$F,5,FALSE)),"")</f>
        <v/>
      </c>
      <c r="H1034" s="24"/>
      <c r="I1034" s="20"/>
      <c r="J1034" s="20"/>
      <c r="K1034" s="20"/>
      <c r="L1034" s="21"/>
    </row>
    <row r="1035" spans="1:12" x14ac:dyDescent="0.2">
      <c r="A1035" s="26"/>
      <c r="B1035" s="22"/>
      <c r="C1035" s="22"/>
      <c r="D1035" s="34" t="str">
        <f>IFERROR(IF(C1035="","",VLOOKUP(C1035,المستفيدين!$B:$C,2,FALSE)),"")</f>
        <v/>
      </c>
      <c r="E1035" s="20"/>
      <c r="F1035" s="34"/>
      <c r="G1035" s="34" t="str">
        <f>IFERROR(IF(C1035="","",VLOOKUP(C1035,المستفيدين!$B:$F,5,FALSE)),"")</f>
        <v/>
      </c>
      <c r="H1035" s="24"/>
      <c r="I1035" s="20"/>
      <c r="J1035" s="20"/>
      <c r="K1035" s="20"/>
      <c r="L1035" s="21"/>
    </row>
    <row r="1036" spans="1:12" x14ac:dyDescent="0.2">
      <c r="A1036" s="26"/>
      <c r="B1036" s="22"/>
      <c r="C1036" s="22"/>
      <c r="D1036" s="34" t="str">
        <f>IFERROR(IF(C1036="","",VLOOKUP(C1036,المستفيدين!$B:$C,2,FALSE)),"")</f>
        <v/>
      </c>
      <c r="E1036" s="20"/>
      <c r="F1036" s="34"/>
      <c r="G1036" s="34" t="str">
        <f>IFERROR(IF(C1036="","",VLOOKUP(C1036,المستفيدين!$B:$F,5,FALSE)),"")</f>
        <v/>
      </c>
      <c r="H1036" s="24"/>
      <c r="I1036" s="20"/>
      <c r="J1036" s="20"/>
      <c r="K1036" s="20"/>
      <c r="L1036" s="21"/>
    </row>
    <row r="1037" spans="1:12" x14ac:dyDescent="0.2">
      <c r="A1037" s="26"/>
      <c r="B1037" s="22"/>
      <c r="C1037" s="22"/>
      <c r="D1037" s="34" t="str">
        <f>IFERROR(IF(C1037="","",VLOOKUP(C1037,المستفيدين!$B:$C,2,FALSE)),"")</f>
        <v/>
      </c>
      <c r="E1037" s="20"/>
      <c r="F1037" s="34"/>
      <c r="G1037" s="34" t="str">
        <f>IFERROR(IF(C1037="","",VLOOKUP(C1037,المستفيدين!$B:$F,5,FALSE)),"")</f>
        <v/>
      </c>
      <c r="H1037" s="24"/>
      <c r="I1037" s="20"/>
      <c r="J1037" s="20"/>
      <c r="K1037" s="20"/>
      <c r="L1037" s="21"/>
    </row>
    <row r="1038" spans="1:12" x14ac:dyDescent="0.2">
      <c r="A1038" s="26"/>
      <c r="B1038" s="22"/>
      <c r="C1038" s="22"/>
      <c r="D1038" s="34" t="str">
        <f>IFERROR(IF(C1038="","",VLOOKUP(C1038,المستفيدين!$B:$C,2,FALSE)),"")</f>
        <v/>
      </c>
      <c r="E1038" s="20"/>
      <c r="F1038" s="34"/>
      <c r="G1038" s="34" t="str">
        <f>IFERROR(IF(C1038="","",VLOOKUP(C1038,المستفيدين!$B:$F,5,FALSE)),"")</f>
        <v/>
      </c>
      <c r="H1038" s="24"/>
      <c r="I1038" s="20"/>
      <c r="J1038" s="20"/>
      <c r="K1038" s="20"/>
      <c r="L1038" s="21"/>
    </row>
    <row r="1039" spans="1:12" x14ac:dyDescent="0.2">
      <c r="A1039" s="26"/>
      <c r="B1039" s="22"/>
      <c r="C1039" s="22"/>
      <c r="D1039" s="34" t="str">
        <f>IFERROR(IF(C1039="","",VLOOKUP(C1039,المستفيدين!$B:$C,2,FALSE)),"")</f>
        <v/>
      </c>
      <c r="E1039" s="20"/>
      <c r="F1039" s="34"/>
      <c r="G1039" s="34" t="str">
        <f>IFERROR(IF(C1039="","",VLOOKUP(C1039,المستفيدين!$B:$F,5,FALSE)),"")</f>
        <v/>
      </c>
      <c r="H1039" s="24"/>
      <c r="I1039" s="20"/>
      <c r="J1039" s="20"/>
      <c r="K1039" s="20"/>
      <c r="L1039" s="21"/>
    </row>
    <row r="1040" spans="1:12" x14ac:dyDescent="0.2">
      <c r="A1040" s="26"/>
      <c r="B1040" s="22"/>
      <c r="C1040" s="22"/>
      <c r="D1040" s="34" t="str">
        <f>IFERROR(IF(C1040="","",VLOOKUP(C1040,المستفيدين!$B:$C,2,FALSE)),"")</f>
        <v/>
      </c>
      <c r="E1040" s="20"/>
      <c r="F1040" s="34"/>
      <c r="G1040" s="34" t="str">
        <f>IFERROR(IF(C1040="","",VLOOKUP(C1040,المستفيدين!$B:$F,5,FALSE)),"")</f>
        <v/>
      </c>
      <c r="H1040" s="24"/>
      <c r="I1040" s="20"/>
      <c r="J1040" s="20"/>
      <c r="K1040" s="20"/>
      <c r="L1040" s="21"/>
    </row>
    <row r="1041" spans="1:12" x14ac:dyDescent="0.2">
      <c r="A1041" s="26"/>
      <c r="B1041" s="22"/>
      <c r="C1041" s="22"/>
      <c r="D1041" s="34" t="str">
        <f>IFERROR(IF(C1041="","",VLOOKUP(C1041,المستفيدين!$B:$C,2,FALSE)),"")</f>
        <v/>
      </c>
      <c r="E1041" s="20"/>
      <c r="F1041" s="34"/>
      <c r="G1041" s="34" t="str">
        <f>IFERROR(IF(C1041="","",VLOOKUP(C1041,المستفيدين!$B:$F,5,FALSE)),"")</f>
        <v/>
      </c>
      <c r="H1041" s="24"/>
      <c r="I1041" s="20"/>
      <c r="J1041" s="20"/>
      <c r="K1041" s="20"/>
      <c r="L1041" s="21"/>
    </row>
    <row r="1042" spans="1:12" x14ac:dyDescent="0.2">
      <c r="A1042" s="26"/>
      <c r="B1042" s="22"/>
      <c r="C1042" s="22"/>
      <c r="D1042" s="34" t="str">
        <f>IFERROR(IF(C1042="","",VLOOKUP(C1042,المستفيدين!$B:$C,2,FALSE)),"")</f>
        <v/>
      </c>
      <c r="E1042" s="20"/>
      <c r="F1042" s="34"/>
      <c r="G1042" s="34" t="str">
        <f>IFERROR(IF(C1042="","",VLOOKUP(C1042,المستفيدين!$B:$F,5,FALSE)),"")</f>
        <v/>
      </c>
      <c r="H1042" s="24"/>
      <c r="I1042" s="20"/>
      <c r="J1042" s="20"/>
      <c r="K1042" s="20"/>
      <c r="L1042" s="21"/>
    </row>
    <row r="1043" spans="1:12" x14ac:dyDescent="0.2">
      <c r="A1043" s="26"/>
      <c r="B1043" s="22"/>
      <c r="C1043" s="22"/>
      <c r="D1043" s="34" t="str">
        <f>IFERROR(IF(C1043="","",VLOOKUP(C1043,المستفيدين!$B:$C,2,FALSE)),"")</f>
        <v/>
      </c>
      <c r="E1043" s="20"/>
      <c r="F1043" s="34"/>
      <c r="G1043" s="34" t="str">
        <f>IFERROR(IF(C1043="","",VLOOKUP(C1043,المستفيدين!$B:$F,5,FALSE)),"")</f>
        <v/>
      </c>
      <c r="H1043" s="24"/>
      <c r="I1043" s="20"/>
      <c r="J1043" s="20"/>
      <c r="K1043" s="20"/>
      <c r="L1043" s="21"/>
    </row>
    <row r="1044" spans="1:12" x14ac:dyDescent="0.2">
      <c r="A1044" s="26"/>
      <c r="B1044" s="22"/>
      <c r="C1044" s="22"/>
      <c r="D1044" s="34" t="str">
        <f>IFERROR(IF(C1044="","",VLOOKUP(C1044,المستفيدين!$B:$C,2,FALSE)),"")</f>
        <v/>
      </c>
      <c r="E1044" s="20"/>
      <c r="F1044" s="34"/>
      <c r="G1044" s="34" t="str">
        <f>IFERROR(IF(C1044="","",VLOOKUP(C1044,المستفيدين!$B:$F,5,FALSE)),"")</f>
        <v/>
      </c>
      <c r="H1044" s="24"/>
      <c r="I1044" s="20"/>
      <c r="J1044" s="20"/>
      <c r="K1044" s="20"/>
      <c r="L1044" s="21"/>
    </row>
    <row r="1045" spans="1:12" x14ac:dyDescent="0.2">
      <c r="A1045" s="26"/>
      <c r="B1045" s="22"/>
      <c r="C1045" s="22"/>
      <c r="D1045" s="34" t="str">
        <f>IFERROR(IF(C1045="","",VLOOKUP(C1045,المستفيدين!$B:$C,2,FALSE)),"")</f>
        <v/>
      </c>
      <c r="E1045" s="20"/>
      <c r="F1045" s="34"/>
      <c r="G1045" s="34" t="str">
        <f>IFERROR(IF(C1045="","",VLOOKUP(C1045,المستفيدين!$B:$F,5,FALSE)),"")</f>
        <v/>
      </c>
      <c r="H1045" s="24"/>
      <c r="I1045" s="20"/>
      <c r="J1045" s="20"/>
      <c r="K1045" s="20"/>
      <c r="L1045" s="21"/>
    </row>
    <row r="1046" spans="1:12" x14ac:dyDescent="0.2">
      <c r="A1046" s="26"/>
      <c r="B1046" s="22"/>
      <c r="C1046" s="22"/>
      <c r="D1046" s="34" t="str">
        <f>IFERROR(IF(C1046="","",VLOOKUP(C1046,المستفيدين!$B:$C,2,FALSE)),"")</f>
        <v/>
      </c>
      <c r="E1046" s="20"/>
      <c r="F1046" s="34"/>
      <c r="G1046" s="34" t="str">
        <f>IFERROR(IF(C1046="","",VLOOKUP(C1046,المستفيدين!$B:$F,5,FALSE)),"")</f>
        <v/>
      </c>
      <c r="H1046" s="24"/>
      <c r="I1046" s="20"/>
      <c r="J1046" s="20"/>
      <c r="K1046" s="20"/>
      <c r="L1046" s="21"/>
    </row>
    <row r="1047" spans="1:12" x14ac:dyDescent="0.2">
      <c r="A1047" s="26"/>
      <c r="B1047" s="22"/>
      <c r="C1047" s="22"/>
      <c r="D1047" s="34" t="str">
        <f>IFERROR(IF(C1047="","",VLOOKUP(C1047,المستفيدين!$B:$C,2,FALSE)),"")</f>
        <v/>
      </c>
      <c r="E1047" s="20"/>
      <c r="F1047" s="34"/>
      <c r="G1047" s="34" t="str">
        <f>IFERROR(IF(C1047="","",VLOOKUP(C1047,المستفيدين!$B:$F,5,FALSE)),"")</f>
        <v/>
      </c>
      <c r="H1047" s="24"/>
      <c r="I1047" s="20"/>
      <c r="J1047" s="20"/>
      <c r="K1047" s="20"/>
      <c r="L1047" s="21"/>
    </row>
    <row r="1048" spans="1:12" x14ac:dyDescent="0.2">
      <c r="A1048" s="26"/>
      <c r="B1048" s="22"/>
      <c r="C1048" s="22"/>
      <c r="D1048" s="34" t="str">
        <f>IFERROR(IF(C1048="","",VLOOKUP(C1048,المستفيدين!$B:$C,2,FALSE)),"")</f>
        <v/>
      </c>
      <c r="E1048" s="20"/>
      <c r="F1048" s="34"/>
      <c r="G1048" s="34" t="str">
        <f>IFERROR(IF(C1048="","",VLOOKUP(C1048,المستفيدين!$B:$F,5,FALSE)),"")</f>
        <v/>
      </c>
      <c r="H1048" s="24"/>
      <c r="I1048" s="20"/>
      <c r="J1048" s="20"/>
      <c r="K1048" s="20"/>
      <c r="L1048" s="21"/>
    </row>
    <row r="1049" spans="1:12" x14ac:dyDescent="0.2">
      <c r="A1049" s="26"/>
      <c r="B1049" s="22"/>
      <c r="C1049" s="22"/>
      <c r="D1049" s="34" t="str">
        <f>IFERROR(IF(C1049="","",VLOOKUP(C1049,المستفيدين!$B:$C,2,FALSE)),"")</f>
        <v/>
      </c>
      <c r="E1049" s="20"/>
      <c r="F1049" s="34"/>
      <c r="G1049" s="34" t="str">
        <f>IFERROR(IF(C1049="","",VLOOKUP(C1049,المستفيدين!$B:$F,5,FALSE)),"")</f>
        <v/>
      </c>
      <c r="H1049" s="24"/>
      <c r="I1049" s="20"/>
      <c r="J1049" s="20"/>
      <c r="K1049" s="20"/>
      <c r="L1049" s="21"/>
    </row>
    <row r="1050" spans="1:12" x14ac:dyDescent="0.2">
      <c r="A1050" s="26"/>
      <c r="B1050" s="22"/>
      <c r="C1050" s="22"/>
      <c r="D1050" s="34" t="str">
        <f>IFERROR(IF(C1050="","",VLOOKUP(C1050,المستفيدين!$B:$C,2,FALSE)),"")</f>
        <v/>
      </c>
      <c r="E1050" s="20"/>
      <c r="F1050" s="34"/>
      <c r="G1050" s="34" t="str">
        <f>IFERROR(IF(C1050="","",VLOOKUP(C1050,المستفيدين!$B:$F,5,FALSE)),"")</f>
        <v/>
      </c>
      <c r="H1050" s="24"/>
      <c r="I1050" s="20"/>
      <c r="J1050" s="20"/>
      <c r="K1050" s="20"/>
      <c r="L1050" s="21"/>
    </row>
    <row r="1051" spans="1:12" x14ac:dyDescent="0.2">
      <c r="A1051" s="26"/>
      <c r="B1051" s="22"/>
      <c r="C1051" s="22"/>
      <c r="D1051" s="34" t="str">
        <f>IFERROR(IF(C1051="","",VLOOKUP(C1051,المستفيدين!$B:$C,2,FALSE)),"")</f>
        <v/>
      </c>
      <c r="E1051" s="20"/>
      <c r="F1051" s="34"/>
      <c r="G1051" s="34" t="str">
        <f>IFERROR(IF(C1051="","",VLOOKUP(C1051,المستفيدين!$B:$F,5,FALSE)),"")</f>
        <v/>
      </c>
      <c r="H1051" s="24"/>
      <c r="I1051" s="20"/>
      <c r="J1051" s="20"/>
      <c r="K1051" s="20"/>
      <c r="L1051" s="21"/>
    </row>
    <row r="1052" spans="1:12" x14ac:dyDescent="0.2">
      <c r="A1052" s="26"/>
      <c r="B1052" s="22"/>
      <c r="C1052" s="22"/>
      <c r="D1052" s="34" t="str">
        <f>IFERROR(IF(C1052="","",VLOOKUP(C1052,المستفيدين!$B:$C,2,FALSE)),"")</f>
        <v/>
      </c>
      <c r="E1052" s="20"/>
      <c r="F1052" s="34"/>
      <c r="G1052" s="34" t="str">
        <f>IFERROR(IF(C1052="","",VLOOKUP(C1052,المستفيدين!$B:$F,5,FALSE)),"")</f>
        <v/>
      </c>
      <c r="H1052" s="24"/>
      <c r="I1052" s="20"/>
      <c r="J1052" s="20"/>
      <c r="K1052" s="20"/>
      <c r="L1052" s="21"/>
    </row>
    <row r="1053" spans="1:12" x14ac:dyDescent="0.2">
      <c r="A1053" s="26"/>
      <c r="B1053" s="22"/>
      <c r="C1053" s="22"/>
      <c r="D1053" s="34" t="str">
        <f>IFERROR(IF(C1053="","",VLOOKUP(C1053,المستفيدين!$B:$C,2,FALSE)),"")</f>
        <v/>
      </c>
      <c r="E1053" s="20"/>
      <c r="F1053" s="34"/>
      <c r="G1053" s="34" t="str">
        <f>IFERROR(IF(C1053="","",VLOOKUP(C1053,المستفيدين!$B:$F,5,FALSE)),"")</f>
        <v/>
      </c>
      <c r="H1053" s="24"/>
      <c r="I1053" s="20"/>
      <c r="J1053" s="20"/>
      <c r="K1053" s="20"/>
      <c r="L1053" s="21"/>
    </row>
    <row r="1054" spans="1:12" x14ac:dyDescent="0.2">
      <c r="A1054" s="26"/>
      <c r="B1054" s="22"/>
      <c r="C1054" s="22"/>
      <c r="D1054" s="34" t="str">
        <f>IFERROR(IF(C1054="","",VLOOKUP(C1054,المستفيدين!$B:$C,2,FALSE)),"")</f>
        <v/>
      </c>
      <c r="E1054" s="20"/>
      <c r="F1054" s="34"/>
      <c r="G1054" s="34" t="str">
        <f>IFERROR(IF(C1054="","",VLOOKUP(C1054,المستفيدين!$B:$F,5,FALSE)),"")</f>
        <v/>
      </c>
      <c r="H1054" s="24"/>
      <c r="I1054" s="20"/>
      <c r="J1054" s="20"/>
      <c r="K1054" s="20"/>
      <c r="L1054" s="21"/>
    </row>
    <row r="1055" spans="1:12" x14ac:dyDescent="0.2">
      <c r="A1055" s="26"/>
      <c r="B1055" s="22"/>
      <c r="C1055" s="22"/>
      <c r="D1055" s="34" t="str">
        <f>IFERROR(IF(C1055="","",VLOOKUP(C1055,المستفيدين!$B:$C,2,FALSE)),"")</f>
        <v/>
      </c>
      <c r="E1055" s="20"/>
      <c r="F1055" s="34"/>
      <c r="G1055" s="34" t="str">
        <f>IFERROR(IF(C1055="","",VLOOKUP(C1055,المستفيدين!$B:$F,5,FALSE)),"")</f>
        <v/>
      </c>
      <c r="H1055" s="24"/>
      <c r="I1055" s="20"/>
      <c r="J1055" s="20"/>
      <c r="K1055" s="20"/>
      <c r="L1055" s="21"/>
    </row>
    <row r="1056" spans="1:12" x14ac:dyDescent="0.2">
      <c r="A1056" s="26"/>
      <c r="B1056" s="22"/>
      <c r="C1056" s="22"/>
      <c r="D1056" s="34" t="str">
        <f>IFERROR(IF(C1056="","",VLOOKUP(C1056,المستفيدين!$B:$C,2,FALSE)),"")</f>
        <v/>
      </c>
      <c r="E1056" s="20"/>
      <c r="F1056" s="34"/>
      <c r="G1056" s="34" t="str">
        <f>IFERROR(IF(C1056="","",VLOOKUP(C1056,المستفيدين!$B:$F,5,FALSE)),"")</f>
        <v/>
      </c>
      <c r="H1056" s="24"/>
      <c r="I1056" s="20"/>
      <c r="J1056" s="20"/>
      <c r="K1056" s="20"/>
      <c r="L1056" s="21"/>
    </row>
    <row r="1057" spans="1:12" x14ac:dyDescent="0.2">
      <c r="A1057" s="26"/>
      <c r="B1057" s="22"/>
      <c r="C1057" s="22"/>
      <c r="D1057" s="34" t="str">
        <f>IFERROR(IF(C1057="","",VLOOKUP(C1057,المستفيدين!$B:$C,2,FALSE)),"")</f>
        <v/>
      </c>
      <c r="E1057" s="20"/>
      <c r="F1057" s="34"/>
      <c r="G1057" s="34" t="str">
        <f>IFERROR(IF(C1057="","",VLOOKUP(C1057,المستفيدين!$B:$F,5,FALSE)),"")</f>
        <v/>
      </c>
      <c r="H1057" s="24"/>
      <c r="I1057" s="20"/>
      <c r="J1057" s="20"/>
      <c r="K1057" s="20"/>
      <c r="L1057" s="21"/>
    </row>
    <row r="1058" spans="1:12" x14ac:dyDescent="0.2">
      <c r="A1058" s="26"/>
      <c r="B1058" s="22"/>
      <c r="C1058" s="22"/>
      <c r="D1058" s="34" t="str">
        <f>IFERROR(IF(C1058="","",VLOOKUP(C1058,المستفيدين!$B:$C,2,FALSE)),"")</f>
        <v/>
      </c>
      <c r="E1058" s="20"/>
      <c r="F1058" s="34"/>
      <c r="G1058" s="34" t="str">
        <f>IFERROR(IF(C1058="","",VLOOKUP(C1058,المستفيدين!$B:$F,5,FALSE)),"")</f>
        <v/>
      </c>
      <c r="H1058" s="24"/>
      <c r="I1058" s="20"/>
      <c r="J1058" s="20"/>
      <c r="K1058" s="20"/>
      <c r="L1058" s="21"/>
    </row>
    <row r="1059" spans="1:12" x14ac:dyDescent="0.2">
      <c r="A1059" s="26"/>
      <c r="B1059" s="22"/>
      <c r="C1059" s="22"/>
      <c r="D1059" s="34" t="str">
        <f>IFERROR(IF(C1059="","",VLOOKUP(C1059,المستفيدين!$B:$C,2,FALSE)),"")</f>
        <v/>
      </c>
      <c r="E1059" s="20"/>
      <c r="F1059" s="34"/>
      <c r="G1059" s="34" t="str">
        <f>IFERROR(IF(C1059="","",VLOOKUP(C1059,المستفيدين!$B:$F,5,FALSE)),"")</f>
        <v/>
      </c>
      <c r="H1059" s="24"/>
      <c r="I1059" s="20"/>
      <c r="J1059" s="20"/>
      <c r="K1059" s="20"/>
      <c r="L1059" s="21"/>
    </row>
    <row r="1060" spans="1:12" x14ac:dyDescent="0.2">
      <c r="A1060" s="26"/>
      <c r="B1060" s="22"/>
      <c r="C1060" s="22"/>
      <c r="D1060" s="34" t="str">
        <f>IFERROR(IF(C1060="","",VLOOKUP(C1060,المستفيدين!$B:$C,2,FALSE)),"")</f>
        <v/>
      </c>
      <c r="E1060" s="20"/>
      <c r="F1060" s="34"/>
      <c r="G1060" s="34" t="str">
        <f>IFERROR(IF(C1060="","",VLOOKUP(C1060,المستفيدين!$B:$F,5,FALSE)),"")</f>
        <v/>
      </c>
      <c r="H1060" s="24"/>
      <c r="I1060" s="20"/>
      <c r="J1060" s="20"/>
      <c r="K1060" s="20"/>
      <c r="L1060" s="21"/>
    </row>
    <row r="1061" spans="1:12" x14ac:dyDescent="0.2">
      <c r="A1061" s="26"/>
      <c r="B1061" s="22"/>
      <c r="C1061" s="22"/>
      <c r="D1061" s="34" t="str">
        <f>IFERROR(IF(C1061="","",VLOOKUP(C1061,المستفيدين!$B:$C,2,FALSE)),"")</f>
        <v/>
      </c>
      <c r="E1061" s="20"/>
      <c r="F1061" s="34"/>
      <c r="G1061" s="34" t="str">
        <f>IFERROR(IF(C1061="","",VLOOKUP(C1061,المستفيدين!$B:$F,5,FALSE)),"")</f>
        <v/>
      </c>
      <c r="H1061" s="24"/>
      <c r="I1061" s="20"/>
      <c r="J1061" s="20"/>
      <c r="K1061" s="20"/>
      <c r="L1061" s="21"/>
    </row>
    <row r="1062" spans="1:12" x14ac:dyDescent="0.2">
      <c r="A1062" s="26"/>
      <c r="B1062" s="22"/>
      <c r="C1062" s="22"/>
      <c r="D1062" s="34" t="str">
        <f>IFERROR(IF(C1062="","",VLOOKUP(C1062,المستفيدين!$B:$C,2,FALSE)),"")</f>
        <v/>
      </c>
      <c r="E1062" s="20"/>
      <c r="F1062" s="34"/>
      <c r="G1062" s="34" t="str">
        <f>IFERROR(IF(C1062="","",VLOOKUP(C1062,المستفيدين!$B:$F,5,FALSE)),"")</f>
        <v/>
      </c>
      <c r="H1062" s="24"/>
      <c r="I1062" s="20"/>
      <c r="J1062" s="20"/>
      <c r="K1062" s="20"/>
      <c r="L1062" s="21"/>
    </row>
    <row r="1063" spans="1:12" x14ac:dyDescent="0.2">
      <c r="A1063" s="26"/>
      <c r="B1063" s="22"/>
      <c r="C1063" s="22"/>
      <c r="D1063" s="34" t="str">
        <f>IFERROR(IF(C1063="","",VLOOKUP(C1063,المستفيدين!$B:$C,2,FALSE)),"")</f>
        <v/>
      </c>
      <c r="E1063" s="20"/>
      <c r="F1063" s="34"/>
      <c r="G1063" s="34" t="str">
        <f>IFERROR(IF(C1063="","",VLOOKUP(C1063,المستفيدين!$B:$F,5,FALSE)),"")</f>
        <v/>
      </c>
      <c r="H1063" s="24"/>
      <c r="I1063" s="20"/>
      <c r="J1063" s="20"/>
      <c r="K1063" s="20"/>
      <c r="L1063" s="21"/>
    </row>
    <row r="1064" spans="1:12" x14ac:dyDescent="0.2">
      <c r="A1064" s="26"/>
      <c r="B1064" s="22"/>
      <c r="C1064" s="22"/>
      <c r="D1064" s="34" t="str">
        <f>IFERROR(IF(C1064="","",VLOOKUP(C1064,المستفيدين!$B:$C,2,FALSE)),"")</f>
        <v/>
      </c>
      <c r="E1064" s="20"/>
      <c r="F1064" s="34"/>
      <c r="G1064" s="34" t="str">
        <f>IFERROR(IF(C1064="","",VLOOKUP(C1064,المستفيدين!$B:$F,5,FALSE)),"")</f>
        <v/>
      </c>
      <c r="H1064" s="24"/>
      <c r="I1064" s="20"/>
      <c r="J1064" s="20"/>
      <c r="K1064" s="20"/>
      <c r="L1064" s="21"/>
    </row>
    <row r="1065" spans="1:12" x14ac:dyDescent="0.2">
      <c r="A1065" s="26"/>
      <c r="B1065" s="22"/>
      <c r="C1065" s="22"/>
      <c r="D1065" s="34" t="str">
        <f>IFERROR(IF(C1065="","",VLOOKUP(C1065,المستفيدين!$B:$C,2,FALSE)),"")</f>
        <v/>
      </c>
      <c r="E1065" s="20"/>
      <c r="F1065" s="34"/>
      <c r="G1065" s="34" t="str">
        <f>IFERROR(IF(C1065="","",VLOOKUP(C1065,المستفيدين!$B:$F,5,FALSE)),"")</f>
        <v/>
      </c>
      <c r="H1065" s="24"/>
      <c r="I1065" s="20"/>
      <c r="J1065" s="20"/>
      <c r="K1065" s="20"/>
      <c r="L1065" s="21"/>
    </row>
    <row r="1066" spans="1:12" x14ac:dyDescent="0.2">
      <c r="A1066" s="26"/>
      <c r="B1066" s="22"/>
      <c r="C1066" s="22"/>
      <c r="D1066" s="34" t="str">
        <f>IFERROR(IF(C1066="","",VLOOKUP(C1066,المستفيدين!$B:$C,2,FALSE)),"")</f>
        <v/>
      </c>
      <c r="E1066" s="20"/>
      <c r="F1066" s="34"/>
      <c r="G1066" s="34" t="str">
        <f>IFERROR(IF(C1066="","",VLOOKUP(C1066,المستفيدين!$B:$F,5,FALSE)),"")</f>
        <v/>
      </c>
      <c r="H1066" s="24"/>
      <c r="I1066" s="20"/>
      <c r="J1066" s="20"/>
      <c r="K1066" s="20"/>
      <c r="L1066" s="21"/>
    </row>
    <row r="1067" spans="1:12" x14ac:dyDescent="0.2">
      <c r="A1067" s="26"/>
      <c r="B1067" s="22"/>
      <c r="C1067" s="22"/>
      <c r="D1067" s="34" t="str">
        <f>IFERROR(IF(C1067="","",VLOOKUP(C1067,المستفيدين!$B:$C,2,FALSE)),"")</f>
        <v/>
      </c>
      <c r="E1067" s="20"/>
      <c r="F1067" s="34"/>
      <c r="G1067" s="34" t="str">
        <f>IFERROR(IF(C1067="","",VLOOKUP(C1067,المستفيدين!$B:$F,5,FALSE)),"")</f>
        <v/>
      </c>
      <c r="H1067" s="24"/>
      <c r="I1067" s="20"/>
      <c r="J1067" s="20"/>
      <c r="K1067" s="20"/>
      <c r="L1067" s="21"/>
    </row>
    <row r="1068" spans="1:12" x14ac:dyDescent="0.2">
      <c r="A1068" s="26"/>
      <c r="B1068" s="22"/>
      <c r="C1068" s="22"/>
      <c r="D1068" s="34" t="str">
        <f>IFERROR(IF(C1068="","",VLOOKUP(C1068,المستفيدين!$B:$C,2,FALSE)),"")</f>
        <v/>
      </c>
      <c r="E1068" s="20"/>
      <c r="F1068" s="34"/>
      <c r="G1068" s="34" t="str">
        <f>IFERROR(IF(C1068="","",VLOOKUP(C1068,المستفيدين!$B:$F,5,FALSE)),"")</f>
        <v/>
      </c>
      <c r="H1068" s="24"/>
      <c r="I1068" s="20"/>
      <c r="J1068" s="20"/>
      <c r="K1068" s="20"/>
      <c r="L1068" s="21"/>
    </row>
    <row r="1069" spans="1:12" x14ac:dyDescent="0.2">
      <c r="A1069" s="26"/>
      <c r="B1069" s="22"/>
      <c r="C1069" s="22"/>
      <c r="D1069" s="34" t="str">
        <f>IFERROR(IF(C1069="","",VLOOKUP(C1069,المستفيدين!$B:$C,2,FALSE)),"")</f>
        <v/>
      </c>
      <c r="E1069" s="20"/>
      <c r="F1069" s="34"/>
      <c r="G1069" s="34" t="str">
        <f>IFERROR(IF(C1069="","",VLOOKUP(C1069,المستفيدين!$B:$F,5,FALSE)),"")</f>
        <v/>
      </c>
      <c r="H1069" s="24"/>
      <c r="I1069" s="20"/>
      <c r="J1069" s="20"/>
      <c r="K1069" s="20"/>
      <c r="L1069" s="21"/>
    </row>
    <row r="1070" spans="1:12" x14ac:dyDescent="0.2">
      <c r="A1070" s="26"/>
      <c r="B1070" s="22"/>
      <c r="C1070" s="22"/>
      <c r="D1070" s="34" t="str">
        <f>IFERROR(IF(C1070="","",VLOOKUP(C1070,المستفيدين!$B:$C,2,FALSE)),"")</f>
        <v/>
      </c>
      <c r="E1070" s="20"/>
      <c r="F1070" s="34"/>
      <c r="G1070" s="34" t="str">
        <f>IFERROR(IF(C1070="","",VLOOKUP(C1070,المستفيدين!$B:$F,5,FALSE)),"")</f>
        <v/>
      </c>
      <c r="H1070" s="24"/>
      <c r="I1070" s="20"/>
      <c r="J1070" s="20"/>
      <c r="K1070" s="20"/>
      <c r="L1070" s="21"/>
    </row>
    <row r="1071" spans="1:12" x14ac:dyDescent="0.2">
      <c r="A1071" s="26"/>
      <c r="B1071" s="22"/>
      <c r="C1071" s="22"/>
      <c r="D1071" s="34" t="str">
        <f>IFERROR(IF(C1071="","",VLOOKUP(C1071,المستفيدين!$B:$C,2,FALSE)),"")</f>
        <v/>
      </c>
      <c r="E1071" s="20"/>
      <c r="F1071" s="34"/>
      <c r="G1071" s="34" t="str">
        <f>IFERROR(IF(C1071="","",VLOOKUP(C1071,المستفيدين!$B:$F,5,FALSE)),"")</f>
        <v/>
      </c>
      <c r="H1071" s="24"/>
      <c r="I1071" s="20"/>
      <c r="J1071" s="20"/>
      <c r="K1071" s="20"/>
      <c r="L1071" s="21"/>
    </row>
    <row r="1072" spans="1:12" x14ac:dyDescent="0.2">
      <c r="A1072" s="26"/>
      <c r="B1072" s="22"/>
      <c r="C1072" s="22"/>
      <c r="D1072" s="34" t="str">
        <f>IFERROR(IF(C1072="","",VLOOKUP(C1072,المستفيدين!$B:$C,2,FALSE)),"")</f>
        <v/>
      </c>
      <c r="E1072" s="20"/>
      <c r="F1072" s="34"/>
      <c r="G1072" s="34" t="str">
        <f>IFERROR(IF(C1072="","",VLOOKUP(C1072,المستفيدين!$B:$F,5,FALSE)),"")</f>
        <v/>
      </c>
      <c r="H1072" s="24"/>
      <c r="I1072" s="20"/>
      <c r="J1072" s="20"/>
      <c r="K1072" s="20"/>
      <c r="L1072" s="21"/>
    </row>
    <row r="1073" spans="1:12" x14ac:dyDescent="0.2">
      <c r="A1073" s="26"/>
      <c r="B1073" s="22"/>
      <c r="C1073" s="22"/>
      <c r="D1073" s="34" t="str">
        <f>IFERROR(IF(C1073="","",VLOOKUP(C1073,المستفيدين!$B:$C,2,FALSE)),"")</f>
        <v/>
      </c>
      <c r="E1073" s="20"/>
      <c r="F1073" s="34"/>
      <c r="G1073" s="34" t="str">
        <f>IFERROR(IF(C1073="","",VLOOKUP(C1073,المستفيدين!$B:$F,5,FALSE)),"")</f>
        <v/>
      </c>
      <c r="H1073" s="24"/>
      <c r="I1073" s="20"/>
      <c r="J1073" s="20"/>
      <c r="K1073" s="20"/>
      <c r="L1073" s="21"/>
    </row>
    <row r="1074" spans="1:12" x14ac:dyDescent="0.2">
      <c r="A1074" s="26"/>
      <c r="B1074" s="22"/>
      <c r="C1074" s="22"/>
      <c r="D1074" s="34" t="str">
        <f>IFERROR(IF(C1074="","",VLOOKUP(C1074,المستفيدين!$B:$C,2,FALSE)),"")</f>
        <v/>
      </c>
      <c r="E1074" s="20"/>
      <c r="F1074" s="34"/>
      <c r="G1074" s="34" t="str">
        <f>IFERROR(IF(C1074="","",VLOOKUP(C1074,المستفيدين!$B:$F,5,FALSE)),"")</f>
        <v/>
      </c>
      <c r="H1074" s="24"/>
      <c r="I1074" s="20"/>
      <c r="J1074" s="20"/>
      <c r="K1074" s="20"/>
      <c r="L1074" s="21"/>
    </row>
    <row r="1075" spans="1:12" x14ac:dyDescent="0.2">
      <c r="A1075" s="26"/>
      <c r="B1075" s="22"/>
      <c r="C1075" s="22"/>
      <c r="D1075" s="34" t="str">
        <f>IFERROR(IF(C1075="","",VLOOKUP(C1075,المستفيدين!$B:$C,2,FALSE)),"")</f>
        <v/>
      </c>
      <c r="E1075" s="20"/>
      <c r="F1075" s="34"/>
      <c r="G1075" s="34" t="str">
        <f>IFERROR(IF(C1075="","",VLOOKUP(C1075,المستفيدين!$B:$F,5,FALSE)),"")</f>
        <v/>
      </c>
      <c r="H1075" s="24"/>
      <c r="I1075" s="20"/>
      <c r="J1075" s="20"/>
      <c r="K1075" s="20"/>
      <c r="L1075" s="21"/>
    </row>
    <row r="1076" spans="1:12" x14ac:dyDescent="0.2">
      <c r="A1076" s="26"/>
      <c r="B1076" s="22"/>
      <c r="C1076" s="22"/>
      <c r="D1076" s="34" t="str">
        <f>IFERROR(IF(C1076="","",VLOOKUP(C1076,المستفيدين!$B:$C,2,FALSE)),"")</f>
        <v/>
      </c>
      <c r="E1076" s="20"/>
      <c r="F1076" s="34"/>
      <c r="G1076" s="34" t="str">
        <f>IFERROR(IF(C1076="","",VLOOKUP(C1076,المستفيدين!$B:$F,5,FALSE)),"")</f>
        <v/>
      </c>
      <c r="H1076" s="24"/>
      <c r="I1076" s="20"/>
      <c r="J1076" s="20"/>
      <c r="K1076" s="20"/>
      <c r="L1076" s="21"/>
    </row>
    <row r="1077" spans="1:12" x14ac:dyDescent="0.2">
      <c r="A1077" s="26"/>
      <c r="B1077" s="22"/>
      <c r="C1077" s="22"/>
      <c r="D1077" s="34" t="str">
        <f>IFERROR(IF(C1077="","",VLOOKUP(C1077,المستفيدين!$B:$C,2,FALSE)),"")</f>
        <v/>
      </c>
      <c r="E1077" s="20"/>
      <c r="F1077" s="34"/>
      <c r="G1077" s="34" t="str">
        <f>IFERROR(IF(C1077="","",VLOOKUP(C1077,المستفيدين!$B:$F,5,FALSE)),"")</f>
        <v/>
      </c>
      <c r="H1077" s="24"/>
      <c r="I1077" s="20"/>
      <c r="J1077" s="20"/>
      <c r="K1077" s="20"/>
      <c r="L1077" s="21"/>
    </row>
    <row r="1078" spans="1:12" x14ac:dyDescent="0.2">
      <c r="A1078" s="26"/>
      <c r="B1078" s="22"/>
      <c r="C1078" s="22"/>
      <c r="D1078" s="34" t="str">
        <f>IFERROR(IF(C1078="","",VLOOKUP(C1078,المستفيدين!$B:$C,2,FALSE)),"")</f>
        <v/>
      </c>
      <c r="E1078" s="20"/>
      <c r="F1078" s="34"/>
      <c r="G1078" s="34" t="str">
        <f>IFERROR(IF(C1078="","",VLOOKUP(C1078,المستفيدين!$B:$F,5,FALSE)),"")</f>
        <v/>
      </c>
      <c r="H1078" s="24"/>
      <c r="I1078" s="20"/>
      <c r="J1078" s="20"/>
      <c r="K1078" s="20"/>
      <c r="L1078" s="21"/>
    </row>
    <row r="1079" spans="1:12" x14ac:dyDescent="0.2">
      <c r="A1079" s="26"/>
      <c r="B1079" s="22"/>
      <c r="C1079" s="22"/>
      <c r="D1079" s="34" t="str">
        <f>IFERROR(IF(C1079="","",VLOOKUP(C1079,المستفيدين!$B:$C,2,FALSE)),"")</f>
        <v/>
      </c>
      <c r="E1079" s="20"/>
      <c r="F1079" s="34"/>
      <c r="G1079" s="34" t="str">
        <f>IFERROR(IF(C1079="","",VLOOKUP(C1079,المستفيدين!$B:$F,5,FALSE)),"")</f>
        <v/>
      </c>
      <c r="H1079" s="24"/>
      <c r="I1079" s="20"/>
      <c r="J1079" s="20"/>
      <c r="K1079" s="20"/>
      <c r="L1079" s="21"/>
    </row>
    <row r="1080" spans="1:12" x14ac:dyDescent="0.2">
      <c r="A1080" s="26"/>
      <c r="B1080" s="22"/>
      <c r="C1080" s="22"/>
      <c r="D1080" s="34" t="str">
        <f>IFERROR(IF(C1080="","",VLOOKUP(C1080,المستفيدين!$B:$C,2,FALSE)),"")</f>
        <v/>
      </c>
      <c r="E1080" s="20"/>
      <c r="F1080" s="34"/>
      <c r="G1080" s="34" t="str">
        <f>IFERROR(IF(C1080="","",VLOOKUP(C1080,المستفيدين!$B:$F,5,FALSE)),"")</f>
        <v/>
      </c>
      <c r="H1080" s="24"/>
      <c r="I1080" s="20"/>
      <c r="J1080" s="20"/>
      <c r="K1080" s="20"/>
      <c r="L1080" s="21"/>
    </row>
    <row r="1081" spans="1:12" x14ac:dyDescent="0.2">
      <c r="A1081" s="26"/>
      <c r="B1081" s="22"/>
      <c r="C1081" s="22"/>
      <c r="D1081" s="34" t="str">
        <f>IFERROR(IF(C1081="","",VLOOKUP(C1081,المستفيدين!$B:$C,2,FALSE)),"")</f>
        <v/>
      </c>
      <c r="E1081" s="20"/>
      <c r="F1081" s="34"/>
      <c r="G1081" s="34" t="str">
        <f>IFERROR(IF(C1081="","",VLOOKUP(C1081,المستفيدين!$B:$F,5,FALSE)),"")</f>
        <v/>
      </c>
      <c r="H1081" s="24"/>
      <c r="I1081" s="20"/>
      <c r="J1081" s="20"/>
      <c r="K1081" s="20"/>
      <c r="L1081" s="21"/>
    </row>
    <row r="1082" spans="1:12" x14ac:dyDescent="0.2">
      <c r="A1082" s="26"/>
      <c r="B1082" s="22"/>
      <c r="C1082" s="22"/>
      <c r="D1082" s="34" t="str">
        <f>IFERROR(IF(C1082="","",VLOOKUP(C1082,المستفيدين!$B:$C,2,FALSE)),"")</f>
        <v/>
      </c>
      <c r="E1082" s="20"/>
      <c r="F1082" s="34"/>
      <c r="G1082" s="34" t="str">
        <f>IFERROR(IF(C1082="","",VLOOKUP(C1082,المستفيدين!$B:$F,5,FALSE)),"")</f>
        <v/>
      </c>
      <c r="H1082" s="24"/>
      <c r="I1082" s="20"/>
      <c r="J1082" s="20"/>
      <c r="K1082" s="20"/>
      <c r="L1082" s="21"/>
    </row>
    <row r="1083" spans="1:12" x14ac:dyDescent="0.2">
      <c r="A1083" s="26"/>
      <c r="B1083" s="22"/>
      <c r="C1083" s="22"/>
      <c r="D1083" s="34" t="str">
        <f>IFERROR(IF(C1083="","",VLOOKUP(C1083,المستفيدين!$B:$C,2,FALSE)),"")</f>
        <v/>
      </c>
      <c r="E1083" s="20"/>
      <c r="F1083" s="34"/>
      <c r="G1083" s="34" t="str">
        <f>IFERROR(IF(C1083="","",VLOOKUP(C1083,المستفيدين!$B:$F,5,FALSE)),"")</f>
        <v/>
      </c>
      <c r="H1083" s="24"/>
      <c r="I1083" s="20"/>
      <c r="J1083" s="20"/>
      <c r="K1083" s="20"/>
      <c r="L1083" s="21"/>
    </row>
    <row r="1084" spans="1:12" x14ac:dyDescent="0.2">
      <c r="A1084" s="26"/>
      <c r="B1084" s="22"/>
      <c r="C1084" s="22"/>
      <c r="D1084" s="34" t="str">
        <f>IFERROR(IF(C1084="","",VLOOKUP(C1084,المستفيدين!$B:$C,2,FALSE)),"")</f>
        <v/>
      </c>
      <c r="E1084" s="20"/>
      <c r="F1084" s="34"/>
      <c r="G1084" s="34" t="str">
        <f>IFERROR(IF(C1084="","",VLOOKUP(C1084,المستفيدين!$B:$F,5,FALSE)),"")</f>
        <v/>
      </c>
      <c r="H1084" s="24"/>
      <c r="I1084" s="20"/>
      <c r="J1084" s="20"/>
      <c r="K1084" s="20"/>
      <c r="L1084" s="21"/>
    </row>
    <row r="1085" spans="1:12" x14ac:dyDescent="0.2">
      <c r="A1085" s="26"/>
      <c r="B1085" s="22"/>
      <c r="C1085" s="22"/>
      <c r="D1085" s="34" t="str">
        <f>IFERROR(IF(C1085="","",VLOOKUP(C1085,المستفيدين!$B:$C,2,FALSE)),"")</f>
        <v/>
      </c>
      <c r="E1085" s="20"/>
      <c r="F1085" s="34"/>
      <c r="G1085" s="34" t="str">
        <f>IFERROR(IF(C1085="","",VLOOKUP(C1085,المستفيدين!$B:$F,5,FALSE)),"")</f>
        <v/>
      </c>
      <c r="H1085" s="24"/>
      <c r="I1085" s="20"/>
      <c r="J1085" s="20"/>
      <c r="K1085" s="20"/>
      <c r="L1085" s="21"/>
    </row>
    <row r="1086" spans="1:12" x14ac:dyDescent="0.2">
      <c r="A1086" s="26"/>
      <c r="B1086" s="22"/>
      <c r="C1086" s="22"/>
      <c r="D1086" s="34" t="str">
        <f>IFERROR(IF(C1086="","",VLOOKUP(C1086,المستفيدين!$B:$C,2,FALSE)),"")</f>
        <v/>
      </c>
      <c r="E1086" s="20"/>
      <c r="F1086" s="34"/>
      <c r="G1086" s="34" t="str">
        <f>IFERROR(IF(C1086="","",VLOOKUP(C1086,المستفيدين!$B:$F,5,FALSE)),"")</f>
        <v/>
      </c>
      <c r="H1086" s="24"/>
      <c r="I1086" s="20"/>
      <c r="J1086" s="20"/>
      <c r="K1086" s="20"/>
      <c r="L1086" s="21"/>
    </row>
    <row r="1087" spans="1:12" x14ac:dyDescent="0.2">
      <c r="A1087" s="26"/>
      <c r="B1087" s="22"/>
      <c r="C1087" s="22"/>
      <c r="D1087" s="34" t="str">
        <f>IFERROR(IF(C1087="","",VLOOKUP(C1087,المستفيدين!$B:$C,2,FALSE)),"")</f>
        <v/>
      </c>
      <c r="E1087" s="20"/>
      <c r="F1087" s="34"/>
      <c r="G1087" s="34" t="str">
        <f>IFERROR(IF(C1087="","",VLOOKUP(C1087,المستفيدين!$B:$F,5,FALSE)),"")</f>
        <v/>
      </c>
      <c r="H1087" s="24"/>
      <c r="I1087" s="20"/>
      <c r="J1087" s="20"/>
      <c r="K1087" s="20"/>
      <c r="L1087" s="21"/>
    </row>
    <row r="1088" spans="1:12" x14ac:dyDescent="0.2">
      <c r="A1088" s="26"/>
      <c r="B1088" s="22"/>
      <c r="C1088" s="22"/>
      <c r="D1088" s="34" t="str">
        <f>IFERROR(IF(C1088="","",VLOOKUP(C1088,المستفيدين!$B:$C,2,FALSE)),"")</f>
        <v/>
      </c>
      <c r="E1088" s="20"/>
      <c r="F1088" s="34"/>
      <c r="G1088" s="34" t="str">
        <f>IFERROR(IF(C1088="","",VLOOKUP(C1088,المستفيدين!$B:$F,5,FALSE)),"")</f>
        <v/>
      </c>
      <c r="H1088" s="24"/>
      <c r="I1088" s="20"/>
      <c r="J1088" s="20"/>
      <c r="K1088" s="20"/>
      <c r="L1088" s="21"/>
    </row>
    <row r="1089" spans="1:12" x14ac:dyDescent="0.2">
      <c r="A1089" s="26"/>
      <c r="B1089" s="22"/>
      <c r="C1089" s="22"/>
      <c r="D1089" s="34" t="str">
        <f>IFERROR(IF(C1089="","",VLOOKUP(C1089,المستفيدين!$B:$C,2,FALSE)),"")</f>
        <v/>
      </c>
      <c r="E1089" s="20"/>
      <c r="F1089" s="34"/>
      <c r="G1089" s="34" t="str">
        <f>IFERROR(IF(C1089="","",VLOOKUP(C1089,المستفيدين!$B:$F,5,FALSE)),"")</f>
        <v/>
      </c>
      <c r="H1089" s="24"/>
      <c r="I1089" s="20"/>
      <c r="J1089" s="20"/>
      <c r="K1089" s="20"/>
      <c r="L1089" s="21"/>
    </row>
    <row r="1090" spans="1:12" x14ac:dyDescent="0.2">
      <c r="A1090" s="26"/>
      <c r="B1090" s="22"/>
      <c r="C1090" s="22"/>
      <c r="D1090" s="34" t="str">
        <f>IFERROR(IF(C1090="","",VLOOKUP(C1090,المستفيدين!$B:$C,2,FALSE)),"")</f>
        <v/>
      </c>
      <c r="E1090" s="20"/>
      <c r="F1090" s="34"/>
      <c r="G1090" s="34" t="str">
        <f>IFERROR(IF(C1090="","",VLOOKUP(C1090,المستفيدين!$B:$F,5,FALSE)),"")</f>
        <v/>
      </c>
      <c r="H1090" s="24"/>
      <c r="I1090" s="20"/>
      <c r="J1090" s="20"/>
      <c r="K1090" s="20"/>
      <c r="L1090" s="21"/>
    </row>
    <row r="1091" spans="1:12" x14ac:dyDescent="0.2">
      <c r="A1091" s="26"/>
      <c r="B1091" s="22"/>
      <c r="C1091" s="22"/>
      <c r="D1091" s="34" t="str">
        <f>IFERROR(IF(C1091="","",VLOOKUP(C1091,المستفيدين!$B:$C,2,FALSE)),"")</f>
        <v/>
      </c>
      <c r="E1091" s="20"/>
      <c r="F1091" s="34"/>
      <c r="G1091" s="34" t="str">
        <f>IFERROR(IF(C1091="","",VLOOKUP(C1091,المستفيدين!$B:$F,5,FALSE)),"")</f>
        <v/>
      </c>
      <c r="H1091" s="24"/>
      <c r="I1091" s="20"/>
      <c r="J1091" s="20"/>
      <c r="K1091" s="20"/>
      <c r="L1091" s="21"/>
    </row>
    <row r="1092" spans="1:12" x14ac:dyDescent="0.2">
      <c r="A1092" s="26"/>
      <c r="B1092" s="22"/>
      <c r="C1092" s="22"/>
      <c r="D1092" s="34" t="str">
        <f>IFERROR(IF(C1092="","",VLOOKUP(C1092,المستفيدين!$B:$C,2,FALSE)),"")</f>
        <v/>
      </c>
      <c r="E1092" s="20"/>
      <c r="F1092" s="34"/>
      <c r="G1092" s="34" t="str">
        <f>IFERROR(IF(C1092="","",VLOOKUP(C1092,المستفيدين!$B:$F,5,FALSE)),"")</f>
        <v/>
      </c>
      <c r="H1092" s="24"/>
      <c r="I1092" s="20"/>
      <c r="J1092" s="20"/>
      <c r="K1092" s="20"/>
      <c r="L1092" s="21"/>
    </row>
    <row r="1093" spans="1:12" x14ac:dyDescent="0.2">
      <c r="A1093" s="26"/>
      <c r="B1093" s="22"/>
      <c r="C1093" s="22"/>
      <c r="D1093" s="34" t="str">
        <f>IFERROR(IF(C1093="","",VLOOKUP(C1093,المستفيدين!$B:$C,2,FALSE)),"")</f>
        <v/>
      </c>
      <c r="E1093" s="20"/>
      <c r="F1093" s="34"/>
      <c r="G1093" s="34" t="str">
        <f>IFERROR(IF(C1093="","",VLOOKUP(C1093,المستفيدين!$B:$F,5,FALSE)),"")</f>
        <v/>
      </c>
      <c r="H1093" s="24"/>
      <c r="I1093" s="20"/>
      <c r="J1093" s="20"/>
      <c r="K1093" s="20"/>
      <c r="L1093" s="21"/>
    </row>
    <row r="1094" spans="1:12" x14ac:dyDescent="0.2">
      <c r="A1094" s="26"/>
      <c r="B1094" s="22"/>
      <c r="C1094" s="22"/>
      <c r="D1094" s="34" t="str">
        <f>IFERROR(IF(C1094="","",VLOOKUP(C1094,المستفيدين!$B:$C,2,FALSE)),"")</f>
        <v/>
      </c>
      <c r="E1094" s="20"/>
      <c r="F1094" s="34"/>
      <c r="G1094" s="34" t="str">
        <f>IFERROR(IF(C1094="","",VLOOKUP(C1094,المستفيدين!$B:$F,5,FALSE)),"")</f>
        <v/>
      </c>
      <c r="H1094" s="24"/>
      <c r="I1094" s="20"/>
      <c r="J1094" s="20"/>
      <c r="K1094" s="20"/>
      <c r="L1094" s="21"/>
    </row>
    <row r="1095" spans="1:12" x14ac:dyDescent="0.2">
      <c r="A1095" s="26"/>
      <c r="B1095" s="22"/>
      <c r="C1095" s="22"/>
      <c r="D1095" s="34" t="str">
        <f>IFERROR(IF(C1095="","",VLOOKUP(C1095,المستفيدين!$B:$C,2,FALSE)),"")</f>
        <v/>
      </c>
      <c r="E1095" s="20"/>
      <c r="F1095" s="34"/>
      <c r="G1095" s="34" t="str">
        <f>IFERROR(IF(C1095="","",VLOOKUP(C1095,المستفيدين!$B:$F,5,FALSE)),"")</f>
        <v/>
      </c>
      <c r="H1095" s="24"/>
      <c r="I1095" s="20"/>
      <c r="J1095" s="20"/>
      <c r="K1095" s="20"/>
      <c r="L1095" s="21"/>
    </row>
    <row r="1096" spans="1:12" x14ac:dyDescent="0.2">
      <c r="A1096" s="26"/>
      <c r="B1096" s="22"/>
      <c r="C1096" s="22"/>
      <c r="D1096" s="34" t="str">
        <f>IFERROR(IF(C1096="","",VLOOKUP(C1096,المستفيدين!$B:$C,2,FALSE)),"")</f>
        <v/>
      </c>
      <c r="E1096" s="20"/>
      <c r="F1096" s="34"/>
      <c r="G1096" s="34" t="str">
        <f>IFERROR(IF(C1096="","",VLOOKUP(C1096,المستفيدين!$B:$F,5,FALSE)),"")</f>
        <v/>
      </c>
      <c r="H1096" s="24"/>
      <c r="I1096" s="20"/>
      <c r="J1096" s="20"/>
      <c r="K1096" s="20"/>
      <c r="L1096" s="21"/>
    </row>
    <row r="1097" spans="1:12" x14ac:dyDescent="0.2">
      <c r="A1097" s="26"/>
      <c r="B1097" s="22"/>
      <c r="C1097" s="22"/>
      <c r="D1097" s="34" t="str">
        <f>IFERROR(IF(C1097="","",VLOOKUP(C1097,المستفيدين!$B:$C,2,FALSE)),"")</f>
        <v/>
      </c>
      <c r="E1097" s="20"/>
      <c r="F1097" s="34"/>
      <c r="G1097" s="34" t="str">
        <f>IFERROR(IF(C1097="","",VLOOKUP(C1097,المستفيدين!$B:$F,5,FALSE)),"")</f>
        <v/>
      </c>
      <c r="H1097" s="24"/>
      <c r="I1097" s="20"/>
      <c r="J1097" s="20"/>
      <c r="K1097" s="20"/>
      <c r="L1097" s="21"/>
    </row>
    <row r="1098" spans="1:12" x14ac:dyDescent="0.2">
      <c r="A1098" s="26"/>
      <c r="B1098" s="22"/>
      <c r="C1098" s="22"/>
      <c r="D1098" s="34" t="str">
        <f>IFERROR(IF(C1098="","",VLOOKUP(C1098,المستفيدين!$B:$C,2,FALSE)),"")</f>
        <v/>
      </c>
      <c r="E1098" s="20"/>
      <c r="F1098" s="34"/>
      <c r="G1098" s="34" t="str">
        <f>IFERROR(IF(C1098="","",VLOOKUP(C1098,المستفيدين!$B:$F,5,FALSE)),"")</f>
        <v/>
      </c>
      <c r="H1098" s="24"/>
      <c r="I1098" s="20"/>
      <c r="J1098" s="20"/>
      <c r="K1098" s="20"/>
      <c r="L1098" s="21"/>
    </row>
    <row r="1099" spans="1:12" x14ac:dyDescent="0.2">
      <c r="A1099" s="26"/>
      <c r="B1099" s="22"/>
      <c r="C1099" s="22"/>
      <c r="D1099" s="34" t="str">
        <f>IFERROR(IF(C1099="","",VLOOKUP(C1099,المستفيدين!$B:$C,2,FALSE)),"")</f>
        <v/>
      </c>
      <c r="E1099" s="20"/>
      <c r="F1099" s="34"/>
      <c r="G1099" s="34" t="str">
        <f>IFERROR(IF(C1099="","",VLOOKUP(C1099,المستفيدين!$B:$F,5,FALSE)),"")</f>
        <v/>
      </c>
      <c r="H1099" s="24"/>
      <c r="I1099" s="20"/>
      <c r="J1099" s="20"/>
      <c r="K1099" s="20"/>
      <c r="L1099" s="21"/>
    </row>
    <row r="1100" spans="1:12" x14ac:dyDescent="0.2">
      <c r="A1100" s="26"/>
      <c r="B1100" s="22"/>
      <c r="C1100" s="22"/>
      <c r="D1100" s="34" t="str">
        <f>IFERROR(IF(C1100="","",VLOOKUP(C1100,المستفيدين!$B:$C,2,FALSE)),"")</f>
        <v/>
      </c>
      <c r="E1100" s="20"/>
      <c r="F1100" s="34"/>
      <c r="G1100" s="34" t="str">
        <f>IFERROR(IF(C1100="","",VLOOKUP(C1100,المستفيدين!$B:$F,5,FALSE)),"")</f>
        <v/>
      </c>
      <c r="H1100" s="24"/>
      <c r="I1100" s="20"/>
      <c r="J1100" s="20"/>
      <c r="K1100" s="20"/>
      <c r="L1100" s="21"/>
    </row>
    <row r="1101" spans="1:12" x14ac:dyDescent="0.2">
      <c r="A1101" s="26"/>
      <c r="B1101" s="22"/>
      <c r="C1101" s="22"/>
      <c r="D1101" s="34" t="str">
        <f>IFERROR(IF(C1101="","",VLOOKUP(C1101,المستفيدين!$B:$C,2,FALSE)),"")</f>
        <v/>
      </c>
      <c r="E1101" s="20"/>
      <c r="F1101" s="34"/>
      <c r="G1101" s="34" t="str">
        <f>IFERROR(IF(C1101="","",VLOOKUP(C1101,المستفيدين!$B:$F,5,FALSE)),"")</f>
        <v/>
      </c>
      <c r="H1101" s="24"/>
      <c r="I1101" s="20"/>
      <c r="J1101" s="20"/>
      <c r="K1101" s="20"/>
      <c r="L1101" s="21"/>
    </row>
    <row r="1102" spans="1:12" x14ac:dyDescent="0.2">
      <c r="A1102" s="26"/>
      <c r="B1102" s="22"/>
      <c r="C1102" s="22"/>
      <c r="D1102" s="34" t="str">
        <f>IFERROR(IF(C1102="","",VLOOKUP(C1102,المستفيدين!$B:$C,2,FALSE)),"")</f>
        <v/>
      </c>
      <c r="E1102" s="20"/>
      <c r="F1102" s="34"/>
      <c r="G1102" s="34" t="str">
        <f>IFERROR(IF(C1102="","",VLOOKUP(C1102,المستفيدين!$B:$F,5,FALSE)),"")</f>
        <v/>
      </c>
      <c r="H1102" s="24"/>
      <c r="I1102" s="20"/>
      <c r="J1102" s="20"/>
      <c r="K1102" s="20"/>
      <c r="L1102" s="21"/>
    </row>
    <row r="1103" spans="1:12" x14ac:dyDescent="0.2">
      <c r="A1103" s="26"/>
      <c r="B1103" s="22"/>
      <c r="C1103" s="22"/>
      <c r="D1103" s="34" t="str">
        <f>IFERROR(IF(C1103="","",VLOOKUP(C1103,المستفيدين!$B:$C,2,FALSE)),"")</f>
        <v/>
      </c>
      <c r="E1103" s="20"/>
      <c r="F1103" s="34"/>
      <c r="G1103" s="34" t="str">
        <f>IFERROR(IF(C1103="","",VLOOKUP(C1103,المستفيدين!$B:$F,5,FALSE)),"")</f>
        <v/>
      </c>
      <c r="H1103" s="24"/>
      <c r="I1103" s="20"/>
      <c r="J1103" s="20"/>
      <c r="K1103" s="20"/>
      <c r="L1103" s="21"/>
    </row>
    <row r="1104" spans="1:12" x14ac:dyDescent="0.2">
      <c r="A1104" s="26"/>
      <c r="B1104" s="22"/>
      <c r="C1104" s="22"/>
      <c r="D1104" s="34" t="str">
        <f>IFERROR(IF(C1104="","",VLOOKUP(C1104,المستفيدين!$B:$C,2,FALSE)),"")</f>
        <v/>
      </c>
      <c r="E1104" s="20"/>
      <c r="F1104" s="34"/>
      <c r="G1104" s="34" t="str">
        <f>IFERROR(IF(C1104="","",VLOOKUP(C1104,المستفيدين!$B:$F,5,FALSE)),"")</f>
        <v/>
      </c>
      <c r="H1104" s="24"/>
      <c r="I1104" s="20"/>
      <c r="J1104" s="20"/>
      <c r="K1104" s="20"/>
      <c r="L1104" s="21"/>
    </row>
    <row r="1105" spans="1:12" x14ac:dyDescent="0.2">
      <c r="A1105" s="26"/>
      <c r="B1105" s="22"/>
      <c r="C1105" s="22"/>
      <c r="D1105" s="34" t="str">
        <f>IFERROR(IF(C1105="","",VLOOKUP(C1105,المستفيدين!$B:$C,2,FALSE)),"")</f>
        <v/>
      </c>
      <c r="E1105" s="20"/>
      <c r="F1105" s="34"/>
      <c r="G1105" s="34" t="str">
        <f>IFERROR(IF(C1105="","",VLOOKUP(C1105,المستفيدين!$B:$F,5,FALSE)),"")</f>
        <v/>
      </c>
      <c r="H1105" s="24"/>
      <c r="I1105" s="20"/>
      <c r="J1105" s="20"/>
      <c r="K1105" s="20"/>
      <c r="L1105" s="21"/>
    </row>
    <row r="1106" spans="1:12" x14ac:dyDescent="0.2">
      <c r="A1106" s="26"/>
      <c r="B1106" s="22"/>
      <c r="C1106" s="22"/>
      <c r="D1106" s="34" t="str">
        <f>IFERROR(IF(C1106="","",VLOOKUP(C1106,المستفيدين!$B:$C,2,FALSE)),"")</f>
        <v/>
      </c>
      <c r="E1106" s="20"/>
      <c r="F1106" s="34"/>
      <c r="G1106" s="34" t="str">
        <f>IFERROR(IF(C1106="","",VLOOKUP(C1106,المستفيدين!$B:$F,5,FALSE)),"")</f>
        <v/>
      </c>
      <c r="H1106" s="24"/>
      <c r="I1106" s="20"/>
      <c r="J1106" s="20"/>
      <c r="K1106" s="20"/>
      <c r="L1106" s="21"/>
    </row>
    <row r="1107" spans="1:12" x14ac:dyDescent="0.2">
      <c r="A1107" s="26"/>
      <c r="B1107" s="22"/>
      <c r="C1107" s="22"/>
      <c r="D1107" s="34" t="str">
        <f>IFERROR(IF(C1107="","",VLOOKUP(C1107,المستفيدين!$B:$C,2,FALSE)),"")</f>
        <v/>
      </c>
      <c r="E1107" s="20"/>
      <c r="F1107" s="34"/>
      <c r="G1107" s="34" t="str">
        <f>IFERROR(IF(C1107="","",VLOOKUP(C1107,المستفيدين!$B:$F,5,FALSE)),"")</f>
        <v/>
      </c>
      <c r="H1107" s="24"/>
      <c r="I1107" s="20"/>
      <c r="J1107" s="20"/>
      <c r="K1107" s="20"/>
      <c r="L1107" s="21"/>
    </row>
    <row r="1108" spans="1:12" x14ac:dyDescent="0.2">
      <c r="A1108" s="26"/>
      <c r="B1108" s="22"/>
      <c r="C1108" s="22"/>
      <c r="D1108" s="34" t="str">
        <f>IFERROR(IF(C1108="","",VLOOKUP(C1108,المستفيدين!$B:$C,2,FALSE)),"")</f>
        <v/>
      </c>
      <c r="E1108" s="20"/>
      <c r="F1108" s="34"/>
      <c r="G1108" s="34" t="str">
        <f>IFERROR(IF(C1108="","",VLOOKUP(C1108,المستفيدين!$B:$F,5,FALSE)),"")</f>
        <v/>
      </c>
      <c r="H1108" s="24"/>
      <c r="I1108" s="20"/>
      <c r="J1108" s="20"/>
      <c r="K1108" s="20"/>
      <c r="L1108" s="21"/>
    </row>
    <row r="1109" spans="1:12" x14ac:dyDescent="0.2">
      <c r="A1109" s="26"/>
      <c r="B1109" s="22"/>
      <c r="C1109" s="22"/>
      <c r="D1109" s="34" t="str">
        <f>IFERROR(IF(C1109="","",VLOOKUP(C1109,المستفيدين!$B:$C,2,FALSE)),"")</f>
        <v/>
      </c>
      <c r="E1109" s="20"/>
      <c r="F1109" s="34"/>
      <c r="G1109" s="34" t="str">
        <f>IFERROR(IF(C1109="","",VLOOKUP(C1109,المستفيدين!$B:$F,5,FALSE)),"")</f>
        <v/>
      </c>
      <c r="H1109" s="24"/>
      <c r="I1109" s="20"/>
      <c r="J1109" s="20"/>
      <c r="K1109" s="20"/>
      <c r="L1109" s="21"/>
    </row>
    <row r="1110" spans="1:12" x14ac:dyDescent="0.2">
      <c r="A1110" s="26"/>
      <c r="B1110" s="22"/>
      <c r="C1110" s="22"/>
      <c r="D1110" s="34" t="str">
        <f>IFERROR(IF(C1110="","",VLOOKUP(C1110,المستفيدين!$B:$C,2,FALSE)),"")</f>
        <v/>
      </c>
      <c r="E1110" s="20"/>
      <c r="F1110" s="34"/>
      <c r="G1110" s="34" t="str">
        <f>IFERROR(IF(C1110="","",VLOOKUP(C1110,المستفيدين!$B:$F,5,FALSE)),"")</f>
        <v/>
      </c>
      <c r="H1110" s="24"/>
      <c r="I1110" s="20"/>
      <c r="J1110" s="20"/>
      <c r="K1110" s="20"/>
      <c r="L1110" s="21"/>
    </row>
    <row r="1111" spans="1:12" x14ac:dyDescent="0.2">
      <c r="A1111" s="26"/>
      <c r="B1111" s="22"/>
      <c r="C1111" s="22"/>
      <c r="D1111" s="34" t="str">
        <f>IFERROR(IF(C1111="","",VLOOKUP(C1111,المستفيدين!$B:$C,2,FALSE)),"")</f>
        <v/>
      </c>
      <c r="E1111" s="20"/>
      <c r="F1111" s="34"/>
      <c r="G1111" s="34" t="str">
        <f>IFERROR(IF(C1111="","",VLOOKUP(C1111,المستفيدين!$B:$F,5,FALSE)),"")</f>
        <v/>
      </c>
      <c r="H1111" s="24"/>
      <c r="I1111" s="20"/>
      <c r="J1111" s="20"/>
      <c r="K1111" s="20"/>
      <c r="L1111" s="21"/>
    </row>
    <row r="1112" spans="1:12" x14ac:dyDescent="0.2">
      <c r="A1112" s="26"/>
      <c r="B1112" s="22"/>
      <c r="C1112" s="22"/>
      <c r="D1112" s="34" t="str">
        <f>IFERROR(IF(C1112="","",VLOOKUP(C1112,المستفيدين!$B:$C,2,FALSE)),"")</f>
        <v/>
      </c>
      <c r="E1112" s="20"/>
      <c r="F1112" s="34"/>
      <c r="G1112" s="34" t="str">
        <f>IFERROR(IF(C1112="","",VLOOKUP(C1112,المستفيدين!$B:$F,5,FALSE)),"")</f>
        <v/>
      </c>
      <c r="H1112" s="24"/>
      <c r="I1112" s="20"/>
      <c r="J1112" s="20"/>
      <c r="K1112" s="20"/>
      <c r="L1112" s="21"/>
    </row>
    <row r="1113" spans="1:12" x14ac:dyDescent="0.2">
      <c r="A1113" s="26"/>
      <c r="B1113" s="22"/>
      <c r="C1113" s="22"/>
      <c r="D1113" s="34" t="str">
        <f>IFERROR(IF(C1113="","",VLOOKUP(C1113,المستفيدين!$B:$C,2,FALSE)),"")</f>
        <v/>
      </c>
      <c r="E1113" s="20"/>
      <c r="F1113" s="34"/>
      <c r="G1113" s="34" t="str">
        <f>IFERROR(IF(C1113="","",VLOOKUP(C1113,المستفيدين!$B:$F,5,FALSE)),"")</f>
        <v/>
      </c>
      <c r="H1113" s="24"/>
      <c r="I1113" s="20"/>
      <c r="J1113" s="20"/>
      <c r="K1113" s="20"/>
      <c r="L1113" s="21"/>
    </row>
    <row r="1114" spans="1:12" x14ac:dyDescent="0.2">
      <c r="A1114" s="26"/>
      <c r="B1114" s="22"/>
      <c r="C1114" s="22"/>
      <c r="D1114" s="34" t="str">
        <f>IFERROR(IF(C1114="","",VLOOKUP(C1114,المستفيدين!$B:$C,2,FALSE)),"")</f>
        <v/>
      </c>
      <c r="E1114" s="20"/>
      <c r="F1114" s="34"/>
      <c r="G1114" s="34" t="str">
        <f>IFERROR(IF(C1114="","",VLOOKUP(C1114,المستفيدين!$B:$F,5,FALSE)),"")</f>
        <v/>
      </c>
      <c r="H1114" s="24"/>
      <c r="I1114" s="20"/>
      <c r="J1114" s="20"/>
      <c r="K1114" s="20"/>
      <c r="L1114" s="21"/>
    </row>
    <row r="1115" spans="1:12" x14ac:dyDescent="0.2">
      <c r="A1115" s="26"/>
      <c r="B1115" s="22"/>
      <c r="C1115" s="22"/>
      <c r="D1115" s="34" t="str">
        <f>IFERROR(IF(C1115="","",VLOOKUP(C1115,المستفيدين!$B:$C,2,FALSE)),"")</f>
        <v/>
      </c>
      <c r="E1115" s="20"/>
      <c r="F1115" s="34"/>
      <c r="G1115" s="34" t="str">
        <f>IFERROR(IF(C1115="","",VLOOKUP(C1115,المستفيدين!$B:$F,5,FALSE)),"")</f>
        <v/>
      </c>
      <c r="H1115" s="24"/>
      <c r="I1115" s="20"/>
      <c r="J1115" s="20"/>
      <c r="K1115" s="20"/>
      <c r="L1115" s="21"/>
    </row>
    <row r="1116" spans="1:12" x14ac:dyDescent="0.2">
      <c r="A1116" s="26"/>
      <c r="B1116" s="22"/>
      <c r="C1116" s="22"/>
      <c r="D1116" s="34" t="str">
        <f>IFERROR(IF(C1116="","",VLOOKUP(C1116,المستفيدين!$B:$C,2,FALSE)),"")</f>
        <v/>
      </c>
      <c r="E1116" s="20"/>
      <c r="F1116" s="34"/>
      <c r="G1116" s="34" t="str">
        <f>IFERROR(IF(C1116="","",VLOOKUP(C1116,المستفيدين!$B:$F,5,FALSE)),"")</f>
        <v/>
      </c>
      <c r="H1116" s="24"/>
      <c r="I1116" s="20"/>
      <c r="J1116" s="20"/>
      <c r="K1116" s="20"/>
      <c r="L1116" s="21"/>
    </row>
    <row r="1117" spans="1:12" x14ac:dyDescent="0.2">
      <c r="A1117" s="26"/>
      <c r="B1117" s="22"/>
      <c r="C1117" s="22"/>
      <c r="D1117" s="34" t="str">
        <f>IFERROR(IF(C1117="","",VLOOKUP(C1117,المستفيدين!$B:$C,2,FALSE)),"")</f>
        <v/>
      </c>
      <c r="E1117" s="20"/>
      <c r="F1117" s="34"/>
      <c r="G1117" s="34" t="str">
        <f>IFERROR(IF(C1117="","",VLOOKUP(C1117,المستفيدين!$B:$F,5,FALSE)),"")</f>
        <v/>
      </c>
      <c r="H1117" s="24"/>
      <c r="I1117" s="20"/>
      <c r="J1117" s="20"/>
      <c r="K1117" s="20"/>
      <c r="L1117" s="21"/>
    </row>
    <row r="1118" spans="1:12" x14ac:dyDescent="0.2">
      <c r="A1118" s="26"/>
      <c r="B1118" s="22"/>
      <c r="C1118" s="22"/>
      <c r="D1118" s="34" t="str">
        <f>IFERROR(IF(C1118="","",VLOOKUP(C1118,المستفيدين!$B:$C,2,FALSE)),"")</f>
        <v/>
      </c>
      <c r="E1118" s="20"/>
      <c r="F1118" s="34"/>
      <c r="G1118" s="34" t="str">
        <f>IFERROR(IF(C1118="","",VLOOKUP(C1118,المستفيدين!$B:$F,5,FALSE)),"")</f>
        <v/>
      </c>
      <c r="H1118" s="24"/>
      <c r="I1118" s="20"/>
      <c r="J1118" s="20"/>
      <c r="K1118" s="20"/>
      <c r="L1118" s="21"/>
    </row>
    <row r="1119" spans="1:12" x14ac:dyDescent="0.2">
      <c r="A1119" s="26"/>
      <c r="B1119" s="22"/>
      <c r="C1119" s="22"/>
      <c r="D1119" s="34" t="str">
        <f>IFERROR(IF(C1119="","",VLOOKUP(C1119,المستفيدين!$B:$C,2,FALSE)),"")</f>
        <v/>
      </c>
      <c r="E1119" s="20"/>
      <c r="F1119" s="34"/>
      <c r="G1119" s="34" t="str">
        <f>IFERROR(IF(C1119="","",VLOOKUP(C1119,المستفيدين!$B:$F,5,FALSE)),"")</f>
        <v/>
      </c>
      <c r="H1119" s="24"/>
      <c r="I1119" s="20"/>
      <c r="J1119" s="20"/>
      <c r="K1119" s="20"/>
      <c r="L1119" s="21"/>
    </row>
    <row r="1120" spans="1:12" x14ac:dyDescent="0.2">
      <c r="A1120" s="26"/>
      <c r="B1120" s="22"/>
      <c r="C1120" s="22"/>
      <c r="D1120" s="34" t="str">
        <f>IFERROR(IF(C1120="","",VLOOKUP(C1120,المستفيدين!$B:$C,2,FALSE)),"")</f>
        <v/>
      </c>
      <c r="E1120" s="20"/>
      <c r="F1120" s="34"/>
      <c r="G1120" s="34" t="str">
        <f>IFERROR(IF(C1120="","",VLOOKUP(C1120,المستفيدين!$B:$F,5,FALSE)),"")</f>
        <v/>
      </c>
      <c r="H1120" s="24"/>
      <c r="I1120" s="20"/>
      <c r="J1120" s="20"/>
      <c r="K1120" s="20"/>
      <c r="L1120" s="21"/>
    </row>
    <row r="1121" spans="1:12" x14ac:dyDescent="0.2">
      <c r="A1121" s="26"/>
      <c r="B1121" s="22"/>
      <c r="C1121" s="22"/>
      <c r="D1121" s="34" t="str">
        <f>IFERROR(IF(C1121="","",VLOOKUP(C1121,المستفيدين!$B:$C,2,FALSE)),"")</f>
        <v/>
      </c>
      <c r="E1121" s="20"/>
      <c r="F1121" s="34"/>
      <c r="G1121" s="34" t="str">
        <f>IFERROR(IF(C1121="","",VLOOKUP(C1121,المستفيدين!$B:$F,5,FALSE)),"")</f>
        <v/>
      </c>
      <c r="H1121" s="24"/>
      <c r="I1121" s="20"/>
      <c r="J1121" s="20"/>
      <c r="K1121" s="20"/>
      <c r="L1121" s="21"/>
    </row>
    <row r="1122" spans="1:12" x14ac:dyDescent="0.2">
      <c r="A1122" s="26"/>
      <c r="B1122" s="22"/>
      <c r="C1122" s="22"/>
      <c r="D1122" s="34" t="str">
        <f>IFERROR(IF(C1122="","",VLOOKUP(C1122,المستفيدين!$B:$C,2,FALSE)),"")</f>
        <v/>
      </c>
      <c r="E1122" s="20"/>
      <c r="F1122" s="34"/>
      <c r="G1122" s="34" t="str">
        <f>IFERROR(IF(C1122="","",VLOOKUP(C1122,المستفيدين!$B:$F,5,FALSE)),"")</f>
        <v/>
      </c>
      <c r="H1122" s="24"/>
      <c r="I1122" s="20"/>
      <c r="J1122" s="20"/>
      <c r="K1122" s="20"/>
      <c r="L1122" s="21"/>
    </row>
    <row r="1123" spans="1:12" x14ac:dyDescent="0.2">
      <c r="A1123" s="26"/>
      <c r="B1123" s="22"/>
      <c r="C1123" s="22"/>
      <c r="D1123" s="34" t="str">
        <f>IFERROR(IF(C1123="","",VLOOKUP(C1123,المستفيدين!$B:$C,2,FALSE)),"")</f>
        <v/>
      </c>
      <c r="E1123" s="20"/>
      <c r="F1123" s="34"/>
      <c r="G1123" s="34" t="str">
        <f>IFERROR(IF(C1123="","",VLOOKUP(C1123,المستفيدين!$B:$F,5,FALSE)),"")</f>
        <v/>
      </c>
      <c r="H1123" s="24"/>
      <c r="I1123" s="20"/>
      <c r="J1123" s="20"/>
      <c r="K1123" s="20"/>
      <c r="L1123" s="21"/>
    </row>
    <row r="1124" spans="1:12" x14ac:dyDescent="0.2">
      <c r="A1124" s="26"/>
      <c r="B1124" s="22"/>
      <c r="C1124" s="22"/>
      <c r="D1124" s="34" t="str">
        <f>IFERROR(IF(C1124="","",VLOOKUP(C1124,المستفيدين!$B:$C,2,FALSE)),"")</f>
        <v/>
      </c>
      <c r="E1124" s="20"/>
      <c r="F1124" s="34"/>
      <c r="G1124" s="34" t="str">
        <f>IFERROR(IF(C1124="","",VLOOKUP(C1124,المستفيدين!$B:$F,5,FALSE)),"")</f>
        <v/>
      </c>
      <c r="H1124" s="24"/>
      <c r="I1124" s="20"/>
      <c r="J1124" s="20"/>
      <c r="K1124" s="20"/>
      <c r="L1124" s="21"/>
    </row>
    <row r="1125" spans="1:12" x14ac:dyDescent="0.2">
      <c r="A1125" s="26"/>
      <c r="B1125" s="22"/>
      <c r="C1125" s="22"/>
      <c r="D1125" s="34" t="str">
        <f>IFERROR(IF(C1125="","",VLOOKUP(C1125,المستفيدين!$B:$C,2,FALSE)),"")</f>
        <v/>
      </c>
      <c r="E1125" s="20"/>
      <c r="F1125" s="34"/>
      <c r="G1125" s="34" t="str">
        <f>IFERROR(IF(C1125="","",VLOOKUP(C1125,المستفيدين!$B:$F,5,FALSE)),"")</f>
        <v/>
      </c>
      <c r="H1125" s="24"/>
      <c r="I1125" s="20"/>
      <c r="J1125" s="20"/>
      <c r="K1125" s="20"/>
      <c r="L1125" s="21"/>
    </row>
    <row r="1126" spans="1:12" x14ac:dyDescent="0.2">
      <c r="A1126" s="26"/>
      <c r="B1126" s="22"/>
      <c r="C1126" s="22"/>
      <c r="D1126" s="34" t="str">
        <f>IFERROR(IF(C1126="","",VLOOKUP(C1126,المستفيدين!$B:$C,2,FALSE)),"")</f>
        <v/>
      </c>
      <c r="E1126" s="20"/>
      <c r="F1126" s="34"/>
      <c r="G1126" s="34" t="str">
        <f>IFERROR(IF(C1126="","",VLOOKUP(C1126,المستفيدين!$B:$F,5,FALSE)),"")</f>
        <v/>
      </c>
      <c r="H1126" s="24"/>
      <c r="I1126" s="20"/>
      <c r="J1126" s="20"/>
      <c r="K1126" s="20"/>
      <c r="L1126" s="21"/>
    </row>
    <row r="1127" spans="1:12" x14ac:dyDescent="0.2">
      <c r="A1127" s="26"/>
      <c r="B1127" s="22"/>
      <c r="C1127" s="22"/>
      <c r="D1127" s="34" t="str">
        <f>IFERROR(IF(C1127="","",VLOOKUP(C1127,المستفيدين!$B:$C,2,FALSE)),"")</f>
        <v/>
      </c>
      <c r="E1127" s="20"/>
      <c r="F1127" s="34"/>
      <c r="G1127" s="34" t="str">
        <f>IFERROR(IF(C1127="","",VLOOKUP(C1127,المستفيدين!$B:$F,5,FALSE)),"")</f>
        <v/>
      </c>
      <c r="H1127" s="24"/>
      <c r="I1127" s="20"/>
      <c r="J1127" s="20"/>
      <c r="K1127" s="20"/>
      <c r="L1127" s="21"/>
    </row>
    <row r="1128" spans="1:12" x14ac:dyDescent="0.2">
      <c r="A1128" s="26"/>
      <c r="B1128" s="22"/>
      <c r="C1128" s="22"/>
      <c r="D1128" s="34" t="str">
        <f>IFERROR(IF(C1128="","",VLOOKUP(C1128,المستفيدين!$B:$C,2,FALSE)),"")</f>
        <v/>
      </c>
      <c r="E1128" s="20"/>
      <c r="F1128" s="34"/>
      <c r="G1128" s="34" t="str">
        <f>IFERROR(IF(C1128="","",VLOOKUP(C1128,المستفيدين!$B:$F,5,FALSE)),"")</f>
        <v/>
      </c>
      <c r="H1128" s="24"/>
      <c r="I1128" s="20"/>
      <c r="J1128" s="20"/>
      <c r="K1128" s="20"/>
      <c r="L1128" s="21"/>
    </row>
    <row r="1129" spans="1:12" x14ac:dyDescent="0.2">
      <c r="A1129" s="26"/>
      <c r="B1129" s="22"/>
      <c r="C1129" s="22"/>
      <c r="D1129" s="34" t="str">
        <f>IFERROR(IF(C1129="","",VLOOKUP(C1129,المستفيدين!$B:$C,2,FALSE)),"")</f>
        <v/>
      </c>
      <c r="E1129" s="20"/>
      <c r="F1129" s="34"/>
      <c r="G1129" s="34" t="str">
        <f>IFERROR(IF(C1129="","",VLOOKUP(C1129,المستفيدين!$B:$F,5,FALSE)),"")</f>
        <v/>
      </c>
      <c r="H1129" s="24"/>
      <c r="I1129" s="20"/>
      <c r="J1129" s="20"/>
      <c r="K1129" s="20"/>
      <c r="L1129" s="21"/>
    </row>
    <row r="1130" spans="1:12" x14ac:dyDescent="0.2">
      <c r="A1130" s="26"/>
      <c r="B1130" s="22"/>
      <c r="C1130" s="22"/>
      <c r="D1130" s="34" t="str">
        <f>IFERROR(IF(C1130="","",VLOOKUP(C1130,المستفيدين!$B:$C,2,FALSE)),"")</f>
        <v/>
      </c>
      <c r="E1130" s="20"/>
      <c r="F1130" s="34"/>
      <c r="G1130" s="34" t="str">
        <f>IFERROR(IF(C1130="","",VLOOKUP(C1130,المستفيدين!$B:$F,5,FALSE)),"")</f>
        <v/>
      </c>
      <c r="H1130" s="24"/>
      <c r="I1130" s="20"/>
      <c r="J1130" s="20"/>
      <c r="K1130" s="20"/>
      <c r="L1130" s="21"/>
    </row>
    <row r="1131" spans="1:12" x14ac:dyDescent="0.2">
      <c r="A1131" s="26"/>
      <c r="B1131" s="22"/>
      <c r="C1131" s="22"/>
      <c r="D1131" s="34" t="str">
        <f>IFERROR(IF(C1131="","",VLOOKUP(C1131,المستفيدين!$B:$C,2,FALSE)),"")</f>
        <v/>
      </c>
      <c r="E1131" s="20"/>
      <c r="F1131" s="34"/>
      <c r="G1131" s="34" t="str">
        <f>IFERROR(IF(C1131="","",VLOOKUP(C1131,المستفيدين!$B:$F,5,FALSE)),"")</f>
        <v/>
      </c>
      <c r="H1131" s="24"/>
      <c r="I1131" s="20"/>
      <c r="J1131" s="20"/>
      <c r="K1131" s="20"/>
      <c r="L1131" s="21"/>
    </row>
    <row r="1132" spans="1:12" x14ac:dyDescent="0.2">
      <c r="A1132" s="26"/>
      <c r="B1132" s="22"/>
      <c r="C1132" s="22"/>
      <c r="D1132" s="34" t="str">
        <f>IFERROR(IF(C1132="","",VLOOKUP(C1132,المستفيدين!$B:$C,2,FALSE)),"")</f>
        <v/>
      </c>
      <c r="E1132" s="20"/>
      <c r="F1132" s="34"/>
      <c r="G1132" s="34" t="str">
        <f>IFERROR(IF(C1132="","",VLOOKUP(C1132,المستفيدين!$B:$F,5,FALSE)),"")</f>
        <v/>
      </c>
      <c r="H1132" s="24"/>
      <c r="I1132" s="20"/>
      <c r="J1132" s="20"/>
      <c r="K1132" s="20"/>
      <c r="L1132" s="21"/>
    </row>
    <row r="1133" spans="1:12" x14ac:dyDescent="0.2">
      <c r="A1133" s="26"/>
      <c r="B1133" s="22"/>
      <c r="C1133" s="22"/>
      <c r="D1133" s="34" t="str">
        <f>IFERROR(IF(C1133="","",VLOOKUP(C1133,المستفيدين!$B:$C,2,FALSE)),"")</f>
        <v/>
      </c>
      <c r="E1133" s="20"/>
      <c r="F1133" s="34"/>
      <c r="G1133" s="34" t="str">
        <f>IFERROR(IF(C1133="","",VLOOKUP(C1133,المستفيدين!$B:$F,5,FALSE)),"")</f>
        <v/>
      </c>
      <c r="H1133" s="24"/>
      <c r="I1133" s="20"/>
      <c r="J1133" s="20"/>
      <c r="K1133" s="20"/>
      <c r="L1133" s="21"/>
    </row>
    <row r="1134" spans="1:12" x14ac:dyDescent="0.2">
      <c r="A1134" s="26"/>
      <c r="B1134" s="22"/>
      <c r="C1134" s="22"/>
      <c r="D1134" s="34" t="str">
        <f>IFERROR(IF(C1134="","",VLOOKUP(C1134,المستفيدين!$B:$C,2,FALSE)),"")</f>
        <v/>
      </c>
      <c r="E1134" s="20"/>
      <c r="F1134" s="34"/>
      <c r="G1134" s="34" t="str">
        <f>IFERROR(IF(C1134="","",VLOOKUP(C1134,المستفيدين!$B:$F,5,FALSE)),"")</f>
        <v/>
      </c>
      <c r="H1134" s="24"/>
      <c r="I1134" s="20"/>
      <c r="J1134" s="20"/>
      <c r="K1134" s="20"/>
      <c r="L1134" s="21"/>
    </row>
    <row r="1135" spans="1:12" x14ac:dyDescent="0.2">
      <c r="A1135" s="26"/>
      <c r="B1135" s="22"/>
      <c r="C1135" s="22"/>
      <c r="D1135" s="34" t="str">
        <f>IFERROR(IF(C1135="","",VLOOKUP(C1135,المستفيدين!$B:$C,2,FALSE)),"")</f>
        <v/>
      </c>
      <c r="E1135" s="20"/>
      <c r="F1135" s="34"/>
      <c r="G1135" s="34" t="str">
        <f>IFERROR(IF(C1135="","",VLOOKUP(C1135,المستفيدين!$B:$F,5,FALSE)),"")</f>
        <v/>
      </c>
      <c r="H1135" s="24"/>
      <c r="I1135" s="20"/>
      <c r="J1135" s="20"/>
      <c r="K1135" s="20"/>
      <c r="L1135" s="21"/>
    </row>
    <row r="1136" spans="1:12" x14ac:dyDescent="0.2">
      <c r="A1136" s="26"/>
      <c r="B1136" s="22"/>
      <c r="C1136" s="22"/>
      <c r="D1136" s="34" t="str">
        <f>IFERROR(IF(C1136="","",VLOOKUP(C1136,المستفيدين!$B:$C,2,FALSE)),"")</f>
        <v/>
      </c>
      <c r="E1136" s="20"/>
      <c r="F1136" s="34"/>
      <c r="G1136" s="34" t="str">
        <f>IFERROR(IF(C1136="","",VLOOKUP(C1136,المستفيدين!$B:$F,5,FALSE)),"")</f>
        <v/>
      </c>
      <c r="H1136" s="24"/>
      <c r="I1136" s="20"/>
      <c r="J1136" s="20"/>
      <c r="K1136" s="20"/>
      <c r="L1136" s="21"/>
    </row>
    <row r="1137" spans="1:12" x14ac:dyDescent="0.2">
      <c r="A1137" s="26"/>
      <c r="B1137" s="22"/>
      <c r="C1137" s="22"/>
      <c r="D1137" s="34" t="str">
        <f>IFERROR(IF(C1137="","",VLOOKUP(C1137,المستفيدين!$B:$C,2,FALSE)),"")</f>
        <v/>
      </c>
      <c r="E1137" s="20"/>
      <c r="F1137" s="34"/>
      <c r="G1137" s="34" t="str">
        <f>IFERROR(IF(C1137="","",VLOOKUP(C1137,المستفيدين!$B:$F,5,FALSE)),"")</f>
        <v/>
      </c>
      <c r="H1137" s="24"/>
      <c r="I1137" s="20"/>
      <c r="J1137" s="20"/>
      <c r="K1137" s="20"/>
      <c r="L1137" s="21"/>
    </row>
    <row r="1138" spans="1:12" x14ac:dyDescent="0.2">
      <c r="A1138" s="26"/>
      <c r="B1138" s="22"/>
      <c r="C1138" s="22"/>
      <c r="D1138" s="34" t="str">
        <f>IFERROR(IF(C1138="","",VLOOKUP(C1138,المستفيدين!$B:$C,2,FALSE)),"")</f>
        <v/>
      </c>
      <c r="E1138" s="20"/>
      <c r="F1138" s="34"/>
      <c r="G1138" s="34" t="str">
        <f>IFERROR(IF(C1138="","",VLOOKUP(C1138,المستفيدين!$B:$F,5,FALSE)),"")</f>
        <v/>
      </c>
      <c r="H1138" s="24"/>
      <c r="I1138" s="20"/>
      <c r="J1138" s="20"/>
      <c r="K1138" s="20"/>
      <c r="L1138" s="21"/>
    </row>
    <row r="1139" spans="1:12" x14ac:dyDescent="0.2">
      <c r="A1139" s="26"/>
      <c r="B1139" s="22"/>
      <c r="C1139" s="22"/>
      <c r="D1139" s="34" t="str">
        <f>IFERROR(IF(C1139="","",VLOOKUP(C1139,المستفيدين!$B:$C,2,FALSE)),"")</f>
        <v/>
      </c>
      <c r="E1139" s="20"/>
      <c r="F1139" s="34"/>
      <c r="G1139" s="34" t="str">
        <f>IFERROR(IF(C1139="","",VLOOKUP(C1139,المستفيدين!$B:$F,5,FALSE)),"")</f>
        <v/>
      </c>
      <c r="H1139" s="24"/>
      <c r="I1139" s="20"/>
      <c r="J1139" s="20"/>
      <c r="K1139" s="20"/>
      <c r="L1139" s="21"/>
    </row>
    <row r="1140" spans="1:12" x14ac:dyDescent="0.2">
      <c r="A1140" s="26"/>
      <c r="B1140" s="22"/>
      <c r="C1140" s="22"/>
      <c r="D1140" s="34" t="str">
        <f>IFERROR(IF(C1140="","",VLOOKUP(C1140,المستفيدين!$B:$C,2,FALSE)),"")</f>
        <v/>
      </c>
      <c r="E1140" s="20"/>
      <c r="F1140" s="34"/>
      <c r="G1140" s="34" t="str">
        <f>IFERROR(IF(C1140="","",VLOOKUP(C1140,المستفيدين!$B:$F,5,FALSE)),"")</f>
        <v/>
      </c>
      <c r="H1140" s="24"/>
      <c r="I1140" s="20"/>
      <c r="J1140" s="20"/>
      <c r="K1140" s="20"/>
      <c r="L1140" s="21"/>
    </row>
    <row r="1141" spans="1:12" x14ac:dyDescent="0.2">
      <c r="A1141" s="26"/>
      <c r="B1141" s="22"/>
      <c r="C1141" s="22"/>
      <c r="D1141" s="34" t="str">
        <f>IFERROR(IF(C1141="","",VLOOKUP(C1141,المستفيدين!$B:$C,2,FALSE)),"")</f>
        <v/>
      </c>
      <c r="E1141" s="20"/>
      <c r="F1141" s="34"/>
      <c r="G1141" s="34" t="str">
        <f>IFERROR(IF(C1141="","",VLOOKUP(C1141,المستفيدين!$B:$F,5,FALSE)),"")</f>
        <v/>
      </c>
      <c r="H1141" s="24"/>
      <c r="I1141" s="20"/>
      <c r="J1141" s="20"/>
      <c r="K1141" s="20"/>
      <c r="L1141" s="21"/>
    </row>
    <row r="1142" spans="1:12" x14ac:dyDescent="0.2">
      <c r="A1142" s="26"/>
      <c r="B1142" s="22"/>
      <c r="C1142" s="22"/>
      <c r="D1142" s="34" t="str">
        <f>IFERROR(IF(C1142="","",VLOOKUP(C1142,المستفيدين!$B:$C,2,FALSE)),"")</f>
        <v/>
      </c>
      <c r="E1142" s="20"/>
      <c r="F1142" s="34"/>
      <c r="G1142" s="34" t="str">
        <f>IFERROR(IF(C1142="","",VLOOKUP(C1142,المستفيدين!$B:$F,5,FALSE)),"")</f>
        <v/>
      </c>
      <c r="H1142" s="24"/>
      <c r="I1142" s="20"/>
      <c r="J1142" s="20"/>
      <c r="K1142" s="20"/>
      <c r="L1142" s="21"/>
    </row>
    <row r="1143" spans="1:12" x14ac:dyDescent="0.2">
      <c r="A1143" s="26"/>
      <c r="B1143" s="22"/>
      <c r="C1143" s="22"/>
      <c r="D1143" s="34" t="str">
        <f>IFERROR(IF(C1143="","",VLOOKUP(C1143,المستفيدين!$B:$C,2,FALSE)),"")</f>
        <v/>
      </c>
      <c r="E1143" s="20"/>
      <c r="F1143" s="34"/>
      <c r="G1143" s="34" t="str">
        <f>IFERROR(IF(C1143="","",VLOOKUP(C1143,المستفيدين!$B:$F,5,FALSE)),"")</f>
        <v/>
      </c>
      <c r="H1143" s="24"/>
      <c r="I1143" s="20"/>
      <c r="J1143" s="20"/>
      <c r="K1143" s="20"/>
      <c r="L1143" s="21"/>
    </row>
    <row r="1144" spans="1:12" x14ac:dyDescent="0.2">
      <c r="A1144" s="26"/>
      <c r="B1144" s="22"/>
      <c r="C1144" s="22"/>
      <c r="D1144" s="34" t="str">
        <f>IFERROR(IF(C1144="","",VLOOKUP(C1144,المستفيدين!$B:$C,2,FALSE)),"")</f>
        <v/>
      </c>
      <c r="E1144" s="20"/>
      <c r="F1144" s="34"/>
      <c r="G1144" s="34" t="str">
        <f>IFERROR(IF(C1144="","",VLOOKUP(C1144,المستفيدين!$B:$F,5,FALSE)),"")</f>
        <v/>
      </c>
      <c r="H1144" s="24"/>
      <c r="I1144" s="20"/>
      <c r="J1144" s="20"/>
      <c r="K1144" s="20"/>
      <c r="L1144" s="21"/>
    </row>
    <row r="1145" spans="1:12" x14ac:dyDescent="0.2">
      <c r="A1145" s="26"/>
      <c r="B1145" s="22"/>
      <c r="C1145" s="22"/>
      <c r="D1145" s="34" t="str">
        <f>IFERROR(IF(C1145="","",VLOOKUP(C1145,المستفيدين!$B:$C,2,FALSE)),"")</f>
        <v/>
      </c>
      <c r="E1145" s="20"/>
      <c r="F1145" s="34"/>
      <c r="G1145" s="34" t="str">
        <f>IFERROR(IF(C1145="","",VLOOKUP(C1145,المستفيدين!$B:$F,5,FALSE)),"")</f>
        <v/>
      </c>
      <c r="H1145" s="24"/>
      <c r="I1145" s="20"/>
      <c r="J1145" s="20"/>
      <c r="K1145" s="20"/>
      <c r="L1145" s="21"/>
    </row>
    <row r="1146" spans="1:12" x14ac:dyDescent="0.2">
      <c r="A1146" s="26"/>
      <c r="B1146" s="22"/>
      <c r="C1146" s="22"/>
      <c r="D1146" s="34" t="str">
        <f>IFERROR(IF(C1146="","",VLOOKUP(C1146,المستفيدين!$B:$C,2,FALSE)),"")</f>
        <v/>
      </c>
      <c r="E1146" s="20"/>
      <c r="F1146" s="34"/>
      <c r="G1146" s="34" t="str">
        <f>IFERROR(IF(C1146="","",VLOOKUP(C1146,المستفيدين!$B:$F,5,FALSE)),"")</f>
        <v/>
      </c>
      <c r="H1146" s="24"/>
      <c r="I1146" s="20"/>
      <c r="J1146" s="20"/>
      <c r="K1146" s="20"/>
      <c r="L1146" s="21"/>
    </row>
    <row r="1147" spans="1:12" x14ac:dyDescent="0.2">
      <c r="A1147" s="26"/>
      <c r="B1147" s="22"/>
      <c r="C1147" s="22"/>
      <c r="D1147" s="34" t="str">
        <f>IFERROR(IF(C1147="","",VLOOKUP(C1147,المستفيدين!$B:$C,2,FALSE)),"")</f>
        <v/>
      </c>
      <c r="E1147" s="20"/>
      <c r="F1147" s="34"/>
      <c r="G1147" s="34" t="str">
        <f>IFERROR(IF(C1147="","",VLOOKUP(C1147,المستفيدين!$B:$F,5,FALSE)),"")</f>
        <v/>
      </c>
      <c r="H1147" s="24"/>
      <c r="I1147" s="20"/>
      <c r="J1147" s="20"/>
      <c r="K1147" s="20"/>
      <c r="L1147" s="21"/>
    </row>
    <row r="1148" spans="1:12" x14ac:dyDescent="0.2">
      <c r="A1148" s="26"/>
      <c r="B1148" s="22"/>
      <c r="C1148" s="22"/>
      <c r="D1148" s="34" t="str">
        <f>IFERROR(IF(C1148="","",VLOOKUP(C1148,المستفيدين!$B:$C,2,FALSE)),"")</f>
        <v/>
      </c>
      <c r="E1148" s="20"/>
      <c r="F1148" s="34"/>
      <c r="G1148" s="34" t="str">
        <f>IFERROR(IF(C1148="","",VLOOKUP(C1148,المستفيدين!$B:$F,5,FALSE)),"")</f>
        <v/>
      </c>
      <c r="H1148" s="24"/>
      <c r="I1148" s="20"/>
      <c r="J1148" s="20"/>
      <c r="K1148" s="20"/>
      <c r="L1148" s="21"/>
    </row>
    <row r="1149" spans="1:12" x14ac:dyDescent="0.2">
      <c r="A1149" s="26"/>
      <c r="B1149" s="22"/>
      <c r="C1149" s="22"/>
      <c r="D1149" s="34" t="str">
        <f>IFERROR(IF(C1149="","",VLOOKUP(C1149,المستفيدين!$B:$C,2,FALSE)),"")</f>
        <v/>
      </c>
      <c r="E1149" s="20"/>
      <c r="F1149" s="34"/>
      <c r="G1149" s="34" t="str">
        <f>IFERROR(IF(C1149="","",VLOOKUP(C1149,المستفيدين!$B:$F,5,FALSE)),"")</f>
        <v/>
      </c>
      <c r="H1149" s="24"/>
      <c r="I1149" s="20"/>
      <c r="J1149" s="20"/>
      <c r="K1149" s="20"/>
      <c r="L1149" s="21"/>
    </row>
    <row r="1150" spans="1:12" x14ac:dyDescent="0.2">
      <c r="A1150" s="26"/>
      <c r="B1150" s="22"/>
      <c r="C1150" s="22"/>
      <c r="D1150" s="34" t="str">
        <f>IFERROR(IF(C1150="","",VLOOKUP(C1150,المستفيدين!$B:$C,2,FALSE)),"")</f>
        <v/>
      </c>
      <c r="E1150" s="20"/>
      <c r="F1150" s="34"/>
      <c r="G1150" s="34" t="str">
        <f>IFERROR(IF(C1150="","",VLOOKUP(C1150,المستفيدين!$B:$F,5,FALSE)),"")</f>
        <v/>
      </c>
      <c r="H1150" s="24"/>
      <c r="I1150" s="20"/>
      <c r="J1150" s="20"/>
      <c r="K1150" s="20"/>
      <c r="L1150" s="21"/>
    </row>
    <row r="1151" spans="1:12" x14ac:dyDescent="0.2">
      <c r="A1151" s="26"/>
      <c r="B1151" s="22"/>
      <c r="C1151" s="22"/>
      <c r="D1151" s="34" t="str">
        <f>IFERROR(IF(C1151="","",VLOOKUP(C1151,المستفيدين!$B:$C,2,FALSE)),"")</f>
        <v/>
      </c>
      <c r="E1151" s="20"/>
      <c r="F1151" s="34"/>
      <c r="G1151" s="34" t="str">
        <f>IFERROR(IF(C1151="","",VLOOKUP(C1151,المستفيدين!$B:$F,5,FALSE)),"")</f>
        <v/>
      </c>
      <c r="H1151" s="24"/>
      <c r="I1151" s="20"/>
      <c r="J1151" s="20"/>
      <c r="K1151" s="20"/>
      <c r="L1151" s="21"/>
    </row>
    <row r="1152" spans="1:12" x14ac:dyDescent="0.2">
      <c r="A1152" s="26"/>
      <c r="B1152" s="22"/>
      <c r="C1152" s="22"/>
      <c r="D1152" s="34" t="str">
        <f>IFERROR(IF(C1152="","",VLOOKUP(C1152,المستفيدين!$B:$C,2,FALSE)),"")</f>
        <v/>
      </c>
      <c r="E1152" s="20"/>
      <c r="F1152" s="34"/>
      <c r="G1152" s="34" t="str">
        <f>IFERROR(IF(C1152="","",VLOOKUP(C1152,المستفيدين!$B:$F,5,FALSE)),"")</f>
        <v/>
      </c>
      <c r="H1152" s="24"/>
      <c r="I1152" s="20"/>
      <c r="J1152" s="20"/>
      <c r="K1152" s="20"/>
      <c r="L1152" s="21"/>
    </row>
    <row r="1153" spans="1:12" x14ac:dyDescent="0.2">
      <c r="A1153" s="26"/>
      <c r="B1153" s="22"/>
      <c r="C1153" s="22"/>
      <c r="D1153" s="34" t="str">
        <f>IFERROR(IF(C1153="","",VLOOKUP(C1153,المستفيدين!$B:$C,2,FALSE)),"")</f>
        <v/>
      </c>
      <c r="E1153" s="20"/>
      <c r="F1153" s="34"/>
      <c r="G1153" s="34" t="str">
        <f>IFERROR(IF(C1153="","",VLOOKUP(C1153,المستفيدين!$B:$F,5,FALSE)),"")</f>
        <v/>
      </c>
      <c r="H1153" s="24"/>
      <c r="I1153" s="20"/>
      <c r="J1153" s="20"/>
      <c r="K1153" s="20"/>
      <c r="L1153" s="21"/>
    </row>
    <row r="1154" spans="1:12" x14ac:dyDescent="0.2">
      <c r="A1154" s="26"/>
      <c r="B1154" s="22"/>
      <c r="C1154" s="22"/>
      <c r="D1154" s="34" t="str">
        <f>IFERROR(IF(C1154="","",VLOOKUP(C1154,المستفيدين!$B:$C,2,FALSE)),"")</f>
        <v/>
      </c>
      <c r="E1154" s="20"/>
      <c r="F1154" s="34"/>
      <c r="G1154" s="34" t="str">
        <f>IFERROR(IF(C1154="","",VLOOKUP(C1154,المستفيدين!$B:$F,5,FALSE)),"")</f>
        <v/>
      </c>
      <c r="H1154" s="24"/>
      <c r="I1154" s="20"/>
      <c r="J1154" s="20"/>
      <c r="K1154" s="20"/>
      <c r="L1154" s="21"/>
    </row>
    <row r="1155" spans="1:12" x14ac:dyDescent="0.2">
      <c r="A1155" s="26"/>
      <c r="B1155" s="22"/>
      <c r="C1155" s="22"/>
      <c r="D1155" s="34" t="str">
        <f>IFERROR(IF(C1155="","",VLOOKUP(C1155,المستفيدين!$B:$C,2,FALSE)),"")</f>
        <v/>
      </c>
      <c r="E1155" s="20"/>
      <c r="F1155" s="34"/>
      <c r="G1155" s="34" t="str">
        <f>IFERROR(IF(C1155="","",VLOOKUP(C1155,المستفيدين!$B:$F,5,FALSE)),"")</f>
        <v/>
      </c>
      <c r="H1155" s="24"/>
      <c r="I1155" s="20"/>
      <c r="J1155" s="20"/>
      <c r="K1155" s="20"/>
      <c r="L1155" s="21"/>
    </row>
    <row r="1156" spans="1:12" x14ac:dyDescent="0.2">
      <c r="A1156" s="26"/>
      <c r="B1156" s="22"/>
      <c r="C1156" s="22"/>
      <c r="D1156" s="34" t="str">
        <f>IFERROR(IF(C1156="","",VLOOKUP(C1156,المستفيدين!$B:$C,2,FALSE)),"")</f>
        <v/>
      </c>
      <c r="E1156" s="20"/>
      <c r="F1156" s="34"/>
      <c r="G1156" s="34" t="str">
        <f>IFERROR(IF(C1156="","",VLOOKUP(C1156,المستفيدين!$B:$F,5,FALSE)),"")</f>
        <v/>
      </c>
      <c r="H1156" s="24"/>
      <c r="I1156" s="20"/>
      <c r="J1156" s="20"/>
      <c r="K1156" s="20"/>
      <c r="L1156" s="21"/>
    </row>
    <row r="1157" spans="1:12" x14ac:dyDescent="0.2">
      <c r="A1157" s="26"/>
      <c r="B1157" s="22"/>
      <c r="C1157" s="22"/>
      <c r="D1157" s="34" t="str">
        <f>IFERROR(IF(C1157="","",VLOOKUP(C1157,المستفيدين!$B:$C,2,FALSE)),"")</f>
        <v/>
      </c>
      <c r="E1157" s="20"/>
      <c r="F1157" s="34"/>
      <c r="G1157" s="34" t="str">
        <f>IFERROR(IF(C1157="","",VLOOKUP(C1157,المستفيدين!$B:$F,5,FALSE)),"")</f>
        <v/>
      </c>
      <c r="H1157" s="24"/>
      <c r="I1157" s="20"/>
      <c r="J1157" s="20"/>
      <c r="K1157" s="20"/>
      <c r="L1157" s="21"/>
    </row>
    <row r="1158" spans="1:12" x14ac:dyDescent="0.2">
      <c r="A1158" s="26"/>
      <c r="B1158" s="22"/>
      <c r="C1158" s="22"/>
      <c r="D1158" s="34" t="str">
        <f>IFERROR(IF(C1158="","",VLOOKUP(C1158,المستفيدين!$B:$C,2,FALSE)),"")</f>
        <v/>
      </c>
      <c r="E1158" s="20"/>
      <c r="F1158" s="34"/>
      <c r="G1158" s="34" t="str">
        <f>IFERROR(IF(C1158="","",VLOOKUP(C1158,المستفيدين!$B:$F,5,FALSE)),"")</f>
        <v/>
      </c>
      <c r="H1158" s="24"/>
      <c r="I1158" s="20"/>
      <c r="J1158" s="20"/>
      <c r="K1158" s="20"/>
      <c r="L1158" s="21"/>
    </row>
    <row r="1159" spans="1:12" x14ac:dyDescent="0.2">
      <c r="A1159" s="26"/>
      <c r="B1159" s="22"/>
      <c r="C1159" s="22"/>
      <c r="D1159" s="34" t="str">
        <f>IFERROR(IF(C1159="","",VLOOKUP(C1159,المستفيدين!$B:$C,2,FALSE)),"")</f>
        <v/>
      </c>
      <c r="E1159" s="20"/>
      <c r="F1159" s="34"/>
      <c r="G1159" s="34" t="str">
        <f>IFERROR(IF(C1159="","",VLOOKUP(C1159,المستفيدين!$B:$F,5,FALSE)),"")</f>
        <v/>
      </c>
      <c r="H1159" s="24"/>
      <c r="I1159" s="20"/>
      <c r="J1159" s="20"/>
      <c r="K1159" s="20"/>
      <c r="L1159" s="21"/>
    </row>
    <row r="1160" spans="1:12" x14ac:dyDescent="0.2">
      <c r="A1160" s="26"/>
      <c r="B1160" s="22"/>
      <c r="C1160" s="22"/>
      <c r="D1160" s="34" t="str">
        <f>IFERROR(IF(C1160="","",VLOOKUP(C1160,المستفيدين!$B:$C,2,FALSE)),"")</f>
        <v/>
      </c>
      <c r="E1160" s="20"/>
      <c r="F1160" s="34"/>
      <c r="G1160" s="34" t="str">
        <f>IFERROR(IF(C1160="","",VLOOKUP(C1160,المستفيدين!$B:$F,5,FALSE)),"")</f>
        <v/>
      </c>
      <c r="H1160" s="24"/>
      <c r="I1160" s="20"/>
      <c r="J1160" s="20"/>
      <c r="K1160" s="20"/>
      <c r="L1160" s="21"/>
    </row>
    <row r="1161" spans="1:12" x14ac:dyDescent="0.2">
      <c r="A1161" s="26"/>
      <c r="B1161" s="22"/>
      <c r="C1161" s="22"/>
      <c r="D1161" s="34" t="str">
        <f>IFERROR(IF(C1161="","",VLOOKUP(C1161,المستفيدين!$B:$C,2,FALSE)),"")</f>
        <v/>
      </c>
      <c r="E1161" s="20"/>
      <c r="F1161" s="34"/>
      <c r="G1161" s="34" t="str">
        <f>IFERROR(IF(C1161="","",VLOOKUP(C1161,المستفيدين!$B:$F,5,FALSE)),"")</f>
        <v/>
      </c>
      <c r="H1161" s="24"/>
      <c r="I1161" s="20"/>
      <c r="J1161" s="20"/>
      <c r="K1161" s="20"/>
      <c r="L1161" s="21"/>
    </row>
    <row r="1162" spans="1:12" x14ac:dyDescent="0.2">
      <c r="A1162" s="26"/>
      <c r="B1162" s="22"/>
      <c r="C1162" s="22"/>
      <c r="D1162" s="34" t="str">
        <f>IFERROR(IF(C1162="","",VLOOKUP(C1162,المستفيدين!$B:$C,2,FALSE)),"")</f>
        <v/>
      </c>
      <c r="E1162" s="20"/>
      <c r="F1162" s="34"/>
      <c r="G1162" s="34" t="str">
        <f>IFERROR(IF(C1162="","",VLOOKUP(C1162,المستفيدين!$B:$F,5,FALSE)),"")</f>
        <v/>
      </c>
      <c r="H1162" s="24"/>
      <c r="I1162" s="20"/>
      <c r="J1162" s="20"/>
      <c r="K1162" s="20"/>
      <c r="L1162" s="21"/>
    </row>
    <row r="1163" spans="1:12" x14ac:dyDescent="0.2">
      <c r="A1163" s="26"/>
      <c r="B1163" s="22"/>
      <c r="C1163" s="22"/>
      <c r="D1163" s="34" t="str">
        <f>IFERROR(IF(C1163="","",VLOOKUP(C1163,المستفيدين!$B:$C,2,FALSE)),"")</f>
        <v/>
      </c>
      <c r="E1163" s="20"/>
      <c r="F1163" s="34"/>
      <c r="G1163" s="34" t="str">
        <f>IFERROR(IF(C1163="","",VLOOKUP(C1163,المستفيدين!$B:$F,5,FALSE)),"")</f>
        <v/>
      </c>
      <c r="H1163" s="24"/>
      <c r="I1163" s="20"/>
      <c r="J1163" s="20"/>
      <c r="K1163" s="20"/>
      <c r="L1163" s="21"/>
    </row>
    <row r="1164" spans="1:12" x14ac:dyDescent="0.2">
      <c r="A1164" s="26"/>
      <c r="B1164" s="22"/>
      <c r="C1164" s="22"/>
      <c r="D1164" s="34" t="str">
        <f>IFERROR(IF(C1164="","",VLOOKUP(C1164,المستفيدين!$B:$C,2,FALSE)),"")</f>
        <v/>
      </c>
      <c r="E1164" s="20"/>
      <c r="F1164" s="34"/>
      <c r="G1164" s="34" t="str">
        <f>IFERROR(IF(C1164="","",VLOOKUP(C1164,المستفيدين!$B:$F,5,FALSE)),"")</f>
        <v/>
      </c>
      <c r="H1164" s="24"/>
      <c r="I1164" s="20"/>
      <c r="J1164" s="20"/>
      <c r="K1164" s="20"/>
      <c r="L1164" s="21"/>
    </row>
    <row r="1165" spans="1:12" x14ac:dyDescent="0.2">
      <c r="A1165" s="26"/>
      <c r="B1165" s="22"/>
      <c r="C1165" s="22"/>
      <c r="D1165" s="34" t="str">
        <f>IFERROR(IF(C1165="","",VLOOKUP(C1165,المستفيدين!$B:$C,2,FALSE)),"")</f>
        <v/>
      </c>
      <c r="E1165" s="20"/>
      <c r="F1165" s="34"/>
      <c r="G1165" s="34" t="str">
        <f>IFERROR(IF(C1165="","",VLOOKUP(C1165,المستفيدين!$B:$F,5,FALSE)),"")</f>
        <v/>
      </c>
      <c r="H1165" s="24"/>
      <c r="I1165" s="20"/>
      <c r="J1165" s="20"/>
      <c r="K1165" s="20"/>
      <c r="L1165" s="21"/>
    </row>
    <row r="1166" spans="1:12" x14ac:dyDescent="0.2">
      <c r="A1166" s="26"/>
      <c r="B1166" s="22"/>
      <c r="C1166" s="22"/>
      <c r="D1166" s="34" t="str">
        <f>IFERROR(IF(C1166="","",VLOOKUP(C1166,المستفيدين!$B:$C,2,FALSE)),"")</f>
        <v/>
      </c>
      <c r="E1166" s="20"/>
      <c r="F1166" s="34"/>
      <c r="G1166" s="34" t="str">
        <f>IFERROR(IF(C1166="","",VLOOKUP(C1166,المستفيدين!$B:$F,5,FALSE)),"")</f>
        <v/>
      </c>
      <c r="H1166" s="24"/>
      <c r="I1166" s="20"/>
      <c r="J1166" s="20"/>
      <c r="K1166" s="20"/>
      <c r="L1166" s="21"/>
    </row>
    <row r="1167" spans="1:12" x14ac:dyDescent="0.2">
      <c r="A1167" s="26"/>
      <c r="B1167" s="22"/>
      <c r="C1167" s="22"/>
      <c r="D1167" s="34" t="str">
        <f>IFERROR(IF(C1167="","",VLOOKUP(C1167,المستفيدين!$B:$C,2,FALSE)),"")</f>
        <v/>
      </c>
      <c r="E1167" s="20"/>
      <c r="F1167" s="34"/>
      <c r="G1167" s="34" t="str">
        <f>IFERROR(IF(C1167="","",VLOOKUP(C1167,المستفيدين!$B:$F,5,FALSE)),"")</f>
        <v/>
      </c>
      <c r="H1167" s="24"/>
      <c r="I1167" s="20"/>
      <c r="J1167" s="20"/>
      <c r="K1167" s="20"/>
      <c r="L1167" s="21"/>
    </row>
    <row r="1168" spans="1:12" x14ac:dyDescent="0.2">
      <c r="A1168" s="26"/>
      <c r="B1168" s="22"/>
      <c r="C1168" s="22"/>
      <c r="D1168" s="34" t="str">
        <f>IFERROR(IF(C1168="","",VLOOKUP(C1168,المستفيدين!$B:$C,2,FALSE)),"")</f>
        <v/>
      </c>
      <c r="E1168" s="20"/>
      <c r="F1168" s="34"/>
      <c r="G1168" s="34" t="str">
        <f>IFERROR(IF(C1168="","",VLOOKUP(C1168,المستفيدين!$B:$F,5,FALSE)),"")</f>
        <v/>
      </c>
      <c r="H1168" s="24"/>
      <c r="I1168" s="20"/>
      <c r="J1168" s="20"/>
      <c r="K1168" s="20"/>
      <c r="L1168" s="21"/>
    </row>
    <row r="1169" spans="1:12" x14ac:dyDescent="0.2">
      <c r="A1169" s="26"/>
      <c r="B1169" s="22"/>
      <c r="C1169" s="22"/>
      <c r="D1169" s="34" t="str">
        <f>IFERROR(IF(C1169="","",VLOOKUP(C1169,المستفيدين!$B:$C,2,FALSE)),"")</f>
        <v/>
      </c>
      <c r="E1169" s="20"/>
      <c r="F1169" s="34"/>
      <c r="G1169" s="34" t="str">
        <f>IFERROR(IF(C1169="","",VLOOKUP(C1169,المستفيدين!$B:$F,5,FALSE)),"")</f>
        <v/>
      </c>
      <c r="H1169" s="24"/>
      <c r="I1169" s="20"/>
      <c r="J1169" s="20"/>
      <c r="K1169" s="20"/>
      <c r="L1169" s="21"/>
    </row>
    <row r="1170" spans="1:12" x14ac:dyDescent="0.2">
      <c r="A1170" s="26"/>
      <c r="B1170" s="22"/>
      <c r="C1170" s="22"/>
      <c r="D1170" s="34" t="str">
        <f>IFERROR(IF(C1170="","",VLOOKUP(C1170,المستفيدين!$B:$C,2,FALSE)),"")</f>
        <v/>
      </c>
      <c r="E1170" s="20"/>
      <c r="F1170" s="34"/>
      <c r="G1170" s="34" t="str">
        <f>IFERROR(IF(C1170="","",VLOOKUP(C1170,المستفيدين!$B:$F,5,FALSE)),"")</f>
        <v/>
      </c>
      <c r="H1170" s="24"/>
      <c r="I1170" s="20"/>
      <c r="J1170" s="20"/>
      <c r="K1170" s="20"/>
      <c r="L1170" s="21"/>
    </row>
    <row r="1171" spans="1:12" x14ac:dyDescent="0.2">
      <c r="A1171" s="26"/>
      <c r="B1171" s="22"/>
      <c r="C1171" s="22"/>
      <c r="D1171" s="34" t="str">
        <f>IFERROR(IF(C1171="","",VLOOKUP(C1171,المستفيدين!$B:$C,2,FALSE)),"")</f>
        <v/>
      </c>
      <c r="E1171" s="20"/>
      <c r="F1171" s="34"/>
      <c r="G1171" s="34" t="str">
        <f>IFERROR(IF(C1171="","",VLOOKUP(C1171,المستفيدين!$B:$F,5,FALSE)),"")</f>
        <v/>
      </c>
      <c r="H1171" s="24"/>
      <c r="I1171" s="20"/>
      <c r="J1171" s="20"/>
      <c r="K1171" s="20"/>
      <c r="L1171" s="21"/>
    </row>
    <row r="1172" spans="1:12" x14ac:dyDescent="0.2">
      <c r="A1172" s="26"/>
      <c r="B1172" s="22"/>
      <c r="C1172" s="22"/>
      <c r="D1172" s="34" t="str">
        <f>IFERROR(IF(C1172="","",VLOOKUP(C1172,المستفيدين!$B:$C,2,FALSE)),"")</f>
        <v/>
      </c>
      <c r="E1172" s="20"/>
      <c r="F1172" s="34"/>
      <c r="G1172" s="34" t="str">
        <f>IFERROR(IF(C1172="","",VLOOKUP(C1172,المستفيدين!$B:$F,5,FALSE)),"")</f>
        <v/>
      </c>
      <c r="H1172" s="24"/>
      <c r="I1172" s="20"/>
      <c r="J1172" s="20"/>
      <c r="K1172" s="20"/>
      <c r="L1172" s="21"/>
    </row>
    <row r="1173" spans="1:12" x14ac:dyDescent="0.2">
      <c r="A1173" s="26"/>
      <c r="B1173" s="22"/>
      <c r="C1173" s="22"/>
      <c r="D1173" s="34" t="str">
        <f>IFERROR(IF(C1173="","",VLOOKUP(C1173,المستفيدين!$B:$C,2,FALSE)),"")</f>
        <v/>
      </c>
      <c r="E1173" s="20"/>
      <c r="F1173" s="34"/>
      <c r="G1173" s="34" t="str">
        <f>IFERROR(IF(C1173="","",VLOOKUP(C1173,المستفيدين!$B:$F,5,FALSE)),"")</f>
        <v/>
      </c>
      <c r="H1173" s="24"/>
      <c r="I1173" s="20"/>
      <c r="J1173" s="20"/>
      <c r="K1173" s="20"/>
      <c r="L1173" s="21"/>
    </row>
    <row r="1174" spans="1:12" x14ac:dyDescent="0.2">
      <c r="A1174" s="26"/>
      <c r="B1174" s="22"/>
      <c r="C1174" s="22"/>
      <c r="D1174" s="34" t="str">
        <f>IFERROR(IF(C1174="","",VLOOKUP(C1174,المستفيدين!$B:$C,2,FALSE)),"")</f>
        <v/>
      </c>
      <c r="E1174" s="20"/>
      <c r="F1174" s="34"/>
      <c r="G1174" s="34" t="str">
        <f>IFERROR(IF(C1174="","",VLOOKUP(C1174,المستفيدين!$B:$F,5,FALSE)),"")</f>
        <v/>
      </c>
      <c r="H1174" s="24"/>
      <c r="I1174" s="20"/>
      <c r="J1174" s="20"/>
      <c r="K1174" s="20"/>
      <c r="L1174" s="21"/>
    </row>
    <row r="1175" spans="1:12" x14ac:dyDescent="0.2">
      <c r="A1175" s="26"/>
      <c r="B1175" s="22"/>
      <c r="C1175" s="22"/>
      <c r="D1175" s="34" t="str">
        <f>IFERROR(IF(C1175="","",VLOOKUP(C1175,المستفيدين!$B:$C,2,FALSE)),"")</f>
        <v/>
      </c>
      <c r="E1175" s="20"/>
      <c r="F1175" s="34"/>
      <c r="G1175" s="34" t="str">
        <f>IFERROR(IF(C1175="","",VLOOKUP(C1175,المستفيدين!$B:$F,5,FALSE)),"")</f>
        <v/>
      </c>
      <c r="H1175" s="24"/>
      <c r="I1175" s="20"/>
      <c r="J1175" s="20"/>
      <c r="K1175" s="20"/>
      <c r="L1175" s="21"/>
    </row>
    <row r="1176" spans="1:12" x14ac:dyDescent="0.2">
      <c r="A1176" s="26"/>
      <c r="B1176" s="22"/>
      <c r="C1176" s="22"/>
      <c r="D1176" s="34" t="str">
        <f>IFERROR(IF(C1176="","",VLOOKUP(C1176,المستفيدين!$B:$C,2,FALSE)),"")</f>
        <v/>
      </c>
      <c r="E1176" s="20"/>
      <c r="F1176" s="34"/>
      <c r="G1176" s="34" t="str">
        <f>IFERROR(IF(C1176="","",VLOOKUP(C1176,المستفيدين!$B:$F,5,FALSE)),"")</f>
        <v/>
      </c>
      <c r="H1176" s="24"/>
      <c r="I1176" s="20"/>
      <c r="J1176" s="20"/>
      <c r="K1176" s="20"/>
      <c r="L1176" s="21"/>
    </row>
    <row r="1177" spans="1:12" x14ac:dyDescent="0.2">
      <c r="A1177" s="26"/>
      <c r="B1177" s="22"/>
      <c r="C1177" s="22"/>
      <c r="D1177" s="34" t="str">
        <f>IFERROR(IF(C1177="","",VLOOKUP(C1177,المستفيدين!$B:$C,2,FALSE)),"")</f>
        <v/>
      </c>
      <c r="E1177" s="20"/>
      <c r="F1177" s="34"/>
      <c r="G1177" s="34" t="str">
        <f>IFERROR(IF(C1177="","",VLOOKUP(C1177,المستفيدين!$B:$F,5,FALSE)),"")</f>
        <v/>
      </c>
      <c r="H1177" s="24"/>
      <c r="I1177" s="20"/>
      <c r="J1177" s="20"/>
      <c r="K1177" s="20"/>
      <c r="L1177" s="21"/>
    </row>
    <row r="1178" spans="1:12" x14ac:dyDescent="0.2">
      <c r="A1178" s="26"/>
      <c r="B1178" s="22"/>
      <c r="C1178" s="22"/>
      <c r="D1178" s="34" t="str">
        <f>IFERROR(IF(C1178="","",VLOOKUP(C1178,المستفيدين!$B:$C,2,FALSE)),"")</f>
        <v/>
      </c>
      <c r="E1178" s="20"/>
      <c r="F1178" s="34"/>
      <c r="G1178" s="34" t="str">
        <f>IFERROR(IF(C1178="","",VLOOKUP(C1178,المستفيدين!$B:$F,5,FALSE)),"")</f>
        <v/>
      </c>
      <c r="H1178" s="24"/>
      <c r="I1178" s="20"/>
      <c r="J1178" s="20"/>
      <c r="K1178" s="20"/>
      <c r="L1178" s="21"/>
    </row>
    <row r="1179" spans="1:12" x14ac:dyDescent="0.2">
      <c r="A1179" s="26"/>
      <c r="B1179" s="22"/>
      <c r="C1179" s="22"/>
      <c r="D1179" s="34" t="str">
        <f>IFERROR(IF(C1179="","",VLOOKUP(C1179,المستفيدين!$B:$C,2,FALSE)),"")</f>
        <v/>
      </c>
      <c r="E1179" s="20"/>
      <c r="F1179" s="34"/>
      <c r="G1179" s="34" t="str">
        <f>IFERROR(IF(C1179="","",VLOOKUP(C1179,المستفيدين!$B:$F,5,FALSE)),"")</f>
        <v/>
      </c>
      <c r="H1179" s="24"/>
      <c r="I1179" s="20"/>
      <c r="J1179" s="20"/>
      <c r="K1179" s="20"/>
      <c r="L1179" s="21"/>
    </row>
    <row r="1180" spans="1:12" x14ac:dyDescent="0.2">
      <c r="A1180" s="26"/>
      <c r="B1180" s="22"/>
      <c r="C1180" s="22"/>
      <c r="D1180" s="34" t="str">
        <f>IFERROR(IF(C1180="","",VLOOKUP(C1180,المستفيدين!$B:$C,2,FALSE)),"")</f>
        <v/>
      </c>
      <c r="E1180" s="20"/>
      <c r="F1180" s="34"/>
      <c r="G1180" s="34" t="str">
        <f>IFERROR(IF(C1180="","",VLOOKUP(C1180,المستفيدين!$B:$F,5,FALSE)),"")</f>
        <v/>
      </c>
      <c r="H1180" s="24"/>
      <c r="I1180" s="20"/>
      <c r="J1180" s="20"/>
      <c r="K1180" s="20"/>
      <c r="L1180" s="21"/>
    </row>
    <row r="1181" spans="1:12" x14ac:dyDescent="0.2">
      <c r="A1181" s="26"/>
      <c r="B1181" s="22"/>
      <c r="C1181" s="22"/>
      <c r="D1181" s="34" t="str">
        <f>IFERROR(IF(C1181="","",VLOOKUP(C1181,المستفيدين!$B:$C,2,FALSE)),"")</f>
        <v/>
      </c>
      <c r="E1181" s="20"/>
      <c r="F1181" s="34"/>
      <c r="G1181" s="34" t="str">
        <f>IFERROR(IF(C1181="","",VLOOKUP(C1181,المستفيدين!$B:$F,5,FALSE)),"")</f>
        <v/>
      </c>
      <c r="H1181" s="24"/>
      <c r="I1181" s="20"/>
      <c r="J1181" s="20"/>
      <c r="K1181" s="20"/>
      <c r="L1181" s="21"/>
    </row>
    <row r="1182" spans="1:12" x14ac:dyDescent="0.2">
      <c r="A1182" s="26"/>
      <c r="B1182" s="22"/>
      <c r="C1182" s="22"/>
      <c r="D1182" s="34" t="str">
        <f>IFERROR(IF(C1182="","",VLOOKUP(C1182,المستفيدين!$B:$C,2,FALSE)),"")</f>
        <v/>
      </c>
      <c r="E1182" s="20"/>
      <c r="F1182" s="34"/>
      <c r="G1182" s="34" t="str">
        <f>IFERROR(IF(C1182="","",VLOOKUP(C1182,المستفيدين!$B:$F,5,FALSE)),"")</f>
        <v/>
      </c>
      <c r="H1182" s="24"/>
      <c r="I1182" s="20"/>
      <c r="J1182" s="20"/>
      <c r="K1182" s="20"/>
      <c r="L1182" s="21"/>
    </row>
    <row r="1183" spans="1:12" x14ac:dyDescent="0.2">
      <c r="A1183" s="26"/>
      <c r="B1183" s="22"/>
      <c r="C1183" s="22"/>
      <c r="D1183" s="34" t="str">
        <f>IFERROR(IF(C1183="","",VLOOKUP(C1183,المستفيدين!$B:$C,2,FALSE)),"")</f>
        <v/>
      </c>
      <c r="E1183" s="20"/>
      <c r="F1183" s="34"/>
      <c r="G1183" s="34" t="str">
        <f>IFERROR(IF(C1183="","",VLOOKUP(C1183,المستفيدين!$B:$F,5,FALSE)),"")</f>
        <v/>
      </c>
      <c r="H1183" s="24"/>
      <c r="I1183" s="20"/>
      <c r="J1183" s="20"/>
      <c r="K1183" s="20"/>
      <c r="L1183" s="21"/>
    </row>
    <row r="1184" spans="1:12" x14ac:dyDescent="0.2">
      <c r="A1184" s="26"/>
      <c r="B1184" s="22"/>
      <c r="C1184" s="22"/>
      <c r="D1184" s="34" t="str">
        <f>IFERROR(IF(C1184="","",VLOOKUP(C1184,المستفيدين!$B:$C,2,FALSE)),"")</f>
        <v/>
      </c>
      <c r="E1184" s="20"/>
      <c r="F1184" s="34"/>
      <c r="G1184" s="34" t="str">
        <f>IFERROR(IF(C1184="","",VLOOKUP(C1184,المستفيدين!$B:$F,5,FALSE)),"")</f>
        <v/>
      </c>
      <c r="H1184" s="24"/>
      <c r="I1184" s="20"/>
      <c r="J1184" s="20"/>
      <c r="K1184" s="20"/>
      <c r="L1184" s="21"/>
    </row>
    <row r="1185" spans="1:12" x14ac:dyDescent="0.2">
      <c r="A1185" s="26"/>
      <c r="B1185" s="22"/>
      <c r="C1185" s="22"/>
      <c r="D1185" s="34" t="str">
        <f>IFERROR(IF(C1185="","",VLOOKUP(C1185,المستفيدين!$B:$C,2,FALSE)),"")</f>
        <v/>
      </c>
      <c r="E1185" s="20"/>
      <c r="F1185" s="34"/>
      <c r="G1185" s="34" t="str">
        <f>IFERROR(IF(C1185="","",VLOOKUP(C1185,المستفيدين!$B:$F,5,FALSE)),"")</f>
        <v/>
      </c>
      <c r="H1185" s="24"/>
      <c r="I1185" s="20"/>
      <c r="J1185" s="20"/>
      <c r="K1185" s="20"/>
      <c r="L1185" s="21"/>
    </row>
    <row r="1186" spans="1:12" x14ac:dyDescent="0.2">
      <c r="A1186" s="26"/>
      <c r="B1186" s="22"/>
      <c r="C1186" s="22"/>
      <c r="D1186" s="34" t="str">
        <f>IFERROR(IF(C1186="","",VLOOKUP(C1186,المستفيدين!$B:$C,2,FALSE)),"")</f>
        <v/>
      </c>
      <c r="E1186" s="20"/>
      <c r="F1186" s="34"/>
      <c r="G1186" s="34" t="str">
        <f>IFERROR(IF(C1186="","",VLOOKUP(C1186,المستفيدين!$B:$F,5,FALSE)),"")</f>
        <v/>
      </c>
      <c r="H1186" s="24"/>
      <c r="I1186" s="20"/>
      <c r="J1186" s="20"/>
      <c r="K1186" s="20"/>
      <c r="L1186" s="21"/>
    </row>
    <row r="1187" spans="1:12" x14ac:dyDescent="0.2">
      <c r="A1187" s="26"/>
      <c r="B1187" s="22"/>
      <c r="C1187" s="22"/>
      <c r="D1187" s="34" t="str">
        <f>IFERROR(IF(C1187="","",VLOOKUP(C1187,المستفيدين!$B:$C,2,FALSE)),"")</f>
        <v/>
      </c>
      <c r="E1187" s="20"/>
      <c r="F1187" s="34"/>
      <c r="G1187" s="34" t="str">
        <f>IFERROR(IF(C1187="","",VLOOKUP(C1187,المستفيدين!$B:$F,5,FALSE)),"")</f>
        <v/>
      </c>
      <c r="H1187" s="24"/>
      <c r="I1187" s="20"/>
      <c r="J1187" s="20"/>
      <c r="K1187" s="20"/>
      <c r="L1187" s="21"/>
    </row>
    <row r="1188" spans="1:12" x14ac:dyDescent="0.2">
      <c r="A1188" s="26"/>
      <c r="B1188" s="22"/>
      <c r="C1188" s="22"/>
      <c r="D1188" s="34" t="str">
        <f>IFERROR(IF(C1188="","",VLOOKUP(C1188,المستفيدين!$B:$C,2,FALSE)),"")</f>
        <v/>
      </c>
      <c r="E1188" s="20"/>
      <c r="F1188" s="34"/>
      <c r="G1188" s="34" t="str">
        <f>IFERROR(IF(C1188="","",VLOOKUP(C1188,المستفيدين!$B:$F,5,FALSE)),"")</f>
        <v/>
      </c>
      <c r="H1188" s="24"/>
      <c r="I1188" s="20"/>
      <c r="J1188" s="20"/>
      <c r="K1188" s="20"/>
      <c r="L1188" s="21"/>
    </row>
    <row r="1189" spans="1:12" x14ac:dyDescent="0.2">
      <c r="A1189" s="26"/>
      <c r="B1189" s="22"/>
      <c r="C1189" s="22"/>
      <c r="D1189" s="34" t="str">
        <f>IFERROR(IF(C1189="","",VLOOKUP(C1189,المستفيدين!$B:$C,2,FALSE)),"")</f>
        <v/>
      </c>
      <c r="E1189" s="20"/>
      <c r="F1189" s="34"/>
      <c r="G1189" s="34" t="str">
        <f>IFERROR(IF(C1189="","",VLOOKUP(C1189,المستفيدين!$B:$F,5,FALSE)),"")</f>
        <v/>
      </c>
      <c r="H1189" s="24"/>
      <c r="I1189" s="20"/>
      <c r="J1189" s="20"/>
      <c r="K1189" s="20"/>
      <c r="L1189" s="21"/>
    </row>
    <row r="1190" spans="1:12" x14ac:dyDescent="0.2">
      <c r="A1190" s="26"/>
      <c r="B1190" s="22"/>
      <c r="C1190" s="22"/>
      <c r="D1190" s="34" t="str">
        <f>IFERROR(IF(C1190="","",VLOOKUP(C1190,المستفيدين!$B:$C,2,FALSE)),"")</f>
        <v/>
      </c>
      <c r="E1190" s="20"/>
      <c r="F1190" s="34"/>
      <c r="G1190" s="34" t="str">
        <f>IFERROR(IF(C1190="","",VLOOKUP(C1190,المستفيدين!$B:$F,5,FALSE)),"")</f>
        <v/>
      </c>
      <c r="H1190" s="24"/>
      <c r="I1190" s="20"/>
      <c r="J1190" s="20"/>
      <c r="K1190" s="20"/>
      <c r="L1190" s="21"/>
    </row>
    <row r="1191" spans="1:12" x14ac:dyDescent="0.2">
      <c r="A1191" s="26"/>
      <c r="B1191" s="22"/>
      <c r="C1191" s="22"/>
      <c r="D1191" s="34" t="str">
        <f>IFERROR(IF(C1191="","",VLOOKUP(C1191,المستفيدين!$B:$C,2,FALSE)),"")</f>
        <v/>
      </c>
      <c r="E1191" s="20"/>
      <c r="F1191" s="34"/>
      <c r="G1191" s="34" t="str">
        <f>IFERROR(IF(C1191="","",VLOOKUP(C1191,المستفيدين!$B:$F,5,FALSE)),"")</f>
        <v/>
      </c>
      <c r="H1191" s="24"/>
      <c r="I1191" s="20"/>
      <c r="J1191" s="20"/>
      <c r="K1191" s="20"/>
      <c r="L1191" s="21"/>
    </row>
    <row r="1192" spans="1:12" x14ac:dyDescent="0.2">
      <c r="A1192" s="26"/>
      <c r="B1192" s="22"/>
      <c r="C1192" s="22"/>
      <c r="D1192" s="34" t="str">
        <f>IFERROR(IF(C1192="","",VLOOKUP(C1192,المستفيدين!$B:$C,2,FALSE)),"")</f>
        <v/>
      </c>
      <c r="E1192" s="20"/>
      <c r="F1192" s="34"/>
      <c r="G1192" s="34" t="str">
        <f>IFERROR(IF(C1192="","",VLOOKUP(C1192,المستفيدين!$B:$F,5,FALSE)),"")</f>
        <v/>
      </c>
      <c r="H1192" s="24"/>
      <c r="I1192" s="20"/>
      <c r="J1192" s="20"/>
      <c r="K1192" s="20"/>
      <c r="L1192" s="21"/>
    </row>
    <row r="1193" spans="1:12" x14ac:dyDescent="0.2">
      <c r="A1193" s="26"/>
      <c r="B1193" s="22"/>
      <c r="C1193" s="22"/>
      <c r="D1193" s="34" t="str">
        <f>IFERROR(IF(C1193="","",VLOOKUP(C1193,المستفيدين!$B:$C,2,FALSE)),"")</f>
        <v/>
      </c>
      <c r="E1193" s="20"/>
      <c r="F1193" s="34"/>
      <c r="G1193" s="34" t="str">
        <f>IFERROR(IF(C1193="","",VLOOKUP(C1193,المستفيدين!$B:$F,5,FALSE)),"")</f>
        <v/>
      </c>
      <c r="H1193" s="24"/>
      <c r="I1193" s="20"/>
      <c r="J1193" s="20"/>
      <c r="K1193" s="20"/>
      <c r="L1193" s="21"/>
    </row>
    <row r="1194" spans="1:12" x14ac:dyDescent="0.2">
      <c r="A1194" s="26"/>
      <c r="B1194" s="22"/>
      <c r="C1194" s="22"/>
      <c r="D1194" s="34" t="str">
        <f>IFERROR(IF(C1194="","",VLOOKUP(C1194,المستفيدين!$B:$C,2,FALSE)),"")</f>
        <v/>
      </c>
      <c r="E1194" s="20"/>
      <c r="F1194" s="34"/>
      <c r="G1194" s="34" t="str">
        <f>IFERROR(IF(C1194="","",VLOOKUP(C1194,المستفيدين!$B:$F,5,FALSE)),"")</f>
        <v/>
      </c>
      <c r="H1194" s="24"/>
      <c r="I1194" s="20"/>
      <c r="J1194" s="20"/>
      <c r="K1194" s="20"/>
      <c r="L1194" s="21"/>
    </row>
    <row r="1195" spans="1:12" x14ac:dyDescent="0.2">
      <c r="A1195" s="26"/>
      <c r="B1195" s="22"/>
      <c r="C1195" s="22"/>
      <c r="D1195" s="34" t="str">
        <f>IFERROR(IF(C1195="","",VLOOKUP(C1195,المستفيدين!$B:$C,2,FALSE)),"")</f>
        <v/>
      </c>
      <c r="E1195" s="20"/>
      <c r="F1195" s="34"/>
      <c r="G1195" s="34" t="str">
        <f>IFERROR(IF(C1195="","",VLOOKUP(C1195,المستفيدين!$B:$F,5,FALSE)),"")</f>
        <v/>
      </c>
      <c r="H1195" s="24"/>
      <c r="I1195" s="20"/>
      <c r="J1195" s="20"/>
      <c r="K1195" s="20"/>
      <c r="L1195" s="21"/>
    </row>
    <row r="1196" spans="1:12" x14ac:dyDescent="0.2">
      <c r="A1196" s="26"/>
      <c r="B1196" s="22"/>
      <c r="C1196" s="22"/>
      <c r="D1196" s="34" t="str">
        <f>IFERROR(IF(C1196="","",VLOOKUP(C1196,المستفيدين!$B:$C,2,FALSE)),"")</f>
        <v/>
      </c>
      <c r="E1196" s="20"/>
      <c r="F1196" s="34"/>
      <c r="G1196" s="34" t="str">
        <f>IFERROR(IF(C1196="","",VLOOKUP(C1196,المستفيدين!$B:$F,5,FALSE)),"")</f>
        <v/>
      </c>
      <c r="H1196" s="24"/>
      <c r="I1196" s="20"/>
      <c r="J1196" s="20"/>
      <c r="K1196" s="20"/>
      <c r="L1196" s="21"/>
    </row>
    <row r="1197" spans="1:12" x14ac:dyDescent="0.2">
      <c r="A1197" s="26"/>
      <c r="B1197" s="22"/>
      <c r="C1197" s="22"/>
      <c r="D1197" s="34" t="str">
        <f>IFERROR(IF(C1197="","",VLOOKUP(C1197,المستفيدين!$B:$C,2,FALSE)),"")</f>
        <v/>
      </c>
      <c r="E1197" s="20"/>
      <c r="F1197" s="34"/>
      <c r="G1197" s="34" t="str">
        <f>IFERROR(IF(C1197="","",VLOOKUP(C1197,المستفيدين!$B:$F,5,FALSE)),"")</f>
        <v/>
      </c>
      <c r="H1197" s="24"/>
      <c r="I1197" s="20"/>
      <c r="J1197" s="20"/>
      <c r="K1197" s="20"/>
      <c r="L1197" s="21"/>
    </row>
    <row r="1198" spans="1:12" x14ac:dyDescent="0.2">
      <c r="A1198" s="26"/>
      <c r="B1198" s="22"/>
      <c r="C1198" s="22"/>
      <c r="D1198" s="34" t="str">
        <f>IFERROR(IF(C1198="","",VLOOKUP(C1198,المستفيدين!$B:$C,2,FALSE)),"")</f>
        <v/>
      </c>
      <c r="E1198" s="20"/>
      <c r="F1198" s="34"/>
      <c r="G1198" s="34" t="str">
        <f>IFERROR(IF(C1198="","",VLOOKUP(C1198,المستفيدين!$B:$F,5,FALSE)),"")</f>
        <v/>
      </c>
      <c r="H1198" s="24"/>
      <c r="I1198" s="20"/>
      <c r="J1198" s="20"/>
      <c r="K1198" s="20"/>
      <c r="L1198" s="21"/>
    </row>
    <row r="1199" spans="1:12" x14ac:dyDescent="0.2">
      <c r="A1199" s="26"/>
      <c r="B1199" s="22"/>
      <c r="C1199" s="22"/>
      <c r="D1199" s="34" t="str">
        <f>IFERROR(IF(C1199="","",VLOOKUP(C1199,المستفيدين!$B:$C,2,FALSE)),"")</f>
        <v/>
      </c>
      <c r="E1199" s="20"/>
      <c r="F1199" s="34"/>
      <c r="G1199" s="34" t="str">
        <f>IFERROR(IF(C1199="","",VLOOKUP(C1199,المستفيدين!$B:$F,5,FALSE)),"")</f>
        <v/>
      </c>
      <c r="H1199" s="24"/>
      <c r="I1199" s="20"/>
      <c r="J1199" s="20"/>
      <c r="K1199" s="20"/>
      <c r="L1199" s="21"/>
    </row>
    <row r="1200" spans="1:12" x14ac:dyDescent="0.2">
      <c r="A1200" s="26"/>
      <c r="B1200" s="22"/>
      <c r="C1200" s="22"/>
      <c r="D1200" s="34" t="str">
        <f>IFERROR(IF(C1200="","",VLOOKUP(C1200,المستفيدين!$B:$C,2,FALSE)),"")</f>
        <v/>
      </c>
      <c r="E1200" s="20"/>
      <c r="F1200" s="34"/>
      <c r="G1200" s="34" t="str">
        <f>IFERROR(IF(C1200="","",VLOOKUP(C1200,المستفيدين!$B:$F,5,FALSE)),"")</f>
        <v/>
      </c>
      <c r="H1200" s="24"/>
      <c r="I1200" s="20"/>
      <c r="J1200" s="20"/>
      <c r="K1200" s="20"/>
      <c r="L1200" s="21"/>
    </row>
    <row r="1201" spans="1:12" x14ac:dyDescent="0.2">
      <c r="A1201" s="26"/>
      <c r="B1201" s="22"/>
      <c r="C1201" s="22"/>
      <c r="D1201" s="34" t="str">
        <f>IFERROR(IF(C1201="","",VLOOKUP(C1201,المستفيدين!$B:$C,2,FALSE)),"")</f>
        <v/>
      </c>
      <c r="E1201" s="20"/>
      <c r="F1201" s="34"/>
      <c r="G1201" s="34" t="str">
        <f>IFERROR(IF(C1201="","",VLOOKUP(C1201,المستفيدين!$B:$F,5,FALSE)),"")</f>
        <v/>
      </c>
      <c r="H1201" s="24"/>
      <c r="I1201" s="20"/>
      <c r="J1201" s="20"/>
      <c r="K1201" s="20"/>
      <c r="L1201" s="21"/>
    </row>
    <row r="1202" spans="1:12" x14ac:dyDescent="0.2">
      <c r="A1202" s="26"/>
      <c r="B1202" s="22"/>
      <c r="C1202" s="22"/>
      <c r="D1202" s="34" t="str">
        <f>IFERROR(IF(C1202="","",VLOOKUP(C1202,المستفيدين!$B:$C,2,FALSE)),"")</f>
        <v/>
      </c>
      <c r="E1202" s="20"/>
      <c r="F1202" s="34"/>
      <c r="G1202" s="34" t="str">
        <f>IFERROR(IF(C1202="","",VLOOKUP(C1202,المستفيدين!$B:$F,5,FALSE)),"")</f>
        <v/>
      </c>
      <c r="H1202" s="24"/>
      <c r="I1202" s="20"/>
      <c r="J1202" s="20"/>
      <c r="K1202" s="20"/>
      <c r="L1202" s="21"/>
    </row>
    <row r="1203" spans="1:12" x14ac:dyDescent="0.2">
      <c r="A1203" s="26"/>
      <c r="B1203" s="22"/>
      <c r="C1203" s="22"/>
      <c r="D1203" s="34" t="str">
        <f>IFERROR(IF(C1203="","",VLOOKUP(C1203,المستفيدين!$B:$C,2,FALSE)),"")</f>
        <v/>
      </c>
      <c r="E1203" s="20"/>
      <c r="F1203" s="34"/>
      <c r="G1203" s="34" t="str">
        <f>IFERROR(IF(C1203="","",VLOOKUP(C1203,المستفيدين!$B:$F,5,FALSE)),"")</f>
        <v/>
      </c>
      <c r="H1203" s="24"/>
      <c r="I1203" s="20"/>
      <c r="J1203" s="20"/>
      <c r="K1203" s="20"/>
      <c r="L1203" s="21"/>
    </row>
    <row r="1204" spans="1:12" x14ac:dyDescent="0.2">
      <c r="A1204" s="26"/>
      <c r="B1204" s="22"/>
      <c r="C1204" s="22"/>
      <c r="D1204" s="34" t="str">
        <f>IFERROR(IF(C1204="","",VLOOKUP(C1204,المستفيدين!$B:$C,2,FALSE)),"")</f>
        <v/>
      </c>
      <c r="E1204" s="20"/>
      <c r="F1204" s="34"/>
      <c r="G1204" s="34" t="str">
        <f>IFERROR(IF(C1204="","",VLOOKUP(C1204,المستفيدين!$B:$F,5,FALSE)),"")</f>
        <v/>
      </c>
      <c r="H1204" s="24"/>
      <c r="I1204" s="20"/>
      <c r="J1204" s="20"/>
      <c r="K1204" s="20"/>
      <c r="L1204" s="21"/>
    </row>
    <row r="1205" spans="1:12" x14ac:dyDescent="0.2">
      <c r="A1205" s="26"/>
      <c r="B1205" s="22"/>
      <c r="C1205" s="22"/>
      <c r="D1205" s="34" t="str">
        <f>IFERROR(IF(C1205="","",VLOOKUP(C1205,المستفيدين!$B:$C,2,FALSE)),"")</f>
        <v/>
      </c>
      <c r="E1205" s="20"/>
      <c r="F1205" s="34"/>
      <c r="G1205" s="34" t="str">
        <f>IFERROR(IF(C1205="","",VLOOKUP(C1205,المستفيدين!$B:$F,5,FALSE)),"")</f>
        <v/>
      </c>
      <c r="H1205" s="24"/>
      <c r="I1205" s="20"/>
      <c r="J1205" s="20"/>
      <c r="K1205" s="20"/>
      <c r="L1205" s="21"/>
    </row>
    <row r="1206" spans="1:12" x14ac:dyDescent="0.2">
      <c r="A1206" s="26"/>
      <c r="B1206" s="22"/>
      <c r="C1206" s="22"/>
      <c r="D1206" s="34" t="str">
        <f>IFERROR(IF(C1206="","",VLOOKUP(C1206,المستفيدين!$B:$C,2,FALSE)),"")</f>
        <v/>
      </c>
      <c r="E1206" s="20"/>
      <c r="F1206" s="34"/>
      <c r="G1206" s="34" t="str">
        <f>IFERROR(IF(C1206="","",VLOOKUP(C1206,المستفيدين!$B:$F,5,FALSE)),"")</f>
        <v/>
      </c>
      <c r="H1206" s="24"/>
      <c r="I1206" s="20"/>
      <c r="J1206" s="20"/>
      <c r="K1206" s="20"/>
      <c r="L1206" s="21"/>
    </row>
    <row r="1207" spans="1:12" x14ac:dyDescent="0.2">
      <c r="A1207" s="26"/>
      <c r="B1207" s="22"/>
      <c r="C1207" s="22"/>
      <c r="D1207" s="34" t="str">
        <f>IFERROR(IF(C1207="","",VLOOKUP(C1207,المستفيدين!$B:$C,2,FALSE)),"")</f>
        <v/>
      </c>
      <c r="E1207" s="20"/>
      <c r="F1207" s="34"/>
      <c r="G1207" s="34" t="str">
        <f>IFERROR(IF(C1207="","",VLOOKUP(C1207,المستفيدين!$B:$F,5,FALSE)),"")</f>
        <v/>
      </c>
      <c r="H1207" s="24"/>
      <c r="I1207" s="20"/>
      <c r="J1207" s="20"/>
      <c r="K1207" s="20"/>
      <c r="L1207" s="21"/>
    </row>
    <row r="1208" spans="1:12" x14ac:dyDescent="0.2">
      <c r="A1208" s="26"/>
      <c r="B1208" s="22"/>
      <c r="C1208" s="22"/>
      <c r="D1208" s="34" t="str">
        <f>IFERROR(IF(C1208="","",VLOOKUP(C1208,المستفيدين!$B:$C,2,FALSE)),"")</f>
        <v/>
      </c>
      <c r="E1208" s="20"/>
      <c r="F1208" s="34"/>
      <c r="G1208" s="34" t="str">
        <f>IFERROR(IF(C1208="","",VLOOKUP(C1208,المستفيدين!$B:$F,5,FALSE)),"")</f>
        <v/>
      </c>
      <c r="H1208" s="24"/>
      <c r="I1208" s="20"/>
      <c r="J1208" s="20"/>
      <c r="K1208" s="20"/>
      <c r="L1208" s="21"/>
    </row>
    <row r="1209" spans="1:12" x14ac:dyDescent="0.2">
      <c r="A1209" s="26"/>
      <c r="B1209" s="22"/>
      <c r="C1209" s="22"/>
      <c r="D1209" s="34" t="str">
        <f>IFERROR(IF(C1209="","",VLOOKUP(C1209,المستفيدين!$B:$C,2,FALSE)),"")</f>
        <v/>
      </c>
      <c r="E1209" s="20"/>
      <c r="F1209" s="34"/>
      <c r="G1209" s="34" t="str">
        <f>IFERROR(IF(C1209="","",VLOOKUP(C1209,المستفيدين!$B:$F,5,FALSE)),"")</f>
        <v/>
      </c>
      <c r="H1209" s="24"/>
      <c r="I1209" s="20"/>
      <c r="J1209" s="20"/>
      <c r="K1209" s="20"/>
      <c r="L1209" s="21"/>
    </row>
    <row r="1210" spans="1:12" x14ac:dyDescent="0.2">
      <c r="A1210" s="26"/>
      <c r="B1210" s="22"/>
      <c r="C1210" s="22"/>
      <c r="D1210" s="34" t="str">
        <f>IFERROR(IF(C1210="","",VLOOKUP(C1210,المستفيدين!$B:$C,2,FALSE)),"")</f>
        <v/>
      </c>
      <c r="E1210" s="20"/>
      <c r="F1210" s="34"/>
      <c r="G1210" s="34" t="str">
        <f>IFERROR(IF(C1210="","",VLOOKUP(C1210,المستفيدين!$B:$F,5,FALSE)),"")</f>
        <v/>
      </c>
      <c r="H1210" s="24"/>
      <c r="I1210" s="20"/>
      <c r="J1210" s="20"/>
      <c r="K1210" s="20"/>
      <c r="L1210" s="21"/>
    </row>
    <row r="1211" spans="1:12" x14ac:dyDescent="0.2">
      <c r="A1211" s="26"/>
      <c r="B1211" s="22"/>
      <c r="C1211" s="22"/>
      <c r="D1211" s="34" t="str">
        <f>IFERROR(IF(C1211="","",VLOOKUP(C1211,المستفيدين!$B:$C,2,FALSE)),"")</f>
        <v/>
      </c>
      <c r="E1211" s="20"/>
      <c r="F1211" s="34"/>
      <c r="G1211" s="34" t="str">
        <f>IFERROR(IF(C1211="","",VLOOKUP(C1211,المستفيدين!$B:$F,5,FALSE)),"")</f>
        <v/>
      </c>
      <c r="H1211" s="24"/>
      <c r="I1211" s="20"/>
      <c r="J1211" s="20"/>
      <c r="K1211" s="20"/>
      <c r="L1211" s="21"/>
    </row>
    <row r="1212" spans="1:12" x14ac:dyDescent="0.2">
      <c r="A1212" s="26"/>
      <c r="B1212" s="22"/>
      <c r="C1212" s="22"/>
      <c r="D1212" s="34" t="str">
        <f>IFERROR(IF(C1212="","",VLOOKUP(C1212,المستفيدين!$B:$C,2,FALSE)),"")</f>
        <v/>
      </c>
      <c r="E1212" s="20"/>
      <c r="F1212" s="34"/>
      <c r="G1212" s="34" t="str">
        <f>IFERROR(IF(C1212="","",VLOOKUP(C1212,المستفيدين!$B:$F,5,FALSE)),"")</f>
        <v/>
      </c>
      <c r="H1212" s="24"/>
      <c r="I1212" s="20"/>
      <c r="J1212" s="20"/>
      <c r="K1212" s="20"/>
      <c r="L1212" s="21"/>
    </row>
    <row r="1213" spans="1:12" x14ac:dyDescent="0.2">
      <c r="A1213" s="26"/>
      <c r="B1213" s="22"/>
      <c r="C1213" s="22"/>
      <c r="D1213" s="34" t="str">
        <f>IFERROR(IF(C1213="","",VLOOKUP(C1213,المستفيدين!$B:$C,2,FALSE)),"")</f>
        <v/>
      </c>
      <c r="E1213" s="20"/>
      <c r="F1213" s="34"/>
      <c r="G1213" s="34" t="str">
        <f>IFERROR(IF(C1213="","",VLOOKUP(C1213,المستفيدين!$B:$F,5,FALSE)),"")</f>
        <v/>
      </c>
      <c r="H1213" s="24"/>
      <c r="I1213" s="20"/>
      <c r="J1213" s="20"/>
      <c r="K1213" s="20"/>
      <c r="L1213" s="21"/>
    </row>
    <row r="1214" spans="1:12" x14ac:dyDescent="0.2">
      <c r="A1214" s="26"/>
      <c r="B1214" s="22"/>
      <c r="C1214" s="22"/>
      <c r="D1214" s="34" t="str">
        <f>IFERROR(IF(C1214="","",VLOOKUP(C1214,المستفيدين!$B:$C,2,FALSE)),"")</f>
        <v/>
      </c>
      <c r="E1214" s="20"/>
      <c r="F1214" s="34"/>
      <c r="G1214" s="34" t="str">
        <f>IFERROR(IF(C1214="","",VLOOKUP(C1214,المستفيدين!$B:$F,5,FALSE)),"")</f>
        <v/>
      </c>
      <c r="H1214" s="24"/>
      <c r="I1214" s="20"/>
      <c r="J1214" s="20"/>
      <c r="K1214" s="20"/>
      <c r="L1214" s="21"/>
    </row>
    <row r="1215" spans="1:12" x14ac:dyDescent="0.2">
      <c r="A1215" s="26"/>
      <c r="B1215" s="22"/>
      <c r="C1215" s="22"/>
      <c r="D1215" s="34" t="str">
        <f>IFERROR(IF(C1215="","",VLOOKUP(C1215,المستفيدين!$B:$C,2,FALSE)),"")</f>
        <v/>
      </c>
      <c r="E1215" s="20"/>
      <c r="F1215" s="34"/>
      <c r="G1215" s="34" t="str">
        <f>IFERROR(IF(C1215="","",VLOOKUP(C1215,المستفيدين!$B:$F,5,FALSE)),"")</f>
        <v/>
      </c>
      <c r="H1215" s="24"/>
      <c r="I1215" s="20"/>
      <c r="J1215" s="20"/>
      <c r="K1215" s="20"/>
      <c r="L1215" s="21"/>
    </row>
    <row r="1216" spans="1:12" x14ac:dyDescent="0.2">
      <c r="A1216" s="26"/>
      <c r="B1216" s="22"/>
      <c r="C1216" s="22"/>
      <c r="D1216" s="34" t="str">
        <f>IFERROR(IF(C1216="","",VLOOKUP(C1216,المستفيدين!$B:$C,2,FALSE)),"")</f>
        <v/>
      </c>
      <c r="E1216" s="20"/>
      <c r="F1216" s="34"/>
      <c r="G1216" s="34" t="str">
        <f>IFERROR(IF(C1216="","",VLOOKUP(C1216,المستفيدين!$B:$F,5,FALSE)),"")</f>
        <v/>
      </c>
      <c r="H1216" s="24"/>
      <c r="I1216" s="20"/>
      <c r="J1216" s="20"/>
      <c r="K1216" s="20"/>
      <c r="L1216" s="21"/>
    </row>
    <row r="1217" spans="1:12" x14ac:dyDescent="0.2">
      <c r="A1217" s="26"/>
      <c r="B1217" s="22"/>
      <c r="C1217" s="22"/>
      <c r="D1217" s="34" t="str">
        <f>IFERROR(IF(C1217="","",VLOOKUP(C1217,المستفيدين!$B:$C,2,FALSE)),"")</f>
        <v/>
      </c>
      <c r="E1217" s="20"/>
      <c r="F1217" s="34"/>
      <c r="G1217" s="34" t="str">
        <f>IFERROR(IF(C1217="","",VLOOKUP(C1217,المستفيدين!$B:$F,5,FALSE)),"")</f>
        <v/>
      </c>
      <c r="H1217" s="24"/>
      <c r="I1217" s="20"/>
      <c r="J1217" s="20"/>
      <c r="K1217" s="20"/>
      <c r="L1217" s="21"/>
    </row>
    <row r="1218" spans="1:12" x14ac:dyDescent="0.2">
      <c r="A1218" s="26"/>
      <c r="B1218" s="22"/>
      <c r="C1218" s="22"/>
      <c r="D1218" s="34" t="str">
        <f>IFERROR(IF(C1218="","",VLOOKUP(C1218,المستفيدين!$B:$C,2,FALSE)),"")</f>
        <v/>
      </c>
      <c r="E1218" s="20"/>
      <c r="F1218" s="34"/>
      <c r="G1218" s="34" t="str">
        <f>IFERROR(IF(C1218="","",VLOOKUP(C1218,المستفيدين!$B:$F,5,FALSE)),"")</f>
        <v/>
      </c>
      <c r="H1218" s="24"/>
      <c r="I1218" s="20"/>
      <c r="J1218" s="20"/>
      <c r="K1218" s="20"/>
      <c r="L1218" s="21"/>
    </row>
    <row r="1219" spans="1:12" x14ac:dyDescent="0.2">
      <c r="A1219" s="26"/>
      <c r="B1219" s="22"/>
      <c r="C1219" s="22"/>
      <c r="D1219" s="34" t="str">
        <f>IFERROR(IF(C1219="","",VLOOKUP(C1219,المستفيدين!$B:$C,2,FALSE)),"")</f>
        <v/>
      </c>
      <c r="E1219" s="20"/>
      <c r="F1219" s="34"/>
      <c r="G1219" s="34" t="str">
        <f>IFERROR(IF(C1219="","",VLOOKUP(C1219,المستفيدين!$B:$F,5,FALSE)),"")</f>
        <v/>
      </c>
      <c r="H1219" s="24"/>
      <c r="I1219" s="20"/>
      <c r="J1219" s="20"/>
      <c r="K1219" s="20"/>
      <c r="L1219" s="21"/>
    </row>
    <row r="1220" spans="1:12" x14ac:dyDescent="0.2">
      <c r="A1220" s="26"/>
      <c r="B1220" s="22"/>
      <c r="C1220" s="22"/>
      <c r="D1220" s="34" t="str">
        <f>IFERROR(IF(C1220="","",VLOOKUP(C1220,المستفيدين!$B:$C,2,FALSE)),"")</f>
        <v/>
      </c>
      <c r="E1220" s="20"/>
      <c r="F1220" s="34"/>
      <c r="G1220" s="34" t="str">
        <f>IFERROR(IF(C1220="","",VLOOKUP(C1220,المستفيدين!$B:$F,5,FALSE)),"")</f>
        <v/>
      </c>
      <c r="H1220" s="24"/>
      <c r="I1220" s="20"/>
      <c r="J1220" s="20"/>
      <c r="K1220" s="20"/>
      <c r="L1220" s="21"/>
    </row>
    <row r="1221" spans="1:12" x14ac:dyDescent="0.2">
      <c r="A1221" s="26"/>
      <c r="B1221" s="22"/>
      <c r="C1221" s="22"/>
      <c r="D1221" s="34" t="str">
        <f>IFERROR(IF(C1221="","",VLOOKUP(C1221,المستفيدين!$B:$C,2,FALSE)),"")</f>
        <v/>
      </c>
      <c r="E1221" s="20"/>
      <c r="F1221" s="34"/>
      <c r="G1221" s="34" t="str">
        <f>IFERROR(IF(C1221="","",VLOOKUP(C1221,المستفيدين!$B:$F,5,FALSE)),"")</f>
        <v/>
      </c>
      <c r="H1221" s="24"/>
      <c r="I1221" s="20"/>
      <c r="J1221" s="20"/>
      <c r="K1221" s="20"/>
      <c r="L1221" s="21"/>
    </row>
    <row r="1222" spans="1:12" x14ac:dyDescent="0.2">
      <c r="A1222" s="26"/>
      <c r="B1222" s="22"/>
      <c r="C1222" s="22"/>
      <c r="D1222" s="34" t="str">
        <f>IFERROR(IF(C1222="","",VLOOKUP(C1222,المستفيدين!$B:$C,2,FALSE)),"")</f>
        <v/>
      </c>
      <c r="E1222" s="20"/>
      <c r="F1222" s="34"/>
      <c r="G1222" s="34" t="str">
        <f>IFERROR(IF(C1222="","",VLOOKUP(C1222,المستفيدين!$B:$F,5,FALSE)),"")</f>
        <v/>
      </c>
      <c r="H1222" s="24"/>
      <c r="I1222" s="20"/>
      <c r="J1222" s="20"/>
      <c r="K1222" s="20"/>
      <c r="L1222" s="21"/>
    </row>
    <row r="1223" spans="1:12" x14ac:dyDescent="0.2">
      <c r="A1223" s="26"/>
      <c r="B1223" s="22"/>
      <c r="C1223" s="22"/>
      <c r="D1223" s="34" t="str">
        <f>IFERROR(IF(C1223="","",VLOOKUP(C1223,المستفيدين!$B:$C,2,FALSE)),"")</f>
        <v/>
      </c>
      <c r="E1223" s="20"/>
      <c r="F1223" s="34"/>
      <c r="G1223" s="34" t="str">
        <f>IFERROR(IF(C1223="","",VLOOKUP(C1223,المستفيدين!$B:$F,5,FALSE)),"")</f>
        <v/>
      </c>
      <c r="H1223" s="24"/>
      <c r="I1223" s="20"/>
      <c r="J1223" s="20"/>
      <c r="K1223" s="20"/>
      <c r="L1223" s="21"/>
    </row>
    <row r="1224" spans="1:12" x14ac:dyDescent="0.2">
      <c r="A1224" s="26"/>
      <c r="B1224" s="22"/>
      <c r="C1224" s="22"/>
      <c r="D1224" s="34" t="str">
        <f>IFERROR(IF(C1224="","",VLOOKUP(C1224,المستفيدين!$B:$C,2,FALSE)),"")</f>
        <v/>
      </c>
      <c r="E1224" s="20"/>
      <c r="F1224" s="34"/>
      <c r="G1224" s="34" t="str">
        <f>IFERROR(IF(C1224="","",VLOOKUP(C1224,المستفيدين!$B:$F,5,FALSE)),"")</f>
        <v/>
      </c>
      <c r="H1224" s="24"/>
      <c r="I1224" s="20"/>
      <c r="J1224" s="20"/>
      <c r="K1224" s="20"/>
      <c r="L1224" s="21"/>
    </row>
    <row r="1225" spans="1:12" x14ac:dyDescent="0.2">
      <c r="A1225" s="26"/>
      <c r="B1225" s="22"/>
      <c r="C1225" s="22"/>
      <c r="D1225" s="34" t="str">
        <f>IFERROR(IF(C1225="","",VLOOKUP(C1225,المستفيدين!$B:$C,2,FALSE)),"")</f>
        <v/>
      </c>
      <c r="E1225" s="20"/>
      <c r="F1225" s="34"/>
      <c r="G1225" s="34" t="str">
        <f>IFERROR(IF(C1225="","",VLOOKUP(C1225,المستفيدين!$B:$F,5,FALSE)),"")</f>
        <v/>
      </c>
      <c r="H1225" s="24"/>
      <c r="I1225" s="20"/>
      <c r="J1225" s="20"/>
      <c r="K1225" s="20"/>
      <c r="L1225" s="21"/>
    </row>
    <row r="1226" spans="1:12" x14ac:dyDescent="0.2">
      <c r="A1226" s="26"/>
      <c r="B1226" s="22"/>
      <c r="C1226" s="22"/>
      <c r="D1226" s="34" t="str">
        <f>IFERROR(IF(C1226="","",VLOOKUP(C1226,المستفيدين!$B:$C,2,FALSE)),"")</f>
        <v/>
      </c>
      <c r="E1226" s="20"/>
      <c r="F1226" s="34"/>
      <c r="G1226" s="34" t="str">
        <f>IFERROR(IF(C1226="","",VLOOKUP(C1226,المستفيدين!$B:$F,5,FALSE)),"")</f>
        <v/>
      </c>
      <c r="H1226" s="24"/>
      <c r="I1226" s="20"/>
      <c r="J1226" s="20"/>
      <c r="K1226" s="20"/>
      <c r="L1226" s="21"/>
    </row>
    <row r="1227" spans="1:12" x14ac:dyDescent="0.2">
      <c r="A1227" s="26"/>
      <c r="B1227" s="22"/>
      <c r="C1227" s="22"/>
      <c r="D1227" s="34" t="str">
        <f>IFERROR(IF(C1227="","",VLOOKUP(C1227,المستفيدين!$B:$C,2,FALSE)),"")</f>
        <v/>
      </c>
      <c r="E1227" s="20"/>
      <c r="F1227" s="34"/>
      <c r="G1227" s="34" t="str">
        <f>IFERROR(IF(C1227="","",VLOOKUP(C1227,المستفيدين!$B:$F,5,FALSE)),"")</f>
        <v/>
      </c>
      <c r="H1227" s="24"/>
      <c r="I1227" s="20"/>
      <c r="J1227" s="20"/>
      <c r="K1227" s="20"/>
      <c r="L1227" s="21"/>
    </row>
    <row r="1228" spans="1:12" x14ac:dyDescent="0.2">
      <c r="A1228" s="26"/>
      <c r="B1228" s="22"/>
      <c r="C1228" s="22"/>
      <c r="D1228" s="34" t="str">
        <f>IFERROR(IF(C1228="","",VLOOKUP(C1228,المستفيدين!$B:$C,2,FALSE)),"")</f>
        <v/>
      </c>
      <c r="E1228" s="20"/>
      <c r="F1228" s="34"/>
      <c r="G1228" s="34" t="str">
        <f>IFERROR(IF(C1228="","",VLOOKUP(C1228,المستفيدين!$B:$F,5,FALSE)),"")</f>
        <v/>
      </c>
      <c r="H1228" s="24"/>
      <c r="I1228" s="20"/>
      <c r="J1228" s="20"/>
      <c r="K1228" s="20"/>
      <c r="L1228" s="21"/>
    </row>
    <row r="1229" spans="1:12" x14ac:dyDescent="0.2">
      <c r="A1229" s="26"/>
      <c r="B1229" s="22"/>
      <c r="C1229" s="22"/>
      <c r="D1229" s="34" t="str">
        <f>IFERROR(IF(C1229="","",VLOOKUP(C1229,المستفيدين!$B:$C,2,FALSE)),"")</f>
        <v/>
      </c>
      <c r="E1229" s="20"/>
      <c r="F1229" s="34"/>
      <c r="G1229" s="34" t="str">
        <f>IFERROR(IF(C1229="","",VLOOKUP(C1229,المستفيدين!$B:$F,5,FALSE)),"")</f>
        <v/>
      </c>
      <c r="H1229" s="24"/>
      <c r="I1229" s="20"/>
      <c r="J1229" s="20"/>
      <c r="K1229" s="20"/>
      <c r="L1229" s="21"/>
    </row>
    <row r="1230" spans="1:12" x14ac:dyDescent="0.2">
      <c r="A1230" s="26"/>
      <c r="B1230" s="22"/>
      <c r="C1230" s="22"/>
      <c r="D1230" s="34" t="str">
        <f>IFERROR(IF(C1230="","",VLOOKUP(C1230,المستفيدين!$B:$C,2,FALSE)),"")</f>
        <v/>
      </c>
      <c r="E1230" s="20"/>
      <c r="F1230" s="34"/>
      <c r="G1230" s="34" t="str">
        <f>IFERROR(IF(C1230="","",VLOOKUP(C1230,المستفيدين!$B:$F,5,FALSE)),"")</f>
        <v/>
      </c>
      <c r="H1230" s="24"/>
      <c r="I1230" s="20"/>
      <c r="J1230" s="20"/>
      <c r="K1230" s="20"/>
      <c r="L1230" s="21"/>
    </row>
    <row r="1231" spans="1:12" x14ac:dyDescent="0.2">
      <c r="A1231" s="26"/>
      <c r="B1231" s="22"/>
      <c r="C1231" s="22"/>
      <c r="D1231" s="34" t="str">
        <f>IFERROR(IF(C1231="","",VLOOKUP(C1231,المستفيدين!$B:$C,2,FALSE)),"")</f>
        <v/>
      </c>
      <c r="E1231" s="20"/>
      <c r="F1231" s="34"/>
      <c r="G1231" s="34" t="str">
        <f>IFERROR(IF(C1231="","",VLOOKUP(C1231,المستفيدين!$B:$F,5,FALSE)),"")</f>
        <v/>
      </c>
      <c r="H1231" s="24"/>
      <c r="I1231" s="20"/>
      <c r="J1231" s="20"/>
      <c r="K1231" s="20"/>
      <c r="L1231" s="21"/>
    </row>
    <row r="1232" spans="1:12" x14ac:dyDescent="0.2">
      <c r="A1232" s="26"/>
      <c r="B1232" s="22"/>
      <c r="C1232" s="22"/>
      <c r="D1232" s="34" t="str">
        <f>IFERROR(IF(C1232="","",VLOOKUP(C1232,المستفيدين!$B:$C,2,FALSE)),"")</f>
        <v/>
      </c>
      <c r="E1232" s="20"/>
      <c r="F1232" s="34"/>
      <c r="G1232" s="34" t="str">
        <f>IFERROR(IF(C1232="","",VLOOKUP(C1232,المستفيدين!$B:$F,5,FALSE)),"")</f>
        <v/>
      </c>
      <c r="H1232" s="24"/>
      <c r="I1232" s="20"/>
      <c r="J1232" s="20"/>
      <c r="K1232" s="20"/>
      <c r="L1232" s="21"/>
    </row>
    <row r="1233" spans="1:12" x14ac:dyDescent="0.2">
      <c r="A1233" s="26"/>
      <c r="B1233" s="22"/>
      <c r="C1233" s="22"/>
      <c r="D1233" s="34" t="str">
        <f>IFERROR(IF(C1233="","",VLOOKUP(C1233,المستفيدين!$B:$C,2,FALSE)),"")</f>
        <v/>
      </c>
      <c r="E1233" s="20"/>
      <c r="F1233" s="34"/>
      <c r="G1233" s="34" t="str">
        <f>IFERROR(IF(C1233="","",VLOOKUP(C1233,المستفيدين!$B:$F,5,FALSE)),"")</f>
        <v/>
      </c>
      <c r="H1233" s="24"/>
      <c r="I1233" s="20"/>
      <c r="J1233" s="20"/>
      <c r="K1233" s="20"/>
      <c r="L1233" s="21"/>
    </row>
    <row r="1234" spans="1:12" x14ac:dyDescent="0.2">
      <c r="A1234" s="26"/>
      <c r="B1234" s="22"/>
      <c r="C1234" s="22"/>
      <c r="D1234" s="34" t="str">
        <f>IFERROR(IF(C1234="","",VLOOKUP(C1234,المستفيدين!$B:$C,2,FALSE)),"")</f>
        <v/>
      </c>
      <c r="E1234" s="20"/>
      <c r="F1234" s="34"/>
      <c r="G1234" s="34" t="str">
        <f>IFERROR(IF(C1234="","",VLOOKUP(C1234,المستفيدين!$B:$F,5,FALSE)),"")</f>
        <v/>
      </c>
      <c r="H1234" s="24"/>
      <c r="I1234" s="20"/>
      <c r="J1234" s="20"/>
      <c r="K1234" s="20"/>
      <c r="L1234" s="21"/>
    </row>
    <row r="1235" spans="1:12" x14ac:dyDescent="0.2">
      <c r="A1235" s="26"/>
      <c r="B1235" s="22"/>
      <c r="C1235" s="22"/>
      <c r="D1235" s="34" t="str">
        <f>IFERROR(IF(C1235="","",VLOOKUP(C1235,المستفيدين!$B:$C,2,FALSE)),"")</f>
        <v/>
      </c>
      <c r="E1235" s="20"/>
      <c r="F1235" s="34"/>
      <c r="G1235" s="34" t="str">
        <f>IFERROR(IF(C1235="","",VLOOKUP(C1235,المستفيدين!$B:$F,5,FALSE)),"")</f>
        <v/>
      </c>
      <c r="H1235" s="24"/>
      <c r="I1235" s="20"/>
      <c r="J1235" s="20"/>
      <c r="K1235" s="20"/>
      <c r="L1235" s="21"/>
    </row>
    <row r="1236" spans="1:12" x14ac:dyDescent="0.2">
      <c r="A1236" s="26"/>
      <c r="B1236" s="22"/>
      <c r="C1236" s="22"/>
      <c r="D1236" s="34" t="str">
        <f>IFERROR(IF(C1236="","",VLOOKUP(C1236,المستفيدين!$B:$C,2,FALSE)),"")</f>
        <v/>
      </c>
      <c r="E1236" s="20"/>
      <c r="F1236" s="34"/>
      <c r="G1236" s="34" t="str">
        <f>IFERROR(IF(C1236="","",VLOOKUP(C1236,المستفيدين!$B:$F,5,FALSE)),"")</f>
        <v/>
      </c>
      <c r="H1236" s="24"/>
      <c r="I1236" s="20"/>
      <c r="J1236" s="20"/>
      <c r="K1236" s="20"/>
      <c r="L1236" s="21"/>
    </row>
    <row r="1237" spans="1:12" x14ac:dyDescent="0.2">
      <c r="A1237" s="26"/>
      <c r="B1237" s="22"/>
      <c r="C1237" s="22"/>
      <c r="D1237" s="34" t="str">
        <f>IFERROR(IF(C1237="","",VLOOKUP(C1237,المستفيدين!$B:$C,2,FALSE)),"")</f>
        <v/>
      </c>
      <c r="E1237" s="20"/>
      <c r="F1237" s="34"/>
      <c r="G1237" s="34" t="str">
        <f>IFERROR(IF(C1237="","",VLOOKUP(C1237,المستفيدين!$B:$F,5,FALSE)),"")</f>
        <v/>
      </c>
      <c r="H1237" s="24"/>
      <c r="I1237" s="20"/>
      <c r="J1237" s="20"/>
      <c r="K1237" s="20"/>
      <c r="L1237" s="21"/>
    </row>
    <row r="1238" spans="1:12" x14ac:dyDescent="0.2">
      <c r="A1238" s="26"/>
      <c r="B1238" s="22"/>
      <c r="C1238" s="22"/>
      <c r="D1238" s="34" t="str">
        <f>IFERROR(IF(C1238="","",VLOOKUP(C1238,المستفيدين!$B:$C,2,FALSE)),"")</f>
        <v/>
      </c>
      <c r="E1238" s="20"/>
      <c r="F1238" s="34"/>
      <c r="G1238" s="34" t="str">
        <f>IFERROR(IF(C1238="","",VLOOKUP(C1238,المستفيدين!$B:$F,5,FALSE)),"")</f>
        <v/>
      </c>
      <c r="H1238" s="24"/>
      <c r="I1238" s="20"/>
      <c r="J1238" s="20"/>
      <c r="K1238" s="20"/>
      <c r="L1238" s="21"/>
    </row>
    <row r="1239" spans="1:12" x14ac:dyDescent="0.2">
      <c r="A1239" s="26"/>
      <c r="B1239" s="22"/>
      <c r="C1239" s="22"/>
      <c r="D1239" s="34" t="str">
        <f>IFERROR(IF(C1239="","",VLOOKUP(C1239,المستفيدين!$B:$C,2,FALSE)),"")</f>
        <v/>
      </c>
      <c r="E1239" s="20"/>
      <c r="F1239" s="34"/>
      <c r="G1239" s="34" t="str">
        <f>IFERROR(IF(C1239="","",VLOOKUP(C1239,المستفيدين!$B:$F,5,FALSE)),"")</f>
        <v/>
      </c>
      <c r="H1239" s="24"/>
      <c r="I1239" s="20"/>
      <c r="J1239" s="20"/>
      <c r="K1239" s="20"/>
      <c r="L1239" s="21"/>
    </row>
    <row r="1240" spans="1:12" x14ac:dyDescent="0.2">
      <c r="A1240" s="26"/>
      <c r="B1240" s="22"/>
      <c r="C1240" s="22"/>
      <c r="D1240" s="34" t="str">
        <f>IFERROR(IF(C1240="","",VLOOKUP(C1240,المستفيدين!$B:$C,2,FALSE)),"")</f>
        <v/>
      </c>
      <c r="E1240" s="20"/>
      <c r="F1240" s="34"/>
      <c r="G1240" s="34" t="str">
        <f>IFERROR(IF(C1240="","",VLOOKUP(C1240,المستفيدين!$B:$F,5,FALSE)),"")</f>
        <v/>
      </c>
      <c r="H1240" s="24"/>
      <c r="I1240" s="20"/>
      <c r="J1240" s="20"/>
      <c r="K1240" s="20"/>
      <c r="L1240" s="21"/>
    </row>
    <row r="1241" spans="1:12" x14ac:dyDescent="0.2">
      <c r="A1241" s="26"/>
      <c r="B1241" s="22"/>
      <c r="C1241" s="22"/>
      <c r="D1241" s="34" t="str">
        <f>IFERROR(IF(C1241="","",VLOOKUP(C1241,المستفيدين!$B:$C,2,FALSE)),"")</f>
        <v/>
      </c>
      <c r="E1241" s="20"/>
      <c r="F1241" s="34"/>
      <c r="G1241" s="34" t="str">
        <f>IFERROR(IF(C1241="","",VLOOKUP(C1241,المستفيدين!$B:$F,5,FALSE)),"")</f>
        <v/>
      </c>
      <c r="H1241" s="24"/>
      <c r="I1241" s="20"/>
      <c r="J1241" s="20"/>
      <c r="K1241" s="20"/>
      <c r="L1241" s="21"/>
    </row>
    <row r="1242" spans="1:12" x14ac:dyDescent="0.2">
      <c r="A1242" s="26"/>
      <c r="B1242" s="22"/>
      <c r="C1242" s="22"/>
      <c r="D1242" s="34" t="str">
        <f>IFERROR(IF(C1242="","",VLOOKUP(C1242,المستفيدين!$B:$C,2,FALSE)),"")</f>
        <v/>
      </c>
      <c r="E1242" s="20"/>
      <c r="F1242" s="34"/>
      <c r="G1242" s="34" t="str">
        <f>IFERROR(IF(C1242="","",VLOOKUP(C1242,المستفيدين!$B:$F,5,FALSE)),"")</f>
        <v/>
      </c>
      <c r="H1242" s="24"/>
      <c r="I1242" s="20"/>
      <c r="J1242" s="20"/>
      <c r="K1242" s="20"/>
      <c r="L1242" s="21"/>
    </row>
    <row r="1243" spans="1:12" x14ac:dyDescent="0.2">
      <c r="A1243" s="26"/>
      <c r="B1243" s="22"/>
      <c r="C1243" s="22"/>
      <c r="D1243" s="34" t="str">
        <f>IFERROR(IF(C1243="","",VLOOKUP(C1243,المستفيدين!$B:$C,2,FALSE)),"")</f>
        <v/>
      </c>
      <c r="E1243" s="20"/>
      <c r="F1243" s="34"/>
      <c r="G1243" s="34" t="str">
        <f>IFERROR(IF(C1243="","",VLOOKUP(C1243,المستفيدين!$B:$F,5,FALSE)),"")</f>
        <v/>
      </c>
      <c r="H1243" s="24"/>
      <c r="I1243" s="20"/>
      <c r="J1243" s="20"/>
      <c r="K1243" s="20"/>
      <c r="L1243" s="21"/>
    </row>
    <row r="1244" spans="1:12" x14ac:dyDescent="0.2">
      <c r="A1244" s="26"/>
      <c r="B1244" s="22"/>
      <c r="C1244" s="22"/>
      <c r="D1244" s="34" t="str">
        <f>IFERROR(IF(C1244="","",VLOOKUP(C1244,المستفيدين!$B:$C,2,FALSE)),"")</f>
        <v/>
      </c>
      <c r="E1244" s="20"/>
      <c r="F1244" s="34"/>
      <c r="G1244" s="34" t="str">
        <f>IFERROR(IF(C1244="","",VLOOKUP(C1244,المستفيدين!$B:$F,5,FALSE)),"")</f>
        <v/>
      </c>
      <c r="H1244" s="24"/>
      <c r="I1244" s="20"/>
      <c r="J1244" s="20"/>
      <c r="K1244" s="20"/>
      <c r="L1244" s="21"/>
    </row>
    <row r="1245" spans="1:12" x14ac:dyDescent="0.2">
      <c r="A1245" s="26"/>
      <c r="B1245" s="22"/>
      <c r="C1245" s="22"/>
      <c r="D1245" s="34" t="str">
        <f>IFERROR(IF(C1245="","",VLOOKUP(C1245,المستفيدين!$B:$C,2,FALSE)),"")</f>
        <v/>
      </c>
      <c r="E1245" s="20"/>
      <c r="F1245" s="34"/>
      <c r="G1245" s="34" t="str">
        <f>IFERROR(IF(C1245="","",VLOOKUP(C1245,المستفيدين!$B:$F,5,FALSE)),"")</f>
        <v/>
      </c>
      <c r="H1245" s="24"/>
      <c r="I1245" s="20"/>
      <c r="J1245" s="20"/>
      <c r="K1245" s="20"/>
      <c r="L1245" s="21"/>
    </row>
    <row r="1246" spans="1:12" x14ac:dyDescent="0.2">
      <c r="A1246" s="26"/>
      <c r="B1246" s="22"/>
      <c r="C1246" s="22"/>
      <c r="D1246" s="34" t="str">
        <f>IFERROR(IF(C1246="","",VLOOKUP(C1246,المستفيدين!$B:$C,2,FALSE)),"")</f>
        <v/>
      </c>
      <c r="E1246" s="20"/>
      <c r="F1246" s="34"/>
      <c r="G1246" s="34" t="str">
        <f>IFERROR(IF(C1246="","",VLOOKUP(C1246,المستفيدين!$B:$F,5,FALSE)),"")</f>
        <v/>
      </c>
      <c r="H1246" s="24"/>
      <c r="I1246" s="20"/>
      <c r="J1246" s="20"/>
      <c r="K1246" s="20"/>
      <c r="L1246" s="21"/>
    </row>
    <row r="1247" spans="1:12" x14ac:dyDescent="0.2">
      <c r="A1247" s="26"/>
      <c r="B1247" s="22"/>
      <c r="C1247" s="22"/>
      <c r="D1247" s="34" t="str">
        <f>IFERROR(IF(C1247="","",VLOOKUP(C1247,المستفيدين!$B:$C,2,FALSE)),"")</f>
        <v/>
      </c>
      <c r="E1247" s="20"/>
      <c r="F1247" s="34"/>
      <c r="G1247" s="34" t="str">
        <f>IFERROR(IF(C1247="","",VLOOKUP(C1247,المستفيدين!$B:$F,5,FALSE)),"")</f>
        <v/>
      </c>
      <c r="H1247" s="24"/>
      <c r="I1247" s="20"/>
      <c r="J1247" s="20"/>
      <c r="K1247" s="20"/>
      <c r="L1247" s="21"/>
    </row>
    <row r="1248" spans="1:12" x14ac:dyDescent="0.2">
      <c r="A1248" s="26"/>
      <c r="B1248" s="22"/>
      <c r="C1248" s="22"/>
      <c r="D1248" s="34" t="str">
        <f>IFERROR(IF(C1248="","",VLOOKUP(C1248,المستفيدين!$B:$C,2,FALSE)),"")</f>
        <v/>
      </c>
      <c r="E1248" s="20"/>
      <c r="F1248" s="34"/>
      <c r="G1248" s="34" t="str">
        <f>IFERROR(IF(C1248="","",VLOOKUP(C1248,المستفيدين!$B:$F,5,FALSE)),"")</f>
        <v/>
      </c>
      <c r="H1248" s="24"/>
      <c r="I1248" s="20"/>
      <c r="J1248" s="20"/>
      <c r="K1248" s="20"/>
      <c r="L1248" s="21"/>
    </row>
    <row r="1249" spans="1:12" x14ac:dyDescent="0.2">
      <c r="A1249" s="26"/>
      <c r="B1249" s="22"/>
      <c r="C1249" s="22"/>
      <c r="D1249" s="34" t="str">
        <f>IFERROR(IF(C1249="","",VLOOKUP(C1249,المستفيدين!$B:$C,2,FALSE)),"")</f>
        <v/>
      </c>
      <c r="E1249" s="20"/>
      <c r="F1249" s="34"/>
      <c r="G1249" s="34" t="str">
        <f>IFERROR(IF(C1249="","",VLOOKUP(C1249,المستفيدين!$B:$F,5,FALSE)),"")</f>
        <v/>
      </c>
      <c r="H1249" s="24"/>
      <c r="I1249" s="20"/>
      <c r="J1249" s="20"/>
      <c r="K1249" s="20"/>
      <c r="L1249" s="21"/>
    </row>
    <row r="1250" spans="1:12" x14ac:dyDescent="0.2">
      <c r="A1250" s="26"/>
      <c r="B1250" s="22"/>
      <c r="C1250" s="22"/>
      <c r="D1250" s="34" t="str">
        <f>IFERROR(IF(C1250="","",VLOOKUP(C1250,المستفيدين!$B:$C,2,FALSE)),"")</f>
        <v/>
      </c>
      <c r="E1250" s="20"/>
      <c r="F1250" s="34"/>
      <c r="G1250" s="34" t="str">
        <f>IFERROR(IF(C1250="","",VLOOKUP(C1250,المستفيدين!$B:$F,5,FALSE)),"")</f>
        <v/>
      </c>
      <c r="H1250" s="24"/>
      <c r="I1250" s="20"/>
      <c r="J1250" s="20"/>
      <c r="K1250" s="20"/>
      <c r="L1250" s="21"/>
    </row>
    <row r="1251" spans="1:12" x14ac:dyDescent="0.2">
      <c r="A1251" s="26"/>
      <c r="B1251" s="22"/>
      <c r="C1251" s="22"/>
      <c r="D1251" s="34" t="str">
        <f>IFERROR(IF(C1251="","",VLOOKUP(C1251,المستفيدين!$B:$C,2,FALSE)),"")</f>
        <v/>
      </c>
      <c r="E1251" s="20"/>
      <c r="F1251" s="34"/>
      <c r="G1251" s="34" t="str">
        <f>IFERROR(IF(C1251="","",VLOOKUP(C1251,المستفيدين!$B:$F,5,FALSE)),"")</f>
        <v/>
      </c>
      <c r="H1251" s="24"/>
      <c r="I1251" s="20"/>
      <c r="J1251" s="20"/>
      <c r="K1251" s="20"/>
      <c r="L1251" s="21"/>
    </row>
    <row r="1252" spans="1:12" x14ac:dyDescent="0.2">
      <c r="A1252" s="26"/>
      <c r="B1252" s="22"/>
      <c r="C1252" s="22"/>
      <c r="D1252" s="34" t="str">
        <f>IFERROR(IF(C1252="","",VLOOKUP(C1252,المستفيدين!$B:$C,2,FALSE)),"")</f>
        <v/>
      </c>
      <c r="E1252" s="20"/>
      <c r="F1252" s="34"/>
      <c r="G1252" s="34" t="str">
        <f>IFERROR(IF(C1252="","",VLOOKUP(C1252,المستفيدين!$B:$F,5,FALSE)),"")</f>
        <v/>
      </c>
      <c r="H1252" s="24"/>
      <c r="I1252" s="20"/>
      <c r="J1252" s="20"/>
      <c r="K1252" s="20"/>
      <c r="L1252" s="21"/>
    </row>
    <row r="1253" spans="1:12" x14ac:dyDescent="0.2">
      <c r="A1253" s="26"/>
      <c r="B1253" s="22"/>
      <c r="C1253" s="22"/>
      <c r="D1253" s="34" t="str">
        <f>IFERROR(IF(C1253="","",VLOOKUP(C1253,المستفيدين!$B:$C,2,FALSE)),"")</f>
        <v/>
      </c>
      <c r="E1253" s="20"/>
      <c r="F1253" s="34"/>
      <c r="G1253" s="34" t="str">
        <f>IFERROR(IF(C1253="","",VLOOKUP(C1253,المستفيدين!$B:$F,5,FALSE)),"")</f>
        <v/>
      </c>
      <c r="H1253" s="24"/>
      <c r="I1253" s="20"/>
      <c r="J1253" s="20"/>
      <c r="K1253" s="20"/>
      <c r="L1253" s="21"/>
    </row>
    <row r="1254" spans="1:12" x14ac:dyDescent="0.2">
      <c r="A1254" s="26"/>
      <c r="B1254" s="22"/>
      <c r="C1254" s="22"/>
      <c r="D1254" s="34" t="str">
        <f>IFERROR(IF(C1254="","",VLOOKUP(C1254,المستفيدين!$B:$C,2,FALSE)),"")</f>
        <v/>
      </c>
      <c r="E1254" s="20"/>
      <c r="F1254" s="34"/>
      <c r="G1254" s="34" t="str">
        <f>IFERROR(IF(C1254="","",VLOOKUP(C1254,المستفيدين!$B:$F,5,FALSE)),"")</f>
        <v/>
      </c>
      <c r="H1254" s="24"/>
      <c r="I1254" s="20"/>
      <c r="J1254" s="20"/>
      <c r="K1254" s="20"/>
      <c r="L1254" s="21"/>
    </row>
    <row r="1255" spans="1:12" x14ac:dyDescent="0.2">
      <c r="A1255" s="26"/>
      <c r="B1255" s="22"/>
      <c r="C1255" s="22"/>
      <c r="D1255" s="34" t="str">
        <f>IFERROR(IF(C1255="","",VLOOKUP(C1255,المستفيدين!$B:$C,2,FALSE)),"")</f>
        <v/>
      </c>
      <c r="E1255" s="20"/>
      <c r="F1255" s="34"/>
      <c r="G1255" s="34" t="str">
        <f>IFERROR(IF(C1255="","",VLOOKUP(C1255,المستفيدين!$B:$F,5,FALSE)),"")</f>
        <v/>
      </c>
      <c r="H1255" s="24"/>
      <c r="I1255" s="20"/>
      <c r="J1255" s="20"/>
      <c r="K1255" s="20"/>
      <c r="L1255" s="21"/>
    </row>
    <row r="1256" spans="1:12" x14ac:dyDescent="0.2">
      <c r="A1256" s="26"/>
      <c r="B1256" s="22"/>
      <c r="C1256" s="22"/>
      <c r="D1256" s="34" t="str">
        <f>IFERROR(IF(C1256="","",VLOOKUP(C1256,المستفيدين!$B:$C,2,FALSE)),"")</f>
        <v/>
      </c>
      <c r="E1256" s="20"/>
      <c r="F1256" s="34"/>
      <c r="G1256" s="34" t="str">
        <f>IFERROR(IF(C1256="","",VLOOKUP(C1256,المستفيدين!$B:$F,5,FALSE)),"")</f>
        <v/>
      </c>
      <c r="H1256" s="24"/>
      <c r="I1256" s="20"/>
      <c r="J1256" s="20"/>
      <c r="K1256" s="20"/>
      <c r="L1256" s="21"/>
    </row>
    <row r="1257" spans="1:12" x14ac:dyDescent="0.2">
      <c r="A1257" s="26"/>
      <c r="B1257" s="22"/>
      <c r="C1257" s="22"/>
      <c r="D1257" s="34" t="str">
        <f>IFERROR(IF(C1257="","",VLOOKUP(C1257,المستفيدين!$B:$C,2,FALSE)),"")</f>
        <v/>
      </c>
      <c r="E1257" s="20"/>
      <c r="F1257" s="34"/>
      <c r="G1257" s="34" t="str">
        <f>IFERROR(IF(C1257="","",VLOOKUP(C1257,المستفيدين!$B:$F,5,FALSE)),"")</f>
        <v/>
      </c>
      <c r="H1257" s="24"/>
      <c r="I1257" s="20"/>
      <c r="J1257" s="20"/>
      <c r="K1257" s="20"/>
      <c r="L1257" s="21"/>
    </row>
    <row r="1258" spans="1:12" x14ac:dyDescent="0.2">
      <c r="A1258" s="26"/>
      <c r="B1258" s="22"/>
      <c r="C1258" s="22"/>
      <c r="D1258" s="34" t="str">
        <f>IFERROR(IF(C1258="","",VLOOKUP(C1258,المستفيدين!$B:$C,2,FALSE)),"")</f>
        <v/>
      </c>
      <c r="E1258" s="20"/>
      <c r="F1258" s="34"/>
      <c r="G1258" s="34" t="str">
        <f>IFERROR(IF(C1258="","",VLOOKUP(C1258,المستفيدين!$B:$F,5,FALSE)),"")</f>
        <v/>
      </c>
      <c r="H1258" s="24"/>
      <c r="I1258" s="20"/>
      <c r="J1258" s="20"/>
      <c r="K1258" s="20"/>
      <c r="L1258" s="21"/>
    </row>
    <row r="1259" spans="1:12" x14ac:dyDescent="0.2">
      <c r="A1259" s="26"/>
      <c r="B1259" s="22"/>
      <c r="C1259" s="22"/>
      <c r="D1259" s="34" t="str">
        <f>IFERROR(IF(C1259="","",VLOOKUP(C1259,المستفيدين!$B:$C,2,FALSE)),"")</f>
        <v/>
      </c>
      <c r="E1259" s="20"/>
      <c r="F1259" s="34"/>
      <c r="G1259" s="34" t="str">
        <f>IFERROR(IF(C1259="","",VLOOKUP(C1259,المستفيدين!$B:$F,5,FALSE)),"")</f>
        <v/>
      </c>
      <c r="H1259" s="24"/>
      <c r="I1259" s="20"/>
      <c r="J1259" s="20"/>
      <c r="K1259" s="20"/>
      <c r="L1259" s="21"/>
    </row>
    <row r="1260" spans="1:12" x14ac:dyDescent="0.2">
      <c r="A1260" s="26"/>
      <c r="B1260" s="22"/>
      <c r="C1260" s="22"/>
      <c r="D1260" s="34" t="str">
        <f>IFERROR(IF(C1260="","",VLOOKUP(C1260,المستفيدين!$B:$C,2,FALSE)),"")</f>
        <v/>
      </c>
      <c r="E1260" s="20"/>
      <c r="F1260" s="34"/>
      <c r="G1260" s="34" t="str">
        <f>IFERROR(IF(C1260="","",VLOOKUP(C1260,المستفيدين!$B:$F,5,FALSE)),"")</f>
        <v/>
      </c>
      <c r="H1260" s="24"/>
      <c r="I1260" s="20"/>
      <c r="J1260" s="20"/>
      <c r="K1260" s="20"/>
      <c r="L1260" s="21"/>
    </row>
    <row r="1261" spans="1:12" x14ac:dyDescent="0.2">
      <c r="A1261" s="26"/>
      <c r="B1261" s="22"/>
      <c r="C1261" s="22"/>
      <c r="D1261" s="34" t="str">
        <f>IFERROR(IF(C1261="","",VLOOKUP(C1261,المستفيدين!$B:$C,2,FALSE)),"")</f>
        <v/>
      </c>
      <c r="E1261" s="20"/>
      <c r="F1261" s="34"/>
      <c r="G1261" s="34" t="str">
        <f>IFERROR(IF(C1261="","",VLOOKUP(C1261,المستفيدين!$B:$F,5,FALSE)),"")</f>
        <v/>
      </c>
      <c r="H1261" s="24"/>
      <c r="I1261" s="20"/>
      <c r="J1261" s="20"/>
      <c r="K1261" s="20"/>
      <c r="L1261" s="21"/>
    </row>
    <row r="1262" spans="1:12" x14ac:dyDescent="0.2">
      <c r="A1262" s="26"/>
      <c r="B1262" s="22"/>
      <c r="C1262" s="22"/>
      <c r="D1262" s="34" t="str">
        <f>IFERROR(IF(C1262="","",VLOOKUP(C1262,المستفيدين!$B:$C,2,FALSE)),"")</f>
        <v/>
      </c>
      <c r="E1262" s="20"/>
      <c r="F1262" s="34"/>
      <c r="G1262" s="34" t="str">
        <f>IFERROR(IF(C1262="","",VLOOKUP(C1262,المستفيدين!$B:$F,5,FALSE)),"")</f>
        <v/>
      </c>
      <c r="H1262" s="24"/>
      <c r="I1262" s="20"/>
      <c r="J1262" s="20"/>
      <c r="K1262" s="20"/>
      <c r="L1262" s="21"/>
    </row>
    <row r="1263" spans="1:12" x14ac:dyDescent="0.2">
      <c r="A1263" s="26"/>
      <c r="B1263" s="22"/>
      <c r="C1263" s="22"/>
      <c r="D1263" s="34" t="str">
        <f>IFERROR(IF(C1263="","",VLOOKUP(C1263,المستفيدين!$B:$C,2,FALSE)),"")</f>
        <v/>
      </c>
      <c r="E1263" s="20"/>
      <c r="F1263" s="34"/>
      <c r="G1263" s="34" t="str">
        <f>IFERROR(IF(C1263="","",VLOOKUP(C1263,المستفيدين!$B:$F,5,FALSE)),"")</f>
        <v/>
      </c>
      <c r="H1263" s="24"/>
      <c r="I1263" s="20"/>
      <c r="J1263" s="20"/>
      <c r="K1263" s="20"/>
      <c r="L1263" s="21"/>
    </row>
    <row r="1264" spans="1:12" x14ac:dyDescent="0.2">
      <c r="A1264" s="26"/>
      <c r="B1264" s="22"/>
      <c r="C1264" s="22"/>
      <c r="D1264" s="34" t="str">
        <f>IFERROR(IF(C1264="","",VLOOKUP(C1264,المستفيدين!$B:$C,2,FALSE)),"")</f>
        <v/>
      </c>
      <c r="E1264" s="20"/>
      <c r="F1264" s="34"/>
      <c r="G1264" s="34" t="str">
        <f>IFERROR(IF(C1264="","",VLOOKUP(C1264,المستفيدين!$B:$F,5,FALSE)),"")</f>
        <v/>
      </c>
      <c r="H1264" s="24"/>
      <c r="I1264" s="20"/>
      <c r="J1264" s="20"/>
      <c r="K1264" s="20"/>
      <c r="L1264" s="21"/>
    </row>
    <row r="1265" spans="1:12" x14ac:dyDescent="0.2">
      <c r="A1265" s="26"/>
      <c r="B1265" s="22"/>
      <c r="C1265" s="22"/>
      <c r="D1265" s="34" t="str">
        <f>IFERROR(IF(C1265="","",VLOOKUP(C1265,المستفيدين!$B:$C,2,FALSE)),"")</f>
        <v/>
      </c>
      <c r="E1265" s="20"/>
      <c r="F1265" s="34"/>
      <c r="G1265" s="34" t="str">
        <f>IFERROR(IF(C1265="","",VLOOKUP(C1265,المستفيدين!$B:$F,5,FALSE)),"")</f>
        <v/>
      </c>
      <c r="H1265" s="24"/>
      <c r="I1265" s="20"/>
      <c r="J1265" s="20"/>
      <c r="K1265" s="20"/>
      <c r="L1265" s="21"/>
    </row>
    <row r="1266" spans="1:12" x14ac:dyDescent="0.2">
      <c r="A1266" s="26"/>
      <c r="B1266" s="22"/>
      <c r="C1266" s="22"/>
      <c r="D1266" s="34" t="str">
        <f>IFERROR(IF(C1266="","",VLOOKUP(C1266,المستفيدين!$B:$C,2,FALSE)),"")</f>
        <v/>
      </c>
      <c r="E1266" s="20"/>
      <c r="F1266" s="34"/>
      <c r="G1266" s="34" t="str">
        <f>IFERROR(IF(C1266="","",VLOOKUP(C1266,المستفيدين!$B:$F,5,FALSE)),"")</f>
        <v/>
      </c>
      <c r="H1266" s="24"/>
      <c r="I1266" s="20"/>
      <c r="J1266" s="20"/>
      <c r="K1266" s="20"/>
      <c r="L1266" s="21"/>
    </row>
    <row r="1267" spans="1:12" x14ac:dyDescent="0.2">
      <c r="A1267" s="26"/>
      <c r="B1267" s="22"/>
      <c r="C1267" s="22"/>
      <c r="D1267" s="34" t="str">
        <f>IFERROR(IF(C1267="","",VLOOKUP(C1267,المستفيدين!$B:$C,2,FALSE)),"")</f>
        <v/>
      </c>
      <c r="E1267" s="20"/>
      <c r="F1267" s="34"/>
      <c r="G1267" s="34" t="str">
        <f>IFERROR(IF(C1267="","",VLOOKUP(C1267,المستفيدين!$B:$F,5,FALSE)),"")</f>
        <v/>
      </c>
      <c r="H1267" s="24"/>
      <c r="I1267" s="20"/>
      <c r="J1267" s="20"/>
      <c r="K1267" s="20"/>
      <c r="L1267" s="21"/>
    </row>
    <row r="1268" spans="1:12" x14ac:dyDescent="0.2">
      <c r="A1268" s="26"/>
      <c r="B1268" s="22"/>
      <c r="C1268" s="22"/>
      <c r="D1268" s="34" t="str">
        <f>IFERROR(IF(C1268="","",VLOOKUP(C1268,المستفيدين!$B:$C,2,FALSE)),"")</f>
        <v/>
      </c>
      <c r="E1268" s="20"/>
      <c r="F1268" s="34"/>
      <c r="G1268" s="34" t="str">
        <f>IFERROR(IF(C1268="","",VLOOKUP(C1268,المستفيدين!$B:$F,5,FALSE)),"")</f>
        <v/>
      </c>
      <c r="H1268" s="24"/>
      <c r="I1268" s="20"/>
      <c r="J1268" s="20"/>
      <c r="K1268" s="20"/>
      <c r="L1268" s="21"/>
    </row>
    <row r="1269" spans="1:12" x14ac:dyDescent="0.2">
      <c r="A1269" s="26"/>
      <c r="B1269" s="22"/>
      <c r="C1269" s="22"/>
      <c r="D1269" s="34" t="str">
        <f>IFERROR(IF(C1269="","",VLOOKUP(C1269,المستفيدين!$B:$C,2,FALSE)),"")</f>
        <v/>
      </c>
      <c r="E1269" s="20"/>
      <c r="F1269" s="34"/>
      <c r="G1269" s="34" t="str">
        <f>IFERROR(IF(C1269="","",VLOOKUP(C1269,المستفيدين!$B:$F,5,FALSE)),"")</f>
        <v/>
      </c>
      <c r="H1269" s="24"/>
      <c r="I1269" s="20"/>
      <c r="J1269" s="20"/>
      <c r="K1269" s="20"/>
      <c r="L1269" s="21"/>
    </row>
    <row r="1270" spans="1:12" x14ac:dyDescent="0.2">
      <c r="A1270" s="26"/>
      <c r="B1270" s="22"/>
      <c r="C1270" s="22"/>
      <c r="D1270" s="34" t="str">
        <f>IFERROR(IF(C1270="","",VLOOKUP(C1270,المستفيدين!$B:$C,2,FALSE)),"")</f>
        <v/>
      </c>
      <c r="E1270" s="20"/>
      <c r="F1270" s="34"/>
      <c r="G1270" s="34" t="str">
        <f>IFERROR(IF(C1270="","",VLOOKUP(C1270,المستفيدين!$B:$F,5,FALSE)),"")</f>
        <v/>
      </c>
      <c r="H1270" s="24"/>
      <c r="I1270" s="20"/>
      <c r="J1270" s="20"/>
      <c r="K1270" s="20"/>
      <c r="L1270" s="21"/>
    </row>
    <row r="1271" spans="1:12" x14ac:dyDescent="0.2">
      <c r="A1271" s="26"/>
      <c r="B1271" s="22"/>
      <c r="C1271" s="22"/>
      <c r="D1271" s="34" t="str">
        <f>IFERROR(IF(C1271="","",VLOOKUP(C1271,المستفيدين!$B:$C,2,FALSE)),"")</f>
        <v/>
      </c>
      <c r="E1271" s="20"/>
      <c r="F1271" s="34"/>
      <c r="G1271" s="34" t="str">
        <f>IFERROR(IF(C1271="","",VLOOKUP(C1271,المستفيدين!$B:$F,5,FALSE)),"")</f>
        <v/>
      </c>
      <c r="H1271" s="24"/>
      <c r="I1271" s="20"/>
      <c r="J1271" s="20"/>
      <c r="K1271" s="20"/>
      <c r="L1271" s="21"/>
    </row>
    <row r="1272" spans="1:12" x14ac:dyDescent="0.2">
      <c r="A1272" s="26"/>
      <c r="B1272" s="22"/>
      <c r="C1272" s="22"/>
      <c r="D1272" s="34" t="str">
        <f>IFERROR(IF(C1272="","",VLOOKUP(C1272,المستفيدين!$B:$C,2,FALSE)),"")</f>
        <v/>
      </c>
      <c r="E1272" s="20"/>
      <c r="F1272" s="34"/>
      <c r="G1272" s="34" t="str">
        <f>IFERROR(IF(C1272="","",VLOOKUP(C1272,المستفيدين!$B:$F,5,FALSE)),"")</f>
        <v/>
      </c>
      <c r="H1272" s="24"/>
      <c r="I1272" s="20"/>
      <c r="J1272" s="20"/>
      <c r="K1272" s="20"/>
      <c r="L1272" s="21"/>
    </row>
    <row r="1273" spans="1:12" x14ac:dyDescent="0.2">
      <c r="A1273" s="26"/>
      <c r="B1273" s="22"/>
      <c r="C1273" s="22"/>
      <c r="D1273" s="34" t="str">
        <f>IFERROR(IF(C1273="","",VLOOKUP(C1273,المستفيدين!$B:$C,2,FALSE)),"")</f>
        <v/>
      </c>
      <c r="E1273" s="20"/>
      <c r="F1273" s="34"/>
      <c r="G1273" s="34" t="str">
        <f>IFERROR(IF(C1273="","",VLOOKUP(C1273,المستفيدين!$B:$F,5,FALSE)),"")</f>
        <v/>
      </c>
      <c r="H1273" s="24"/>
      <c r="I1273" s="20"/>
      <c r="J1273" s="20"/>
      <c r="K1273" s="20"/>
      <c r="L1273" s="21"/>
    </row>
    <row r="1274" spans="1:12" x14ac:dyDescent="0.2">
      <c r="A1274" s="26"/>
      <c r="B1274" s="22"/>
      <c r="C1274" s="22"/>
      <c r="D1274" s="34" t="str">
        <f>IFERROR(IF(C1274="","",VLOOKUP(C1274,المستفيدين!$B:$C,2,FALSE)),"")</f>
        <v/>
      </c>
      <c r="E1274" s="20"/>
      <c r="F1274" s="34"/>
      <c r="G1274" s="34" t="str">
        <f>IFERROR(IF(C1274="","",VLOOKUP(C1274,المستفيدين!$B:$F,5,FALSE)),"")</f>
        <v/>
      </c>
      <c r="H1274" s="24"/>
      <c r="I1274" s="20"/>
      <c r="J1274" s="20"/>
      <c r="K1274" s="20"/>
      <c r="L1274" s="21"/>
    </row>
    <row r="1275" spans="1:12" x14ac:dyDescent="0.2">
      <c r="A1275" s="26"/>
      <c r="B1275" s="22"/>
      <c r="C1275" s="22"/>
      <c r="D1275" s="34" t="str">
        <f>IFERROR(IF(C1275="","",VLOOKUP(C1275,المستفيدين!$B:$C,2,FALSE)),"")</f>
        <v/>
      </c>
      <c r="E1275" s="20"/>
      <c r="F1275" s="34"/>
      <c r="G1275" s="34" t="str">
        <f>IFERROR(IF(C1275="","",VLOOKUP(C1275,المستفيدين!$B:$F,5,FALSE)),"")</f>
        <v/>
      </c>
      <c r="H1275" s="24"/>
      <c r="I1275" s="20"/>
      <c r="J1275" s="20"/>
      <c r="K1275" s="20"/>
      <c r="L1275" s="21"/>
    </row>
    <row r="1276" spans="1:12" x14ac:dyDescent="0.2">
      <c r="A1276" s="26"/>
      <c r="B1276" s="22"/>
      <c r="C1276" s="22"/>
      <c r="D1276" s="34" t="str">
        <f>IFERROR(IF(C1276="","",VLOOKUP(C1276,المستفيدين!$B:$C,2,FALSE)),"")</f>
        <v/>
      </c>
      <c r="E1276" s="20"/>
      <c r="F1276" s="34"/>
      <c r="G1276" s="34" t="str">
        <f>IFERROR(IF(C1276="","",VLOOKUP(C1276,المستفيدين!$B:$F,5,FALSE)),"")</f>
        <v/>
      </c>
      <c r="H1276" s="24"/>
      <c r="I1276" s="20"/>
      <c r="J1276" s="20"/>
      <c r="K1276" s="20"/>
      <c r="L1276" s="21"/>
    </row>
    <row r="1277" spans="1:12" x14ac:dyDescent="0.2">
      <c r="A1277" s="26"/>
      <c r="B1277" s="22"/>
      <c r="C1277" s="22"/>
      <c r="D1277" s="34" t="str">
        <f>IFERROR(IF(C1277="","",VLOOKUP(C1277,المستفيدين!$B:$C,2,FALSE)),"")</f>
        <v/>
      </c>
      <c r="E1277" s="20"/>
      <c r="F1277" s="34"/>
      <c r="G1277" s="34" t="str">
        <f>IFERROR(IF(C1277="","",VLOOKUP(C1277,المستفيدين!$B:$F,5,FALSE)),"")</f>
        <v/>
      </c>
      <c r="H1277" s="24"/>
      <c r="I1277" s="20"/>
      <c r="J1277" s="20"/>
      <c r="K1277" s="20"/>
      <c r="L1277" s="21"/>
    </row>
    <row r="1278" spans="1:12" x14ac:dyDescent="0.2">
      <c r="A1278" s="26"/>
      <c r="B1278" s="22"/>
      <c r="C1278" s="22"/>
      <c r="D1278" s="34" t="str">
        <f>IFERROR(IF(C1278="","",VLOOKUP(C1278,المستفيدين!$B:$C,2,FALSE)),"")</f>
        <v/>
      </c>
      <c r="E1278" s="20"/>
      <c r="F1278" s="34"/>
      <c r="G1278" s="34" t="str">
        <f>IFERROR(IF(C1278="","",VLOOKUP(C1278,المستفيدين!$B:$F,5,FALSE)),"")</f>
        <v/>
      </c>
      <c r="H1278" s="24"/>
      <c r="I1278" s="20"/>
      <c r="J1278" s="20"/>
      <c r="K1278" s="20"/>
      <c r="L1278" s="21"/>
    </row>
    <row r="1279" spans="1:12" x14ac:dyDescent="0.2">
      <c r="A1279" s="26"/>
      <c r="B1279" s="22"/>
      <c r="C1279" s="22"/>
      <c r="D1279" s="34" t="str">
        <f>IFERROR(IF(C1279="","",VLOOKUP(C1279,المستفيدين!$B:$C,2,FALSE)),"")</f>
        <v/>
      </c>
      <c r="E1279" s="20"/>
      <c r="F1279" s="34"/>
      <c r="G1279" s="34" t="str">
        <f>IFERROR(IF(C1279="","",VLOOKUP(C1279,المستفيدين!$B:$F,5,FALSE)),"")</f>
        <v/>
      </c>
      <c r="H1279" s="24"/>
      <c r="I1279" s="20"/>
      <c r="J1279" s="20"/>
      <c r="K1279" s="20"/>
      <c r="L1279" s="21"/>
    </row>
    <row r="1280" spans="1:12" x14ac:dyDescent="0.2">
      <c r="A1280" s="26"/>
      <c r="B1280" s="22"/>
      <c r="C1280" s="22"/>
      <c r="D1280" s="34" t="str">
        <f>IFERROR(IF(C1280="","",VLOOKUP(C1280,المستفيدين!$B:$C,2,FALSE)),"")</f>
        <v/>
      </c>
      <c r="E1280" s="20"/>
      <c r="F1280" s="34"/>
      <c r="G1280" s="34" t="str">
        <f>IFERROR(IF(C1280="","",VLOOKUP(C1280,المستفيدين!$B:$F,5,FALSE)),"")</f>
        <v/>
      </c>
      <c r="H1280" s="24"/>
      <c r="I1280" s="20"/>
      <c r="J1280" s="20"/>
      <c r="K1280" s="20"/>
      <c r="L1280" s="21"/>
    </row>
    <row r="1281" spans="1:12" x14ac:dyDescent="0.2">
      <c r="A1281" s="26"/>
      <c r="B1281" s="22"/>
      <c r="C1281" s="22"/>
      <c r="D1281" s="34" t="str">
        <f>IFERROR(IF(C1281="","",VLOOKUP(C1281,المستفيدين!$B:$C,2,FALSE)),"")</f>
        <v/>
      </c>
      <c r="E1281" s="20"/>
      <c r="F1281" s="34"/>
      <c r="G1281" s="34" t="str">
        <f>IFERROR(IF(C1281="","",VLOOKUP(C1281,المستفيدين!$B:$F,5,FALSE)),"")</f>
        <v/>
      </c>
      <c r="H1281" s="24"/>
      <c r="I1281" s="20"/>
      <c r="J1281" s="20"/>
      <c r="K1281" s="20"/>
      <c r="L1281" s="21"/>
    </row>
    <row r="1282" spans="1:12" x14ac:dyDescent="0.2">
      <c r="A1282" s="26"/>
      <c r="B1282" s="22"/>
      <c r="C1282" s="22"/>
      <c r="D1282" s="34" t="str">
        <f>IFERROR(IF(C1282="","",VLOOKUP(C1282,المستفيدين!$B:$C,2,FALSE)),"")</f>
        <v/>
      </c>
      <c r="E1282" s="20"/>
      <c r="F1282" s="34"/>
      <c r="G1282" s="34" t="str">
        <f>IFERROR(IF(C1282="","",VLOOKUP(C1282,المستفيدين!$B:$F,5,FALSE)),"")</f>
        <v/>
      </c>
      <c r="H1282" s="24"/>
      <c r="I1282" s="20"/>
      <c r="J1282" s="20"/>
      <c r="K1282" s="20"/>
      <c r="L1282" s="21"/>
    </row>
    <row r="1283" spans="1:12" x14ac:dyDescent="0.2">
      <c r="A1283" s="26"/>
      <c r="B1283" s="22"/>
      <c r="C1283" s="22"/>
      <c r="D1283" s="34" t="str">
        <f>IFERROR(IF(C1283="","",VLOOKUP(C1283,المستفيدين!$B:$C,2,FALSE)),"")</f>
        <v/>
      </c>
      <c r="E1283" s="20"/>
      <c r="F1283" s="34"/>
      <c r="G1283" s="34" t="str">
        <f>IFERROR(IF(C1283="","",VLOOKUP(C1283,المستفيدين!$B:$F,5,FALSE)),"")</f>
        <v/>
      </c>
      <c r="H1283" s="24"/>
      <c r="I1283" s="20"/>
      <c r="J1283" s="20"/>
      <c r="K1283" s="20"/>
      <c r="L1283" s="21"/>
    </row>
    <row r="1284" spans="1:12" x14ac:dyDescent="0.2">
      <c r="A1284" s="26"/>
      <c r="B1284" s="22"/>
      <c r="C1284" s="22"/>
      <c r="D1284" s="34" t="str">
        <f>IFERROR(IF(C1284="","",VLOOKUP(C1284,المستفيدين!$B:$C,2,FALSE)),"")</f>
        <v/>
      </c>
      <c r="E1284" s="20"/>
      <c r="F1284" s="34"/>
      <c r="G1284" s="34" t="str">
        <f>IFERROR(IF(C1284="","",VLOOKUP(C1284,المستفيدين!$B:$F,5,FALSE)),"")</f>
        <v/>
      </c>
      <c r="H1284" s="24"/>
      <c r="I1284" s="20"/>
      <c r="J1284" s="20"/>
      <c r="K1284" s="20"/>
      <c r="L1284" s="21"/>
    </row>
    <row r="1285" spans="1:12" x14ac:dyDescent="0.2">
      <c r="A1285" s="26"/>
      <c r="B1285" s="22"/>
      <c r="C1285" s="22"/>
      <c r="D1285" s="34" t="str">
        <f>IFERROR(IF(C1285="","",VLOOKUP(C1285,المستفيدين!$B:$C,2,FALSE)),"")</f>
        <v/>
      </c>
      <c r="E1285" s="20"/>
      <c r="F1285" s="34"/>
      <c r="G1285" s="34" t="str">
        <f>IFERROR(IF(C1285="","",VLOOKUP(C1285,المستفيدين!$B:$F,5,FALSE)),"")</f>
        <v/>
      </c>
      <c r="H1285" s="24"/>
      <c r="I1285" s="20"/>
      <c r="J1285" s="20"/>
      <c r="K1285" s="20"/>
      <c r="L1285" s="21"/>
    </row>
    <row r="1286" spans="1:12" x14ac:dyDescent="0.2">
      <c r="A1286" s="26"/>
      <c r="B1286" s="22"/>
      <c r="C1286" s="22"/>
      <c r="D1286" s="34" t="str">
        <f>IFERROR(IF(C1286="","",VLOOKUP(C1286,المستفيدين!$B:$C,2,FALSE)),"")</f>
        <v/>
      </c>
      <c r="E1286" s="20"/>
      <c r="F1286" s="34"/>
      <c r="G1286" s="34" t="str">
        <f>IFERROR(IF(C1286="","",VLOOKUP(C1286,المستفيدين!$B:$F,5,FALSE)),"")</f>
        <v/>
      </c>
      <c r="H1286" s="24"/>
      <c r="I1286" s="20"/>
      <c r="J1286" s="20"/>
      <c r="K1286" s="20"/>
      <c r="L1286" s="21"/>
    </row>
    <row r="1287" spans="1:12" x14ac:dyDescent="0.2">
      <c r="A1287" s="26"/>
      <c r="B1287" s="22"/>
      <c r="C1287" s="22"/>
      <c r="D1287" s="34" t="str">
        <f>IFERROR(IF(C1287="","",VLOOKUP(C1287,المستفيدين!$B:$C,2,FALSE)),"")</f>
        <v/>
      </c>
      <c r="E1287" s="20"/>
      <c r="F1287" s="34"/>
      <c r="G1287" s="34" t="str">
        <f>IFERROR(IF(C1287="","",VLOOKUP(C1287,المستفيدين!$B:$F,5,FALSE)),"")</f>
        <v/>
      </c>
      <c r="H1287" s="24"/>
      <c r="I1287" s="20"/>
      <c r="J1287" s="20"/>
      <c r="K1287" s="20"/>
      <c r="L1287" s="21"/>
    </row>
    <row r="1288" spans="1:12" x14ac:dyDescent="0.2">
      <c r="A1288" s="26"/>
      <c r="B1288" s="22"/>
      <c r="C1288" s="22"/>
      <c r="D1288" s="34" t="str">
        <f>IFERROR(IF(C1288="","",VLOOKUP(C1288,المستفيدين!$B:$C,2,FALSE)),"")</f>
        <v/>
      </c>
      <c r="E1288" s="20"/>
      <c r="F1288" s="34"/>
      <c r="G1288" s="34" t="str">
        <f>IFERROR(IF(C1288="","",VLOOKUP(C1288,المستفيدين!$B:$F,5,FALSE)),"")</f>
        <v/>
      </c>
      <c r="H1288" s="24"/>
      <c r="I1288" s="20"/>
      <c r="J1288" s="20"/>
      <c r="K1288" s="20"/>
      <c r="L1288" s="21"/>
    </row>
    <row r="1289" spans="1:12" x14ac:dyDescent="0.2">
      <c r="A1289" s="26"/>
      <c r="B1289" s="22"/>
      <c r="C1289" s="22"/>
      <c r="D1289" s="34" t="str">
        <f>IFERROR(IF(C1289="","",VLOOKUP(C1289,المستفيدين!$B:$C,2,FALSE)),"")</f>
        <v/>
      </c>
      <c r="E1289" s="20"/>
      <c r="F1289" s="34"/>
      <c r="G1289" s="34" t="str">
        <f>IFERROR(IF(C1289="","",VLOOKUP(C1289,المستفيدين!$B:$F,5,FALSE)),"")</f>
        <v/>
      </c>
      <c r="H1289" s="24"/>
      <c r="I1289" s="20"/>
      <c r="J1289" s="20"/>
      <c r="K1289" s="20"/>
      <c r="L1289" s="21"/>
    </row>
    <row r="1290" spans="1:12" x14ac:dyDescent="0.2">
      <c r="A1290" s="26"/>
      <c r="B1290" s="22"/>
      <c r="C1290" s="22"/>
      <c r="D1290" s="34" t="str">
        <f>IFERROR(IF(C1290="","",VLOOKUP(C1290,المستفيدين!$B:$C,2,FALSE)),"")</f>
        <v/>
      </c>
      <c r="E1290" s="20"/>
      <c r="F1290" s="34"/>
      <c r="G1290" s="34" t="str">
        <f>IFERROR(IF(C1290="","",VLOOKUP(C1290,المستفيدين!$B:$F,5,FALSE)),"")</f>
        <v/>
      </c>
      <c r="H1290" s="24"/>
      <c r="I1290" s="20"/>
      <c r="J1290" s="20"/>
      <c r="K1290" s="20"/>
      <c r="L1290" s="21"/>
    </row>
    <row r="1291" spans="1:12" x14ac:dyDescent="0.2">
      <c r="A1291" s="26"/>
      <c r="B1291" s="22"/>
      <c r="C1291" s="22"/>
      <c r="D1291" s="34" t="str">
        <f>IFERROR(IF(C1291="","",VLOOKUP(C1291,المستفيدين!$B:$C,2,FALSE)),"")</f>
        <v/>
      </c>
      <c r="E1291" s="20"/>
      <c r="F1291" s="34"/>
      <c r="G1291" s="34" t="str">
        <f>IFERROR(IF(C1291="","",VLOOKUP(C1291,المستفيدين!$B:$F,5,FALSE)),"")</f>
        <v/>
      </c>
      <c r="H1291" s="24"/>
      <c r="I1291" s="20"/>
      <c r="J1291" s="20"/>
      <c r="K1291" s="20"/>
      <c r="L1291" s="21"/>
    </row>
    <row r="1292" spans="1:12" x14ac:dyDescent="0.2">
      <c r="A1292" s="26"/>
      <c r="B1292" s="22"/>
      <c r="C1292" s="22"/>
      <c r="D1292" s="34" t="str">
        <f>IFERROR(IF(C1292="","",VLOOKUP(C1292,المستفيدين!$B:$C,2,FALSE)),"")</f>
        <v/>
      </c>
      <c r="E1292" s="20"/>
      <c r="F1292" s="34"/>
      <c r="G1292" s="34" t="str">
        <f>IFERROR(IF(C1292="","",VLOOKUP(C1292,المستفيدين!$B:$F,5,FALSE)),"")</f>
        <v/>
      </c>
      <c r="H1292" s="24"/>
      <c r="I1292" s="20"/>
      <c r="J1292" s="20"/>
      <c r="K1292" s="20"/>
      <c r="L1292" s="21"/>
    </row>
    <row r="1293" spans="1:12" x14ac:dyDescent="0.2">
      <c r="A1293" s="26"/>
      <c r="B1293" s="22"/>
      <c r="C1293" s="22"/>
      <c r="D1293" s="34" t="str">
        <f>IFERROR(IF(C1293="","",VLOOKUP(C1293,المستفيدين!$B:$C,2,FALSE)),"")</f>
        <v/>
      </c>
      <c r="E1293" s="20"/>
      <c r="F1293" s="34"/>
      <c r="G1293" s="34" t="str">
        <f>IFERROR(IF(C1293="","",VLOOKUP(C1293,المستفيدين!$B:$F,5,FALSE)),"")</f>
        <v/>
      </c>
      <c r="H1293" s="24"/>
      <c r="I1293" s="20"/>
      <c r="J1293" s="20"/>
      <c r="K1293" s="20"/>
      <c r="L1293" s="21"/>
    </row>
    <row r="1294" spans="1:12" x14ac:dyDescent="0.2">
      <c r="A1294" s="26"/>
      <c r="B1294" s="22"/>
      <c r="C1294" s="22"/>
      <c r="D1294" s="34" t="str">
        <f>IFERROR(IF(C1294="","",VLOOKUP(C1294,المستفيدين!$B:$C,2,FALSE)),"")</f>
        <v/>
      </c>
      <c r="E1294" s="20"/>
      <c r="F1294" s="34"/>
      <c r="G1294" s="34" t="str">
        <f>IFERROR(IF(C1294="","",VLOOKUP(C1294,المستفيدين!$B:$F,5,FALSE)),"")</f>
        <v/>
      </c>
      <c r="H1294" s="24"/>
      <c r="I1294" s="20"/>
      <c r="J1294" s="20"/>
      <c r="K1294" s="20"/>
      <c r="L1294" s="21"/>
    </row>
    <row r="1295" spans="1:12" x14ac:dyDescent="0.2">
      <c r="A1295" s="26"/>
      <c r="B1295" s="22"/>
      <c r="C1295" s="22"/>
      <c r="D1295" s="34" t="str">
        <f>IFERROR(IF(C1295="","",VLOOKUP(C1295,المستفيدين!$B:$C,2,FALSE)),"")</f>
        <v/>
      </c>
      <c r="E1295" s="20"/>
      <c r="F1295" s="34"/>
      <c r="G1295" s="34" t="str">
        <f>IFERROR(IF(C1295="","",VLOOKUP(C1295,المستفيدين!$B:$F,5,FALSE)),"")</f>
        <v/>
      </c>
      <c r="H1295" s="24"/>
      <c r="I1295" s="20"/>
      <c r="J1295" s="20"/>
      <c r="K1295" s="20"/>
      <c r="L1295" s="21"/>
    </row>
    <row r="1296" spans="1:12" x14ac:dyDescent="0.2">
      <c r="A1296" s="26"/>
      <c r="B1296" s="22"/>
      <c r="C1296" s="22"/>
      <c r="D1296" s="34" t="str">
        <f>IFERROR(IF(C1296="","",VLOOKUP(C1296,المستفيدين!$B:$C,2,FALSE)),"")</f>
        <v/>
      </c>
      <c r="E1296" s="20"/>
      <c r="F1296" s="34"/>
      <c r="G1296" s="34" t="str">
        <f>IFERROR(IF(C1296="","",VLOOKUP(C1296,المستفيدين!$B:$F,5,FALSE)),"")</f>
        <v/>
      </c>
      <c r="H1296" s="24"/>
      <c r="I1296" s="20"/>
      <c r="J1296" s="20"/>
      <c r="K1296" s="20"/>
      <c r="L1296" s="21"/>
    </row>
    <row r="1297" spans="1:12" x14ac:dyDescent="0.2">
      <c r="A1297" s="26"/>
      <c r="B1297" s="22"/>
      <c r="C1297" s="22"/>
      <c r="D1297" s="34" t="str">
        <f>IFERROR(IF(C1297="","",VLOOKUP(C1297,المستفيدين!$B:$C,2,FALSE)),"")</f>
        <v/>
      </c>
      <c r="E1297" s="20"/>
      <c r="F1297" s="34"/>
      <c r="G1297" s="34" t="str">
        <f>IFERROR(IF(C1297="","",VLOOKUP(C1297,المستفيدين!$B:$F,5,FALSE)),"")</f>
        <v/>
      </c>
      <c r="H1297" s="24"/>
      <c r="I1297" s="20"/>
      <c r="J1297" s="20"/>
      <c r="K1297" s="20"/>
      <c r="L1297" s="21"/>
    </row>
    <row r="1298" spans="1:12" x14ac:dyDescent="0.2">
      <c r="A1298" s="26"/>
      <c r="B1298" s="22"/>
      <c r="C1298" s="22"/>
      <c r="D1298" s="34" t="str">
        <f>IFERROR(IF(C1298="","",VLOOKUP(C1298,المستفيدين!$B:$C,2,FALSE)),"")</f>
        <v/>
      </c>
      <c r="E1298" s="20"/>
      <c r="F1298" s="34"/>
      <c r="G1298" s="34" t="str">
        <f>IFERROR(IF(C1298="","",VLOOKUP(C1298,المستفيدين!$B:$F,5,FALSE)),"")</f>
        <v/>
      </c>
      <c r="H1298" s="24"/>
      <c r="I1298" s="20"/>
      <c r="J1298" s="20"/>
      <c r="K1298" s="20"/>
      <c r="L1298" s="21"/>
    </row>
    <row r="1299" spans="1:12" x14ac:dyDescent="0.2">
      <c r="A1299" s="26"/>
      <c r="B1299" s="22"/>
      <c r="C1299" s="22"/>
      <c r="D1299" s="34" t="str">
        <f>IFERROR(IF(C1299="","",VLOOKUP(C1299,المستفيدين!$B:$C,2,FALSE)),"")</f>
        <v/>
      </c>
      <c r="E1299" s="20"/>
      <c r="F1299" s="34"/>
      <c r="G1299" s="34" t="str">
        <f>IFERROR(IF(C1299="","",VLOOKUP(C1299,المستفيدين!$B:$F,5,FALSE)),"")</f>
        <v/>
      </c>
      <c r="H1299" s="24"/>
      <c r="I1299" s="20"/>
      <c r="J1299" s="20"/>
      <c r="K1299" s="20"/>
      <c r="L1299" s="21"/>
    </row>
    <row r="1300" spans="1:12" x14ac:dyDescent="0.2">
      <c r="A1300" s="26"/>
      <c r="B1300" s="22"/>
      <c r="C1300" s="22"/>
      <c r="D1300" s="34" t="str">
        <f>IFERROR(IF(C1300="","",VLOOKUP(C1300,المستفيدين!$B:$C,2,FALSE)),"")</f>
        <v/>
      </c>
      <c r="E1300" s="20"/>
      <c r="F1300" s="34"/>
      <c r="G1300" s="34" t="str">
        <f>IFERROR(IF(C1300="","",VLOOKUP(C1300,المستفيدين!$B:$F,5,FALSE)),"")</f>
        <v/>
      </c>
      <c r="H1300" s="24"/>
      <c r="I1300" s="20"/>
      <c r="J1300" s="20"/>
      <c r="K1300" s="20"/>
      <c r="L1300" s="21"/>
    </row>
    <row r="1301" spans="1:12" x14ac:dyDescent="0.2">
      <c r="A1301" s="26"/>
      <c r="B1301" s="22"/>
      <c r="C1301" s="22"/>
      <c r="D1301" s="34" t="str">
        <f>IFERROR(IF(C1301="","",VLOOKUP(C1301,المستفيدين!$B:$C,2,FALSE)),"")</f>
        <v/>
      </c>
      <c r="E1301" s="20"/>
      <c r="F1301" s="34"/>
      <c r="G1301" s="34" t="str">
        <f>IFERROR(IF(C1301="","",VLOOKUP(C1301,المستفيدين!$B:$F,5,FALSE)),"")</f>
        <v/>
      </c>
      <c r="H1301" s="24"/>
      <c r="I1301" s="20"/>
      <c r="J1301" s="20"/>
      <c r="K1301" s="20"/>
      <c r="L1301" s="21"/>
    </row>
    <row r="1302" spans="1:12" x14ac:dyDescent="0.2">
      <c r="A1302" s="26"/>
      <c r="B1302" s="22"/>
      <c r="C1302" s="22"/>
      <c r="D1302" s="34" t="str">
        <f>IFERROR(IF(C1302="","",VLOOKUP(C1302,المستفيدين!$B:$C,2,FALSE)),"")</f>
        <v/>
      </c>
      <c r="E1302" s="20"/>
      <c r="F1302" s="34"/>
      <c r="G1302" s="34" t="str">
        <f>IFERROR(IF(C1302="","",VLOOKUP(C1302,المستفيدين!$B:$F,5,FALSE)),"")</f>
        <v/>
      </c>
      <c r="H1302" s="24"/>
      <c r="I1302" s="20"/>
      <c r="J1302" s="20"/>
      <c r="K1302" s="20"/>
      <c r="L1302" s="21"/>
    </row>
    <row r="1303" spans="1:12" x14ac:dyDescent="0.2">
      <c r="A1303" s="26"/>
      <c r="B1303" s="22"/>
      <c r="C1303" s="22"/>
      <c r="D1303" s="34" t="str">
        <f>IFERROR(IF(C1303="","",VLOOKUP(C1303,المستفيدين!$B:$C,2,FALSE)),"")</f>
        <v/>
      </c>
      <c r="E1303" s="20"/>
      <c r="F1303" s="34"/>
      <c r="G1303" s="34" t="str">
        <f>IFERROR(IF(C1303="","",VLOOKUP(C1303,المستفيدين!$B:$F,5,FALSE)),"")</f>
        <v/>
      </c>
      <c r="H1303" s="24"/>
      <c r="I1303" s="20"/>
      <c r="J1303" s="20"/>
      <c r="K1303" s="20"/>
      <c r="L1303" s="21"/>
    </row>
    <row r="1304" spans="1:12" x14ac:dyDescent="0.2">
      <c r="A1304" s="26"/>
      <c r="B1304" s="22"/>
      <c r="C1304" s="22"/>
      <c r="D1304" s="34" t="str">
        <f>IFERROR(IF(C1304="","",VLOOKUP(C1304,المستفيدين!$B:$C,2,FALSE)),"")</f>
        <v/>
      </c>
      <c r="E1304" s="20"/>
      <c r="F1304" s="34"/>
      <c r="G1304" s="34" t="str">
        <f>IFERROR(IF(C1304="","",VLOOKUP(C1304,المستفيدين!$B:$F,5,FALSE)),"")</f>
        <v/>
      </c>
      <c r="H1304" s="24"/>
      <c r="I1304" s="20"/>
      <c r="J1304" s="20"/>
      <c r="K1304" s="20"/>
      <c r="L1304" s="21"/>
    </row>
    <row r="1305" spans="1:12" x14ac:dyDescent="0.2">
      <c r="A1305" s="26"/>
      <c r="B1305" s="22"/>
      <c r="C1305" s="22"/>
      <c r="D1305" s="34" t="str">
        <f>IFERROR(IF(C1305="","",VLOOKUP(C1305,المستفيدين!$B:$C,2,FALSE)),"")</f>
        <v/>
      </c>
      <c r="E1305" s="20"/>
      <c r="F1305" s="34"/>
      <c r="G1305" s="34" t="str">
        <f>IFERROR(IF(C1305="","",VLOOKUP(C1305,المستفيدين!$B:$F,5,FALSE)),"")</f>
        <v/>
      </c>
      <c r="H1305" s="24"/>
      <c r="I1305" s="20"/>
      <c r="J1305" s="20"/>
      <c r="K1305" s="20"/>
      <c r="L1305" s="21"/>
    </row>
    <row r="1306" spans="1:12" x14ac:dyDescent="0.2">
      <c r="A1306" s="26"/>
      <c r="B1306" s="22"/>
      <c r="C1306" s="22"/>
      <c r="D1306" s="34" t="str">
        <f>IFERROR(IF(C1306="","",VLOOKUP(C1306,المستفيدين!$B:$C,2,FALSE)),"")</f>
        <v/>
      </c>
      <c r="E1306" s="20"/>
      <c r="F1306" s="34"/>
      <c r="G1306" s="34" t="str">
        <f>IFERROR(IF(C1306="","",VLOOKUP(C1306,المستفيدين!$B:$F,5,FALSE)),"")</f>
        <v/>
      </c>
      <c r="H1306" s="24"/>
      <c r="I1306" s="20"/>
      <c r="J1306" s="20"/>
      <c r="K1306" s="20"/>
      <c r="L1306" s="21"/>
    </row>
    <row r="1307" spans="1:12" x14ac:dyDescent="0.2">
      <c r="A1307" s="26"/>
      <c r="B1307" s="22"/>
      <c r="C1307" s="22"/>
      <c r="D1307" s="34" t="str">
        <f>IFERROR(IF(C1307="","",VLOOKUP(C1307,المستفيدين!$B:$C,2,FALSE)),"")</f>
        <v/>
      </c>
      <c r="E1307" s="20"/>
      <c r="F1307" s="34"/>
      <c r="G1307" s="34" t="str">
        <f>IFERROR(IF(C1307="","",VLOOKUP(C1307,المستفيدين!$B:$F,5,FALSE)),"")</f>
        <v/>
      </c>
      <c r="H1307" s="24"/>
      <c r="I1307" s="20"/>
      <c r="J1307" s="20"/>
      <c r="K1307" s="20"/>
      <c r="L1307" s="21"/>
    </row>
    <row r="1308" spans="1:12" x14ac:dyDescent="0.2">
      <c r="A1308" s="26"/>
      <c r="B1308" s="22"/>
      <c r="C1308" s="22"/>
      <c r="D1308" s="34" t="str">
        <f>IFERROR(IF(C1308="","",VLOOKUP(C1308,المستفيدين!$B:$C,2,FALSE)),"")</f>
        <v/>
      </c>
      <c r="E1308" s="20"/>
      <c r="F1308" s="34"/>
      <c r="G1308" s="34" t="str">
        <f>IFERROR(IF(C1308="","",VLOOKUP(C1308,المستفيدين!$B:$F,5,FALSE)),"")</f>
        <v/>
      </c>
      <c r="H1308" s="24"/>
      <c r="I1308" s="20"/>
      <c r="J1308" s="20"/>
      <c r="K1308" s="20"/>
      <c r="L1308" s="21"/>
    </row>
    <row r="1309" spans="1:12" x14ac:dyDescent="0.2">
      <c r="A1309" s="26"/>
      <c r="B1309" s="22"/>
      <c r="C1309" s="22"/>
      <c r="D1309" s="34" t="str">
        <f>IFERROR(IF(C1309="","",VLOOKUP(C1309,المستفيدين!$B:$C,2,FALSE)),"")</f>
        <v/>
      </c>
      <c r="E1309" s="20"/>
      <c r="F1309" s="34"/>
      <c r="G1309" s="34" t="str">
        <f>IFERROR(IF(C1309="","",VLOOKUP(C1309,المستفيدين!$B:$F,5,FALSE)),"")</f>
        <v/>
      </c>
      <c r="H1309" s="24"/>
      <c r="I1309" s="20"/>
      <c r="J1309" s="20"/>
      <c r="K1309" s="20"/>
      <c r="L1309" s="21"/>
    </row>
    <row r="1310" spans="1:12" x14ac:dyDescent="0.2">
      <c r="A1310" s="26"/>
      <c r="B1310" s="22"/>
      <c r="C1310" s="22"/>
      <c r="D1310" s="34" t="str">
        <f>IFERROR(IF(C1310="","",VLOOKUP(C1310,المستفيدين!$B:$C,2,FALSE)),"")</f>
        <v/>
      </c>
      <c r="E1310" s="20"/>
      <c r="F1310" s="34"/>
      <c r="G1310" s="34" t="str">
        <f>IFERROR(IF(C1310="","",VLOOKUP(C1310,المستفيدين!$B:$F,5,FALSE)),"")</f>
        <v/>
      </c>
      <c r="H1310" s="24"/>
      <c r="I1310" s="20"/>
      <c r="J1310" s="20"/>
      <c r="K1310" s="20"/>
      <c r="L1310" s="21"/>
    </row>
    <row r="1311" spans="1:12" x14ac:dyDescent="0.2">
      <c r="A1311" s="26"/>
      <c r="B1311" s="22"/>
      <c r="C1311" s="22"/>
      <c r="D1311" s="34" t="str">
        <f>IFERROR(IF(C1311="","",VLOOKUP(C1311,المستفيدين!$B:$C,2,FALSE)),"")</f>
        <v/>
      </c>
      <c r="E1311" s="20"/>
      <c r="F1311" s="34"/>
      <c r="G1311" s="34" t="str">
        <f>IFERROR(IF(C1311="","",VLOOKUP(C1311,المستفيدين!$B:$F,5,FALSE)),"")</f>
        <v/>
      </c>
      <c r="H1311" s="24"/>
      <c r="I1311" s="20"/>
      <c r="J1311" s="20"/>
      <c r="K1311" s="20"/>
      <c r="L1311" s="21"/>
    </row>
    <row r="1312" spans="1:12" x14ac:dyDescent="0.2">
      <c r="A1312" s="26"/>
      <c r="B1312" s="22"/>
      <c r="C1312" s="22"/>
      <c r="D1312" s="34" t="str">
        <f>IFERROR(IF(C1312="","",VLOOKUP(C1312,المستفيدين!$B:$C,2,FALSE)),"")</f>
        <v/>
      </c>
      <c r="E1312" s="20"/>
      <c r="F1312" s="34"/>
      <c r="G1312" s="34" t="str">
        <f>IFERROR(IF(C1312="","",VLOOKUP(C1312,المستفيدين!$B:$F,5,FALSE)),"")</f>
        <v/>
      </c>
      <c r="H1312" s="24"/>
      <c r="I1312" s="20"/>
      <c r="J1312" s="20"/>
      <c r="K1312" s="20"/>
      <c r="L1312" s="21"/>
    </row>
    <row r="1313" spans="1:12" x14ac:dyDescent="0.2">
      <c r="A1313" s="26"/>
      <c r="B1313" s="22"/>
      <c r="C1313" s="22"/>
      <c r="D1313" s="34" t="str">
        <f>IFERROR(IF(C1313="","",VLOOKUP(C1313,المستفيدين!$B:$C,2,FALSE)),"")</f>
        <v/>
      </c>
      <c r="E1313" s="20"/>
      <c r="F1313" s="34"/>
      <c r="G1313" s="34" t="str">
        <f>IFERROR(IF(C1313="","",VLOOKUP(C1313,المستفيدين!$B:$F,5,FALSE)),"")</f>
        <v/>
      </c>
      <c r="H1313" s="24"/>
      <c r="I1313" s="20"/>
      <c r="J1313" s="20"/>
      <c r="K1313" s="20"/>
      <c r="L1313" s="21"/>
    </row>
    <row r="1314" spans="1:12" x14ac:dyDescent="0.2">
      <c r="A1314" s="26"/>
      <c r="B1314" s="22"/>
      <c r="C1314" s="22"/>
      <c r="D1314" s="34" t="str">
        <f>IFERROR(IF(C1314="","",VLOOKUP(C1314,المستفيدين!$B:$C,2,FALSE)),"")</f>
        <v/>
      </c>
      <c r="E1314" s="20"/>
      <c r="F1314" s="34"/>
      <c r="G1314" s="34" t="str">
        <f>IFERROR(IF(C1314="","",VLOOKUP(C1314,المستفيدين!$B:$F,5,FALSE)),"")</f>
        <v/>
      </c>
      <c r="H1314" s="24"/>
      <c r="I1314" s="20"/>
      <c r="J1314" s="20"/>
      <c r="K1314" s="20"/>
      <c r="L1314" s="21"/>
    </row>
    <row r="1315" spans="1:12" x14ac:dyDescent="0.2">
      <c r="A1315" s="26"/>
      <c r="B1315" s="22"/>
      <c r="C1315" s="22"/>
      <c r="D1315" s="34" t="str">
        <f>IFERROR(IF(C1315="","",VLOOKUP(C1315,المستفيدين!$B:$C,2,FALSE)),"")</f>
        <v/>
      </c>
      <c r="E1315" s="20"/>
      <c r="F1315" s="34"/>
      <c r="G1315" s="34" t="str">
        <f>IFERROR(IF(C1315="","",VLOOKUP(C1315,المستفيدين!$B:$F,5,FALSE)),"")</f>
        <v/>
      </c>
      <c r="H1315" s="24"/>
      <c r="I1315" s="20"/>
      <c r="J1315" s="20"/>
      <c r="K1315" s="20"/>
      <c r="L1315" s="21"/>
    </row>
    <row r="1316" spans="1:12" x14ac:dyDescent="0.2">
      <c r="A1316" s="26"/>
      <c r="B1316" s="22"/>
      <c r="C1316" s="22"/>
      <c r="D1316" s="34" t="str">
        <f>IFERROR(IF(C1316="","",VLOOKUP(C1316,المستفيدين!$B:$C,2,FALSE)),"")</f>
        <v/>
      </c>
      <c r="E1316" s="20"/>
      <c r="F1316" s="34"/>
      <c r="G1316" s="34" t="str">
        <f>IFERROR(IF(C1316="","",VLOOKUP(C1316,المستفيدين!$B:$F,5,FALSE)),"")</f>
        <v/>
      </c>
      <c r="H1316" s="24"/>
      <c r="I1316" s="20"/>
      <c r="J1316" s="20"/>
      <c r="K1316" s="20"/>
      <c r="L1316" s="21"/>
    </row>
    <row r="1317" spans="1:12" x14ac:dyDescent="0.2">
      <c r="A1317" s="26"/>
      <c r="B1317" s="22"/>
      <c r="C1317" s="22"/>
      <c r="D1317" s="34" t="str">
        <f>IFERROR(IF(C1317="","",VLOOKUP(C1317,المستفيدين!$B:$C,2,FALSE)),"")</f>
        <v/>
      </c>
      <c r="E1317" s="20"/>
      <c r="F1317" s="34"/>
      <c r="G1317" s="34" t="str">
        <f>IFERROR(IF(C1317="","",VLOOKUP(C1317,المستفيدين!$B:$F,5,FALSE)),"")</f>
        <v/>
      </c>
      <c r="H1317" s="24"/>
      <c r="I1317" s="20"/>
      <c r="J1317" s="20"/>
      <c r="K1317" s="20"/>
      <c r="L1317" s="21"/>
    </row>
    <row r="1318" spans="1:12" x14ac:dyDescent="0.2">
      <c r="A1318" s="26"/>
      <c r="B1318" s="22"/>
      <c r="C1318" s="22"/>
      <c r="D1318" s="34" t="str">
        <f>IFERROR(IF(C1318="","",VLOOKUP(C1318,المستفيدين!$B:$C,2,FALSE)),"")</f>
        <v/>
      </c>
      <c r="E1318" s="20"/>
      <c r="F1318" s="34"/>
      <c r="G1318" s="34" t="str">
        <f>IFERROR(IF(C1318="","",VLOOKUP(C1318,المستفيدين!$B:$F,5,FALSE)),"")</f>
        <v/>
      </c>
      <c r="H1318" s="24"/>
      <c r="I1318" s="20"/>
      <c r="J1318" s="20"/>
      <c r="K1318" s="20"/>
      <c r="L1318" s="21"/>
    </row>
    <row r="1319" spans="1:12" x14ac:dyDescent="0.2">
      <c r="A1319" s="26"/>
      <c r="B1319" s="22"/>
      <c r="C1319" s="22"/>
      <c r="D1319" s="34" t="str">
        <f>IFERROR(IF(C1319="","",VLOOKUP(C1319,المستفيدين!$B:$C,2,FALSE)),"")</f>
        <v/>
      </c>
      <c r="E1319" s="20"/>
      <c r="F1319" s="34"/>
      <c r="G1319" s="34" t="str">
        <f>IFERROR(IF(C1319="","",VLOOKUP(C1319,المستفيدين!$B:$F,5,FALSE)),"")</f>
        <v/>
      </c>
      <c r="H1319" s="24"/>
      <c r="I1319" s="20"/>
      <c r="J1319" s="20"/>
      <c r="K1319" s="20"/>
      <c r="L1319" s="21"/>
    </row>
    <row r="1320" spans="1:12" x14ac:dyDescent="0.2">
      <c r="A1320" s="26"/>
      <c r="B1320" s="22"/>
      <c r="C1320" s="22"/>
      <c r="D1320" s="34" t="str">
        <f>IFERROR(IF(C1320="","",VLOOKUP(C1320,المستفيدين!$B:$C,2,FALSE)),"")</f>
        <v/>
      </c>
      <c r="E1320" s="20"/>
      <c r="F1320" s="34"/>
      <c r="G1320" s="34" t="str">
        <f>IFERROR(IF(C1320="","",VLOOKUP(C1320,المستفيدين!$B:$F,5,FALSE)),"")</f>
        <v/>
      </c>
      <c r="H1320" s="24"/>
      <c r="I1320" s="20"/>
      <c r="J1320" s="20"/>
      <c r="K1320" s="20"/>
      <c r="L1320" s="21"/>
    </row>
    <row r="1321" spans="1:12" x14ac:dyDescent="0.2">
      <c r="A1321" s="26"/>
      <c r="B1321" s="22"/>
      <c r="C1321" s="22"/>
      <c r="D1321" s="34" t="str">
        <f>IFERROR(IF(C1321="","",VLOOKUP(C1321,المستفيدين!$B:$C,2,FALSE)),"")</f>
        <v/>
      </c>
      <c r="E1321" s="20"/>
      <c r="F1321" s="34"/>
      <c r="G1321" s="34" t="str">
        <f>IFERROR(IF(C1321="","",VLOOKUP(C1321,المستفيدين!$B:$F,5,FALSE)),"")</f>
        <v/>
      </c>
      <c r="H1321" s="24"/>
      <c r="I1321" s="20"/>
      <c r="J1321" s="20"/>
      <c r="K1321" s="20"/>
      <c r="L1321" s="21"/>
    </row>
    <row r="1322" spans="1:12" x14ac:dyDescent="0.2">
      <c r="A1322" s="26"/>
      <c r="B1322" s="22"/>
      <c r="C1322" s="22"/>
      <c r="D1322" s="34" t="str">
        <f>IFERROR(IF(C1322="","",VLOOKUP(C1322,المستفيدين!$B:$C,2,FALSE)),"")</f>
        <v/>
      </c>
      <c r="E1322" s="20"/>
      <c r="F1322" s="34"/>
      <c r="G1322" s="34" t="str">
        <f>IFERROR(IF(C1322="","",VLOOKUP(C1322,المستفيدين!$B:$F,5,FALSE)),"")</f>
        <v/>
      </c>
      <c r="H1322" s="24"/>
      <c r="I1322" s="20"/>
      <c r="J1322" s="20"/>
      <c r="K1322" s="20"/>
      <c r="L1322" s="21"/>
    </row>
    <row r="1323" spans="1:12" x14ac:dyDescent="0.2">
      <c r="A1323" s="26"/>
      <c r="B1323" s="22"/>
      <c r="C1323" s="22"/>
      <c r="D1323" s="34" t="str">
        <f>IFERROR(IF(C1323="","",VLOOKUP(C1323,المستفيدين!$B:$C,2,FALSE)),"")</f>
        <v/>
      </c>
      <c r="E1323" s="20"/>
      <c r="F1323" s="34"/>
      <c r="G1323" s="34" t="str">
        <f>IFERROR(IF(C1323="","",VLOOKUP(C1323,المستفيدين!$B:$F,5,FALSE)),"")</f>
        <v/>
      </c>
      <c r="H1323" s="24"/>
      <c r="I1323" s="20"/>
      <c r="J1323" s="20"/>
      <c r="K1323" s="20"/>
      <c r="L1323" s="21"/>
    </row>
    <row r="1324" spans="1:12" x14ac:dyDescent="0.2">
      <c r="A1324" s="26"/>
      <c r="B1324" s="22"/>
      <c r="C1324" s="22"/>
      <c r="D1324" s="34" t="str">
        <f>IFERROR(IF(C1324="","",VLOOKUP(C1324,المستفيدين!$B:$C,2,FALSE)),"")</f>
        <v/>
      </c>
      <c r="E1324" s="20"/>
      <c r="F1324" s="34"/>
      <c r="G1324" s="34" t="str">
        <f>IFERROR(IF(C1324="","",VLOOKUP(C1324,المستفيدين!$B:$F,5,FALSE)),"")</f>
        <v/>
      </c>
      <c r="H1324" s="24"/>
      <c r="I1324" s="20"/>
      <c r="J1324" s="20"/>
      <c r="K1324" s="20"/>
      <c r="L1324" s="21"/>
    </row>
    <row r="1325" spans="1:12" x14ac:dyDescent="0.2">
      <c r="A1325" s="26"/>
      <c r="B1325" s="22"/>
      <c r="C1325" s="22"/>
      <c r="D1325" s="34" t="str">
        <f>IFERROR(IF(C1325="","",VLOOKUP(C1325,المستفيدين!$B:$C,2,FALSE)),"")</f>
        <v/>
      </c>
      <c r="E1325" s="20"/>
      <c r="F1325" s="34"/>
      <c r="G1325" s="34" t="str">
        <f>IFERROR(IF(C1325="","",VLOOKUP(C1325,المستفيدين!$B:$F,5,FALSE)),"")</f>
        <v/>
      </c>
      <c r="H1325" s="24"/>
      <c r="I1325" s="20"/>
      <c r="J1325" s="20"/>
      <c r="K1325" s="20"/>
      <c r="L1325" s="21"/>
    </row>
    <row r="1326" spans="1:12" x14ac:dyDescent="0.2">
      <c r="A1326" s="26"/>
      <c r="B1326" s="22"/>
      <c r="C1326" s="22"/>
      <c r="D1326" s="34" t="str">
        <f>IFERROR(IF(C1326="","",VLOOKUP(C1326,المستفيدين!$B:$C,2,FALSE)),"")</f>
        <v/>
      </c>
      <c r="E1326" s="20"/>
      <c r="F1326" s="34"/>
      <c r="G1326" s="34" t="str">
        <f>IFERROR(IF(C1326="","",VLOOKUP(C1326,المستفيدين!$B:$F,5,FALSE)),"")</f>
        <v/>
      </c>
      <c r="H1326" s="24"/>
      <c r="I1326" s="20"/>
      <c r="J1326" s="20"/>
      <c r="K1326" s="20"/>
      <c r="L1326" s="21"/>
    </row>
    <row r="1327" spans="1:12" x14ac:dyDescent="0.2">
      <c r="A1327" s="26"/>
      <c r="B1327" s="22"/>
      <c r="C1327" s="22"/>
      <c r="D1327" s="34" t="str">
        <f>IFERROR(IF(C1327="","",VLOOKUP(C1327,المستفيدين!$B:$C,2,FALSE)),"")</f>
        <v/>
      </c>
      <c r="E1327" s="20"/>
      <c r="F1327" s="34"/>
      <c r="G1327" s="34" t="str">
        <f>IFERROR(IF(C1327="","",VLOOKUP(C1327,المستفيدين!$B:$F,5,FALSE)),"")</f>
        <v/>
      </c>
      <c r="H1327" s="24"/>
      <c r="I1327" s="20"/>
      <c r="J1327" s="20"/>
      <c r="K1327" s="20"/>
      <c r="L1327" s="21"/>
    </row>
    <row r="1328" spans="1:12" x14ac:dyDescent="0.2">
      <c r="A1328" s="26"/>
      <c r="B1328" s="22"/>
      <c r="C1328" s="22"/>
      <c r="D1328" s="34" t="str">
        <f>IFERROR(IF(C1328="","",VLOOKUP(C1328,المستفيدين!$B:$C,2,FALSE)),"")</f>
        <v/>
      </c>
      <c r="E1328" s="20"/>
      <c r="F1328" s="34"/>
      <c r="G1328" s="34" t="str">
        <f>IFERROR(IF(C1328="","",VLOOKUP(C1328,المستفيدين!$B:$F,5,FALSE)),"")</f>
        <v/>
      </c>
      <c r="H1328" s="24"/>
      <c r="I1328" s="20"/>
      <c r="J1328" s="20"/>
      <c r="K1328" s="20"/>
      <c r="L1328" s="21"/>
    </row>
    <row r="1329" spans="1:12" x14ac:dyDescent="0.2">
      <c r="A1329" s="26"/>
      <c r="B1329" s="22"/>
      <c r="C1329" s="22"/>
      <c r="D1329" s="34" t="str">
        <f>IFERROR(IF(C1329="","",VLOOKUP(C1329,المستفيدين!$B:$C,2,FALSE)),"")</f>
        <v/>
      </c>
      <c r="E1329" s="20"/>
      <c r="F1329" s="34"/>
      <c r="G1329" s="34" t="str">
        <f>IFERROR(IF(C1329="","",VLOOKUP(C1329,المستفيدين!$B:$F,5,FALSE)),"")</f>
        <v/>
      </c>
      <c r="H1329" s="24"/>
      <c r="I1329" s="20"/>
      <c r="J1329" s="20"/>
      <c r="K1329" s="20"/>
      <c r="L1329" s="21"/>
    </row>
    <row r="1330" spans="1:12" x14ac:dyDescent="0.2">
      <c r="A1330" s="26"/>
      <c r="B1330" s="22"/>
      <c r="C1330" s="22"/>
      <c r="D1330" s="34" t="str">
        <f>IFERROR(IF(C1330="","",VLOOKUP(C1330,المستفيدين!$B:$C,2,FALSE)),"")</f>
        <v/>
      </c>
      <c r="E1330" s="20"/>
      <c r="F1330" s="34"/>
      <c r="G1330" s="34" t="str">
        <f>IFERROR(IF(C1330="","",VLOOKUP(C1330,المستفيدين!$B:$F,5,FALSE)),"")</f>
        <v/>
      </c>
      <c r="H1330" s="24"/>
      <c r="I1330" s="20"/>
      <c r="J1330" s="20"/>
      <c r="K1330" s="20"/>
      <c r="L1330" s="21"/>
    </row>
    <row r="1331" spans="1:12" x14ac:dyDescent="0.2">
      <c r="A1331" s="26"/>
      <c r="B1331" s="22"/>
      <c r="C1331" s="22"/>
      <c r="D1331" s="34" t="str">
        <f>IFERROR(IF(C1331="","",VLOOKUP(C1331,المستفيدين!$B:$C,2,FALSE)),"")</f>
        <v/>
      </c>
      <c r="E1331" s="20"/>
      <c r="F1331" s="34"/>
      <c r="G1331" s="34" t="str">
        <f>IFERROR(IF(C1331="","",VLOOKUP(C1331,المستفيدين!$B:$F,5,FALSE)),"")</f>
        <v/>
      </c>
      <c r="H1331" s="24"/>
      <c r="I1331" s="20"/>
      <c r="J1331" s="20"/>
      <c r="K1331" s="20"/>
      <c r="L1331" s="21"/>
    </row>
    <row r="1332" spans="1:12" x14ac:dyDescent="0.2">
      <c r="A1332" s="26"/>
      <c r="B1332" s="22"/>
      <c r="C1332" s="22"/>
      <c r="D1332" s="34" t="str">
        <f>IFERROR(IF(C1332="","",VLOOKUP(C1332,المستفيدين!$B:$C,2,FALSE)),"")</f>
        <v/>
      </c>
      <c r="E1332" s="20"/>
      <c r="F1332" s="34"/>
      <c r="G1332" s="34" t="str">
        <f>IFERROR(IF(C1332="","",VLOOKUP(C1332,المستفيدين!$B:$F,5,FALSE)),"")</f>
        <v/>
      </c>
      <c r="H1332" s="24"/>
      <c r="I1332" s="20"/>
      <c r="J1332" s="20"/>
      <c r="K1332" s="20"/>
      <c r="L1332" s="21"/>
    </row>
    <row r="1333" spans="1:12" x14ac:dyDescent="0.2">
      <c r="A1333" s="26"/>
      <c r="B1333" s="22"/>
      <c r="C1333" s="22"/>
      <c r="D1333" s="34" t="str">
        <f>IFERROR(IF(C1333="","",VLOOKUP(C1333,المستفيدين!$B:$C,2,FALSE)),"")</f>
        <v/>
      </c>
      <c r="E1333" s="20"/>
      <c r="F1333" s="34"/>
      <c r="G1333" s="34" t="str">
        <f>IFERROR(IF(C1333="","",VLOOKUP(C1333,المستفيدين!$B:$F,5,FALSE)),"")</f>
        <v/>
      </c>
      <c r="H1333" s="24"/>
      <c r="I1333" s="20"/>
      <c r="J1333" s="20"/>
      <c r="K1333" s="20"/>
      <c r="L1333" s="21"/>
    </row>
    <row r="1334" spans="1:12" x14ac:dyDescent="0.2">
      <c r="A1334" s="26"/>
      <c r="B1334" s="22"/>
      <c r="C1334" s="22"/>
      <c r="D1334" s="34" t="str">
        <f>IFERROR(IF(C1334="","",VLOOKUP(C1334,المستفيدين!$B:$C,2,FALSE)),"")</f>
        <v/>
      </c>
      <c r="E1334" s="20"/>
      <c r="F1334" s="34"/>
      <c r="G1334" s="34" t="str">
        <f>IFERROR(IF(C1334="","",VLOOKUP(C1334,المستفيدين!$B:$F,5,FALSE)),"")</f>
        <v/>
      </c>
      <c r="H1334" s="24"/>
      <c r="I1334" s="20"/>
      <c r="J1334" s="20"/>
      <c r="K1334" s="20"/>
      <c r="L1334" s="21"/>
    </row>
    <row r="1335" spans="1:12" x14ac:dyDescent="0.2">
      <c r="A1335" s="26"/>
      <c r="B1335" s="22"/>
      <c r="C1335" s="22"/>
      <c r="D1335" s="34" t="str">
        <f>IFERROR(IF(C1335="","",VLOOKUP(C1335,المستفيدين!$B:$C,2,FALSE)),"")</f>
        <v/>
      </c>
      <c r="E1335" s="20"/>
      <c r="F1335" s="34"/>
      <c r="G1335" s="34" t="str">
        <f>IFERROR(IF(C1335="","",VLOOKUP(C1335,المستفيدين!$B:$F,5,FALSE)),"")</f>
        <v/>
      </c>
      <c r="H1335" s="24"/>
      <c r="I1335" s="20"/>
      <c r="J1335" s="20"/>
      <c r="K1335" s="20"/>
      <c r="L1335" s="21"/>
    </row>
    <row r="1336" spans="1:12" x14ac:dyDescent="0.2">
      <c r="A1336" s="26"/>
      <c r="B1336" s="22"/>
      <c r="C1336" s="22"/>
      <c r="D1336" s="34" t="str">
        <f>IFERROR(IF(C1336="","",VLOOKUP(C1336,المستفيدين!$B:$C,2,FALSE)),"")</f>
        <v/>
      </c>
      <c r="E1336" s="20"/>
      <c r="F1336" s="34"/>
      <c r="G1336" s="34" t="str">
        <f>IFERROR(IF(C1336="","",VLOOKUP(C1336,المستفيدين!$B:$F,5,FALSE)),"")</f>
        <v/>
      </c>
      <c r="H1336" s="24"/>
      <c r="I1336" s="20"/>
      <c r="J1336" s="20"/>
      <c r="K1336" s="20"/>
      <c r="L1336" s="21"/>
    </row>
    <row r="1337" spans="1:12" x14ac:dyDescent="0.2">
      <c r="A1337" s="26"/>
      <c r="B1337" s="22"/>
      <c r="C1337" s="22"/>
      <c r="D1337" s="34" t="str">
        <f>IFERROR(IF(C1337="","",VLOOKUP(C1337,المستفيدين!$B:$C,2,FALSE)),"")</f>
        <v/>
      </c>
      <c r="E1337" s="20"/>
      <c r="F1337" s="34"/>
      <c r="G1337" s="34" t="str">
        <f>IFERROR(IF(C1337="","",VLOOKUP(C1337,المستفيدين!$B:$F,5,FALSE)),"")</f>
        <v/>
      </c>
      <c r="H1337" s="24"/>
      <c r="I1337" s="20"/>
      <c r="J1337" s="20"/>
      <c r="K1337" s="20"/>
      <c r="L1337" s="21"/>
    </row>
    <row r="1338" spans="1:12" x14ac:dyDescent="0.2">
      <c r="A1338" s="26"/>
      <c r="B1338" s="22"/>
      <c r="C1338" s="22"/>
      <c r="D1338" s="34" t="str">
        <f>IFERROR(IF(C1338="","",VLOOKUP(C1338,المستفيدين!$B:$C,2,FALSE)),"")</f>
        <v/>
      </c>
      <c r="E1338" s="20"/>
      <c r="F1338" s="34"/>
      <c r="G1338" s="34" t="str">
        <f>IFERROR(IF(C1338="","",VLOOKUP(C1338,المستفيدين!$B:$F,5,FALSE)),"")</f>
        <v/>
      </c>
      <c r="H1338" s="24"/>
      <c r="I1338" s="20"/>
      <c r="J1338" s="20"/>
      <c r="K1338" s="20"/>
      <c r="L1338" s="21"/>
    </row>
    <row r="1339" spans="1:12" x14ac:dyDescent="0.2">
      <c r="A1339" s="26"/>
      <c r="B1339" s="22"/>
      <c r="C1339" s="22"/>
      <c r="D1339" s="34" t="str">
        <f>IFERROR(IF(C1339="","",VLOOKUP(C1339,المستفيدين!$B:$C,2,FALSE)),"")</f>
        <v/>
      </c>
      <c r="E1339" s="20"/>
      <c r="F1339" s="34"/>
      <c r="G1339" s="34" t="str">
        <f>IFERROR(IF(C1339="","",VLOOKUP(C1339,المستفيدين!$B:$F,5,FALSE)),"")</f>
        <v/>
      </c>
      <c r="H1339" s="24"/>
      <c r="I1339" s="20"/>
      <c r="J1339" s="20"/>
      <c r="K1339" s="20"/>
      <c r="L1339" s="21"/>
    </row>
    <row r="1340" spans="1:12" x14ac:dyDescent="0.2">
      <c r="A1340" s="26"/>
      <c r="B1340" s="22"/>
      <c r="C1340" s="22"/>
      <c r="D1340" s="34" t="str">
        <f>IFERROR(IF(C1340="","",VLOOKUP(C1340,المستفيدين!$B:$C,2,FALSE)),"")</f>
        <v/>
      </c>
      <c r="E1340" s="20"/>
      <c r="F1340" s="34"/>
      <c r="G1340" s="34" t="str">
        <f>IFERROR(IF(C1340="","",VLOOKUP(C1340,المستفيدين!$B:$F,5,FALSE)),"")</f>
        <v/>
      </c>
      <c r="H1340" s="24"/>
      <c r="I1340" s="20"/>
      <c r="J1340" s="20"/>
      <c r="K1340" s="20"/>
      <c r="L1340" s="21"/>
    </row>
    <row r="1341" spans="1:12" x14ac:dyDescent="0.2">
      <c r="A1341" s="26"/>
      <c r="B1341" s="22"/>
      <c r="C1341" s="22"/>
      <c r="D1341" s="34" t="str">
        <f>IFERROR(IF(C1341="","",VLOOKUP(C1341,المستفيدين!$B:$C,2,FALSE)),"")</f>
        <v/>
      </c>
      <c r="E1341" s="20"/>
      <c r="F1341" s="34"/>
      <c r="G1341" s="34" t="str">
        <f>IFERROR(IF(C1341="","",VLOOKUP(C1341,المستفيدين!$B:$F,5,FALSE)),"")</f>
        <v/>
      </c>
      <c r="H1341" s="24"/>
      <c r="I1341" s="20"/>
      <c r="J1341" s="20"/>
      <c r="K1341" s="20"/>
      <c r="L1341" s="21"/>
    </row>
    <row r="1342" spans="1:12" x14ac:dyDescent="0.2">
      <c r="A1342" s="26"/>
      <c r="B1342" s="22"/>
      <c r="C1342" s="22"/>
      <c r="D1342" s="34" t="str">
        <f>IFERROR(IF(C1342="","",VLOOKUP(C1342,المستفيدين!$B:$C,2,FALSE)),"")</f>
        <v/>
      </c>
      <c r="E1342" s="20"/>
      <c r="F1342" s="34"/>
      <c r="G1342" s="34" t="str">
        <f>IFERROR(IF(C1342="","",VLOOKUP(C1342,المستفيدين!$B:$F,5,FALSE)),"")</f>
        <v/>
      </c>
      <c r="H1342" s="24"/>
      <c r="I1342" s="20"/>
      <c r="J1342" s="20"/>
      <c r="K1342" s="20"/>
      <c r="L1342" s="21"/>
    </row>
    <row r="1343" spans="1:12" x14ac:dyDescent="0.2">
      <c r="A1343" s="26"/>
      <c r="B1343" s="22"/>
      <c r="C1343" s="22"/>
      <c r="D1343" s="34" t="str">
        <f>IFERROR(IF(C1343="","",VLOOKUP(C1343,المستفيدين!$B:$C,2,FALSE)),"")</f>
        <v/>
      </c>
      <c r="E1343" s="20"/>
      <c r="F1343" s="34"/>
      <c r="G1343" s="34" t="str">
        <f>IFERROR(IF(C1343="","",VLOOKUP(C1343,المستفيدين!$B:$F,5,FALSE)),"")</f>
        <v/>
      </c>
      <c r="H1343" s="24"/>
      <c r="I1343" s="20"/>
      <c r="J1343" s="20"/>
      <c r="K1343" s="20"/>
      <c r="L1343" s="21"/>
    </row>
    <row r="1344" spans="1:12" x14ac:dyDescent="0.2">
      <c r="A1344" s="26"/>
      <c r="B1344" s="22"/>
      <c r="C1344" s="22"/>
      <c r="D1344" s="34" t="str">
        <f>IFERROR(IF(C1344="","",VLOOKUP(C1344,المستفيدين!$B:$C,2,FALSE)),"")</f>
        <v/>
      </c>
      <c r="E1344" s="20"/>
      <c r="F1344" s="34"/>
      <c r="G1344" s="34" t="str">
        <f>IFERROR(IF(C1344="","",VLOOKUP(C1344,المستفيدين!$B:$F,5,FALSE)),"")</f>
        <v/>
      </c>
      <c r="H1344" s="24"/>
      <c r="I1344" s="20"/>
      <c r="J1344" s="20"/>
      <c r="K1344" s="20"/>
      <c r="L1344" s="21"/>
    </row>
    <row r="1345" spans="1:12" x14ac:dyDescent="0.2">
      <c r="A1345" s="26"/>
      <c r="B1345" s="22"/>
      <c r="C1345" s="22"/>
      <c r="D1345" s="34" t="str">
        <f>IFERROR(IF(C1345="","",VLOOKUP(C1345,المستفيدين!$B:$C,2,FALSE)),"")</f>
        <v/>
      </c>
      <c r="E1345" s="20"/>
      <c r="F1345" s="34"/>
      <c r="G1345" s="34" t="str">
        <f>IFERROR(IF(C1345="","",VLOOKUP(C1345,المستفيدين!$B:$F,5,FALSE)),"")</f>
        <v/>
      </c>
      <c r="H1345" s="24"/>
      <c r="I1345" s="20"/>
      <c r="J1345" s="20"/>
      <c r="K1345" s="20"/>
      <c r="L1345" s="21"/>
    </row>
    <row r="1346" spans="1:12" x14ac:dyDescent="0.2">
      <c r="A1346" s="26"/>
      <c r="B1346" s="22"/>
      <c r="C1346" s="22"/>
      <c r="D1346" s="34" t="str">
        <f>IFERROR(IF(C1346="","",VLOOKUP(C1346,المستفيدين!$B:$C,2,FALSE)),"")</f>
        <v/>
      </c>
      <c r="E1346" s="20"/>
      <c r="F1346" s="34"/>
      <c r="G1346" s="34" t="str">
        <f>IFERROR(IF(C1346="","",VLOOKUP(C1346,المستفيدين!$B:$F,5,FALSE)),"")</f>
        <v/>
      </c>
      <c r="H1346" s="24"/>
      <c r="I1346" s="20"/>
      <c r="J1346" s="20"/>
      <c r="K1346" s="20"/>
      <c r="L1346" s="21"/>
    </row>
    <row r="1347" spans="1:12" x14ac:dyDescent="0.2">
      <c r="A1347" s="26"/>
      <c r="B1347" s="22"/>
      <c r="C1347" s="22"/>
      <c r="D1347" s="34" t="str">
        <f>IFERROR(IF(C1347="","",VLOOKUP(C1347,المستفيدين!$B:$C,2,FALSE)),"")</f>
        <v/>
      </c>
      <c r="E1347" s="20"/>
      <c r="F1347" s="34"/>
      <c r="G1347" s="34" t="str">
        <f>IFERROR(IF(C1347="","",VLOOKUP(C1347,المستفيدين!$B:$F,5,FALSE)),"")</f>
        <v/>
      </c>
      <c r="H1347" s="24"/>
      <c r="I1347" s="20"/>
      <c r="J1347" s="20"/>
      <c r="K1347" s="20"/>
      <c r="L1347" s="21"/>
    </row>
    <row r="1348" spans="1:12" x14ac:dyDescent="0.2">
      <c r="A1348" s="26"/>
      <c r="B1348" s="22"/>
      <c r="C1348" s="22"/>
      <c r="D1348" s="34" t="str">
        <f>IFERROR(IF(C1348="","",VLOOKUP(C1348,المستفيدين!$B:$C,2,FALSE)),"")</f>
        <v/>
      </c>
      <c r="E1348" s="20"/>
      <c r="F1348" s="34"/>
      <c r="G1348" s="34" t="str">
        <f>IFERROR(IF(C1348="","",VLOOKUP(C1348,المستفيدين!$B:$F,5,FALSE)),"")</f>
        <v/>
      </c>
      <c r="H1348" s="24"/>
      <c r="I1348" s="20"/>
      <c r="J1348" s="20"/>
      <c r="K1348" s="20"/>
      <c r="L1348" s="21"/>
    </row>
    <row r="1349" spans="1:12" x14ac:dyDescent="0.2">
      <c r="A1349" s="26"/>
      <c r="B1349" s="22"/>
      <c r="C1349" s="22"/>
      <c r="D1349" s="34" t="str">
        <f>IFERROR(IF(C1349="","",VLOOKUP(C1349,المستفيدين!$B:$C,2,FALSE)),"")</f>
        <v/>
      </c>
      <c r="E1349" s="20"/>
      <c r="F1349" s="34"/>
      <c r="G1349" s="34" t="str">
        <f>IFERROR(IF(C1349="","",VLOOKUP(C1349,المستفيدين!$B:$F,5,FALSE)),"")</f>
        <v/>
      </c>
      <c r="H1349" s="24"/>
      <c r="I1349" s="20"/>
      <c r="J1349" s="20"/>
      <c r="K1349" s="20"/>
      <c r="L1349" s="21"/>
    </row>
    <row r="1350" spans="1:12" x14ac:dyDescent="0.2">
      <c r="A1350" s="26"/>
      <c r="B1350" s="22"/>
      <c r="C1350" s="22"/>
      <c r="D1350" s="34" t="str">
        <f>IFERROR(IF(C1350="","",VLOOKUP(C1350,المستفيدين!$B:$C,2,FALSE)),"")</f>
        <v/>
      </c>
      <c r="E1350" s="20"/>
      <c r="F1350" s="34"/>
      <c r="G1350" s="34" t="str">
        <f>IFERROR(IF(C1350="","",VLOOKUP(C1350,المستفيدين!$B:$F,5,FALSE)),"")</f>
        <v/>
      </c>
      <c r="H1350" s="24"/>
      <c r="I1350" s="20"/>
      <c r="J1350" s="20"/>
      <c r="K1350" s="20"/>
      <c r="L1350" s="21"/>
    </row>
    <row r="1351" spans="1:12" x14ac:dyDescent="0.2">
      <c r="A1351" s="26"/>
      <c r="B1351" s="22"/>
      <c r="C1351" s="22"/>
      <c r="D1351" s="34" t="str">
        <f>IFERROR(IF(C1351="","",VLOOKUP(C1351,المستفيدين!$B:$C,2,FALSE)),"")</f>
        <v/>
      </c>
      <c r="E1351" s="20"/>
      <c r="F1351" s="34"/>
      <c r="G1351" s="34" t="str">
        <f>IFERROR(IF(C1351="","",VLOOKUP(C1351,المستفيدين!$B:$F,5,FALSE)),"")</f>
        <v/>
      </c>
      <c r="H1351" s="24"/>
      <c r="I1351" s="20"/>
      <c r="J1351" s="20"/>
      <c r="K1351" s="20"/>
      <c r="L1351" s="21"/>
    </row>
    <row r="1352" spans="1:12" x14ac:dyDescent="0.2">
      <c r="A1352" s="26"/>
      <c r="B1352" s="22"/>
      <c r="C1352" s="22"/>
      <c r="D1352" s="34" t="str">
        <f>IFERROR(IF(C1352="","",VLOOKUP(C1352,المستفيدين!$B:$C,2,FALSE)),"")</f>
        <v/>
      </c>
      <c r="E1352" s="20"/>
      <c r="F1352" s="34"/>
      <c r="G1352" s="34" t="str">
        <f>IFERROR(IF(C1352="","",VLOOKUP(C1352,المستفيدين!$B:$F,5,FALSE)),"")</f>
        <v/>
      </c>
      <c r="H1352" s="24"/>
      <c r="I1352" s="20"/>
      <c r="J1352" s="20"/>
      <c r="K1352" s="20"/>
      <c r="L1352" s="21"/>
    </row>
    <row r="1353" spans="1:12" x14ac:dyDescent="0.2">
      <c r="A1353" s="26"/>
      <c r="B1353" s="22"/>
      <c r="C1353" s="22"/>
      <c r="D1353" s="34" t="str">
        <f>IFERROR(IF(C1353="","",VLOOKUP(C1353,المستفيدين!$B:$C,2,FALSE)),"")</f>
        <v/>
      </c>
      <c r="E1353" s="20"/>
      <c r="F1353" s="34"/>
      <c r="G1353" s="34" t="str">
        <f>IFERROR(IF(C1353="","",VLOOKUP(C1353,المستفيدين!$B:$F,5,FALSE)),"")</f>
        <v/>
      </c>
      <c r="H1353" s="24"/>
      <c r="I1353" s="20"/>
      <c r="J1353" s="20"/>
      <c r="K1353" s="20"/>
      <c r="L1353" s="21"/>
    </row>
    <row r="1354" spans="1:12" x14ac:dyDescent="0.2">
      <c r="A1354" s="26"/>
      <c r="B1354" s="22"/>
      <c r="C1354" s="22"/>
      <c r="D1354" s="34" t="str">
        <f>IFERROR(IF(C1354="","",VLOOKUP(C1354,المستفيدين!$B:$C,2,FALSE)),"")</f>
        <v/>
      </c>
      <c r="E1354" s="20"/>
      <c r="F1354" s="34"/>
      <c r="G1354" s="34" t="str">
        <f>IFERROR(IF(C1354="","",VLOOKUP(C1354,المستفيدين!$B:$F,5,FALSE)),"")</f>
        <v/>
      </c>
      <c r="H1354" s="24"/>
      <c r="I1354" s="20"/>
      <c r="J1354" s="20"/>
      <c r="K1354" s="20"/>
      <c r="L1354" s="21"/>
    </row>
    <row r="1355" spans="1:12" x14ac:dyDescent="0.2">
      <c r="A1355" s="26"/>
      <c r="B1355" s="22"/>
      <c r="C1355" s="22"/>
      <c r="D1355" s="34" t="str">
        <f>IFERROR(IF(C1355="","",VLOOKUP(C1355,المستفيدين!$B:$C,2,FALSE)),"")</f>
        <v/>
      </c>
      <c r="E1355" s="20"/>
      <c r="F1355" s="34"/>
      <c r="G1355" s="34" t="str">
        <f>IFERROR(IF(C1355="","",VLOOKUP(C1355,المستفيدين!$B:$F,5,FALSE)),"")</f>
        <v/>
      </c>
      <c r="H1355" s="24"/>
      <c r="I1355" s="20"/>
      <c r="J1355" s="20"/>
      <c r="K1355" s="20"/>
      <c r="L1355" s="21"/>
    </row>
    <row r="1356" spans="1:12" x14ac:dyDescent="0.2">
      <c r="A1356" s="26"/>
      <c r="B1356" s="22"/>
      <c r="C1356" s="22"/>
      <c r="D1356" s="34" t="str">
        <f>IFERROR(IF(C1356="","",VLOOKUP(C1356,المستفيدين!$B:$C,2,FALSE)),"")</f>
        <v/>
      </c>
      <c r="E1356" s="20"/>
      <c r="F1356" s="34"/>
      <c r="G1356" s="34" t="str">
        <f>IFERROR(IF(C1356="","",VLOOKUP(C1356,المستفيدين!$B:$F,5,FALSE)),"")</f>
        <v/>
      </c>
      <c r="H1356" s="24"/>
      <c r="I1356" s="20"/>
      <c r="J1356" s="20"/>
      <c r="K1356" s="20"/>
      <c r="L1356" s="21"/>
    </row>
    <row r="1357" spans="1:12" x14ac:dyDescent="0.2">
      <c r="A1357" s="26"/>
      <c r="B1357" s="22"/>
      <c r="C1357" s="22"/>
      <c r="D1357" s="34" t="str">
        <f>IFERROR(IF(C1357="","",VLOOKUP(C1357,المستفيدين!$B:$C,2,FALSE)),"")</f>
        <v/>
      </c>
      <c r="E1357" s="20"/>
      <c r="F1357" s="34"/>
      <c r="G1357" s="34" t="str">
        <f>IFERROR(IF(C1357="","",VLOOKUP(C1357,المستفيدين!$B:$F,5,FALSE)),"")</f>
        <v/>
      </c>
      <c r="H1357" s="24"/>
      <c r="I1357" s="20"/>
      <c r="J1357" s="20"/>
      <c r="K1357" s="20"/>
      <c r="L1357" s="21"/>
    </row>
    <row r="1358" spans="1:12" x14ac:dyDescent="0.2">
      <c r="A1358" s="26"/>
      <c r="B1358" s="22"/>
      <c r="C1358" s="22"/>
      <c r="D1358" s="34" t="str">
        <f>IFERROR(IF(C1358="","",VLOOKUP(C1358,المستفيدين!$B:$C,2,FALSE)),"")</f>
        <v/>
      </c>
      <c r="E1358" s="20"/>
      <c r="F1358" s="34"/>
      <c r="G1358" s="34" t="str">
        <f>IFERROR(IF(C1358="","",VLOOKUP(C1358,المستفيدين!$B:$F,5,FALSE)),"")</f>
        <v/>
      </c>
      <c r="H1358" s="24"/>
      <c r="I1358" s="20"/>
      <c r="J1358" s="20"/>
      <c r="K1358" s="20"/>
      <c r="L1358" s="21"/>
    </row>
    <row r="1359" spans="1:12" x14ac:dyDescent="0.2">
      <c r="A1359" s="26"/>
      <c r="B1359" s="22"/>
      <c r="C1359" s="22"/>
      <c r="D1359" s="34" t="str">
        <f>IFERROR(IF(C1359="","",VLOOKUP(C1359,المستفيدين!$B:$C,2,FALSE)),"")</f>
        <v/>
      </c>
      <c r="E1359" s="20"/>
      <c r="F1359" s="34"/>
      <c r="G1359" s="34" t="str">
        <f>IFERROR(IF(C1359="","",VLOOKUP(C1359,المستفيدين!$B:$F,5,FALSE)),"")</f>
        <v/>
      </c>
      <c r="H1359" s="24"/>
      <c r="I1359" s="20"/>
      <c r="J1359" s="20"/>
      <c r="K1359" s="20"/>
      <c r="L1359" s="21"/>
    </row>
    <row r="1360" spans="1:12" x14ac:dyDescent="0.2">
      <c r="A1360" s="26"/>
      <c r="B1360" s="22"/>
      <c r="C1360" s="22"/>
      <c r="D1360" s="34" t="str">
        <f>IFERROR(IF(C1360="","",VLOOKUP(C1360,المستفيدين!$B:$C,2,FALSE)),"")</f>
        <v/>
      </c>
      <c r="E1360" s="20"/>
      <c r="F1360" s="34"/>
      <c r="G1360" s="34" t="str">
        <f>IFERROR(IF(C1360="","",VLOOKUP(C1360,المستفيدين!$B:$F,5,FALSE)),"")</f>
        <v/>
      </c>
      <c r="H1360" s="24"/>
      <c r="I1360" s="20"/>
      <c r="J1360" s="20"/>
      <c r="K1360" s="20"/>
      <c r="L1360" s="21"/>
    </row>
    <row r="1361" spans="1:12" x14ac:dyDescent="0.2">
      <c r="A1361" s="26"/>
      <c r="B1361" s="22"/>
      <c r="C1361" s="22"/>
      <c r="D1361" s="34" t="str">
        <f>IFERROR(IF(C1361="","",VLOOKUP(C1361,المستفيدين!$B:$C,2,FALSE)),"")</f>
        <v/>
      </c>
      <c r="E1361" s="20"/>
      <c r="F1361" s="34"/>
      <c r="G1361" s="34" t="str">
        <f>IFERROR(IF(C1361="","",VLOOKUP(C1361,المستفيدين!$B:$F,5,FALSE)),"")</f>
        <v/>
      </c>
      <c r="H1361" s="24"/>
      <c r="I1361" s="20"/>
      <c r="J1361" s="20"/>
      <c r="K1361" s="20"/>
      <c r="L1361" s="21"/>
    </row>
    <row r="1362" spans="1:12" x14ac:dyDescent="0.2">
      <c r="A1362" s="26"/>
      <c r="B1362" s="22"/>
      <c r="C1362" s="22"/>
      <c r="D1362" s="34" t="str">
        <f>IFERROR(IF(C1362="","",VLOOKUP(C1362,المستفيدين!$B:$C,2,FALSE)),"")</f>
        <v/>
      </c>
      <c r="E1362" s="20"/>
      <c r="F1362" s="34"/>
      <c r="G1362" s="34" t="str">
        <f>IFERROR(IF(C1362="","",VLOOKUP(C1362,المستفيدين!$B:$F,5,FALSE)),"")</f>
        <v/>
      </c>
      <c r="H1362" s="24"/>
      <c r="I1362" s="20"/>
      <c r="J1362" s="20"/>
      <c r="K1362" s="20"/>
      <c r="L1362" s="21"/>
    </row>
    <row r="1363" spans="1:12" x14ac:dyDescent="0.2">
      <c r="A1363" s="26"/>
      <c r="B1363" s="22"/>
      <c r="C1363" s="22"/>
      <c r="D1363" s="34" t="str">
        <f>IFERROR(IF(C1363="","",VLOOKUP(C1363,المستفيدين!$B:$C,2,FALSE)),"")</f>
        <v/>
      </c>
      <c r="E1363" s="20"/>
      <c r="F1363" s="34"/>
      <c r="G1363" s="34" t="str">
        <f>IFERROR(IF(C1363="","",VLOOKUP(C1363,المستفيدين!$B:$F,5,FALSE)),"")</f>
        <v/>
      </c>
      <c r="H1363" s="24"/>
      <c r="I1363" s="20"/>
      <c r="J1363" s="20"/>
      <c r="K1363" s="20"/>
      <c r="L1363" s="21"/>
    </row>
    <row r="1364" spans="1:12" x14ac:dyDescent="0.2">
      <c r="A1364" s="26"/>
      <c r="B1364" s="22"/>
      <c r="C1364" s="22"/>
      <c r="D1364" s="34" t="str">
        <f>IFERROR(IF(C1364="","",VLOOKUP(C1364,المستفيدين!$B:$C,2,FALSE)),"")</f>
        <v/>
      </c>
      <c r="E1364" s="20"/>
      <c r="F1364" s="34"/>
      <c r="G1364" s="34" t="str">
        <f>IFERROR(IF(C1364="","",VLOOKUP(C1364,المستفيدين!$B:$F,5,FALSE)),"")</f>
        <v/>
      </c>
      <c r="H1364" s="24"/>
      <c r="I1364" s="20"/>
      <c r="J1364" s="20"/>
      <c r="K1364" s="20"/>
      <c r="L1364" s="21"/>
    </row>
    <row r="1365" spans="1:12" x14ac:dyDescent="0.2">
      <c r="A1365" s="26"/>
      <c r="B1365" s="22"/>
      <c r="C1365" s="22"/>
      <c r="D1365" s="34" t="str">
        <f>IFERROR(IF(C1365="","",VLOOKUP(C1365,المستفيدين!$B:$C,2,FALSE)),"")</f>
        <v/>
      </c>
      <c r="E1365" s="20"/>
      <c r="F1365" s="34"/>
      <c r="G1365" s="34" t="str">
        <f>IFERROR(IF(C1365="","",VLOOKUP(C1365,المستفيدين!$B:$F,5,FALSE)),"")</f>
        <v/>
      </c>
      <c r="H1365" s="24"/>
      <c r="I1365" s="20"/>
      <c r="J1365" s="20"/>
      <c r="K1365" s="20"/>
      <c r="L1365" s="21"/>
    </row>
    <row r="1366" spans="1:12" x14ac:dyDescent="0.2">
      <c r="A1366" s="26"/>
      <c r="B1366" s="22"/>
      <c r="C1366" s="22"/>
      <c r="D1366" s="34" t="str">
        <f>IFERROR(IF(C1366="","",VLOOKUP(C1366,المستفيدين!$B:$C,2,FALSE)),"")</f>
        <v/>
      </c>
      <c r="E1366" s="20"/>
      <c r="F1366" s="34"/>
      <c r="G1366" s="34" t="str">
        <f>IFERROR(IF(C1366="","",VLOOKUP(C1366,المستفيدين!$B:$F,5,FALSE)),"")</f>
        <v/>
      </c>
      <c r="H1366" s="24"/>
      <c r="I1366" s="20"/>
      <c r="J1366" s="20"/>
      <c r="K1366" s="20"/>
      <c r="L1366" s="21"/>
    </row>
    <row r="1367" spans="1:12" x14ac:dyDescent="0.2">
      <c r="A1367" s="26"/>
      <c r="B1367" s="22"/>
      <c r="C1367" s="22"/>
      <c r="D1367" s="34" t="str">
        <f>IFERROR(IF(C1367="","",VLOOKUP(C1367,المستفيدين!$B:$C,2,FALSE)),"")</f>
        <v/>
      </c>
      <c r="E1367" s="20"/>
      <c r="F1367" s="34"/>
      <c r="G1367" s="34" t="str">
        <f>IFERROR(IF(C1367="","",VLOOKUP(C1367,المستفيدين!$B:$F,5,FALSE)),"")</f>
        <v/>
      </c>
      <c r="H1367" s="24"/>
      <c r="I1367" s="20"/>
      <c r="J1367" s="20"/>
      <c r="K1367" s="20"/>
      <c r="L1367" s="21"/>
    </row>
    <row r="1368" spans="1:12" x14ac:dyDescent="0.2">
      <c r="A1368" s="26"/>
      <c r="B1368" s="22"/>
      <c r="C1368" s="22"/>
      <c r="D1368" s="34" t="str">
        <f>IFERROR(IF(C1368="","",VLOOKUP(C1368,المستفيدين!$B:$C,2,FALSE)),"")</f>
        <v/>
      </c>
      <c r="E1368" s="20"/>
      <c r="F1368" s="34"/>
      <c r="G1368" s="34" t="str">
        <f>IFERROR(IF(C1368="","",VLOOKUP(C1368,المستفيدين!$B:$F,5,FALSE)),"")</f>
        <v/>
      </c>
      <c r="H1368" s="24"/>
      <c r="I1368" s="20"/>
      <c r="J1368" s="20"/>
      <c r="K1368" s="20"/>
      <c r="L1368" s="21"/>
    </row>
    <row r="1369" spans="1:12" x14ac:dyDescent="0.2">
      <c r="A1369" s="26"/>
      <c r="B1369" s="22"/>
      <c r="C1369" s="22"/>
      <c r="D1369" s="34" t="str">
        <f>IFERROR(IF(C1369="","",VLOOKUP(C1369,المستفيدين!$B:$C,2,FALSE)),"")</f>
        <v/>
      </c>
      <c r="E1369" s="20"/>
      <c r="F1369" s="34"/>
      <c r="G1369" s="34" t="str">
        <f>IFERROR(IF(C1369="","",VLOOKUP(C1369,المستفيدين!$B:$F,5,FALSE)),"")</f>
        <v/>
      </c>
      <c r="H1369" s="24"/>
      <c r="I1369" s="20"/>
      <c r="J1369" s="20"/>
      <c r="K1369" s="20"/>
      <c r="L1369" s="21"/>
    </row>
    <row r="1370" spans="1:12" x14ac:dyDescent="0.2">
      <c r="A1370" s="26"/>
      <c r="B1370" s="22"/>
      <c r="C1370" s="22"/>
      <c r="D1370" s="34" t="str">
        <f>IFERROR(IF(C1370="","",VLOOKUP(C1370,المستفيدين!$B:$C,2,FALSE)),"")</f>
        <v/>
      </c>
      <c r="E1370" s="20"/>
      <c r="F1370" s="34"/>
      <c r="G1370" s="34" t="str">
        <f>IFERROR(IF(C1370="","",VLOOKUP(C1370,المستفيدين!$B:$F,5,FALSE)),"")</f>
        <v/>
      </c>
      <c r="H1370" s="24"/>
      <c r="I1370" s="20"/>
      <c r="J1370" s="20"/>
      <c r="K1370" s="20"/>
      <c r="L1370" s="21"/>
    </row>
    <row r="1371" spans="1:12" x14ac:dyDescent="0.2">
      <c r="A1371" s="26"/>
      <c r="B1371" s="22"/>
      <c r="C1371" s="22"/>
      <c r="D1371" s="34" t="str">
        <f>IFERROR(IF(C1371="","",VLOOKUP(C1371,المستفيدين!$B:$C,2,FALSE)),"")</f>
        <v/>
      </c>
      <c r="E1371" s="20"/>
      <c r="F1371" s="34"/>
      <c r="G1371" s="34" t="str">
        <f>IFERROR(IF(C1371="","",VLOOKUP(C1371,المستفيدين!$B:$F,5,FALSE)),"")</f>
        <v/>
      </c>
      <c r="H1371" s="24"/>
      <c r="I1371" s="20"/>
      <c r="J1371" s="20"/>
      <c r="K1371" s="20"/>
      <c r="L1371" s="21"/>
    </row>
    <row r="1372" spans="1:12" x14ac:dyDescent="0.2">
      <c r="A1372" s="26"/>
      <c r="B1372" s="22"/>
      <c r="C1372" s="22"/>
      <c r="D1372" s="34" t="str">
        <f>IFERROR(IF(C1372="","",VLOOKUP(C1372,المستفيدين!$B:$C,2,FALSE)),"")</f>
        <v/>
      </c>
      <c r="E1372" s="20"/>
      <c r="F1372" s="34"/>
      <c r="G1372" s="34" t="str">
        <f>IFERROR(IF(C1372="","",VLOOKUP(C1372,المستفيدين!$B:$F,5,FALSE)),"")</f>
        <v/>
      </c>
      <c r="H1372" s="24"/>
      <c r="I1372" s="20"/>
      <c r="J1372" s="20"/>
      <c r="K1372" s="20"/>
      <c r="L1372" s="21"/>
    </row>
    <row r="1373" spans="1:12" x14ac:dyDescent="0.2">
      <c r="A1373" s="26"/>
      <c r="B1373" s="22"/>
      <c r="C1373" s="22"/>
      <c r="D1373" s="34" t="str">
        <f>IFERROR(IF(C1373="","",VLOOKUP(C1373,المستفيدين!$B:$C,2,FALSE)),"")</f>
        <v/>
      </c>
      <c r="E1373" s="20"/>
      <c r="F1373" s="34"/>
      <c r="G1373" s="34" t="str">
        <f>IFERROR(IF(C1373="","",VLOOKUP(C1373,المستفيدين!$B:$F,5,FALSE)),"")</f>
        <v/>
      </c>
      <c r="H1373" s="24"/>
      <c r="I1373" s="20"/>
      <c r="J1373" s="20"/>
      <c r="K1373" s="20"/>
      <c r="L1373" s="21"/>
    </row>
    <row r="1374" spans="1:12" x14ac:dyDescent="0.2">
      <c r="A1374" s="26"/>
      <c r="B1374" s="22"/>
      <c r="C1374" s="22"/>
      <c r="D1374" s="34" t="str">
        <f>IFERROR(IF(C1374="","",VLOOKUP(C1374,المستفيدين!$B:$C,2,FALSE)),"")</f>
        <v/>
      </c>
      <c r="E1374" s="20"/>
      <c r="F1374" s="34"/>
      <c r="G1374" s="34" t="str">
        <f>IFERROR(IF(C1374="","",VLOOKUP(C1374,المستفيدين!$B:$F,5,FALSE)),"")</f>
        <v/>
      </c>
      <c r="H1374" s="24"/>
      <c r="I1374" s="20"/>
      <c r="J1374" s="20"/>
      <c r="K1374" s="20"/>
      <c r="L1374" s="21"/>
    </row>
    <row r="1375" spans="1:12" x14ac:dyDescent="0.2">
      <c r="A1375" s="26"/>
      <c r="B1375" s="22"/>
      <c r="C1375" s="22"/>
      <c r="D1375" s="34" t="str">
        <f>IFERROR(IF(C1375="","",VLOOKUP(C1375,المستفيدين!$B:$C,2,FALSE)),"")</f>
        <v/>
      </c>
      <c r="E1375" s="20"/>
      <c r="F1375" s="34"/>
      <c r="G1375" s="34" t="str">
        <f>IFERROR(IF(C1375="","",VLOOKUP(C1375,المستفيدين!$B:$F,5,FALSE)),"")</f>
        <v/>
      </c>
      <c r="H1375" s="24"/>
      <c r="I1375" s="20"/>
      <c r="J1375" s="20"/>
      <c r="K1375" s="20"/>
      <c r="L1375" s="21"/>
    </row>
    <row r="1376" spans="1:12" x14ac:dyDescent="0.2">
      <c r="A1376" s="26"/>
      <c r="B1376" s="22"/>
      <c r="C1376" s="22"/>
      <c r="D1376" s="34" t="str">
        <f>IFERROR(IF(C1376="","",VLOOKUP(C1376,المستفيدين!$B:$C,2,FALSE)),"")</f>
        <v/>
      </c>
      <c r="E1376" s="20"/>
      <c r="F1376" s="34"/>
      <c r="G1376" s="34" t="str">
        <f>IFERROR(IF(C1376="","",VLOOKUP(C1376,المستفيدين!$B:$F,5,FALSE)),"")</f>
        <v/>
      </c>
      <c r="H1376" s="24"/>
      <c r="I1376" s="20"/>
      <c r="J1376" s="20"/>
      <c r="K1376" s="20"/>
      <c r="L1376" s="21"/>
    </row>
    <row r="1377" spans="1:12" x14ac:dyDescent="0.2">
      <c r="A1377" s="26"/>
      <c r="B1377" s="22"/>
      <c r="C1377" s="22"/>
      <c r="D1377" s="34" t="str">
        <f>IFERROR(IF(C1377="","",VLOOKUP(C1377,المستفيدين!$B:$C,2,FALSE)),"")</f>
        <v/>
      </c>
      <c r="E1377" s="20"/>
      <c r="F1377" s="34"/>
      <c r="G1377" s="34" t="str">
        <f>IFERROR(IF(C1377="","",VLOOKUP(C1377,المستفيدين!$B:$F,5,FALSE)),"")</f>
        <v/>
      </c>
      <c r="H1377" s="24"/>
      <c r="I1377" s="20"/>
      <c r="J1377" s="20"/>
      <c r="K1377" s="20"/>
      <c r="L1377" s="21"/>
    </row>
    <row r="1378" spans="1:12" x14ac:dyDescent="0.2">
      <c r="A1378" s="26"/>
      <c r="B1378" s="22"/>
      <c r="C1378" s="22"/>
      <c r="D1378" s="34" t="str">
        <f>IFERROR(IF(C1378="","",VLOOKUP(C1378,المستفيدين!$B:$C,2,FALSE)),"")</f>
        <v/>
      </c>
      <c r="E1378" s="20"/>
      <c r="F1378" s="34"/>
      <c r="G1378" s="34" t="str">
        <f>IFERROR(IF(C1378="","",VLOOKUP(C1378,المستفيدين!$B:$F,5,FALSE)),"")</f>
        <v/>
      </c>
      <c r="H1378" s="24"/>
      <c r="I1378" s="20"/>
      <c r="J1378" s="20"/>
      <c r="K1378" s="20"/>
      <c r="L1378" s="21"/>
    </row>
    <row r="1379" spans="1:12" x14ac:dyDescent="0.2">
      <c r="A1379" s="26"/>
      <c r="B1379" s="22"/>
      <c r="C1379" s="22"/>
      <c r="D1379" s="34" t="str">
        <f>IFERROR(IF(C1379="","",VLOOKUP(C1379,المستفيدين!$B:$C,2,FALSE)),"")</f>
        <v/>
      </c>
      <c r="E1379" s="20"/>
      <c r="F1379" s="34"/>
      <c r="G1379" s="34" t="str">
        <f>IFERROR(IF(C1379="","",VLOOKUP(C1379,المستفيدين!$B:$F,5,FALSE)),"")</f>
        <v/>
      </c>
      <c r="H1379" s="24"/>
      <c r="I1379" s="20"/>
      <c r="J1379" s="20"/>
      <c r="K1379" s="20"/>
      <c r="L1379" s="21"/>
    </row>
    <row r="1380" spans="1:12" x14ac:dyDescent="0.2">
      <c r="A1380" s="26"/>
      <c r="B1380" s="22"/>
      <c r="C1380" s="22"/>
      <c r="D1380" s="34" t="str">
        <f>IFERROR(IF(C1380="","",VLOOKUP(C1380,المستفيدين!$B:$C,2,FALSE)),"")</f>
        <v/>
      </c>
      <c r="E1380" s="20"/>
      <c r="F1380" s="34"/>
      <c r="G1380" s="34" t="str">
        <f>IFERROR(IF(C1380="","",VLOOKUP(C1380,المستفيدين!$B:$F,5,FALSE)),"")</f>
        <v/>
      </c>
      <c r="H1380" s="24"/>
      <c r="I1380" s="20"/>
      <c r="J1380" s="20"/>
      <c r="K1380" s="20"/>
      <c r="L1380" s="21"/>
    </row>
    <row r="1381" spans="1:12" x14ac:dyDescent="0.2">
      <c r="A1381" s="26"/>
      <c r="B1381" s="22"/>
      <c r="C1381" s="22"/>
      <c r="D1381" s="34" t="str">
        <f>IFERROR(IF(C1381="","",VLOOKUP(C1381,المستفيدين!$B:$C,2,FALSE)),"")</f>
        <v/>
      </c>
      <c r="E1381" s="20"/>
      <c r="F1381" s="34"/>
      <c r="G1381" s="34" t="str">
        <f>IFERROR(IF(C1381="","",VLOOKUP(C1381,المستفيدين!$B:$F,5,FALSE)),"")</f>
        <v/>
      </c>
      <c r="H1381" s="24"/>
      <c r="I1381" s="20"/>
      <c r="J1381" s="20"/>
      <c r="K1381" s="20"/>
      <c r="L1381" s="21"/>
    </row>
    <row r="1382" spans="1:12" x14ac:dyDescent="0.2">
      <c r="A1382" s="26"/>
      <c r="B1382" s="22"/>
      <c r="C1382" s="22"/>
      <c r="D1382" s="34" t="str">
        <f>IFERROR(IF(C1382="","",VLOOKUP(C1382,المستفيدين!$B:$C,2,FALSE)),"")</f>
        <v/>
      </c>
      <c r="E1382" s="20"/>
      <c r="F1382" s="34"/>
      <c r="G1382" s="34" t="str">
        <f>IFERROR(IF(C1382="","",VLOOKUP(C1382,المستفيدين!$B:$F,5,FALSE)),"")</f>
        <v/>
      </c>
      <c r="H1382" s="24"/>
      <c r="I1382" s="20"/>
      <c r="J1382" s="20"/>
      <c r="K1382" s="20"/>
      <c r="L1382" s="21"/>
    </row>
    <row r="1383" spans="1:12" x14ac:dyDescent="0.2">
      <c r="A1383" s="26"/>
      <c r="B1383" s="22"/>
      <c r="C1383" s="22"/>
      <c r="D1383" s="34" t="str">
        <f>IFERROR(IF(C1383="","",VLOOKUP(C1383,المستفيدين!$B:$C,2,FALSE)),"")</f>
        <v/>
      </c>
      <c r="E1383" s="20"/>
      <c r="F1383" s="34"/>
      <c r="G1383" s="34" t="str">
        <f>IFERROR(IF(C1383="","",VLOOKUP(C1383,المستفيدين!$B:$F,5,FALSE)),"")</f>
        <v/>
      </c>
      <c r="H1383" s="24"/>
      <c r="I1383" s="20"/>
      <c r="J1383" s="20"/>
      <c r="K1383" s="20"/>
      <c r="L1383" s="21"/>
    </row>
    <row r="1384" spans="1:12" x14ac:dyDescent="0.2">
      <c r="A1384" s="26"/>
      <c r="B1384" s="22"/>
      <c r="C1384" s="22"/>
      <c r="D1384" s="34" t="str">
        <f>IFERROR(IF(C1384="","",VLOOKUP(C1384,المستفيدين!$B:$C,2,FALSE)),"")</f>
        <v/>
      </c>
      <c r="E1384" s="20"/>
      <c r="F1384" s="34"/>
      <c r="G1384" s="34" t="str">
        <f>IFERROR(IF(C1384="","",VLOOKUP(C1384,المستفيدين!$B:$F,5,FALSE)),"")</f>
        <v/>
      </c>
      <c r="H1384" s="24"/>
      <c r="I1384" s="20"/>
      <c r="J1384" s="20"/>
      <c r="K1384" s="20"/>
      <c r="L1384" s="21"/>
    </row>
    <row r="1385" spans="1:12" x14ac:dyDescent="0.2">
      <c r="A1385" s="26"/>
      <c r="B1385" s="22"/>
      <c r="C1385" s="22"/>
      <c r="D1385" s="34" t="str">
        <f>IFERROR(IF(C1385="","",VLOOKUP(C1385,المستفيدين!$B:$C,2,FALSE)),"")</f>
        <v/>
      </c>
      <c r="E1385" s="20"/>
      <c r="F1385" s="34"/>
      <c r="G1385" s="34" t="str">
        <f>IFERROR(IF(C1385="","",VLOOKUP(C1385,المستفيدين!$B:$F,5,FALSE)),"")</f>
        <v/>
      </c>
      <c r="H1385" s="24"/>
      <c r="I1385" s="20"/>
      <c r="J1385" s="20"/>
      <c r="K1385" s="20"/>
      <c r="L1385" s="21"/>
    </row>
    <row r="1386" spans="1:12" x14ac:dyDescent="0.2">
      <c r="A1386" s="26"/>
      <c r="B1386" s="22"/>
      <c r="C1386" s="22"/>
      <c r="D1386" s="34" t="str">
        <f>IFERROR(IF(C1386="","",VLOOKUP(C1386,المستفيدين!$B:$C,2,FALSE)),"")</f>
        <v/>
      </c>
      <c r="E1386" s="20"/>
      <c r="F1386" s="34"/>
      <c r="G1386" s="34" t="str">
        <f>IFERROR(IF(C1386="","",VLOOKUP(C1386,المستفيدين!$B:$F,5,FALSE)),"")</f>
        <v/>
      </c>
      <c r="H1386" s="24"/>
      <c r="I1386" s="20"/>
      <c r="J1386" s="20"/>
      <c r="K1386" s="20"/>
      <c r="L1386" s="21"/>
    </row>
    <row r="1387" spans="1:12" x14ac:dyDescent="0.2">
      <c r="A1387" s="26"/>
      <c r="B1387" s="22"/>
      <c r="C1387" s="22"/>
      <c r="D1387" s="34" t="str">
        <f>IFERROR(IF(C1387="","",VLOOKUP(C1387,المستفيدين!$B:$C,2,FALSE)),"")</f>
        <v/>
      </c>
      <c r="E1387" s="20"/>
      <c r="F1387" s="34"/>
      <c r="G1387" s="34" t="str">
        <f>IFERROR(IF(C1387="","",VLOOKUP(C1387,المستفيدين!$B:$F,5,FALSE)),"")</f>
        <v/>
      </c>
      <c r="H1387" s="24"/>
      <c r="I1387" s="20"/>
      <c r="J1387" s="20"/>
      <c r="K1387" s="20"/>
      <c r="L1387" s="21"/>
    </row>
    <row r="1388" spans="1:12" x14ac:dyDescent="0.2">
      <c r="A1388" s="26"/>
      <c r="B1388" s="22"/>
      <c r="C1388" s="22"/>
      <c r="D1388" s="34" t="str">
        <f>IFERROR(IF(C1388="","",VLOOKUP(C1388,المستفيدين!$B:$C,2,FALSE)),"")</f>
        <v/>
      </c>
      <c r="E1388" s="20"/>
      <c r="F1388" s="34"/>
      <c r="G1388" s="34" t="str">
        <f>IFERROR(IF(C1388="","",VLOOKUP(C1388,المستفيدين!$B:$F,5,FALSE)),"")</f>
        <v/>
      </c>
      <c r="H1388" s="24"/>
      <c r="I1388" s="20"/>
      <c r="J1388" s="20"/>
      <c r="K1388" s="20"/>
      <c r="L1388" s="21"/>
    </row>
    <row r="1389" spans="1:12" x14ac:dyDescent="0.2">
      <c r="A1389" s="26"/>
      <c r="B1389" s="22"/>
      <c r="C1389" s="22"/>
      <c r="D1389" s="34" t="str">
        <f>IFERROR(IF(C1389="","",VLOOKUP(C1389,المستفيدين!$B:$C,2,FALSE)),"")</f>
        <v/>
      </c>
      <c r="E1389" s="20"/>
      <c r="F1389" s="34"/>
      <c r="G1389" s="34" t="str">
        <f>IFERROR(IF(C1389="","",VLOOKUP(C1389,المستفيدين!$B:$F,5,FALSE)),"")</f>
        <v/>
      </c>
      <c r="H1389" s="24"/>
      <c r="I1389" s="20"/>
      <c r="J1389" s="20"/>
      <c r="K1389" s="20"/>
      <c r="L1389" s="21"/>
    </row>
    <row r="1390" spans="1:12" x14ac:dyDescent="0.2">
      <c r="A1390" s="26"/>
      <c r="B1390" s="22"/>
      <c r="C1390" s="22"/>
      <c r="D1390" s="34" t="str">
        <f>IFERROR(IF(C1390="","",VLOOKUP(C1390,المستفيدين!$B:$C,2,FALSE)),"")</f>
        <v/>
      </c>
      <c r="E1390" s="20"/>
      <c r="F1390" s="34"/>
      <c r="G1390" s="34" t="str">
        <f>IFERROR(IF(C1390="","",VLOOKUP(C1390,المستفيدين!$B:$F,5,FALSE)),"")</f>
        <v/>
      </c>
      <c r="H1390" s="24"/>
      <c r="I1390" s="20"/>
      <c r="J1390" s="20"/>
      <c r="K1390" s="20"/>
      <c r="L1390" s="21"/>
    </row>
    <row r="1391" spans="1:12" x14ac:dyDescent="0.2">
      <c r="A1391" s="26"/>
      <c r="B1391" s="22"/>
      <c r="C1391" s="22"/>
      <c r="D1391" s="34" t="str">
        <f>IFERROR(IF(C1391="","",VLOOKUP(C1391,المستفيدين!$B:$C,2,FALSE)),"")</f>
        <v/>
      </c>
      <c r="E1391" s="20"/>
      <c r="F1391" s="34"/>
      <c r="G1391" s="34" t="str">
        <f>IFERROR(IF(C1391="","",VLOOKUP(C1391,المستفيدين!$B:$F,5,FALSE)),"")</f>
        <v/>
      </c>
      <c r="H1391" s="24"/>
      <c r="I1391" s="20"/>
      <c r="J1391" s="20"/>
      <c r="K1391" s="20"/>
      <c r="L1391" s="21"/>
    </row>
    <row r="1392" spans="1:12" x14ac:dyDescent="0.2">
      <c r="A1392" s="26"/>
      <c r="B1392" s="22"/>
      <c r="C1392" s="22"/>
      <c r="D1392" s="34" t="str">
        <f>IFERROR(IF(C1392="","",VLOOKUP(C1392,المستفيدين!$B:$C,2,FALSE)),"")</f>
        <v/>
      </c>
      <c r="E1392" s="20"/>
      <c r="F1392" s="34"/>
      <c r="G1392" s="34" t="str">
        <f>IFERROR(IF(C1392="","",VLOOKUP(C1392,المستفيدين!$B:$F,5,FALSE)),"")</f>
        <v/>
      </c>
      <c r="H1392" s="24"/>
      <c r="I1392" s="20"/>
      <c r="J1392" s="20"/>
      <c r="K1392" s="20"/>
      <c r="L1392" s="21"/>
    </row>
    <row r="1393" spans="1:12" x14ac:dyDescent="0.2">
      <c r="A1393" s="26"/>
      <c r="B1393" s="22"/>
      <c r="C1393" s="22"/>
      <c r="D1393" s="34" t="str">
        <f>IFERROR(IF(C1393="","",VLOOKUP(C1393,المستفيدين!$B:$C,2,FALSE)),"")</f>
        <v/>
      </c>
      <c r="E1393" s="20"/>
      <c r="F1393" s="34"/>
      <c r="G1393" s="34" t="str">
        <f>IFERROR(IF(C1393="","",VLOOKUP(C1393,المستفيدين!$B:$F,5,FALSE)),"")</f>
        <v/>
      </c>
      <c r="H1393" s="24"/>
      <c r="I1393" s="20"/>
      <c r="J1393" s="20"/>
      <c r="K1393" s="20"/>
      <c r="L1393" s="21"/>
    </row>
    <row r="1394" spans="1:12" x14ac:dyDescent="0.2">
      <c r="A1394" s="26"/>
      <c r="B1394" s="22"/>
      <c r="C1394" s="22"/>
      <c r="D1394" s="34" t="str">
        <f>IFERROR(IF(C1394="","",VLOOKUP(C1394,المستفيدين!$B:$C,2,FALSE)),"")</f>
        <v/>
      </c>
      <c r="E1394" s="20"/>
      <c r="F1394" s="34"/>
      <c r="G1394" s="34" t="str">
        <f>IFERROR(IF(C1394="","",VLOOKUP(C1394,المستفيدين!$B:$F,5,FALSE)),"")</f>
        <v/>
      </c>
      <c r="H1394" s="24"/>
      <c r="I1394" s="20"/>
      <c r="J1394" s="20"/>
      <c r="K1394" s="20"/>
      <c r="L1394" s="21"/>
    </row>
    <row r="1395" spans="1:12" x14ac:dyDescent="0.2">
      <c r="A1395" s="26"/>
      <c r="B1395" s="22"/>
      <c r="C1395" s="22"/>
      <c r="D1395" s="34" t="str">
        <f>IFERROR(IF(C1395="","",VLOOKUP(C1395,المستفيدين!$B:$C,2,FALSE)),"")</f>
        <v/>
      </c>
      <c r="E1395" s="20"/>
      <c r="F1395" s="34"/>
      <c r="G1395" s="34" t="str">
        <f>IFERROR(IF(C1395="","",VLOOKUP(C1395,المستفيدين!$B:$F,5,FALSE)),"")</f>
        <v/>
      </c>
      <c r="H1395" s="24"/>
      <c r="I1395" s="20"/>
      <c r="J1395" s="20"/>
      <c r="K1395" s="20"/>
      <c r="L1395" s="21"/>
    </row>
    <row r="1396" spans="1:12" x14ac:dyDescent="0.2">
      <c r="A1396" s="26"/>
      <c r="B1396" s="22"/>
      <c r="C1396" s="22"/>
      <c r="D1396" s="34" t="str">
        <f>IFERROR(IF(C1396="","",VLOOKUP(C1396,المستفيدين!$B:$C,2,FALSE)),"")</f>
        <v/>
      </c>
      <c r="E1396" s="20"/>
      <c r="F1396" s="34"/>
      <c r="G1396" s="34" t="str">
        <f>IFERROR(IF(C1396="","",VLOOKUP(C1396,المستفيدين!$B:$F,5,FALSE)),"")</f>
        <v/>
      </c>
      <c r="H1396" s="24"/>
      <c r="I1396" s="20"/>
      <c r="J1396" s="20"/>
      <c r="K1396" s="20"/>
      <c r="L1396" s="21"/>
    </row>
    <row r="1397" spans="1:12" x14ac:dyDescent="0.2">
      <c r="A1397" s="26"/>
      <c r="B1397" s="22"/>
      <c r="C1397" s="22"/>
      <c r="D1397" s="34" t="str">
        <f>IFERROR(IF(C1397="","",VLOOKUP(C1397,المستفيدين!$B:$C,2,FALSE)),"")</f>
        <v/>
      </c>
      <c r="E1397" s="20"/>
      <c r="F1397" s="34"/>
      <c r="G1397" s="34" t="str">
        <f>IFERROR(IF(C1397="","",VLOOKUP(C1397,المستفيدين!$B:$F,5,FALSE)),"")</f>
        <v/>
      </c>
      <c r="H1397" s="24"/>
      <c r="I1397" s="20"/>
      <c r="J1397" s="20"/>
      <c r="K1397" s="20"/>
      <c r="L1397" s="21"/>
    </row>
    <row r="1398" spans="1:12" x14ac:dyDescent="0.2">
      <c r="A1398" s="26"/>
      <c r="B1398" s="22"/>
      <c r="C1398" s="22"/>
      <c r="D1398" s="34" t="str">
        <f>IFERROR(IF(C1398="","",VLOOKUP(C1398,المستفيدين!$B:$C,2,FALSE)),"")</f>
        <v/>
      </c>
      <c r="E1398" s="20"/>
      <c r="F1398" s="34"/>
      <c r="G1398" s="34" t="str">
        <f>IFERROR(IF(C1398="","",VLOOKUP(C1398,المستفيدين!$B:$F,5,FALSE)),"")</f>
        <v/>
      </c>
      <c r="H1398" s="24"/>
      <c r="I1398" s="20"/>
      <c r="J1398" s="20"/>
      <c r="K1398" s="20"/>
      <c r="L1398" s="21"/>
    </row>
    <row r="1399" spans="1:12" x14ac:dyDescent="0.2">
      <c r="A1399" s="26"/>
      <c r="B1399" s="22"/>
      <c r="C1399" s="22"/>
      <c r="D1399" s="34" t="str">
        <f>IFERROR(IF(C1399="","",VLOOKUP(C1399,المستفيدين!$B:$C,2,FALSE)),"")</f>
        <v/>
      </c>
      <c r="E1399" s="20"/>
      <c r="F1399" s="34"/>
      <c r="G1399" s="34" t="str">
        <f>IFERROR(IF(C1399="","",VLOOKUP(C1399,المستفيدين!$B:$F,5,FALSE)),"")</f>
        <v/>
      </c>
      <c r="H1399" s="24"/>
      <c r="I1399" s="20"/>
      <c r="J1399" s="20"/>
      <c r="K1399" s="20"/>
      <c r="L1399" s="21"/>
    </row>
    <row r="1400" spans="1:12" x14ac:dyDescent="0.2">
      <c r="A1400" s="26"/>
      <c r="B1400" s="22"/>
      <c r="C1400" s="22"/>
      <c r="D1400" s="34" t="str">
        <f>IFERROR(IF(C1400="","",VLOOKUP(C1400,المستفيدين!$B:$C,2,FALSE)),"")</f>
        <v/>
      </c>
      <c r="E1400" s="20"/>
      <c r="F1400" s="34"/>
      <c r="G1400" s="34" t="str">
        <f>IFERROR(IF(C1400="","",VLOOKUP(C1400,المستفيدين!$B:$F,5,FALSE)),"")</f>
        <v/>
      </c>
      <c r="H1400" s="24"/>
      <c r="I1400" s="20"/>
      <c r="J1400" s="20"/>
      <c r="K1400" s="20"/>
      <c r="L1400" s="21"/>
    </row>
    <row r="1401" spans="1:12" x14ac:dyDescent="0.2">
      <c r="A1401" s="26"/>
      <c r="B1401" s="22"/>
      <c r="C1401" s="22"/>
      <c r="D1401" s="34" t="str">
        <f>IFERROR(IF(C1401="","",VLOOKUP(C1401,المستفيدين!$B:$C,2,FALSE)),"")</f>
        <v/>
      </c>
      <c r="E1401" s="20"/>
      <c r="F1401" s="34"/>
      <c r="G1401" s="34" t="str">
        <f>IFERROR(IF(C1401="","",VLOOKUP(C1401,المستفيدين!$B:$F,5,FALSE)),"")</f>
        <v/>
      </c>
      <c r="H1401" s="24"/>
      <c r="I1401" s="20"/>
      <c r="J1401" s="20"/>
      <c r="K1401" s="20"/>
      <c r="L1401" s="21"/>
    </row>
    <row r="1402" spans="1:12" x14ac:dyDescent="0.2">
      <c r="A1402" s="26"/>
      <c r="B1402" s="22"/>
      <c r="C1402" s="22"/>
      <c r="D1402" s="34" t="str">
        <f>IFERROR(IF(C1402="","",VLOOKUP(C1402,المستفيدين!$B:$C,2,FALSE)),"")</f>
        <v/>
      </c>
      <c r="E1402" s="20"/>
      <c r="F1402" s="34"/>
      <c r="G1402" s="34" t="str">
        <f>IFERROR(IF(C1402="","",VLOOKUP(C1402,المستفيدين!$B:$F,5,FALSE)),"")</f>
        <v/>
      </c>
      <c r="H1402" s="24"/>
      <c r="I1402" s="20"/>
      <c r="J1402" s="20"/>
      <c r="K1402" s="20"/>
      <c r="L1402" s="21"/>
    </row>
    <row r="1403" spans="1:12" x14ac:dyDescent="0.2">
      <c r="A1403" s="26"/>
      <c r="B1403" s="22"/>
      <c r="C1403" s="22"/>
      <c r="D1403" s="34" t="str">
        <f>IFERROR(IF(C1403="","",VLOOKUP(C1403,المستفيدين!$B:$C,2,FALSE)),"")</f>
        <v/>
      </c>
      <c r="E1403" s="20"/>
      <c r="F1403" s="34"/>
      <c r="G1403" s="34" t="str">
        <f>IFERROR(IF(C1403="","",VLOOKUP(C1403,المستفيدين!$B:$F,5,FALSE)),"")</f>
        <v/>
      </c>
      <c r="H1403" s="24"/>
      <c r="I1403" s="20"/>
      <c r="J1403" s="20"/>
      <c r="K1403" s="20"/>
      <c r="L1403" s="21"/>
    </row>
    <row r="1404" spans="1:12" x14ac:dyDescent="0.2">
      <c r="A1404" s="26"/>
      <c r="B1404" s="22"/>
      <c r="C1404" s="22"/>
      <c r="D1404" s="34" t="str">
        <f>IFERROR(IF(C1404="","",VLOOKUP(C1404,المستفيدين!$B:$C,2,FALSE)),"")</f>
        <v/>
      </c>
      <c r="E1404" s="20"/>
      <c r="F1404" s="34"/>
      <c r="G1404" s="34" t="str">
        <f>IFERROR(IF(C1404="","",VLOOKUP(C1404,المستفيدين!$B:$F,5,FALSE)),"")</f>
        <v/>
      </c>
      <c r="H1404" s="24"/>
      <c r="I1404" s="20"/>
      <c r="J1404" s="20"/>
      <c r="K1404" s="20"/>
      <c r="L1404" s="21"/>
    </row>
    <row r="1405" spans="1:12" x14ac:dyDescent="0.2">
      <c r="A1405" s="26"/>
      <c r="B1405" s="22"/>
      <c r="C1405" s="22"/>
      <c r="D1405" s="34" t="str">
        <f>IFERROR(IF(C1405="","",VLOOKUP(C1405,المستفيدين!$B:$C,2,FALSE)),"")</f>
        <v/>
      </c>
      <c r="E1405" s="20"/>
      <c r="F1405" s="34"/>
      <c r="G1405" s="34" t="str">
        <f>IFERROR(IF(C1405="","",VLOOKUP(C1405,المستفيدين!$B:$F,5,FALSE)),"")</f>
        <v/>
      </c>
      <c r="H1405" s="24"/>
      <c r="I1405" s="20"/>
      <c r="J1405" s="20"/>
      <c r="K1405" s="20"/>
      <c r="L1405" s="21"/>
    </row>
    <row r="1406" spans="1:12" x14ac:dyDescent="0.2">
      <c r="A1406" s="26"/>
      <c r="B1406" s="22"/>
      <c r="C1406" s="22"/>
      <c r="D1406" s="34" t="str">
        <f>IFERROR(IF(C1406="","",VLOOKUP(C1406,المستفيدين!$B:$C,2,FALSE)),"")</f>
        <v/>
      </c>
      <c r="E1406" s="20"/>
      <c r="F1406" s="34"/>
      <c r="G1406" s="34" t="str">
        <f>IFERROR(IF(C1406="","",VLOOKUP(C1406,المستفيدين!$B:$F,5,FALSE)),"")</f>
        <v/>
      </c>
      <c r="H1406" s="24"/>
      <c r="I1406" s="20"/>
      <c r="J1406" s="20"/>
      <c r="K1406" s="20"/>
      <c r="L1406" s="21"/>
    </row>
    <row r="1407" spans="1:12" x14ac:dyDescent="0.2">
      <c r="A1407" s="26"/>
      <c r="B1407" s="22"/>
      <c r="C1407" s="22"/>
      <c r="D1407" s="34" t="str">
        <f>IFERROR(IF(C1407="","",VLOOKUP(C1407,المستفيدين!$B:$C,2,FALSE)),"")</f>
        <v/>
      </c>
      <c r="E1407" s="20"/>
      <c r="F1407" s="34"/>
      <c r="G1407" s="34" t="str">
        <f>IFERROR(IF(C1407="","",VLOOKUP(C1407,المستفيدين!$B:$F,5,FALSE)),"")</f>
        <v/>
      </c>
      <c r="H1407" s="24"/>
      <c r="I1407" s="20"/>
      <c r="J1407" s="20"/>
      <c r="K1407" s="20"/>
      <c r="L1407" s="21"/>
    </row>
    <row r="1408" spans="1:12" x14ac:dyDescent="0.2">
      <c r="A1408" s="26"/>
      <c r="B1408" s="22"/>
      <c r="C1408" s="22"/>
      <c r="D1408" s="34" t="str">
        <f>IFERROR(IF(C1408="","",VLOOKUP(C1408,المستفيدين!$B:$C,2,FALSE)),"")</f>
        <v/>
      </c>
      <c r="E1408" s="20"/>
      <c r="F1408" s="34"/>
      <c r="G1408" s="34" t="str">
        <f>IFERROR(IF(C1408="","",VLOOKUP(C1408,المستفيدين!$B:$F,5,FALSE)),"")</f>
        <v/>
      </c>
      <c r="H1408" s="24"/>
      <c r="I1408" s="20"/>
      <c r="J1408" s="20"/>
      <c r="K1408" s="20"/>
      <c r="L1408" s="21"/>
    </row>
    <row r="1409" spans="1:12" x14ac:dyDescent="0.2">
      <c r="A1409" s="26"/>
      <c r="B1409" s="22"/>
      <c r="C1409" s="22"/>
      <c r="D1409" s="34" t="str">
        <f>IFERROR(IF(C1409="","",VLOOKUP(C1409,المستفيدين!$B:$C,2,FALSE)),"")</f>
        <v/>
      </c>
      <c r="E1409" s="20"/>
      <c r="F1409" s="34"/>
      <c r="G1409" s="34" t="str">
        <f>IFERROR(IF(C1409="","",VLOOKUP(C1409,المستفيدين!$B:$F,5,FALSE)),"")</f>
        <v/>
      </c>
      <c r="H1409" s="24"/>
      <c r="I1409" s="20"/>
      <c r="J1409" s="20"/>
      <c r="K1409" s="20"/>
      <c r="L1409" s="21"/>
    </row>
    <row r="1410" spans="1:12" x14ac:dyDescent="0.2">
      <c r="A1410" s="26"/>
      <c r="B1410" s="22"/>
      <c r="C1410" s="22"/>
      <c r="D1410" s="34" t="str">
        <f>IFERROR(IF(C1410="","",VLOOKUP(C1410,المستفيدين!$B:$C,2,FALSE)),"")</f>
        <v/>
      </c>
      <c r="E1410" s="20"/>
      <c r="F1410" s="34"/>
      <c r="G1410" s="34" t="str">
        <f>IFERROR(IF(C1410="","",VLOOKUP(C1410,المستفيدين!$B:$F,5,FALSE)),"")</f>
        <v/>
      </c>
      <c r="H1410" s="24"/>
      <c r="I1410" s="20"/>
      <c r="J1410" s="20"/>
      <c r="K1410" s="20"/>
      <c r="L1410" s="21"/>
    </row>
    <row r="1411" spans="1:12" x14ac:dyDescent="0.2">
      <c r="A1411" s="26"/>
      <c r="B1411" s="22"/>
      <c r="C1411" s="22"/>
      <c r="D1411" s="34" t="str">
        <f>IFERROR(IF(C1411="","",VLOOKUP(C1411,المستفيدين!$B:$C,2,FALSE)),"")</f>
        <v/>
      </c>
      <c r="E1411" s="20"/>
      <c r="F1411" s="34"/>
      <c r="G1411" s="34" t="str">
        <f>IFERROR(IF(C1411="","",VLOOKUP(C1411,المستفيدين!$B:$F,5,FALSE)),"")</f>
        <v/>
      </c>
      <c r="H1411" s="24"/>
      <c r="I1411" s="20"/>
      <c r="J1411" s="20"/>
      <c r="K1411" s="20"/>
      <c r="L1411" s="21"/>
    </row>
    <row r="1412" spans="1:12" x14ac:dyDescent="0.2">
      <c r="A1412" s="26"/>
      <c r="B1412" s="22"/>
      <c r="C1412" s="22"/>
      <c r="D1412" s="34" t="str">
        <f>IFERROR(IF(C1412="","",VLOOKUP(C1412,المستفيدين!$B:$C,2,FALSE)),"")</f>
        <v/>
      </c>
      <c r="E1412" s="20"/>
      <c r="F1412" s="34"/>
      <c r="G1412" s="34" t="str">
        <f>IFERROR(IF(C1412="","",VLOOKUP(C1412,المستفيدين!$B:$F,5,FALSE)),"")</f>
        <v/>
      </c>
      <c r="H1412" s="24"/>
      <c r="I1412" s="20"/>
      <c r="J1412" s="20"/>
      <c r="K1412" s="20"/>
      <c r="L1412" s="21"/>
    </row>
    <row r="1413" spans="1:12" x14ac:dyDescent="0.2">
      <c r="A1413" s="26"/>
      <c r="B1413" s="22"/>
      <c r="C1413" s="22"/>
      <c r="D1413" s="34" t="str">
        <f>IFERROR(IF(C1413="","",VLOOKUP(C1413,المستفيدين!$B:$C,2,FALSE)),"")</f>
        <v/>
      </c>
      <c r="E1413" s="20"/>
      <c r="F1413" s="34"/>
      <c r="G1413" s="34" t="str">
        <f>IFERROR(IF(C1413="","",VLOOKUP(C1413,المستفيدين!$B:$F,5,FALSE)),"")</f>
        <v/>
      </c>
      <c r="H1413" s="24"/>
      <c r="I1413" s="20"/>
      <c r="J1413" s="20"/>
      <c r="K1413" s="20"/>
      <c r="L1413" s="21"/>
    </row>
    <row r="1414" spans="1:12" x14ac:dyDescent="0.2">
      <c r="A1414" s="26"/>
      <c r="B1414" s="22"/>
      <c r="C1414" s="22"/>
      <c r="D1414" s="34" t="str">
        <f>IFERROR(IF(C1414="","",VLOOKUP(C1414,المستفيدين!$B:$C,2,FALSE)),"")</f>
        <v/>
      </c>
      <c r="E1414" s="20"/>
      <c r="F1414" s="34"/>
      <c r="G1414" s="34" t="str">
        <f>IFERROR(IF(C1414="","",VLOOKUP(C1414,المستفيدين!$B:$F,5,FALSE)),"")</f>
        <v/>
      </c>
      <c r="H1414" s="24"/>
      <c r="I1414" s="20"/>
      <c r="J1414" s="20"/>
      <c r="K1414" s="20"/>
      <c r="L1414" s="21"/>
    </row>
    <row r="1415" spans="1:12" x14ac:dyDescent="0.2">
      <c r="A1415" s="26"/>
      <c r="B1415" s="22"/>
      <c r="C1415" s="22"/>
      <c r="D1415" s="34" t="str">
        <f>IFERROR(IF(C1415="","",VLOOKUP(C1415,المستفيدين!$B:$C,2,FALSE)),"")</f>
        <v/>
      </c>
      <c r="E1415" s="20"/>
      <c r="F1415" s="34"/>
      <c r="G1415" s="34" t="str">
        <f>IFERROR(IF(C1415="","",VLOOKUP(C1415,المستفيدين!$B:$F,5,FALSE)),"")</f>
        <v/>
      </c>
      <c r="H1415" s="24"/>
      <c r="I1415" s="20"/>
      <c r="J1415" s="20"/>
      <c r="K1415" s="20"/>
      <c r="L1415" s="21"/>
    </row>
    <row r="1416" spans="1:12" x14ac:dyDescent="0.2">
      <c r="A1416" s="26"/>
      <c r="B1416" s="22"/>
      <c r="C1416" s="22"/>
      <c r="D1416" s="34" t="str">
        <f>IFERROR(IF(C1416="","",VLOOKUP(C1416,المستفيدين!$B:$C,2,FALSE)),"")</f>
        <v/>
      </c>
      <c r="E1416" s="20"/>
      <c r="F1416" s="34"/>
      <c r="G1416" s="34" t="str">
        <f>IFERROR(IF(C1416="","",VLOOKUP(C1416,المستفيدين!$B:$F,5,FALSE)),"")</f>
        <v/>
      </c>
      <c r="H1416" s="24"/>
      <c r="I1416" s="20"/>
      <c r="J1416" s="20"/>
      <c r="K1416" s="20"/>
      <c r="L1416" s="21"/>
    </row>
    <row r="1417" spans="1:12" x14ac:dyDescent="0.2">
      <c r="A1417" s="26"/>
      <c r="B1417" s="22"/>
      <c r="C1417" s="22"/>
      <c r="D1417" s="34" t="str">
        <f>IFERROR(IF(C1417="","",VLOOKUP(C1417,المستفيدين!$B:$C,2,FALSE)),"")</f>
        <v/>
      </c>
      <c r="E1417" s="20"/>
      <c r="F1417" s="34"/>
      <c r="G1417" s="34" t="str">
        <f>IFERROR(IF(C1417="","",VLOOKUP(C1417,المستفيدين!$B:$F,5,FALSE)),"")</f>
        <v/>
      </c>
      <c r="H1417" s="24"/>
      <c r="I1417" s="20"/>
      <c r="J1417" s="20"/>
      <c r="K1417" s="20"/>
      <c r="L1417" s="21"/>
    </row>
    <row r="1418" spans="1:12" x14ac:dyDescent="0.2">
      <c r="A1418" s="26"/>
      <c r="B1418" s="22"/>
      <c r="C1418" s="22"/>
      <c r="D1418" s="34" t="str">
        <f>IFERROR(IF(C1418="","",VLOOKUP(C1418,المستفيدين!$B:$C,2,FALSE)),"")</f>
        <v/>
      </c>
      <c r="E1418" s="20"/>
      <c r="F1418" s="34"/>
      <c r="G1418" s="34" t="str">
        <f>IFERROR(IF(C1418="","",VLOOKUP(C1418,المستفيدين!$B:$F,5,FALSE)),"")</f>
        <v/>
      </c>
      <c r="H1418" s="24"/>
      <c r="I1418" s="20"/>
      <c r="J1418" s="20"/>
      <c r="K1418" s="20"/>
      <c r="L1418" s="21"/>
    </row>
    <row r="1419" spans="1:12" x14ac:dyDescent="0.2">
      <c r="A1419" s="26"/>
      <c r="B1419" s="22"/>
      <c r="C1419" s="22"/>
      <c r="D1419" s="34" t="str">
        <f>IFERROR(IF(C1419="","",VLOOKUP(C1419,المستفيدين!$B:$C,2,FALSE)),"")</f>
        <v/>
      </c>
      <c r="E1419" s="20"/>
      <c r="F1419" s="34"/>
      <c r="G1419" s="34" t="str">
        <f>IFERROR(IF(C1419="","",VLOOKUP(C1419,المستفيدين!$B:$F,5,FALSE)),"")</f>
        <v/>
      </c>
      <c r="H1419" s="24"/>
      <c r="I1419" s="20"/>
      <c r="J1419" s="20"/>
      <c r="K1419" s="20"/>
      <c r="L1419" s="21"/>
    </row>
    <row r="1420" spans="1:12" x14ac:dyDescent="0.2">
      <c r="A1420" s="26"/>
      <c r="B1420" s="22"/>
      <c r="C1420" s="22"/>
      <c r="D1420" s="34" t="str">
        <f>IFERROR(IF(C1420="","",VLOOKUP(C1420,المستفيدين!$B:$C,2,FALSE)),"")</f>
        <v/>
      </c>
      <c r="E1420" s="20"/>
      <c r="F1420" s="34"/>
      <c r="G1420" s="34" t="str">
        <f>IFERROR(IF(C1420="","",VLOOKUP(C1420,المستفيدين!$B:$F,5,FALSE)),"")</f>
        <v/>
      </c>
      <c r="H1420" s="24"/>
      <c r="I1420" s="20"/>
      <c r="J1420" s="20"/>
      <c r="K1420" s="20"/>
      <c r="L1420" s="21"/>
    </row>
    <row r="1421" spans="1:12" x14ac:dyDescent="0.2">
      <c r="A1421" s="26"/>
      <c r="B1421" s="22"/>
      <c r="C1421" s="22"/>
      <c r="D1421" s="34" t="str">
        <f>IFERROR(IF(C1421="","",VLOOKUP(C1421,المستفيدين!$B:$C,2,FALSE)),"")</f>
        <v/>
      </c>
      <c r="E1421" s="20"/>
      <c r="F1421" s="34"/>
      <c r="G1421" s="34" t="str">
        <f>IFERROR(IF(C1421="","",VLOOKUP(C1421,المستفيدين!$B:$F,5,FALSE)),"")</f>
        <v/>
      </c>
      <c r="H1421" s="24"/>
      <c r="I1421" s="20"/>
      <c r="J1421" s="20"/>
      <c r="K1421" s="20"/>
      <c r="L1421" s="21"/>
    </row>
    <row r="1422" spans="1:12" x14ac:dyDescent="0.2">
      <c r="A1422" s="26"/>
      <c r="B1422" s="22"/>
      <c r="C1422" s="22"/>
      <c r="D1422" s="34" t="str">
        <f>IFERROR(IF(C1422="","",VLOOKUP(C1422,المستفيدين!$B:$C,2,FALSE)),"")</f>
        <v/>
      </c>
      <c r="E1422" s="20"/>
      <c r="F1422" s="34"/>
      <c r="G1422" s="34" t="str">
        <f>IFERROR(IF(C1422="","",VLOOKUP(C1422,المستفيدين!$B:$F,5,FALSE)),"")</f>
        <v/>
      </c>
      <c r="H1422" s="24"/>
      <c r="I1422" s="20"/>
      <c r="J1422" s="20"/>
      <c r="K1422" s="20"/>
      <c r="L1422" s="21"/>
    </row>
    <row r="1423" spans="1:12" x14ac:dyDescent="0.2">
      <c r="A1423" s="26"/>
      <c r="B1423" s="22"/>
      <c r="C1423" s="22"/>
      <c r="D1423" s="34" t="str">
        <f>IFERROR(IF(C1423="","",VLOOKUP(C1423,المستفيدين!$B:$C,2,FALSE)),"")</f>
        <v/>
      </c>
      <c r="E1423" s="20"/>
      <c r="F1423" s="34"/>
      <c r="G1423" s="34" t="str">
        <f>IFERROR(IF(C1423="","",VLOOKUP(C1423,المستفيدين!$B:$F,5,FALSE)),"")</f>
        <v/>
      </c>
      <c r="H1423" s="24"/>
      <c r="I1423" s="20"/>
      <c r="J1423" s="20"/>
      <c r="K1423" s="20"/>
      <c r="L1423" s="21"/>
    </row>
    <row r="1424" spans="1:12" x14ac:dyDescent="0.2">
      <c r="A1424" s="26"/>
      <c r="B1424" s="22"/>
      <c r="C1424" s="22"/>
      <c r="D1424" s="34" t="str">
        <f>IFERROR(IF(C1424="","",VLOOKUP(C1424,المستفيدين!$B:$C,2,FALSE)),"")</f>
        <v/>
      </c>
      <c r="E1424" s="20"/>
      <c r="F1424" s="34"/>
      <c r="G1424" s="34" t="str">
        <f>IFERROR(IF(C1424="","",VLOOKUP(C1424,المستفيدين!$B:$F,5,FALSE)),"")</f>
        <v/>
      </c>
      <c r="H1424" s="24"/>
      <c r="I1424" s="20"/>
      <c r="J1424" s="20"/>
      <c r="K1424" s="20"/>
      <c r="L1424" s="21"/>
    </row>
    <row r="1425" spans="1:12" x14ac:dyDescent="0.2">
      <c r="A1425" s="26"/>
      <c r="B1425" s="22"/>
      <c r="C1425" s="22"/>
      <c r="D1425" s="34" t="str">
        <f>IFERROR(IF(C1425="","",VLOOKUP(C1425,المستفيدين!$B:$C,2,FALSE)),"")</f>
        <v/>
      </c>
      <c r="E1425" s="20"/>
      <c r="F1425" s="34"/>
      <c r="G1425" s="34" t="str">
        <f>IFERROR(IF(C1425="","",VLOOKUP(C1425,المستفيدين!$B:$F,5,FALSE)),"")</f>
        <v/>
      </c>
      <c r="H1425" s="24"/>
      <c r="I1425" s="20"/>
      <c r="J1425" s="20"/>
      <c r="K1425" s="20"/>
      <c r="L1425" s="21"/>
    </row>
    <row r="1426" spans="1:12" x14ac:dyDescent="0.2">
      <c r="A1426" s="26"/>
      <c r="B1426" s="22"/>
      <c r="C1426" s="22"/>
      <c r="D1426" s="34" t="str">
        <f>IFERROR(IF(C1426="","",VLOOKUP(C1426,المستفيدين!$B:$C,2,FALSE)),"")</f>
        <v/>
      </c>
      <c r="E1426" s="20"/>
      <c r="F1426" s="34"/>
      <c r="G1426" s="34" t="str">
        <f>IFERROR(IF(C1426="","",VLOOKUP(C1426,المستفيدين!$B:$F,5,FALSE)),"")</f>
        <v/>
      </c>
      <c r="H1426" s="24"/>
      <c r="I1426" s="20"/>
      <c r="J1426" s="20"/>
      <c r="K1426" s="20"/>
      <c r="L1426" s="21"/>
    </row>
    <row r="1427" spans="1:12" x14ac:dyDescent="0.2">
      <c r="A1427" s="26"/>
      <c r="B1427" s="22"/>
      <c r="C1427" s="22"/>
      <c r="D1427" s="34" t="str">
        <f>IFERROR(IF(C1427="","",VLOOKUP(C1427,المستفيدين!$B:$C,2,FALSE)),"")</f>
        <v/>
      </c>
      <c r="E1427" s="20"/>
      <c r="F1427" s="34"/>
      <c r="G1427" s="34" t="str">
        <f>IFERROR(IF(C1427="","",VLOOKUP(C1427,المستفيدين!$B:$F,5,FALSE)),"")</f>
        <v/>
      </c>
      <c r="H1427" s="24"/>
      <c r="I1427" s="20"/>
      <c r="J1427" s="20"/>
      <c r="K1427" s="20"/>
      <c r="L1427" s="21"/>
    </row>
    <row r="1428" spans="1:12" x14ac:dyDescent="0.2">
      <c r="A1428" s="26"/>
      <c r="B1428" s="22"/>
      <c r="C1428" s="22"/>
      <c r="D1428" s="34" t="str">
        <f>IFERROR(IF(C1428="","",VLOOKUP(C1428,المستفيدين!$B:$C,2,FALSE)),"")</f>
        <v/>
      </c>
      <c r="E1428" s="20"/>
      <c r="F1428" s="34"/>
      <c r="G1428" s="34" t="str">
        <f>IFERROR(IF(C1428="","",VLOOKUP(C1428,المستفيدين!$B:$F,5,FALSE)),"")</f>
        <v/>
      </c>
      <c r="H1428" s="24"/>
      <c r="I1428" s="20"/>
      <c r="J1428" s="20"/>
      <c r="K1428" s="20"/>
      <c r="L1428" s="21"/>
    </row>
    <row r="1429" spans="1:12" x14ac:dyDescent="0.2">
      <c r="A1429" s="26"/>
      <c r="B1429" s="22"/>
      <c r="C1429" s="22"/>
      <c r="D1429" s="34" t="str">
        <f>IFERROR(IF(C1429="","",VLOOKUP(C1429,المستفيدين!$B:$C,2,FALSE)),"")</f>
        <v/>
      </c>
      <c r="E1429" s="20"/>
      <c r="F1429" s="34"/>
      <c r="G1429" s="34" t="str">
        <f>IFERROR(IF(C1429="","",VLOOKUP(C1429,المستفيدين!$B:$F,5,FALSE)),"")</f>
        <v/>
      </c>
      <c r="H1429" s="24"/>
      <c r="I1429" s="20"/>
      <c r="J1429" s="20"/>
      <c r="K1429" s="20"/>
      <c r="L1429" s="21"/>
    </row>
    <row r="1430" spans="1:12" x14ac:dyDescent="0.2">
      <c r="A1430" s="26"/>
      <c r="B1430" s="22"/>
      <c r="C1430" s="22"/>
      <c r="D1430" s="34" t="str">
        <f>IFERROR(IF(C1430="","",VLOOKUP(C1430,المستفيدين!$B:$C,2,FALSE)),"")</f>
        <v/>
      </c>
      <c r="E1430" s="20"/>
      <c r="F1430" s="34"/>
      <c r="G1430" s="34" t="str">
        <f>IFERROR(IF(C1430="","",VLOOKUP(C1430,المستفيدين!$B:$F,5,FALSE)),"")</f>
        <v/>
      </c>
      <c r="H1430" s="24"/>
      <c r="I1430" s="20"/>
      <c r="J1430" s="20"/>
      <c r="K1430" s="20"/>
      <c r="L1430" s="21"/>
    </row>
    <row r="1431" spans="1:12" x14ac:dyDescent="0.2">
      <c r="A1431" s="26"/>
      <c r="B1431" s="22"/>
      <c r="C1431" s="22"/>
      <c r="D1431" s="34" t="str">
        <f>IFERROR(IF(C1431="","",VLOOKUP(C1431,المستفيدين!$B:$C,2,FALSE)),"")</f>
        <v/>
      </c>
      <c r="E1431" s="20"/>
      <c r="F1431" s="34"/>
      <c r="G1431" s="34" t="str">
        <f>IFERROR(IF(C1431="","",VLOOKUP(C1431,المستفيدين!$B:$F,5,FALSE)),"")</f>
        <v/>
      </c>
      <c r="H1431" s="24"/>
      <c r="I1431" s="20"/>
      <c r="J1431" s="20"/>
      <c r="K1431" s="20"/>
      <c r="L1431" s="21"/>
    </row>
    <row r="1432" spans="1:12" x14ac:dyDescent="0.2">
      <c r="A1432" s="26"/>
      <c r="B1432" s="22"/>
      <c r="C1432" s="22"/>
      <c r="D1432" s="34" t="str">
        <f>IFERROR(IF(C1432="","",VLOOKUP(C1432,المستفيدين!$B:$C,2,FALSE)),"")</f>
        <v/>
      </c>
      <c r="E1432" s="20"/>
      <c r="F1432" s="34"/>
      <c r="G1432" s="34" t="str">
        <f>IFERROR(IF(C1432="","",VLOOKUP(C1432,المستفيدين!$B:$F,5,FALSE)),"")</f>
        <v/>
      </c>
      <c r="H1432" s="24"/>
      <c r="I1432" s="20"/>
      <c r="J1432" s="20"/>
      <c r="K1432" s="20"/>
      <c r="L1432" s="21"/>
    </row>
    <row r="1433" spans="1:12" x14ac:dyDescent="0.2">
      <c r="A1433" s="26"/>
      <c r="B1433" s="22"/>
      <c r="C1433" s="22"/>
      <c r="D1433" s="34" t="str">
        <f>IFERROR(IF(C1433="","",VLOOKUP(C1433,المستفيدين!$B:$C,2,FALSE)),"")</f>
        <v/>
      </c>
      <c r="E1433" s="20"/>
      <c r="F1433" s="34"/>
      <c r="G1433" s="34" t="str">
        <f>IFERROR(IF(C1433="","",VLOOKUP(C1433,المستفيدين!$B:$F,5,FALSE)),"")</f>
        <v/>
      </c>
      <c r="H1433" s="24"/>
      <c r="I1433" s="20"/>
      <c r="J1433" s="20"/>
      <c r="K1433" s="20"/>
      <c r="L1433" s="21"/>
    </row>
    <row r="1434" spans="1:12" x14ac:dyDescent="0.2">
      <c r="A1434" s="26"/>
      <c r="B1434" s="22"/>
      <c r="C1434" s="22"/>
      <c r="D1434" s="34" t="str">
        <f>IFERROR(IF(C1434="","",VLOOKUP(C1434,المستفيدين!$B:$C,2,FALSE)),"")</f>
        <v/>
      </c>
      <c r="E1434" s="20"/>
      <c r="F1434" s="34"/>
      <c r="G1434" s="34" t="str">
        <f>IFERROR(IF(C1434="","",VLOOKUP(C1434,المستفيدين!$B:$F,5,FALSE)),"")</f>
        <v/>
      </c>
      <c r="H1434" s="24"/>
      <c r="I1434" s="20"/>
      <c r="J1434" s="20"/>
      <c r="K1434" s="20"/>
      <c r="L1434" s="21"/>
    </row>
    <row r="1435" spans="1:12" x14ac:dyDescent="0.2">
      <c r="A1435" s="26"/>
      <c r="B1435" s="22"/>
      <c r="C1435" s="22"/>
      <c r="D1435" s="34" t="str">
        <f>IFERROR(IF(C1435="","",VLOOKUP(C1435,المستفيدين!$B:$C,2,FALSE)),"")</f>
        <v/>
      </c>
      <c r="E1435" s="20"/>
      <c r="F1435" s="34"/>
      <c r="G1435" s="34" t="str">
        <f>IFERROR(IF(C1435="","",VLOOKUP(C1435,المستفيدين!$B:$F,5,FALSE)),"")</f>
        <v/>
      </c>
      <c r="H1435" s="24"/>
      <c r="I1435" s="20"/>
      <c r="J1435" s="20"/>
      <c r="K1435" s="20"/>
      <c r="L1435" s="21"/>
    </row>
    <row r="1436" spans="1:12" x14ac:dyDescent="0.2">
      <c r="A1436" s="26"/>
      <c r="B1436" s="22"/>
      <c r="C1436" s="22"/>
      <c r="D1436" s="34" t="str">
        <f>IFERROR(IF(C1436="","",VLOOKUP(C1436,المستفيدين!$B:$C,2,FALSE)),"")</f>
        <v/>
      </c>
      <c r="E1436" s="20"/>
      <c r="F1436" s="34"/>
      <c r="G1436" s="34" t="str">
        <f>IFERROR(IF(C1436="","",VLOOKUP(C1436,المستفيدين!$B:$F,5,FALSE)),"")</f>
        <v/>
      </c>
      <c r="H1436" s="24"/>
      <c r="I1436" s="20"/>
      <c r="J1436" s="20"/>
      <c r="K1436" s="20"/>
      <c r="L1436" s="21"/>
    </row>
    <row r="1437" spans="1:12" x14ac:dyDescent="0.2">
      <c r="A1437" s="26"/>
      <c r="B1437" s="22"/>
      <c r="C1437" s="22"/>
      <c r="D1437" s="34" t="str">
        <f>IFERROR(IF(C1437="","",VLOOKUP(C1437,المستفيدين!$B:$C,2,FALSE)),"")</f>
        <v/>
      </c>
      <c r="E1437" s="20"/>
      <c r="F1437" s="34"/>
      <c r="G1437" s="34" t="str">
        <f>IFERROR(IF(C1437="","",VLOOKUP(C1437,المستفيدين!$B:$F,5,FALSE)),"")</f>
        <v/>
      </c>
      <c r="H1437" s="24"/>
      <c r="I1437" s="20"/>
      <c r="J1437" s="20"/>
      <c r="K1437" s="20"/>
      <c r="L1437" s="21"/>
    </row>
    <row r="1438" spans="1:12" x14ac:dyDescent="0.2">
      <c r="A1438" s="26"/>
      <c r="B1438" s="22"/>
      <c r="C1438" s="22"/>
      <c r="D1438" s="34" t="str">
        <f>IFERROR(IF(C1438="","",VLOOKUP(C1438,المستفيدين!$B:$C,2,FALSE)),"")</f>
        <v/>
      </c>
      <c r="E1438" s="20"/>
      <c r="F1438" s="34"/>
      <c r="G1438" s="34" t="str">
        <f>IFERROR(IF(C1438="","",VLOOKUP(C1438,المستفيدين!$B:$F,5,FALSE)),"")</f>
        <v/>
      </c>
      <c r="H1438" s="24"/>
      <c r="I1438" s="20"/>
      <c r="J1438" s="20"/>
      <c r="K1438" s="20"/>
      <c r="L1438" s="21"/>
    </row>
    <row r="1439" spans="1:12" x14ac:dyDescent="0.2">
      <c r="A1439" s="26"/>
      <c r="B1439" s="22"/>
      <c r="C1439" s="22"/>
      <c r="D1439" s="34" t="str">
        <f>IFERROR(IF(C1439="","",VLOOKUP(C1439,المستفيدين!$B:$C,2,FALSE)),"")</f>
        <v/>
      </c>
      <c r="E1439" s="20"/>
      <c r="F1439" s="34"/>
      <c r="G1439" s="34" t="str">
        <f>IFERROR(IF(C1439="","",VLOOKUP(C1439,المستفيدين!$B:$F,5,FALSE)),"")</f>
        <v/>
      </c>
      <c r="H1439" s="24"/>
      <c r="I1439" s="20"/>
      <c r="J1439" s="20"/>
      <c r="K1439" s="20"/>
      <c r="L1439" s="21"/>
    </row>
    <row r="1440" spans="1:12" x14ac:dyDescent="0.2">
      <c r="A1440" s="26"/>
      <c r="B1440" s="22"/>
      <c r="C1440" s="22"/>
      <c r="D1440" s="34" t="str">
        <f>IFERROR(IF(C1440="","",VLOOKUP(C1440,المستفيدين!$B:$C,2,FALSE)),"")</f>
        <v/>
      </c>
      <c r="E1440" s="20"/>
      <c r="F1440" s="34"/>
      <c r="G1440" s="34" t="str">
        <f>IFERROR(IF(C1440="","",VLOOKUP(C1440,المستفيدين!$B:$F,5,FALSE)),"")</f>
        <v/>
      </c>
      <c r="H1440" s="24"/>
      <c r="I1440" s="20"/>
      <c r="J1440" s="20"/>
      <c r="K1440" s="20"/>
      <c r="L1440" s="21"/>
    </row>
    <row r="1441" spans="1:12" x14ac:dyDescent="0.2">
      <c r="A1441" s="26"/>
      <c r="B1441" s="22"/>
      <c r="C1441" s="22"/>
      <c r="D1441" s="34" t="str">
        <f>IFERROR(IF(C1441="","",VLOOKUP(C1441,المستفيدين!$B:$C,2,FALSE)),"")</f>
        <v/>
      </c>
      <c r="E1441" s="20"/>
      <c r="F1441" s="34"/>
      <c r="G1441" s="34" t="str">
        <f>IFERROR(IF(C1441="","",VLOOKUP(C1441,المستفيدين!$B:$F,5,FALSE)),"")</f>
        <v/>
      </c>
      <c r="H1441" s="24"/>
      <c r="I1441" s="20"/>
      <c r="J1441" s="20"/>
      <c r="K1441" s="20"/>
      <c r="L1441" s="21"/>
    </row>
    <row r="1442" spans="1:12" x14ac:dyDescent="0.2">
      <c r="A1442" s="26"/>
      <c r="B1442" s="22"/>
      <c r="C1442" s="22"/>
      <c r="D1442" s="34" t="str">
        <f>IFERROR(IF(C1442="","",VLOOKUP(C1442,المستفيدين!$B:$C,2,FALSE)),"")</f>
        <v/>
      </c>
      <c r="E1442" s="20"/>
      <c r="F1442" s="34"/>
      <c r="G1442" s="34" t="str">
        <f>IFERROR(IF(C1442="","",VLOOKUP(C1442,المستفيدين!$B:$F,5,FALSE)),"")</f>
        <v/>
      </c>
      <c r="H1442" s="24"/>
      <c r="I1442" s="20"/>
      <c r="J1442" s="20"/>
      <c r="K1442" s="20"/>
      <c r="L1442" s="21"/>
    </row>
    <row r="1443" spans="1:12" x14ac:dyDescent="0.2">
      <c r="A1443" s="26"/>
      <c r="B1443" s="22"/>
      <c r="C1443" s="22"/>
      <c r="D1443" s="34" t="str">
        <f>IFERROR(IF(C1443="","",VLOOKUP(C1443,المستفيدين!$B:$C,2,FALSE)),"")</f>
        <v/>
      </c>
      <c r="E1443" s="20"/>
      <c r="F1443" s="34"/>
      <c r="G1443" s="34" t="str">
        <f>IFERROR(IF(C1443="","",VLOOKUP(C1443,المستفيدين!$B:$F,5,FALSE)),"")</f>
        <v/>
      </c>
      <c r="H1443" s="24"/>
      <c r="I1443" s="20"/>
      <c r="J1443" s="20"/>
      <c r="K1443" s="20"/>
      <c r="L1443" s="21"/>
    </row>
    <row r="1444" spans="1:12" x14ac:dyDescent="0.2">
      <c r="A1444" s="26"/>
      <c r="B1444" s="22"/>
      <c r="C1444" s="22"/>
      <c r="D1444" s="34" t="str">
        <f>IFERROR(IF(C1444="","",VLOOKUP(C1444,المستفيدين!$B:$C,2,FALSE)),"")</f>
        <v/>
      </c>
      <c r="E1444" s="20"/>
      <c r="F1444" s="34"/>
      <c r="G1444" s="34" t="str">
        <f>IFERROR(IF(C1444="","",VLOOKUP(C1444,المستفيدين!$B:$F,5,FALSE)),"")</f>
        <v/>
      </c>
      <c r="H1444" s="24"/>
      <c r="I1444" s="20"/>
      <c r="J1444" s="20"/>
      <c r="K1444" s="20"/>
      <c r="L1444" s="21"/>
    </row>
    <row r="1445" spans="1:12" x14ac:dyDescent="0.2">
      <c r="A1445" s="26"/>
      <c r="B1445" s="22"/>
      <c r="C1445" s="22"/>
      <c r="D1445" s="34" t="str">
        <f>IFERROR(IF(C1445="","",VLOOKUP(C1445,المستفيدين!$B:$C,2,FALSE)),"")</f>
        <v/>
      </c>
      <c r="E1445" s="20"/>
      <c r="F1445" s="34"/>
      <c r="G1445" s="34" t="str">
        <f>IFERROR(IF(C1445="","",VLOOKUP(C1445,المستفيدين!$B:$F,5,FALSE)),"")</f>
        <v/>
      </c>
      <c r="H1445" s="24"/>
      <c r="I1445" s="20"/>
      <c r="J1445" s="20"/>
      <c r="K1445" s="20"/>
      <c r="L1445" s="21"/>
    </row>
    <row r="1446" spans="1:12" x14ac:dyDescent="0.2">
      <c r="A1446" s="26"/>
      <c r="B1446" s="22"/>
      <c r="C1446" s="22"/>
      <c r="D1446" s="34" t="str">
        <f>IFERROR(IF(C1446="","",VLOOKUP(C1446,المستفيدين!$B:$C,2,FALSE)),"")</f>
        <v/>
      </c>
      <c r="E1446" s="20"/>
      <c r="F1446" s="34"/>
      <c r="G1446" s="34" t="str">
        <f>IFERROR(IF(C1446="","",VLOOKUP(C1446,المستفيدين!$B:$F,5,FALSE)),"")</f>
        <v/>
      </c>
      <c r="H1446" s="24"/>
      <c r="I1446" s="20"/>
      <c r="J1446" s="20"/>
      <c r="K1446" s="20"/>
      <c r="L1446" s="21"/>
    </row>
    <row r="1447" spans="1:12" x14ac:dyDescent="0.2">
      <c r="A1447" s="26"/>
      <c r="B1447" s="22"/>
      <c r="C1447" s="22"/>
      <c r="D1447" s="34" t="str">
        <f>IFERROR(IF(C1447="","",VLOOKUP(C1447,المستفيدين!$B:$C,2,FALSE)),"")</f>
        <v/>
      </c>
      <c r="E1447" s="20"/>
      <c r="F1447" s="34"/>
      <c r="G1447" s="34" t="str">
        <f>IFERROR(IF(C1447="","",VLOOKUP(C1447,المستفيدين!$B:$F,5,FALSE)),"")</f>
        <v/>
      </c>
      <c r="H1447" s="24"/>
      <c r="I1447" s="20"/>
      <c r="J1447" s="20"/>
      <c r="K1447" s="20"/>
      <c r="L1447" s="21"/>
    </row>
    <row r="1448" spans="1:12" x14ac:dyDescent="0.2">
      <c r="A1448" s="26"/>
      <c r="B1448" s="22"/>
      <c r="C1448" s="22"/>
      <c r="D1448" s="34" t="str">
        <f>IFERROR(IF(C1448="","",VLOOKUP(C1448,المستفيدين!$B:$C,2,FALSE)),"")</f>
        <v/>
      </c>
      <c r="E1448" s="20"/>
      <c r="F1448" s="34"/>
      <c r="G1448" s="34" t="str">
        <f>IFERROR(IF(C1448="","",VLOOKUP(C1448,المستفيدين!$B:$F,5,FALSE)),"")</f>
        <v/>
      </c>
      <c r="H1448" s="24"/>
      <c r="I1448" s="20"/>
      <c r="J1448" s="20"/>
      <c r="K1448" s="20"/>
      <c r="L1448" s="21"/>
    </row>
    <row r="1449" spans="1:12" x14ac:dyDescent="0.2">
      <c r="A1449" s="26"/>
      <c r="B1449" s="22"/>
      <c r="C1449" s="22"/>
      <c r="D1449" s="34" t="str">
        <f>IFERROR(IF(C1449="","",VLOOKUP(C1449,المستفيدين!$B:$C,2,FALSE)),"")</f>
        <v/>
      </c>
      <c r="E1449" s="20"/>
      <c r="F1449" s="34"/>
      <c r="G1449" s="34" t="str">
        <f>IFERROR(IF(C1449="","",VLOOKUP(C1449,المستفيدين!$B:$F,5,FALSE)),"")</f>
        <v/>
      </c>
      <c r="H1449" s="24"/>
      <c r="I1449" s="20"/>
      <c r="J1449" s="20"/>
      <c r="K1449" s="20"/>
      <c r="L1449" s="21"/>
    </row>
    <row r="1450" spans="1:12" x14ac:dyDescent="0.2">
      <c r="A1450" s="26"/>
      <c r="B1450" s="22"/>
      <c r="C1450" s="22"/>
      <c r="D1450" s="34" t="str">
        <f>IFERROR(IF(C1450="","",VLOOKUP(C1450,المستفيدين!$B:$C,2,FALSE)),"")</f>
        <v/>
      </c>
      <c r="E1450" s="20"/>
      <c r="F1450" s="34"/>
      <c r="G1450" s="34" t="str">
        <f>IFERROR(IF(C1450="","",VLOOKUP(C1450,المستفيدين!$B:$F,5,FALSE)),"")</f>
        <v/>
      </c>
      <c r="H1450" s="24"/>
      <c r="I1450" s="20"/>
      <c r="J1450" s="20"/>
      <c r="K1450" s="20"/>
      <c r="L1450" s="21"/>
    </row>
    <row r="1451" spans="1:12" x14ac:dyDescent="0.2">
      <c r="A1451" s="26"/>
      <c r="B1451" s="22"/>
      <c r="C1451" s="22"/>
      <c r="D1451" s="34" t="str">
        <f>IFERROR(IF(C1451="","",VLOOKUP(C1451,المستفيدين!$B:$C,2,FALSE)),"")</f>
        <v/>
      </c>
      <c r="E1451" s="20"/>
      <c r="F1451" s="34"/>
      <c r="G1451" s="34" t="str">
        <f>IFERROR(IF(C1451="","",VLOOKUP(C1451,المستفيدين!$B:$F,5,FALSE)),"")</f>
        <v/>
      </c>
      <c r="H1451" s="24"/>
      <c r="I1451" s="20"/>
      <c r="J1451" s="20"/>
      <c r="K1451" s="20"/>
      <c r="L1451" s="21"/>
    </row>
    <row r="1452" spans="1:12" x14ac:dyDescent="0.2">
      <c r="A1452" s="26"/>
      <c r="B1452" s="22"/>
      <c r="C1452" s="22"/>
      <c r="D1452" s="34" t="str">
        <f>IFERROR(IF(C1452="","",VLOOKUP(C1452,المستفيدين!$B:$C,2,FALSE)),"")</f>
        <v/>
      </c>
      <c r="E1452" s="20"/>
      <c r="F1452" s="34"/>
      <c r="G1452" s="34" t="str">
        <f>IFERROR(IF(C1452="","",VLOOKUP(C1452,المستفيدين!$B:$F,5,FALSE)),"")</f>
        <v/>
      </c>
      <c r="H1452" s="24"/>
      <c r="I1452" s="20"/>
      <c r="J1452" s="20"/>
      <c r="K1452" s="20"/>
      <c r="L1452" s="21"/>
    </row>
    <row r="1453" spans="1:12" x14ac:dyDescent="0.2">
      <c r="A1453" s="26"/>
      <c r="B1453" s="22"/>
      <c r="C1453" s="22"/>
      <c r="D1453" s="34" t="str">
        <f>IFERROR(IF(C1453="","",VLOOKUP(C1453,المستفيدين!$B:$C,2,FALSE)),"")</f>
        <v/>
      </c>
      <c r="E1453" s="20"/>
      <c r="F1453" s="34"/>
      <c r="G1453" s="34" t="str">
        <f>IFERROR(IF(C1453="","",VLOOKUP(C1453,المستفيدين!$B:$F,5,FALSE)),"")</f>
        <v/>
      </c>
      <c r="H1453" s="24"/>
      <c r="I1453" s="20"/>
      <c r="J1453" s="20"/>
      <c r="K1453" s="20"/>
      <c r="L1453" s="21"/>
    </row>
    <row r="1454" spans="1:12" x14ac:dyDescent="0.2">
      <c r="A1454" s="26"/>
      <c r="B1454" s="22"/>
      <c r="C1454" s="22"/>
      <c r="D1454" s="34" t="str">
        <f>IFERROR(IF(C1454="","",VLOOKUP(C1454,المستفيدين!$B:$C,2,FALSE)),"")</f>
        <v/>
      </c>
      <c r="E1454" s="20"/>
      <c r="F1454" s="34"/>
      <c r="G1454" s="34" t="str">
        <f>IFERROR(IF(C1454="","",VLOOKUP(C1454,المستفيدين!$B:$F,5,FALSE)),"")</f>
        <v/>
      </c>
      <c r="H1454" s="24"/>
      <c r="I1454" s="20"/>
      <c r="J1454" s="20"/>
      <c r="K1454" s="20"/>
      <c r="L1454" s="21"/>
    </row>
    <row r="1455" spans="1:12" x14ac:dyDescent="0.2">
      <c r="A1455" s="26"/>
      <c r="B1455" s="22"/>
      <c r="C1455" s="22"/>
      <c r="D1455" s="34" t="str">
        <f>IFERROR(IF(C1455="","",VLOOKUP(C1455,المستفيدين!$B:$C,2,FALSE)),"")</f>
        <v/>
      </c>
      <c r="E1455" s="20"/>
      <c r="F1455" s="34"/>
      <c r="G1455" s="34" t="str">
        <f>IFERROR(IF(C1455="","",VLOOKUP(C1455,المستفيدين!$B:$F,5,FALSE)),"")</f>
        <v/>
      </c>
      <c r="H1455" s="24"/>
      <c r="I1455" s="20"/>
      <c r="J1455" s="20"/>
      <c r="K1455" s="20"/>
      <c r="L1455" s="21"/>
    </row>
    <row r="1456" spans="1:12" x14ac:dyDescent="0.2">
      <c r="A1456" s="26"/>
      <c r="B1456" s="22"/>
      <c r="C1456" s="22"/>
      <c r="D1456" s="34" t="str">
        <f>IFERROR(IF(C1456="","",VLOOKUP(C1456,المستفيدين!$B:$C,2,FALSE)),"")</f>
        <v/>
      </c>
      <c r="E1456" s="20"/>
      <c r="F1456" s="34"/>
      <c r="G1456" s="34" t="str">
        <f>IFERROR(IF(C1456="","",VLOOKUP(C1456,المستفيدين!$B:$F,5,FALSE)),"")</f>
        <v/>
      </c>
      <c r="H1456" s="24"/>
      <c r="I1456" s="20"/>
      <c r="J1456" s="20"/>
      <c r="K1456" s="20"/>
      <c r="L1456" s="21"/>
    </row>
    <row r="1457" spans="1:12" x14ac:dyDescent="0.2">
      <c r="A1457" s="26"/>
      <c r="B1457" s="22"/>
      <c r="C1457" s="22"/>
      <c r="D1457" s="34" t="str">
        <f>IFERROR(IF(C1457="","",VLOOKUP(C1457,المستفيدين!$B:$C,2,FALSE)),"")</f>
        <v/>
      </c>
      <c r="E1457" s="20"/>
      <c r="F1457" s="34"/>
      <c r="G1457" s="34" t="str">
        <f>IFERROR(IF(C1457="","",VLOOKUP(C1457,المستفيدين!$B:$F,5,FALSE)),"")</f>
        <v/>
      </c>
      <c r="H1457" s="24"/>
      <c r="I1457" s="20"/>
      <c r="J1457" s="20"/>
      <c r="K1457" s="20"/>
      <c r="L1457" s="21"/>
    </row>
    <row r="1458" spans="1:12" x14ac:dyDescent="0.2">
      <c r="A1458" s="26"/>
      <c r="B1458" s="22"/>
      <c r="C1458" s="22"/>
      <c r="D1458" s="34" t="str">
        <f>IFERROR(IF(C1458="","",VLOOKUP(C1458,المستفيدين!$B:$C,2,FALSE)),"")</f>
        <v/>
      </c>
      <c r="E1458" s="20"/>
      <c r="F1458" s="34"/>
      <c r="G1458" s="34" t="str">
        <f>IFERROR(IF(C1458="","",VLOOKUP(C1458,المستفيدين!$B:$F,5,FALSE)),"")</f>
        <v/>
      </c>
      <c r="H1458" s="24"/>
      <c r="I1458" s="20"/>
      <c r="J1458" s="20"/>
      <c r="K1458" s="20"/>
      <c r="L1458" s="21"/>
    </row>
    <row r="1459" spans="1:12" x14ac:dyDescent="0.2">
      <c r="A1459" s="26"/>
      <c r="B1459" s="22"/>
      <c r="C1459" s="22"/>
      <c r="D1459" s="34" t="str">
        <f>IFERROR(IF(C1459="","",VLOOKUP(C1459,المستفيدين!$B:$C,2,FALSE)),"")</f>
        <v/>
      </c>
      <c r="E1459" s="20"/>
      <c r="F1459" s="34"/>
      <c r="G1459" s="34" t="str">
        <f>IFERROR(IF(C1459="","",VLOOKUP(C1459,المستفيدين!$B:$F,5,FALSE)),"")</f>
        <v/>
      </c>
      <c r="H1459" s="24"/>
      <c r="I1459" s="20"/>
      <c r="J1459" s="20"/>
      <c r="K1459" s="20"/>
      <c r="L1459" s="21"/>
    </row>
    <row r="1460" spans="1:12" x14ac:dyDescent="0.2">
      <c r="A1460" s="26"/>
      <c r="B1460" s="22"/>
      <c r="C1460" s="22"/>
      <c r="D1460" s="34" t="str">
        <f>IFERROR(IF(C1460="","",VLOOKUP(C1460,المستفيدين!$B:$C,2,FALSE)),"")</f>
        <v/>
      </c>
      <c r="E1460" s="20"/>
      <c r="F1460" s="34"/>
      <c r="G1460" s="34" t="str">
        <f>IFERROR(IF(C1460="","",VLOOKUP(C1460,المستفيدين!$B:$F,5,FALSE)),"")</f>
        <v/>
      </c>
      <c r="H1460" s="24"/>
      <c r="I1460" s="20"/>
      <c r="J1460" s="20"/>
      <c r="K1460" s="20"/>
      <c r="L1460" s="21"/>
    </row>
    <row r="1461" spans="1:12" x14ac:dyDescent="0.2">
      <c r="A1461" s="26"/>
      <c r="B1461" s="22"/>
      <c r="C1461" s="22"/>
      <c r="D1461" s="34" t="str">
        <f>IFERROR(IF(C1461="","",VLOOKUP(C1461,المستفيدين!$B:$C,2,FALSE)),"")</f>
        <v/>
      </c>
      <c r="E1461" s="20"/>
      <c r="F1461" s="34"/>
      <c r="G1461" s="34" t="str">
        <f>IFERROR(IF(C1461="","",VLOOKUP(C1461,المستفيدين!$B:$F,5,FALSE)),"")</f>
        <v/>
      </c>
      <c r="H1461" s="24"/>
      <c r="I1461" s="20"/>
      <c r="J1461" s="20"/>
      <c r="K1461" s="20"/>
      <c r="L1461" s="21"/>
    </row>
    <row r="1462" spans="1:12" x14ac:dyDescent="0.2">
      <c r="A1462" s="26"/>
      <c r="B1462" s="22"/>
      <c r="C1462" s="22"/>
      <c r="D1462" s="34" t="str">
        <f>IFERROR(IF(C1462="","",VLOOKUP(C1462,المستفيدين!$B:$C,2,FALSE)),"")</f>
        <v/>
      </c>
      <c r="E1462" s="20"/>
      <c r="F1462" s="34"/>
      <c r="G1462" s="34" t="str">
        <f>IFERROR(IF(C1462="","",VLOOKUP(C1462,المستفيدين!$B:$F,5,FALSE)),"")</f>
        <v/>
      </c>
      <c r="H1462" s="24"/>
      <c r="I1462" s="20"/>
      <c r="J1462" s="20"/>
      <c r="K1462" s="20"/>
      <c r="L1462" s="21"/>
    </row>
    <row r="1463" spans="1:12" x14ac:dyDescent="0.2">
      <c r="A1463" s="26"/>
      <c r="B1463" s="22"/>
      <c r="C1463" s="22"/>
      <c r="D1463" s="34" t="str">
        <f>IFERROR(IF(C1463="","",VLOOKUP(C1463,المستفيدين!$B:$C,2,FALSE)),"")</f>
        <v/>
      </c>
      <c r="E1463" s="20"/>
      <c r="F1463" s="34"/>
      <c r="G1463" s="34" t="str">
        <f>IFERROR(IF(C1463="","",VLOOKUP(C1463,المستفيدين!$B:$F,5,FALSE)),"")</f>
        <v/>
      </c>
      <c r="H1463" s="24"/>
      <c r="I1463" s="20"/>
      <c r="J1463" s="20"/>
      <c r="K1463" s="20"/>
      <c r="L1463" s="21"/>
    </row>
    <row r="1464" spans="1:12" x14ac:dyDescent="0.2">
      <c r="A1464" s="26"/>
      <c r="B1464" s="22"/>
      <c r="C1464" s="22"/>
      <c r="D1464" s="34" t="str">
        <f>IFERROR(IF(C1464="","",VLOOKUP(C1464,المستفيدين!$B:$C,2,FALSE)),"")</f>
        <v/>
      </c>
      <c r="E1464" s="20"/>
      <c r="F1464" s="34"/>
      <c r="G1464" s="34" t="str">
        <f>IFERROR(IF(C1464="","",VLOOKUP(C1464,المستفيدين!$B:$F,5,FALSE)),"")</f>
        <v/>
      </c>
      <c r="H1464" s="24"/>
      <c r="I1464" s="20"/>
      <c r="J1464" s="20"/>
      <c r="K1464" s="20"/>
      <c r="L1464" s="21"/>
    </row>
    <row r="1465" spans="1:12" x14ac:dyDescent="0.2">
      <c r="A1465" s="26"/>
      <c r="B1465" s="22"/>
      <c r="C1465" s="22"/>
      <c r="D1465" s="34" t="str">
        <f>IFERROR(IF(C1465="","",VLOOKUP(C1465,المستفيدين!$B:$C,2,FALSE)),"")</f>
        <v/>
      </c>
      <c r="E1465" s="20"/>
      <c r="F1465" s="34"/>
      <c r="G1465" s="34" t="str">
        <f>IFERROR(IF(C1465="","",VLOOKUP(C1465,المستفيدين!$B:$F,5,FALSE)),"")</f>
        <v/>
      </c>
      <c r="H1465" s="24"/>
      <c r="I1465" s="20"/>
      <c r="J1465" s="20"/>
      <c r="K1465" s="20"/>
      <c r="L1465" s="21"/>
    </row>
    <row r="1466" spans="1:12" x14ac:dyDescent="0.2">
      <c r="A1466" s="26"/>
      <c r="B1466" s="22"/>
      <c r="C1466" s="22"/>
      <c r="D1466" s="34" t="str">
        <f>IFERROR(IF(C1466="","",VLOOKUP(C1466,المستفيدين!$B:$C,2,FALSE)),"")</f>
        <v/>
      </c>
      <c r="E1466" s="20"/>
      <c r="F1466" s="34"/>
      <c r="G1466" s="34" t="str">
        <f>IFERROR(IF(C1466="","",VLOOKUP(C1466,المستفيدين!$B:$F,5,FALSE)),"")</f>
        <v/>
      </c>
      <c r="H1466" s="24"/>
      <c r="I1466" s="20"/>
      <c r="J1466" s="20"/>
      <c r="K1466" s="20"/>
      <c r="L1466" s="21"/>
    </row>
    <row r="1467" spans="1:12" x14ac:dyDescent="0.2">
      <c r="A1467" s="26"/>
      <c r="B1467" s="22"/>
      <c r="C1467" s="22"/>
      <c r="D1467" s="34" t="str">
        <f>IFERROR(IF(C1467="","",VLOOKUP(C1467,المستفيدين!$B:$C,2,FALSE)),"")</f>
        <v/>
      </c>
      <c r="E1467" s="20"/>
      <c r="F1467" s="34"/>
      <c r="G1467" s="34" t="str">
        <f>IFERROR(IF(C1467="","",VLOOKUP(C1467,المستفيدين!$B:$F,5,FALSE)),"")</f>
        <v/>
      </c>
      <c r="H1467" s="24"/>
      <c r="I1467" s="20"/>
      <c r="J1467" s="20"/>
      <c r="K1467" s="20"/>
      <c r="L1467" s="21"/>
    </row>
    <row r="1468" spans="1:12" x14ac:dyDescent="0.2">
      <c r="A1468" s="26"/>
      <c r="B1468" s="22"/>
      <c r="C1468" s="22"/>
      <c r="D1468" s="34" t="str">
        <f>IFERROR(IF(C1468="","",VLOOKUP(C1468,المستفيدين!$B:$C,2,FALSE)),"")</f>
        <v/>
      </c>
      <c r="E1468" s="20"/>
      <c r="F1468" s="34"/>
      <c r="G1468" s="34" t="str">
        <f>IFERROR(IF(C1468="","",VLOOKUP(C1468,المستفيدين!$B:$F,5,FALSE)),"")</f>
        <v/>
      </c>
      <c r="H1468" s="24"/>
      <c r="I1468" s="20"/>
      <c r="J1468" s="20"/>
      <c r="K1468" s="20"/>
      <c r="L1468" s="21"/>
    </row>
    <row r="1469" spans="1:12" x14ac:dyDescent="0.2">
      <c r="A1469" s="26"/>
      <c r="B1469" s="22"/>
      <c r="C1469" s="22"/>
      <c r="D1469" s="34" t="str">
        <f>IFERROR(IF(C1469="","",VLOOKUP(C1469,المستفيدين!$B:$C,2,FALSE)),"")</f>
        <v/>
      </c>
      <c r="E1469" s="20"/>
      <c r="F1469" s="34"/>
      <c r="G1469" s="34" t="str">
        <f>IFERROR(IF(C1469="","",VLOOKUP(C1469,المستفيدين!$B:$F,5,FALSE)),"")</f>
        <v/>
      </c>
      <c r="H1469" s="24"/>
      <c r="I1469" s="20"/>
      <c r="J1469" s="20"/>
      <c r="K1469" s="20"/>
      <c r="L1469" s="21"/>
    </row>
    <row r="1470" spans="1:12" x14ac:dyDescent="0.2">
      <c r="A1470" s="26"/>
      <c r="B1470" s="22"/>
      <c r="C1470" s="22"/>
      <c r="D1470" s="34" t="str">
        <f>IFERROR(IF(C1470="","",VLOOKUP(C1470,المستفيدين!$B:$C,2,FALSE)),"")</f>
        <v/>
      </c>
      <c r="E1470" s="20"/>
      <c r="F1470" s="34"/>
      <c r="G1470" s="34" t="str">
        <f>IFERROR(IF(C1470="","",VLOOKUP(C1470,المستفيدين!$B:$F,5,FALSE)),"")</f>
        <v/>
      </c>
      <c r="H1470" s="24"/>
      <c r="I1470" s="20"/>
      <c r="J1470" s="20"/>
      <c r="K1470" s="20"/>
      <c r="L1470" s="21"/>
    </row>
    <row r="1471" spans="1:12" x14ac:dyDescent="0.2">
      <c r="A1471" s="26"/>
      <c r="B1471" s="22"/>
      <c r="C1471" s="22"/>
      <c r="D1471" s="34" t="str">
        <f>IFERROR(IF(C1471="","",VLOOKUP(C1471,المستفيدين!$B:$C,2,FALSE)),"")</f>
        <v/>
      </c>
      <c r="E1471" s="20"/>
      <c r="F1471" s="34"/>
      <c r="G1471" s="34" t="str">
        <f>IFERROR(IF(C1471="","",VLOOKUP(C1471,المستفيدين!$B:$F,5,FALSE)),"")</f>
        <v/>
      </c>
      <c r="H1471" s="24"/>
      <c r="I1471" s="20"/>
      <c r="J1471" s="20"/>
      <c r="K1471" s="20"/>
      <c r="L1471" s="21"/>
    </row>
    <row r="1472" spans="1:12" x14ac:dyDescent="0.2">
      <c r="A1472" s="26"/>
      <c r="B1472" s="22"/>
      <c r="C1472" s="22"/>
      <c r="D1472" s="34" t="str">
        <f>IFERROR(IF(C1472="","",VLOOKUP(C1472,المستفيدين!$B:$C,2,FALSE)),"")</f>
        <v/>
      </c>
      <c r="E1472" s="20"/>
      <c r="F1472" s="34"/>
      <c r="G1472" s="34" t="str">
        <f>IFERROR(IF(C1472="","",VLOOKUP(C1472,المستفيدين!$B:$F,5,FALSE)),"")</f>
        <v/>
      </c>
      <c r="H1472" s="24"/>
      <c r="I1472" s="20"/>
      <c r="J1472" s="20"/>
      <c r="K1472" s="20"/>
      <c r="L1472" s="21"/>
    </row>
    <row r="1473" spans="1:12" x14ac:dyDescent="0.2">
      <c r="A1473" s="26"/>
      <c r="B1473" s="22"/>
      <c r="C1473" s="22"/>
      <c r="D1473" s="34" t="str">
        <f>IFERROR(IF(C1473="","",VLOOKUP(C1473,المستفيدين!$B:$C,2,FALSE)),"")</f>
        <v/>
      </c>
      <c r="E1473" s="20"/>
      <c r="F1473" s="34"/>
      <c r="G1473" s="34" t="str">
        <f>IFERROR(IF(C1473="","",VLOOKUP(C1473,المستفيدين!$B:$F,5,FALSE)),"")</f>
        <v/>
      </c>
      <c r="H1473" s="24"/>
      <c r="I1473" s="20"/>
      <c r="J1473" s="20"/>
      <c r="K1473" s="20"/>
      <c r="L1473" s="21"/>
    </row>
    <row r="1474" spans="1:12" x14ac:dyDescent="0.2">
      <c r="A1474" s="26"/>
      <c r="B1474" s="22"/>
      <c r="C1474" s="22"/>
      <c r="D1474" s="34" t="str">
        <f>IFERROR(IF(C1474="","",VLOOKUP(C1474,المستفيدين!$B:$C,2,FALSE)),"")</f>
        <v/>
      </c>
      <c r="E1474" s="20"/>
      <c r="F1474" s="34"/>
      <c r="G1474" s="34" t="str">
        <f>IFERROR(IF(C1474="","",VLOOKUP(C1474,المستفيدين!$B:$F,5,FALSE)),"")</f>
        <v/>
      </c>
      <c r="H1474" s="24"/>
      <c r="I1474" s="20"/>
      <c r="J1474" s="20"/>
      <c r="K1474" s="20"/>
      <c r="L1474" s="21"/>
    </row>
    <row r="1475" spans="1:12" x14ac:dyDescent="0.2">
      <c r="A1475" s="26"/>
      <c r="B1475" s="22"/>
      <c r="C1475" s="22"/>
      <c r="D1475" s="34" t="str">
        <f>IFERROR(IF(C1475="","",VLOOKUP(C1475,المستفيدين!$B:$C,2,FALSE)),"")</f>
        <v/>
      </c>
      <c r="E1475" s="20"/>
      <c r="F1475" s="34"/>
      <c r="G1475" s="34" t="str">
        <f>IFERROR(IF(C1475="","",VLOOKUP(C1475,المستفيدين!$B:$F,5,FALSE)),"")</f>
        <v/>
      </c>
      <c r="H1475" s="24"/>
      <c r="I1475" s="20"/>
      <c r="J1475" s="20"/>
      <c r="K1475" s="20"/>
      <c r="L1475" s="21"/>
    </row>
    <row r="1476" spans="1:12" x14ac:dyDescent="0.2">
      <c r="A1476" s="26"/>
      <c r="B1476" s="22"/>
      <c r="C1476" s="22"/>
      <c r="D1476" s="34" t="str">
        <f>IFERROR(IF(C1476="","",VLOOKUP(C1476,المستفيدين!$B:$C,2,FALSE)),"")</f>
        <v/>
      </c>
      <c r="E1476" s="20"/>
      <c r="F1476" s="34"/>
      <c r="G1476" s="34" t="str">
        <f>IFERROR(IF(C1476="","",VLOOKUP(C1476,المستفيدين!$B:$F,5,FALSE)),"")</f>
        <v/>
      </c>
      <c r="H1476" s="24"/>
      <c r="I1476" s="20"/>
      <c r="J1476" s="20"/>
      <c r="K1476" s="20"/>
      <c r="L1476" s="21"/>
    </row>
    <row r="1477" spans="1:12" x14ac:dyDescent="0.2">
      <c r="A1477" s="26"/>
      <c r="B1477" s="22"/>
      <c r="C1477" s="22"/>
      <c r="D1477" s="34" t="str">
        <f>IFERROR(IF(C1477="","",VLOOKUP(C1477,المستفيدين!$B:$C,2,FALSE)),"")</f>
        <v/>
      </c>
      <c r="E1477" s="20"/>
      <c r="F1477" s="34"/>
      <c r="G1477" s="34" t="str">
        <f>IFERROR(IF(C1477="","",VLOOKUP(C1477,المستفيدين!$B:$F,5,FALSE)),"")</f>
        <v/>
      </c>
      <c r="H1477" s="24"/>
      <c r="I1477" s="20"/>
      <c r="J1477" s="20"/>
      <c r="K1477" s="20"/>
      <c r="L1477" s="21"/>
    </row>
    <row r="1478" spans="1:12" x14ac:dyDescent="0.2">
      <c r="A1478" s="26"/>
      <c r="B1478" s="22"/>
      <c r="C1478" s="22"/>
      <c r="D1478" s="34" t="str">
        <f>IFERROR(IF(C1478="","",VLOOKUP(C1478,المستفيدين!$B:$C,2,FALSE)),"")</f>
        <v/>
      </c>
      <c r="E1478" s="20"/>
      <c r="F1478" s="34"/>
      <c r="G1478" s="34" t="str">
        <f>IFERROR(IF(C1478="","",VLOOKUP(C1478,المستفيدين!$B:$F,5,FALSE)),"")</f>
        <v/>
      </c>
      <c r="H1478" s="24"/>
      <c r="I1478" s="20"/>
      <c r="J1478" s="20"/>
      <c r="K1478" s="20"/>
      <c r="L1478" s="21"/>
    </row>
    <row r="1479" spans="1:12" x14ac:dyDescent="0.2">
      <c r="A1479" s="26"/>
      <c r="B1479" s="22"/>
      <c r="C1479" s="22"/>
      <c r="D1479" s="34" t="str">
        <f>IFERROR(IF(C1479="","",VLOOKUP(C1479,المستفيدين!$B:$C,2,FALSE)),"")</f>
        <v/>
      </c>
      <c r="E1479" s="20"/>
      <c r="F1479" s="34"/>
      <c r="G1479" s="34" t="str">
        <f>IFERROR(IF(C1479="","",VLOOKUP(C1479,المستفيدين!$B:$F,5,FALSE)),"")</f>
        <v/>
      </c>
      <c r="H1479" s="24"/>
      <c r="I1479" s="20"/>
      <c r="J1479" s="20"/>
      <c r="K1479" s="20"/>
      <c r="L1479" s="21"/>
    </row>
    <row r="1480" spans="1:12" x14ac:dyDescent="0.2">
      <c r="A1480" s="26"/>
      <c r="B1480" s="22"/>
      <c r="C1480" s="22"/>
      <c r="D1480" s="34" t="str">
        <f>IFERROR(IF(C1480="","",VLOOKUP(C1480,المستفيدين!$B:$C,2,FALSE)),"")</f>
        <v/>
      </c>
      <c r="E1480" s="20"/>
      <c r="F1480" s="34"/>
      <c r="G1480" s="34" t="str">
        <f>IFERROR(IF(C1480="","",VLOOKUP(C1480,المستفيدين!$B:$F,5,FALSE)),"")</f>
        <v/>
      </c>
      <c r="H1480" s="24"/>
      <c r="I1480" s="20"/>
      <c r="J1480" s="20"/>
      <c r="K1480" s="20"/>
      <c r="L1480" s="21"/>
    </row>
    <row r="1481" spans="1:12" x14ac:dyDescent="0.2">
      <c r="A1481" s="26"/>
      <c r="B1481" s="22"/>
      <c r="C1481" s="22"/>
      <c r="D1481" s="34" t="str">
        <f>IFERROR(IF(C1481="","",VLOOKUP(C1481,المستفيدين!$B:$C,2,FALSE)),"")</f>
        <v/>
      </c>
      <c r="E1481" s="20"/>
      <c r="F1481" s="34"/>
      <c r="G1481" s="34" t="str">
        <f>IFERROR(IF(C1481="","",VLOOKUP(C1481,المستفيدين!$B:$F,5,FALSE)),"")</f>
        <v/>
      </c>
      <c r="H1481" s="24"/>
      <c r="I1481" s="20"/>
      <c r="J1481" s="20"/>
      <c r="K1481" s="20"/>
      <c r="L1481" s="21"/>
    </row>
    <row r="1482" spans="1:12" x14ac:dyDescent="0.2">
      <c r="A1482" s="26"/>
      <c r="B1482" s="22"/>
      <c r="C1482" s="22"/>
      <c r="D1482" s="34" t="str">
        <f>IFERROR(IF(C1482="","",VLOOKUP(C1482,المستفيدين!$B:$C,2,FALSE)),"")</f>
        <v/>
      </c>
      <c r="E1482" s="20"/>
      <c r="F1482" s="34"/>
      <c r="G1482" s="34" t="str">
        <f>IFERROR(IF(C1482="","",VLOOKUP(C1482,المستفيدين!$B:$F,5,FALSE)),"")</f>
        <v/>
      </c>
      <c r="H1482" s="24"/>
      <c r="I1482" s="20"/>
      <c r="J1482" s="20"/>
      <c r="K1482" s="20"/>
      <c r="L1482" s="21"/>
    </row>
    <row r="1483" spans="1:12" x14ac:dyDescent="0.2">
      <c r="A1483" s="26"/>
      <c r="B1483" s="22"/>
      <c r="C1483" s="22"/>
      <c r="D1483" s="34" t="str">
        <f>IFERROR(IF(C1483="","",VLOOKUP(C1483,المستفيدين!$B:$C,2,FALSE)),"")</f>
        <v/>
      </c>
      <c r="E1483" s="20"/>
      <c r="F1483" s="34"/>
      <c r="G1483" s="34" t="str">
        <f>IFERROR(IF(C1483="","",VLOOKUP(C1483,المستفيدين!$B:$F,5,FALSE)),"")</f>
        <v/>
      </c>
      <c r="H1483" s="24"/>
      <c r="I1483" s="20"/>
      <c r="J1483" s="20"/>
      <c r="K1483" s="20"/>
      <c r="L1483" s="21"/>
    </row>
    <row r="1484" spans="1:12" x14ac:dyDescent="0.2">
      <c r="A1484" s="26"/>
      <c r="B1484" s="22"/>
      <c r="C1484" s="22"/>
      <c r="D1484" s="34" t="str">
        <f>IFERROR(IF(C1484="","",VLOOKUP(C1484,المستفيدين!$B:$C,2,FALSE)),"")</f>
        <v/>
      </c>
      <c r="E1484" s="20"/>
      <c r="F1484" s="34"/>
      <c r="G1484" s="34" t="str">
        <f>IFERROR(IF(C1484="","",VLOOKUP(C1484,المستفيدين!$B:$F,5,FALSE)),"")</f>
        <v/>
      </c>
      <c r="H1484" s="24"/>
      <c r="I1484" s="20"/>
      <c r="J1484" s="20"/>
      <c r="K1484" s="20"/>
      <c r="L1484" s="21"/>
    </row>
    <row r="1485" spans="1:12" x14ac:dyDescent="0.2">
      <c r="A1485" s="26"/>
      <c r="B1485" s="22"/>
      <c r="C1485" s="22"/>
      <c r="D1485" s="34" t="str">
        <f>IFERROR(IF(C1485="","",VLOOKUP(C1485,المستفيدين!$B:$C,2,FALSE)),"")</f>
        <v/>
      </c>
      <c r="E1485" s="20"/>
      <c r="F1485" s="34"/>
      <c r="G1485" s="34" t="str">
        <f>IFERROR(IF(C1485="","",VLOOKUP(C1485,المستفيدين!$B:$F,5,FALSE)),"")</f>
        <v/>
      </c>
      <c r="H1485" s="24"/>
      <c r="I1485" s="20"/>
      <c r="J1485" s="20"/>
      <c r="K1485" s="20"/>
      <c r="L1485" s="21"/>
    </row>
    <row r="1486" spans="1:12" x14ac:dyDescent="0.2">
      <c r="A1486" s="26"/>
      <c r="B1486" s="22"/>
      <c r="C1486" s="22"/>
      <c r="D1486" s="34" t="str">
        <f>IFERROR(IF(C1486="","",VLOOKUP(C1486,المستفيدين!$B:$C,2,FALSE)),"")</f>
        <v/>
      </c>
      <c r="E1486" s="20"/>
      <c r="F1486" s="34"/>
      <c r="G1486" s="34" t="str">
        <f>IFERROR(IF(C1486="","",VLOOKUP(C1486,المستفيدين!$B:$F,5,FALSE)),"")</f>
        <v/>
      </c>
      <c r="H1486" s="24"/>
      <c r="I1486" s="20"/>
      <c r="J1486" s="20"/>
      <c r="K1486" s="20"/>
      <c r="L1486" s="21"/>
    </row>
    <row r="1487" spans="1:12" x14ac:dyDescent="0.2">
      <c r="A1487" s="26"/>
      <c r="B1487" s="22"/>
      <c r="C1487" s="22"/>
      <c r="D1487" s="34" t="str">
        <f>IFERROR(IF(C1487="","",VLOOKUP(C1487,المستفيدين!$B:$C,2,FALSE)),"")</f>
        <v/>
      </c>
      <c r="E1487" s="20"/>
      <c r="F1487" s="34"/>
      <c r="G1487" s="34" t="str">
        <f>IFERROR(IF(C1487="","",VLOOKUP(C1487,المستفيدين!$B:$F,5,FALSE)),"")</f>
        <v/>
      </c>
      <c r="H1487" s="24"/>
      <c r="I1487" s="20"/>
      <c r="J1487" s="20"/>
      <c r="K1487" s="20"/>
      <c r="L1487" s="21"/>
    </row>
    <row r="1488" spans="1:12" x14ac:dyDescent="0.2">
      <c r="A1488" s="26"/>
      <c r="B1488" s="22"/>
      <c r="C1488" s="22"/>
      <c r="D1488" s="34" t="str">
        <f>IFERROR(IF(C1488="","",VLOOKUP(C1488,المستفيدين!$B:$C,2,FALSE)),"")</f>
        <v/>
      </c>
      <c r="E1488" s="20"/>
      <c r="F1488" s="34"/>
      <c r="G1488" s="34" t="str">
        <f>IFERROR(IF(C1488="","",VLOOKUP(C1488,المستفيدين!$B:$F,5,FALSE)),"")</f>
        <v/>
      </c>
      <c r="H1488" s="24"/>
      <c r="I1488" s="20"/>
      <c r="J1488" s="20"/>
      <c r="K1488" s="20"/>
      <c r="L1488" s="21"/>
    </row>
    <row r="1489" spans="1:12" x14ac:dyDescent="0.2">
      <c r="A1489" s="26"/>
      <c r="B1489" s="22"/>
      <c r="C1489" s="22"/>
      <c r="D1489" s="34" t="str">
        <f>IFERROR(IF(C1489="","",VLOOKUP(C1489,المستفيدين!$B:$C,2,FALSE)),"")</f>
        <v/>
      </c>
      <c r="E1489" s="20"/>
      <c r="F1489" s="34"/>
      <c r="G1489" s="34" t="str">
        <f>IFERROR(IF(C1489="","",VLOOKUP(C1489,المستفيدين!$B:$F,5,FALSE)),"")</f>
        <v/>
      </c>
      <c r="H1489" s="24"/>
      <c r="I1489" s="20"/>
      <c r="J1489" s="20"/>
      <c r="K1489" s="20"/>
      <c r="L1489" s="21"/>
    </row>
    <row r="1490" spans="1:12" x14ac:dyDescent="0.2">
      <c r="A1490" s="26"/>
      <c r="B1490" s="22"/>
      <c r="C1490" s="22"/>
      <c r="D1490" s="34" t="str">
        <f>IFERROR(IF(C1490="","",VLOOKUP(C1490,المستفيدين!$B:$C,2,FALSE)),"")</f>
        <v/>
      </c>
      <c r="E1490" s="20"/>
      <c r="F1490" s="34"/>
      <c r="G1490" s="34" t="str">
        <f>IFERROR(IF(C1490="","",VLOOKUP(C1490,المستفيدين!$B:$F,5,FALSE)),"")</f>
        <v/>
      </c>
      <c r="H1490" s="24"/>
      <c r="I1490" s="20"/>
      <c r="J1490" s="20"/>
      <c r="K1490" s="20"/>
      <c r="L1490" s="21"/>
    </row>
    <row r="1491" spans="1:12" x14ac:dyDescent="0.2">
      <c r="A1491" s="26"/>
      <c r="B1491" s="22"/>
      <c r="C1491" s="22"/>
      <c r="D1491" s="34" t="str">
        <f>IFERROR(IF(C1491="","",VLOOKUP(C1491,المستفيدين!$B:$C,2,FALSE)),"")</f>
        <v/>
      </c>
      <c r="E1491" s="20"/>
      <c r="F1491" s="34"/>
      <c r="G1491" s="34" t="str">
        <f>IFERROR(IF(C1491="","",VLOOKUP(C1491,المستفيدين!$B:$F,5,FALSE)),"")</f>
        <v/>
      </c>
      <c r="H1491" s="24"/>
      <c r="I1491" s="20"/>
      <c r="J1491" s="20"/>
      <c r="K1491" s="20"/>
      <c r="L1491" s="21"/>
    </row>
    <row r="1492" spans="1:12" x14ac:dyDescent="0.2">
      <c r="A1492" s="26"/>
      <c r="B1492" s="22"/>
      <c r="C1492" s="22"/>
      <c r="D1492" s="34" t="str">
        <f>IFERROR(IF(C1492="","",VLOOKUP(C1492,المستفيدين!$B:$C,2,FALSE)),"")</f>
        <v/>
      </c>
      <c r="E1492" s="20"/>
      <c r="F1492" s="34"/>
      <c r="G1492" s="34" t="str">
        <f>IFERROR(IF(C1492="","",VLOOKUP(C1492,المستفيدين!$B:$F,5,FALSE)),"")</f>
        <v/>
      </c>
      <c r="H1492" s="24"/>
      <c r="I1492" s="20"/>
      <c r="J1492" s="20"/>
      <c r="K1492" s="20"/>
      <c r="L1492" s="21"/>
    </row>
    <row r="1493" spans="1:12" x14ac:dyDescent="0.2">
      <c r="A1493" s="26"/>
      <c r="B1493" s="22"/>
      <c r="C1493" s="22"/>
      <c r="D1493" s="34" t="str">
        <f>IFERROR(IF(C1493="","",VLOOKUP(C1493,المستفيدين!$B:$C,2,FALSE)),"")</f>
        <v/>
      </c>
      <c r="E1493" s="20"/>
      <c r="F1493" s="34"/>
      <c r="G1493" s="34" t="str">
        <f>IFERROR(IF(C1493="","",VLOOKUP(C1493,المستفيدين!$B:$F,5,FALSE)),"")</f>
        <v/>
      </c>
      <c r="H1493" s="24"/>
      <c r="I1493" s="20"/>
      <c r="J1493" s="20"/>
      <c r="K1493" s="20"/>
      <c r="L1493" s="21"/>
    </row>
    <row r="1494" spans="1:12" x14ac:dyDescent="0.2">
      <c r="A1494" s="26"/>
      <c r="B1494" s="22"/>
      <c r="C1494" s="22"/>
      <c r="D1494" s="34" t="str">
        <f>IFERROR(IF(C1494="","",VLOOKUP(C1494,المستفيدين!$B:$C,2,FALSE)),"")</f>
        <v/>
      </c>
      <c r="E1494" s="20"/>
      <c r="F1494" s="34"/>
      <c r="G1494" s="34" t="str">
        <f>IFERROR(IF(C1494="","",VLOOKUP(C1494,المستفيدين!$B:$F,5,FALSE)),"")</f>
        <v/>
      </c>
      <c r="H1494" s="24"/>
      <c r="I1494" s="20"/>
      <c r="J1494" s="20"/>
      <c r="K1494" s="20"/>
      <c r="L1494" s="21"/>
    </row>
    <row r="1495" spans="1:12" x14ac:dyDescent="0.2">
      <c r="A1495" s="26"/>
      <c r="B1495" s="22"/>
      <c r="C1495" s="22"/>
      <c r="D1495" s="34" t="str">
        <f>IFERROR(IF(C1495="","",VLOOKUP(C1495,المستفيدين!$B:$C,2,FALSE)),"")</f>
        <v/>
      </c>
      <c r="E1495" s="20"/>
      <c r="F1495" s="34"/>
      <c r="G1495" s="34" t="str">
        <f>IFERROR(IF(C1495="","",VLOOKUP(C1495,المستفيدين!$B:$F,5,FALSE)),"")</f>
        <v/>
      </c>
      <c r="H1495" s="24"/>
      <c r="I1495" s="20"/>
      <c r="J1495" s="20"/>
      <c r="K1495" s="20"/>
      <c r="L1495" s="21"/>
    </row>
    <row r="1496" spans="1:12" x14ac:dyDescent="0.2">
      <c r="A1496" s="26"/>
      <c r="B1496" s="22"/>
      <c r="C1496" s="22"/>
      <c r="D1496" s="34" t="str">
        <f>IFERROR(IF(C1496="","",VLOOKUP(C1496,المستفيدين!$B:$C,2,FALSE)),"")</f>
        <v/>
      </c>
      <c r="E1496" s="20"/>
      <c r="F1496" s="34"/>
      <c r="G1496" s="34" t="str">
        <f>IFERROR(IF(C1496="","",VLOOKUP(C1496,المستفيدين!$B:$F,5,FALSE)),"")</f>
        <v/>
      </c>
      <c r="H1496" s="24"/>
      <c r="I1496" s="20"/>
      <c r="J1496" s="20"/>
      <c r="K1496" s="20"/>
      <c r="L1496" s="21"/>
    </row>
    <row r="1497" spans="1:12" x14ac:dyDescent="0.2">
      <c r="A1497" s="26"/>
      <c r="B1497" s="22"/>
      <c r="C1497" s="22"/>
      <c r="D1497" s="34" t="str">
        <f>IFERROR(IF(C1497="","",VLOOKUP(C1497,المستفيدين!$B:$C,2,FALSE)),"")</f>
        <v/>
      </c>
      <c r="E1497" s="20"/>
      <c r="F1497" s="34"/>
      <c r="G1497" s="34" t="str">
        <f>IFERROR(IF(C1497="","",VLOOKUP(C1497,المستفيدين!$B:$F,5,FALSE)),"")</f>
        <v/>
      </c>
      <c r="H1497" s="24"/>
      <c r="I1497" s="20"/>
      <c r="J1497" s="20"/>
      <c r="K1497" s="20"/>
      <c r="L1497" s="21"/>
    </row>
    <row r="1498" spans="1:12" x14ac:dyDescent="0.2">
      <c r="A1498" s="26"/>
      <c r="B1498" s="22"/>
      <c r="C1498" s="22"/>
      <c r="D1498" s="34" t="str">
        <f>IFERROR(IF(C1498="","",VLOOKUP(C1498,المستفيدين!$B:$C,2,FALSE)),"")</f>
        <v/>
      </c>
      <c r="E1498" s="20"/>
      <c r="F1498" s="34"/>
      <c r="G1498" s="34" t="str">
        <f>IFERROR(IF(C1498="","",VLOOKUP(C1498,المستفيدين!$B:$F,5,FALSE)),"")</f>
        <v/>
      </c>
      <c r="H1498" s="24"/>
      <c r="I1498" s="20"/>
      <c r="J1498" s="20"/>
      <c r="K1498" s="20"/>
      <c r="L1498" s="21"/>
    </row>
    <row r="1499" spans="1:12" x14ac:dyDescent="0.2">
      <c r="A1499" s="26"/>
      <c r="B1499" s="22"/>
      <c r="C1499" s="22"/>
      <c r="D1499" s="34" t="str">
        <f>IFERROR(IF(C1499="","",VLOOKUP(C1499,المستفيدين!$B:$C,2,FALSE)),"")</f>
        <v/>
      </c>
      <c r="E1499" s="20"/>
      <c r="F1499" s="34"/>
      <c r="G1499" s="34" t="str">
        <f>IFERROR(IF(C1499="","",VLOOKUP(C1499,المستفيدين!$B:$F,5,FALSE)),"")</f>
        <v/>
      </c>
      <c r="H1499" s="24"/>
      <c r="I1499" s="20"/>
      <c r="J1499" s="20"/>
      <c r="K1499" s="20"/>
      <c r="L1499" s="21"/>
    </row>
    <row r="1500" spans="1:12" x14ac:dyDescent="0.2">
      <c r="A1500" s="26"/>
      <c r="B1500" s="22"/>
      <c r="C1500" s="22"/>
      <c r="D1500" s="34" t="str">
        <f>IFERROR(IF(C1500="","",VLOOKUP(C1500,المستفيدين!$B:$C,2,FALSE)),"")</f>
        <v/>
      </c>
      <c r="E1500" s="20"/>
      <c r="F1500" s="34"/>
      <c r="G1500" s="34" t="str">
        <f>IFERROR(IF(C1500="","",VLOOKUP(C1500,المستفيدين!$B:$F,5,FALSE)),"")</f>
        <v/>
      </c>
      <c r="H1500" s="24"/>
      <c r="I1500" s="20"/>
      <c r="J1500" s="20"/>
      <c r="K1500" s="20"/>
      <c r="L1500" s="21"/>
    </row>
    <row r="1501" spans="1:12" x14ac:dyDescent="0.2">
      <c r="A1501" s="35"/>
      <c r="B1501" s="36"/>
      <c r="C1501" s="36"/>
      <c r="D1501" s="37" t="str">
        <f>IFERROR(IF(C1501="","",VLOOKUP(C1501,المستفيدين!$B:$C,2,FALSE)),"")</f>
        <v/>
      </c>
      <c r="E1501" s="38"/>
      <c r="F1501" s="37"/>
      <c r="G1501" s="34" t="str">
        <f>IFERROR(IF(C1501="","",VLOOKUP(C1501,المستفيدين!$B:$F,5,FALSE)),"")</f>
        <v/>
      </c>
      <c r="H1501" s="40"/>
      <c r="I1501" s="38"/>
      <c r="J1501" s="38"/>
      <c r="K1501" s="38"/>
      <c r="L1501" s="39"/>
    </row>
    <row r="1502" spans="1:12" x14ac:dyDescent="0.2">
      <c r="A1502" s="16"/>
      <c r="B1502" s="23"/>
      <c r="D1502" s="24" t="str">
        <f>IFERROR(IF(C1502="","",VLOOKUP(C1502,المستفيدين!$B:$C,2,FALSE)),"")</f>
        <v/>
      </c>
      <c r="E1502" s="16"/>
      <c r="F1502" s="41"/>
      <c r="G1502" s="41"/>
      <c r="H1502" s="14"/>
      <c r="I1502" s="16"/>
      <c r="J1502" s="16"/>
      <c r="K1502" s="16"/>
      <c r="L1502" s="16"/>
    </row>
    <row r="1503" spans="1:12" x14ac:dyDescent="0.2">
      <c r="A1503" s="16"/>
      <c r="B1503" s="23"/>
      <c r="D1503" s="24" t="str">
        <f>IFERROR(IF(C1503="","",VLOOKUP(C1503,المستفيدين!$B:$C,2,FALSE)),"")</f>
        <v/>
      </c>
      <c r="E1503" s="16"/>
      <c r="F1503" s="41"/>
      <c r="G1503" s="41"/>
      <c r="H1503" s="14"/>
      <c r="I1503" s="16"/>
      <c r="J1503" s="16"/>
      <c r="K1503" s="16"/>
      <c r="L1503" s="16"/>
    </row>
  </sheetData>
  <sheetProtection sort="0" autoFilter="0"/>
  <dataValidations count="1">
    <dataValidation type="list" allowBlank="1" showInputMessage="1" showErrorMessage="1" errorTitle="قيمة غير صحيحة" error="اختر أولاً نوع الخدمة في العمود G، ثم اختر من القائمة" sqref="I2:I1501" xr:uid="{85A95A85-D465-4CD3-A82E-677FB58E02D8}">
      <formula1>INDIRECT("قائمة_"&amp;$H2)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errorStyle="warning" allowBlank="1" showInputMessage="1" showErrorMessage="1" errorTitle="قيمة غير صالحة" error="القيمة غير موجودة في القائمة المرجعية." xr:uid="{00000000-0002-0000-0300-000000000000}">
          <x14:formula1>
            <xm:f>'القوائم المرجعية'!$G$5:$G$7</xm:f>
          </x14:formula1>
          <xm:sqref>J1504:J2021</xm:sqref>
        </x14:dataValidation>
        <x14:dataValidation type="list" errorStyle="warning" allowBlank="1" showInputMessage="1" showErrorMessage="1" errorTitle="قيمة غير صالحة" error="القيمة غير موجودة في القائمة المرجعية." xr:uid="{00000000-0002-0000-0300-000001000000}">
          <x14:formula1>
            <xm:f>'القوائم المرجعية'!$I$5:$I$8</xm:f>
          </x14:formula1>
          <xm:sqref>K1504:K2021</xm:sqref>
        </x14:dataValidation>
        <x14:dataValidation type="list" allowBlank="1" showInputMessage="1" showErrorMessage="1" errorTitle="الفترة" error="الرجاء الاختيار من القائمة" xr:uid="{00000000-0002-0000-0300-000002000000}">
          <x14:formula1>
            <xm:f>'القوائم المرجعية'!$G$5:$G$7</xm:f>
          </x14:formula1>
          <xm:sqref>J1502:J1503</xm:sqref>
        </x14:dataValidation>
        <x14:dataValidation type="list" allowBlank="1" showInputMessage="1" showErrorMessage="1" errorTitle="حالة الجلسة" error="الرجاء الاختيار من القائمة" xr:uid="{00000000-0002-0000-0300-000003000000}">
          <x14:formula1>
            <xm:f>'القوائم المرجعية'!$I$5:$I$8</xm:f>
          </x14:formula1>
          <xm:sqref>K1502:K1503</xm:sqref>
        </x14:dataValidation>
        <x14:dataValidation type="list" allowBlank="1" showInputMessage="1" showErrorMessage="1" errorTitle="قيمة غير صحيحة" error="اختر فترة" xr:uid="{00000000-0002-0000-0300-000004000000}">
          <x14:formula1>
            <xm:f>'القوائم المرجعية'!$G$5:$G$7</xm:f>
          </x14:formula1>
          <xm:sqref>J2:J1501</xm:sqref>
        </x14:dataValidation>
        <x14:dataValidation type="list" allowBlank="1" showInputMessage="1" showErrorMessage="1" errorTitle="قيمة غير صحيحة" error="اختر حالة الجلسة" xr:uid="{00000000-0002-0000-0300-000005000000}">
          <x14:formula1>
            <xm:f>'القوائم المرجعية'!$I$5:$I$8</xm:f>
          </x14:formula1>
          <xm:sqref>K2:K1501</xm:sqref>
        </x14:dataValidation>
        <x14:dataValidation type="list" allowBlank="1" showInputMessage="1" showErrorMessage="1" xr:uid="{00000000-0002-0000-0300-000006000000}">
          <x14:formula1>
            <xm:f>'القوائم المرجعية'!$L$4:$L$24</xm:f>
          </x14:formula1>
          <xm:sqref>I1502:I1048576</xm:sqref>
        </x14:dataValidation>
        <x14:dataValidation type="list" allowBlank="1" showInputMessage="1" showErrorMessage="1" xr:uid="{A8DEC665-56D4-44EA-B5CD-EE525D69EA13}">
          <x14:formula1>
            <xm:f>'القوائم المرجعية'!$V$4:$V$6</xm:f>
          </x14:formula1>
          <xm:sqref>H1502:H1048576</xm:sqref>
        </x14:dataValidation>
        <x14:dataValidation type="list" allowBlank="1" showInputMessage="1" showErrorMessage="1" errorTitle="قيمة غير صحيحة" error="اختر: خدمة أو جلسة" xr:uid="{EE49C5F1-C3B3-429A-9589-91402A95C119}">
          <x14:formula1>
            <xm:f>'القوائم المرجعية'!$V$5:$V$6</xm:f>
          </x14:formula1>
          <xm:sqref>H2:H1501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1"/>
  <sheetViews>
    <sheetView rightToLeft="1" workbookViewId="0">
      <selection activeCell="E2" sqref="E2"/>
    </sheetView>
  </sheetViews>
  <sheetFormatPr defaultRowHeight="14.25" x14ac:dyDescent="0.2"/>
  <cols>
    <col min="1" max="1" width="3.5" bestFit="1" customWidth="1"/>
    <col min="2" max="2" width="15.5" customWidth="1"/>
    <col min="3" max="3" width="21.875" bestFit="1" customWidth="1"/>
    <col min="5" max="5" width="38.25" bestFit="1" customWidth="1"/>
    <col min="6" max="6" width="11.75" customWidth="1"/>
    <col min="7" max="7" width="11.625" bestFit="1" customWidth="1"/>
    <col min="9" max="9" width="38.125" customWidth="1"/>
  </cols>
  <sheetData>
    <row r="1" spans="1:9" x14ac:dyDescent="0.2">
      <c r="A1" t="s">
        <v>356</v>
      </c>
      <c r="B1" t="s">
        <v>355</v>
      </c>
      <c r="C1" t="s">
        <v>367</v>
      </c>
      <c r="D1" t="s">
        <v>55</v>
      </c>
      <c r="E1" t="s">
        <v>568</v>
      </c>
      <c r="F1" t="s">
        <v>70</v>
      </c>
      <c r="G1" t="s">
        <v>71</v>
      </c>
      <c r="H1" t="s">
        <v>57</v>
      </c>
      <c r="I1" t="s">
        <v>53</v>
      </c>
    </row>
    <row r="2" spans="1:9" x14ac:dyDescent="0.2">
      <c r="A2" s="1">
        <v>1</v>
      </c>
      <c r="B2" s="1" t="s">
        <v>353</v>
      </c>
      <c r="C2" s="1">
        <v>1096348523</v>
      </c>
      <c r="D2" t="str">
        <f>IFERROR(IF(C2="","",IF(B2="موظف",VLOOKUP(C2,الموظفين!$B:$C,2,FALSE),VLOOKUP(C2,المستفيدين!$B:$C,2,FALSE))),"")</f>
        <v>مستفيد4</v>
      </c>
      <c r="E2" t="str">
        <f>IFERROR(IF(C2="","",IF(B2="موظف",VLOOKUP(C2,الموظفين!$B:$H,7,FALSE),VLOOKUP(C2,المستفيدين!$B:$F,5,FALSE))),"")</f>
        <v>مدرسة إرادة للتعليم (مكة)</v>
      </c>
      <c r="F2" s="3">
        <v>45447</v>
      </c>
      <c r="G2" s="1" t="s">
        <v>52</v>
      </c>
      <c r="H2" s="1" t="s">
        <v>1</v>
      </c>
      <c r="I2" s="1" t="s">
        <v>527</v>
      </c>
    </row>
    <row r="3" spans="1:9" x14ac:dyDescent="0.2">
      <c r="A3" s="1">
        <v>2</v>
      </c>
      <c r="B3" s="1" t="s">
        <v>353</v>
      </c>
      <c r="C3" s="1">
        <v>1723683973</v>
      </c>
      <c r="D3" t="str">
        <f>IFERROR(IF(C3="","",IF(B3="موظف",VLOOKUP(C3,الموظفين!$B:$C,2,FALSE),VLOOKUP(C3,المستفيدين!$B:$C,2,FALSE))),"")</f>
        <v>مستفيد152</v>
      </c>
      <c r="E3" t="str">
        <f>IFERROR(IF(C3="","",IF(B3="موظف",VLOOKUP(C3,الموظفين!$B:$H,7,FALSE),VLOOKUP(C3,المستفيدين!$B:$F,5,FALSE))),"")</f>
        <v>مركز إرادة وتمكين لمتلازمة داون (نجد)</v>
      </c>
      <c r="F3" s="3">
        <v>45456</v>
      </c>
      <c r="G3" s="1" t="s">
        <v>50</v>
      </c>
      <c r="H3" s="1" t="s">
        <v>1</v>
      </c>
      <c r="I3" s="1"/>
    </row>
    <row r="4" spans="1:9" x14ac:dyDescent="0.2">
      <c r="A4" s="1">
        <v>3</v>
      </c>
      <c r="B4" s="1" t="s">
        <v>353</v>
      </c>
      <c r="C4" s="1">
        <v>1672893974</v>
      </c>
      <c r="D4" t="str">
        <f>IFERROR(IF(C4="","",IF(B4="موظف",VLOOKUP(C4,الموظفين!$B:$C,2,FALSE),VLOOKUP(C4,المستفيدين!$B:$C,2,FALSE))),"")</f>
        <v>مستفيد148</v>
      </c>
      <c r="E4" t="str">
        <f>IFERROR(IF(C4="","",IF(B4="موظف",VLOOKUP(C4,الموظفين!$B:$H,7,FALSE),VLOOKUP(C4,المستفيدين!$B:$F,5,FALSE))),"")</f>
        <v>مركز إرادة وتمكين لمتلازمة داون (نجد)</v>
      </c>
      <c r="F4" s="3">
        <v>45462</v>
      </c>
      <c r="G4" s="1" t="s">
        <v>52</v>
      </c>
      <c r="H4" s="1" t="s">
        <v>1</v>
      </c>
      <c r="I4" s="1"/>
    </row>
    <row r="5" spans="1:9" x14ac:dyDescent="0.2">
      <c r="A5" s="1">
        <v>4</v>
      </c>
      <c r="B5" s="1" t="s">
        <v>353</v>
      </c>
      <c r="C5" s="1">
        <v>1692678303</v>
      </c>
      <c r="D5" t="str">
        <f>IFERROR(IF(C5="","",IF(B5="موظف",VLOOKUP(C5,الموظفين!$B:$C,2,FALSE),VLOOKUP(C5,المستفيدين!$B:$C,2,FALSE))),"")</f>
        <v>مستفيد94</v>
      </c>
      <c r="E5" t="str">
        <f>IFERROR(IF(C5="","",IF(B5="موظف",VLOOKUP(C5,الموظفين!$B:$H,7,FALSE),VLOOKUP(C5,المستفيدين!$B:$F,5,FALSE))),"")</f>
        <v>مدرسة إرادة للتعليم (مكة)</v>
      </c>
      <c r="F5" s="3">
        <v>45476</v>
      </c>
      <c r="G5" s="1" t="s">
        <v>50</v>
      </c>
      <c r="H5" s="1" t="s">
        <v>0</v>
      </c>
      <c r="I5" s="1"/>
    </row>
    <row r="6" spans="1:9" x14ac:dyDescent="0.2">
      <c r="A6" s="1">
        <v>5</v>
      </c>
      <c r="B6" s="1" t="s">
        <v>353</v>
      </c>
      <c r="C6" s="1">
        <v>1762847665</v>
      </c>
      <c r="D6" t="str">
        <f>IFERROR(IF(C6="","",IF(B6="موظف",VLOOKUP(C6,الموظفين!$B:$C,2,FALSE),VLOOKUP(C6,المستفيدين!$B:$C,2,FALSE))),"")</f>
        <v>مستفيد138</v>
      </c>
      <c r="E6" t="str">
        <f>IFERROR(IF(C6="","",IF(B6="موظف",VLOOKUP(C6,الموظفين!$B:$H,7,FALSE),VLOOKUP(C6,المستفيدين!$B:$F,5,FALSE))),"")</f>
        <v>مدرسة إرادة وتمكين لمتلازمة داون (نجد)</v>
      </c>
      <c r="F6" s="3">
        <v>45479</v>
      </c>
      <c r="G6" s="1" t="s">
        <v>52</v>
      </c>
      <c r="H6" s="1" t="s">
        <v>1</v>
      </c>
      <c r="I6" s="1"/>
    </row>
    <row r="7" spans="1:9" x14ac:dyDescent="0.2">
      <c r="A7" s="1">
        <v>6</v>
      </c>
      <c r="B7" s="1" t="s">
        <v>353</v>
      </c>
      <c r="C7" s="1">
        <v>1491276005</v>
      </c>
      <c r="D7" t="str">
        <f>IFERROR(IF(C7="","",IF(B7="موظف",VLOOKUP(C7,الموظفين!$B:$C,2,FALSE),VLOOKUP(C7,المستفيدين!$B:$C,2,FALSE))),"")</f>
        <v>مستفيد73</v>
      </c>
      <c r="E7" t="str">
        <f>IFERROR(IF(C7="","",IF(B7="موظف",VLOOKUP(C7,الموظفين!$B:$H,7,FALSE),VLOOKUP(C7,المستفيدين!$B:$F,5,FALSE))),"")</f>
        <v>مدرسة إرادة للتعليم (مكة)</v>
      </c>
      <c r="F7" s="3">
        <v>45486</v>
      </c>
      <c r="G7" s="1" t="s">
        <v>32</v>
      </c>
      <c r="H7" s="1" t="s">
        <v>1</v>
      </c>
      <c r="I7" s="1"/>
    </row>
    <row r="8" spans="1:9" x14ac:dyDescent="0.2">
      <c r="A8" s="1">
        <v>7</v>
      </c>
      <c r="B8" s="1" t="s">
        <v>353</v>
      </c>
      <c r="C8" s="1">
        <v>1229115953</v>
      </c>
      <c r="D8" t="str">
        <f>IFERROR(IF(C8="","",IF(B8="موظف",VLOOKUP(C8,الموظفين!$B:$C,2,FALSE),VLOOKUP(C8,المستفيدين!$B:$C,2,FALSE))),"")</f>
        <v>مستفيد198</v>
      </c>
      <c r="E8" t="str">
        <f>IFERROR(IF(C8="","",IF(B8="موظف",VLOOKUP(C8,الموظفين!$B:$H,7,FALSE),VLOOKUP(C8,المستفيدين!$B:$F,5,FALSE))),"")</f>
        <v>مركز إرادة وتمكين للرعاية النهارية (القدس)</v>
      </c>
      <c r="F8" s="3">
        <v>45487</v>
      </c>
      <c r="G8" s="1" t="s">
        <v>52</v>
      </c>
      <c r="H8" s="1" t="s">
        <v>1</v>
      </c>
      <c r="I8" s="1" t="s">
        <v>527</v>
      </c>
    </row>
    <row r="9" spans="1:9" x14ac:dyDescent="0.2">
      <c r="A9" s="1">
        <v>8</v>
      </c>
      <c r="B9" s="1" t="s">
        <v>353</v>
      </c>
      <c r="C9" s="1">
        <v>1643206666</v>
      </c>
      <c r="D9" t="str">
        <f>IFERROR(IF(C9="","",IF(B9="موظف",VLOOKUP(C9,الموظفين!$B:$C,2,FALSE),VLOOKUP(C9,المستفيدين!$B:$C,2,FALSE))),"")</f>
        <v>مستفيد95</v>
      </c>
      <c r="E9" t="str">
        <f>IFERROR(IF(C9="","",IF(B9="موظف",VLOOKUP(C9,الموظفين!$B:$H,7,FALSE),VLOOKUP(C9,المستفيدين!$B:$F,5,FALSE))),"")</f>
        <v>مركز إرادة وتمكين لمتلازمة داون (نجد)</v>
      </c>
      <c r="F9" s="3">
        <v>45496</v>
      </c>
      <c r="G9" s="1" t="s">
        <v>50</v>
      </c>
      <c r="H9" s="1" t="s">
        <v>1</v>
      </c>
      <c r="I9" s="1" t="s">
        <v>528</v>
      </c>
    </row>
    <row r="10" spans="1:9" x14ac:dyDescent="0.2">
      <c r="A10" s="1">
        <v>9</v>
      </c>
      <c r="B10" s="1" t="s">
        <v>353</v>
      </c>
      <c r="C10" s="1">
        <v>1911132783</v>
      </c>
      <c r="D10" t="str">
        <f>IFERROR(IF(C10="","",IF(B10="موظف",VLOOKUP(C10,الموظفين!$B:$C,2,FALSE),VLOOKUP(C10,المستفيدين!$B:$C,2,FALSE))),"")</f>
        <v>مستفيد59</v>
      </c>
      <c r="E10" t="str">
        <f>IFERROR(IF(C10="","",IF(B10="موظف",VLOOKUP(C10,الموظفين!$B:$H,7,FALSE),VLOOKUP(C10,المستفيدين!$B:$F,5,FALSE))),"")</f>
        <v>مركز إرادة وتمكين للرعاية النهارية (القدس)</v>
      </c>
      <c r="F10" s="3">
        <v>45509</v>
      </c>
      <c r="G10" s="1" t="s">
        <v>50</v>
      </c>
      <c r="H10" s="1" t="s">
        <v>1</v>
      </c>
      <c r="I10" s="1"/>
    </row>
    <row r="11" spans="1:9" x14ac:dyDescent="0.2">
      <c r="A11" s="1">
        <v>10</v>
      </c>
      <c r="B11" s="1" t="s">
        <v>354</v>
      </c>
      <c r="C11" s="1" t="s">
        <v>232</v>
      </c>
      <c r="D11" t="str">
        <f>IFERROR(IF(C11="","",IF(B11="موظف",VLOOKUP(C11,الموظفين!$B:$C,2,FALSE),VLOOKUP(C11,المستفيدين!$B:$C,2,FALSE))),"")</f>
        <v>موظف45</v>
      </c>
      <c r="E11" t="str">
        <f>IFERROR(IF(C11="","",IF(B11="موظف",VLOOKUP(C11,الموظفين!$B:$H,7,FALSE),VLOOKUP(C11,المستفيدين!$B:$F,5,FALSE))),"")</f>
        <v>مركز إرادة وتمكين للرعاية النهارية (القدس)</v>
      </c>
      <c r="F11" s="3">
        <v>45511</v>
      </c>
      <c r="G11" s="1" t="s">
        <v>52</v>
      </c>
      <c r="H11" s="1" t="s">
        <v>1</v>
      </c>
      <c r="I11" s="1"/>
    </row>
    <row r="12" spans="1:9" x14ac:dyDescent="0.2">
      <c r="A12" s="1">
        <v>11</v>
      </c>
      <c r="B12" s="1" t="s">
        <v>353</v>
      </c>
      <c r="C12" s="1">
        <v>1543372068</v>
      </c>
      <c r="D12" t="str">
        <f>IFERROR(IF(C12="","",IF(B12="موظف",VLOOKUP(C12,الموظفين!$B:$C,2,FALSE),VLOOKUP(C12,المستفيدين!$B:$C,2,FALSE))),"")</f>
        <v>مستفيد132</v>
      </c>
      <c r="E12" t="str">
        <f>IFERROR(IF(C12="","",IF(B12="موظف",VLOOKUP(C12,الموظفين!$B:$H,7,FALSE),VLOOKUP(C12,المستفيدين!$B:$F,5,FALSE))),"")</f>
        <v>مركز إرادة وتمكين للرعاية النهارية (القدس)</v>
      </c>
      <c r="F12" s="3">
        <v>45531</v>
      </c>
      <c r="G12" s="1" t="s">
        <v>51</v>
      </c>
      <c r="H12" s="1" t="s">
        <v>0</v>
      </c>
      <c r="I12" s="1"/>
    </row>
    <row r="13" spans="1:9" x14ac:dyDescent="0.2">
      <c r="A13" s="1">
        <v>12</v>
      </c>
      <c r="B13" s="1" t="s">
        <v>353</v>
      </c>
      <c r="C13" s="1">
        <v>1723683973</v>
      </c>
      <c r="D13" t="str">
        <f>IFERROR(IF(C13="","",IF(B13="موظف",VLOOKUP(C13,الموظفين!$B:$C,2,FALSE),VLOOKUP(C13,المستفيدين!$B:$C,2,FALSE))),"")</f>
        <v>مستفيد152</v>
      </c>
      <c r="E13" t="str">
        <f>IFERROR(IF(C13="","",IF(B13="موظف",VLOOKUP(C13,الموظفين!$B:$H,7,FALSE),VLOOKUP(C13,المستفيدين!$B:$F,5,FALSE))),"")</f>
        <v>مركز إرادة وتمكين لمتلازمة داون (نجد)</v>
      </c>
      <c r="F13" s="3">
        <v>45538</v>
      </c>
      <c r="G13" s="1" t="s">
        <v>52</v>
      </c>
      <c r="H13" s="1" t="s">
        <v>1</v>
      </c>
      <c r="I13" s="1" t="s">
        <v>527</v>
      </c>
    </row>
    <row r="14" spans="1:9" x14ac:dyDescent="0.2">
      <c r="A14" s="1">
        <v>13</v>
      </c>
      <c r="B14" s="1" t="s">
        <v>353</v>
      </c>
      <c r="C14" s="1">
        <v>1069215057</v>
      </c>
      <c r="D14" t="str">
        <f>IFERROR(IF(C14="","",IF(B14="موظف",VLOOKUP(C14,الموظفين!$B:$C,2,FALSE),VLOOKUP(C14,المستفيدين!$B:$C,2,FALSE))),"")</f>
        <v>مستفيد183</v>
      </c>
      <c r="E14" t="str">
        <f>IFERROR(IF(C14="","",IF(B14="موظف",VLOOKUP(C14,الموظفين!$B:$H,7,FALSE),VLOOKUP(C14,المستفيدين!$B:$F,5,FALSE))),"")</f>
        <v>مركز إرادة وتمكين لرعاية ذوي الاحتياجات الخاصة (جلمودة)</v>
      </c>
      <c r="F14" s="3">
        <v>45541</v>
      </c>
      <c r="G14" s="1" t="s">
        <v>51</v>
      </c>
      <c r="H14" s="1" t="s">
        <v>0</v>
      </c>
      <c r="I14" s="1" t="s">
        <v>527</v>
      </c>
    </row>
    <row r="15" spans="1:9" x14ac:dyDescent="0.2">
      <c r="A15" s="1">
        <v>14</v>
      </c>
      <c r="B15" s="1" t="s">
        <v>353</v>
      </c>
      <c r="C15" s="1">
        <v>1484076714</v>
      </c>
      <c r="D15" t="str">
        <f>IFERROR(IF(C15="","",IF(B15="موظف",VLOOKUP(C15,الموظفين!$B:$C,2,FALSE),VLOOKUP(C15,المستفيدين!$B:$C,2,FALSE))),"")</f>
        <v>مستفيد126</v>
      </c>
      <c r="E15" t="str">
        <f>IFERROR(IF(C15="","",IF(B15="موظف",VLOOKUP(C15,الموظفين!$B:$H,7,FALSE),VLOOKUP(C15,المستفيدين!$B:$F,5,FALSE))),"")</f>
        <v>مركز إرادة وتمكين للرعاية النهارية (القدس)</v>
      </c>
      <c r="F15" s="3">
        <v>45544</v>
      </c>
      <c r="G15" s="1" t="s">
        <v>51</v>
      </c>
      <c r="H15" s="1" t="s">
        <v>0</v>
      </c>
      <c r="I15" s="1"/>
    </row>
    <row r="16" spans="1:9" x14ac:dyDescent="0.2">
      <c r="A16" s="1">
        <v>15</v>
      </c>
      <c r="B16" s="1" t="s">
        <v>353</v>
      </c>
      <c r="C16" s="1">
        <v>1754717023</v>
      </c>
      <c r="D16" t="str">
        <f>IFERROR(IF(C16="","",IF(B16="موظف",VLOOKUP(C16,الموظفين!$B:$C,2,FALSE),VLOOKUP(C16,المستفيدين!$B:$C,2,FALSE))),"")</f>
        <v>مستفيد57</v>
      </c>
      <c r="E16" t="str">
        <f>IFERROR(IF(C16="","",IF(B16="موظف",VLOOKUP(C16,الموظفين!$B:$H,7,FALSE),VLOOKUP(C16,المستفيدين!$B:$F,5,FALSE))),"")</f>
        <v>مركز إرادة وتمكين لمتلازمة داون (نجد)</v>
      </c>
      <c r="F16" s="3">
        <v>45544</v>
      </c>
      <c r="G16" s="1" t="s">
        <v>52</v>
      </c>
      <c r="H16" s="1" t="s">
        <v>0</v>
      </c>
      <c r="I16" s="1"/>
    </row>
    <row r="17" spans="1:9" x14ac:dyDescent="0.2">
      <c r="A17" s="1">
        <v>16</v>
      </c>
      <c r="B17" s="1" t="s">
        <v>354</v>
      </c>
      <c r="C17" s="1" t="s">
        <v>68</v>
      </c>
      <c r="D17" t="str">
        <f>IFERROR(IF(C17="","",IF(B17="موظف",VLOOKUP(C17,الموظفين!$B:$C,2,FALSE),VLOOKUP(C17,المستفيدين!$B:$C,2,FALSE))),"")</f>
        <v>موظف2</v>
      </c>
      <c r="E17" t="str">
        <f>IFERROR(IF(C17="","",IF(B17="موظف",VLOOKUP(C17,الموظفين!$B:$H,7,FALSE),VLOOKUP(C17,المستفيدين!$B:$F,5,FALSE))),"")</f>
        <v>مدرسة إرادة للتعليم (مكة)</v>
      </c>
      <c r="F17" s="3">
        <v>45547</v>
      </c>
      <c r="G17" s="1" t="s">
        <v>50</v>
      </c>
      <c r="H17" s="1" t="s">
        <v>0</v>
      </c>
      <c r="I17" s="1" t="s">
        <v>523</v>
      </c>
    </row>
    <row r="18" spans="1:9" x14ac:dyDescent="0.2">
      <c r="A18" s="1">
        <v>17</v>
      </c>
      <c r="B18" s="1" t="s">
        <v>353</v>
      </c>
      <c r="C18" s="1">
        <v>1511480692</v>
      </c>
      <c r="D18" t="str">
        <f>IFERROR(IF(C18="","",IF(B18="موظف",VLOOKUP(C18,الموظفين!$B:$C,2,FALSE),VLOOKUP(C18,المستفيدين!$B:$C,2,FALSE))),"")</f>
        <v>مستفيد37</v>
      </c>
      <c r="E18" t="str">
        <f>IFERROR(IF(C18="","",IF(B18="موظف",VLOOKUP(C18,الموظفين!$B:$H,7,FALSE),VLOOKUP(C18,المستفيدين!$B:$F,5,FALSE))),"")</f>
        <v>مدرسة إرادة وتمكين لمتلازمة داون (نجد)</v>
      </c>
      <c r="F18" s="3">
        <v>45550</v>
      </c>
      <c r="G18" s="1" t="s">
        <v>32</v>
      </c>
      <c r="H18" s="1" t="s">
        <v>1</v>
      </c>
      <c r="I18" s="1" t="s">
        <v>523</v>
      </c>
    </row>
    <row r="19" spans="1:9" x14ac:dyDescent="0.2">
      <c r="A19" s="1">
        <v>18</v>
      </c>
      <c r="B19" s="1" t="s">
        <v>354</v>
      </c>
      <c r="C19" s="1" t="s">
        <v>248</v>
      </c>
      <c r="D19" t="str">
        <f>IFERROR(IF(C19="","",IF(B19="موظف",VLOOKUP(C19,الموظفين!$B:$C,2,FALSE),VLOOKUP(C19,المستفيدين!$B:$C,2,FALSE))),"")</f>
        <v>موظف53</v>
      </c>
      <c r="E19" t="str">
        <f>IFERROR(IF(C19="","",IF(B19="موظف",VLOOKUP(C19,الموظفين!$B:$H,7,FALSE),VLOOKUP(C19,المستفيدين!$B:$F,5,FALSE))),"")</f>
        <v>مركز إرادة وتمكين لرعاية ذوي الاحتياجات الخاصة (جلمودة)</v>
      </c>
      <c r="F19" s="3">
        <v>45550</v>
      </c>
      <c r="G19" s="1" t="s">
        <v>50</v>
      </c>
      <c r="H19" s="1" t="s">
        <v>0</v>
      </c>
      <c r="I19" s="1"/>
    </row>
    <row r="20" spans="1:9" x14ac:dyDescent="0.2">
      <c r="A20" s="1">
        <v>19</v>
      </c>
      <c r="B20" s="1" t="s">
        <v>354</v>
      </c>
      <c r="C20" s="1" t="s">
        <v>216</v>
      </c>
      <c r="D20" t="str">
        <f>IFERROR(IF(C20="","",IF(B20="موظف",VLOOKUP(C20,الموظفين!$B:$C,2,FALSE),VLOOKUP(C20,المستفيدين!$B:$C,2,FALSE))),"")</f>
        <v>موظف37</v>
      </c>
      <c r="E20" t="str">
        <f>IFERROR(IF(C20="","",IF(B20="موظف",VLOOKUP(C20,الموظفين!$B:$H,7,FALSE),VLOOKUP(C20,المستفيدين!$B:$F,5,FALSE))),"")</f>
        <v>مدرسة إرادة وتمكين لمتلازمة داون (نجد)</v>
      </c>
      <c r="F20" s="3">
        <v>45565</v>
      </c>
      <c r="G20" s="1" t="s">
        <v>51</v>
      </c>
      <c r="H20" s="1" t="s">
        <v>0</v>
      </c>
      <c r="I20" s="1" t="s">
        <v>528</v>
      </c>
    </row>
    <row r="21" spans="1:9" x14ac:dyDescent="0.2">
      <c r="A21" s="1">
        <v>20</v>
      </c>
      <c r="B21" s="1" t="s">
        <v>354</v>
      </c>
      <c r="C21" s="1" t="s">
        <v>338</v>
      </c>
      <c r="D21" t="str">
        <f>IFERROR(IF(C21="","",IF(B21="موظف",VLOOKUP(C21,الموظفين!$B:$C,2,FALSE),VLOOKUP(C21,المستفيدين!$B:$C,2,FALSE))),"")</f>
        <v>موظف98</v>
      </c>
      <c r="E21" t="str">
        <f>IFERROR(IF(C21="","",IF(B21="موظف",VLOOKUP(C21,الموظفين!$B:$H,7,FALSE),VLOOKUP(C21,المستفيدين!$B:$F,5,FALSE))),"")</f>
        <v>مركز إرادة وتمكين لرعاية ذوي الاحتياجات الخاصة (جلمودة)</v>
      </c>
      <c r="F21" s="3">
        <v>45595</v>
      </c>
      <c r="G21" s="1" t="s">
        <v>52</v>
      </c>
      <c r="H21" s="1" t="s">
        <v>0</v>
      </c>
      <c r="I21" s="1"/>
    </row>
    <row r="22" spans="1:9" x14ac:dyDescent="0.2">
      <c r="A22" s="1">
        <v>21</v>
      </c>
      <c r="B22" s="1" t="s">
        <v>353</v>
      </c>
      <c r="C22" s="1">
        <v>1181831202</v>
      </c>
      <c r="D22" t="str">
        <f>IFERROR(IF(C22="","",IF(B22="موظف",VLOOKUP(C22,الموظفين!$B:$C,2,FALSE),VLOOKUP(C22,المستفيدين!$B:$C,2,FALSE))),"")</f>
        <v>مستفيد137</v>
      </c>
      <c r="E22" t="str">
        <f>IFERROR(IF(C22="","",IF(B22="موظف",VLOOKUP(C22,الموظفين!$B:$H,7,FALSE),VLOOKUP(C22,المستفيدين!$B:$F,5,FALSE))),"")</f>
        <v>مركز إرادة وتمكين للرعاية النهارية (القدس)</v>
      </c>
      <c r="F22" s="3">
        <v>45597</v>
      </c>
      <c r="G22" s="1" t="s">
        <v>32</v>
      </c>
      <c r="H22" s="1" t="s">
        <v>1</v>
      </c>
      <c r="I22" s="1"/>
    </row>
    <row r="23" spans="1:9" x14ac:dyDescent="0.2">
      <c r="A23" s="1">
        <v>22</v>
      </c>
      <c r="B23" s="1" t="s">
        <v>354</v>
      </c>
      <c r="C23" s="1" t="s">
        <v>282</v>
      </c>
      <c r="D23" t="str">
        <f>IFERROR(IF(C23="","",IF(B23="موظف",VLOOKUP(C23,الموظفين!$B:$C,2,FALSE),VLOOKUP(C23,المستفيدين!$B:$C,2,FALSE))),"")</f>
        <v>موظف70</v>
      </c>
      <c r="E23" t="str">
        <f>IFERROR(IF(C23="","",IF(B23="موظف",VLOOKUP(C23,الموظفين!$B:$H,7,FALSE),VLOOKUP(C23,المستفيدين!$B:$F,5,FALSE))),"")</f>
        <v>مركز إرادة وتمكين للرعاية النهارية (القدس)</v>
      </c>
      <c r="F23" s="3">
        <v>45602</v>
      </c>
      <c r="G23" s="1" t="s">
        <v>52</v>
      </c>
      <c r="H23" s="1" t="s">
        <v>1</v>
      </c>
      <c r="I23" s="1" t="s">
        <v>523</v>
      </c>
    </row>
    <row r="24" spans="1:9" x14ac:dyDescent="0.2">
      <c r="A24" s="1">
        <v>23</v>
      </c>
      <c r="B24" s="1" t="s">
        <v>353</v>
      </c>
      <c r="C24" s="1">
        <v>1368977349</v>
      </c>
      <c r="D24" t="str">
        <f>IFERROR(IF(C24="","",IF(B24="موظف",VLOOKUP(C24,الموظفين!$B:$C,2,FALSE),VLOOKUP(C24,المستفيدين!$B:$C,2,FALSE))),"")</f>
        <v>مستفيد147</v>
      </c>
      <c r="E24" t="str">
        <f>IFERROR(IF(C24="","",IF(B24="موظف",VLOOKUP(C24,الموظفين!$B:$H,7,FALSE),VLOOKUP(C24,المستفيدين!$B:$F,5,FALSE))),"")</f>
        <v>مركز إرادة وتمكين للرعاية النهارية (القدس)</v>
      </c>
      <c r="F24" s="3">
        <v>45605</v>
      </c>
      <c r="G24" s="1" t="s">
        <v>50</v>
      </c>
      <c r="H24" s="1" t="s">
        <v>0</v>
      </c>
      <c r="I24" s="1" t="s">
        <v>528</v>
      </c>
    </row>
    <row r="25" spans="1:9" x14ac:dyDescent="0.2">
      <c r="A25" s="1">
        <v>24</v>
      </c>
      <c r="B25" s="1" t="s">
        <v>353</v>
      </c>
      <c r="C25" s="1">
        <v>1130166119</v>
      </c>
      <c r="D25" t="str">
        <f>IFERROR(IF(C25="","",IF(B25="موظف",VLOOKUP(C25,الموظفين!$B:$C,2,FALSE),VLOOKUP(C25,المستفيدين!$B:$C,2,FALSE))),"")</f>
        <v>مستفيد103</v>
      </c>
      <c r="E25" t="str">
        <f>IFERROR(IF(C25="","",IF(B25="موظف",VLOOKUP(C25,الموظفين!$B:$H,7,FALSE),VLOOKUP(C25,المستفيدين!$B:$F,5,FALSE))),"")</f>
        <v>مركز إرادة وتمكين لمتلازمة داون (نجد)</v>
      </c>
      <c r="F25" s="3">
        <v>45611</v>
      </c>
      <c r="G25" s="1" t="s">
        <v>50</v>
      </c>
      <c r="H25" s="1" t="s">
        <v>1</v>
      </c>
      <c r="I25" s="1" t="s">
        <v>523</v>
      </c>
    </row>
    <row r="26" spans="1:9" x14ac:dyDescent="0.2">
      <c r="A26" s="1">
        <v>25</v>
      </c>
      <c r="B26" s="1" t="s">
        <v>354</v>
      </c>
      <c r="C26" s="1" t="s">
        <v>160</v>
      </c>
      <c r="D26" t="str">
        <f>IFERROR(IF(C26="","",IF(B26="موظف",VLOOKUP(C26,الموظفين!$B:$C,2,FALSE),VLOOKUP(C26,المستفيدين!$B:$C,2,FALSE))),"")</f>
        <v>موظف9</v>
      </c>
      <c r="E26" t="str">
        <f>IFERROR(IF(C26="","",IF(B26="موظف",VLOOKUP(C26,الموظفين!$B:$H,7,FALSE),VLOOKUP(C26,المستفيدين!$B:$F,5,FALSE))),"")</f>
        <v>مدرسة إرادة للتعليم (مكة)</v>
      </c>
      <c r="F26" s="3">
        <v>45612</v>
      </c>
      <c r="G26" s="1" t="s">
        <v>32</v>
      </c>
      <c r="H26" s="1" t="s">
        <v>0</v>
      </c>
      <c r="I26" s="1"/>
    </row>
    <row r="27" spans="1:9" x14ac:dyDescent="0.2">
      <c r="A27" s="1">
        <v>26</v>
      </c>
      <c r="B27" s="1" t="s">
        <v>354</v>
      </c>
      <c r="C27" s="1" t="s">
        <v>234</v>
      </c>
      <c r="D27" t="str">
        <f>IFERROR(IF(C27="","",IF(B27="موظف",VLOOKUP(C27,الموظفين!$B:$C,2,FALSE),VLOOKUP(C27,المستفيدين!$B:$C,2,FALSE))),"")</f>
        <v>موظف46</v>
      </c>
      <c r="E27" t="str">
        <f>IFERROR(IF(C27="","",IF(B27="موظف",VLOOKUP(C27,الموظفين!$B:$H,7,FALSE),VLOOKUP(C27,المستفيدين!$B:$F,5,FALSE))),"")</f>
        <v>مدرسة إرادة للتعليم (مكة)</v>
      </c>
      <c r="F27" s="3">
        <v>45628</v>
      </c>
      <c r="G27" s="1" t="s">
        <v>52</v>
      </c>
      <c r="H27" s="1" t="s">
        <v>1</v>
      </c>
      <c r="I27" s="1" t="s">
        <v>527</v>
      </c>
    </row>
    <row r="28" spans="1:9" x14ac:dyDescent="0.2">
      <c r="A28" s="1">
        <v>27</v>
      </c>
      <c r="B28" s="1" t="s">
        <v>353</v>
      </c>
      <c r="C28" s="1">
        <v>1612775609</v>
      </c>
      <c r="D28" t="str">
        <f>IFERROR(IF(C28="","",IF(B28="موظف",VLOOKUP(C28,الموظفين!$B:$C,2,FALSE),VLOOKUP(C28,المستفيدين!$B:$C,2,FALSE))),"")</f>
        <v>مستفيد158</v>
      </c>
      <c r="E28" t="str">
        <f>IFERROR(IF(C28="","",IF(B28="موظف",VLOOKUP(C28,الموظفين!$B:$H,7,FALSE),VLOOKUP(C28,المستفيدين!$B:$F,5,FALSE))),"")</f>
        <v>مركز إرادة وتمكين لمتلازمة داون (نجد)</v>
      </c>
      <c r="F28" s="3">
        <v>45629</v>
      </c>
      <c r="G28" s="1" t="s">
        <v>51</v>
      </c>
      <c r="H28" s="1" t="s">
        <v>0</v>
      </c>
      <c r="I28" s="1" t="s">
        <v>528</v>
      </c>
    </row>
    <row r="29" spans="1:9" x14ac:dyDescent="0.2">
      <c r="A29" s="1">
        <v>28</v>
      </c>
      <c r="B29" s="1" t="s">
        <v>354</v>
      </c>
      <c r="C29" s="1" t="s">
        <v>236</v>
      </c>
      <c r="D29" t="str">
        <f>IFERROR(IF(C29="","",IF(B29="موظف",VLOOKUP(C29,الموظفين!$B:$C,2,FALSE),VLOOKUP(C29,المستفيدين!$B:$C,2,FALSE))),"")</f>
        <v>موظف47</v>
      </c>
      <c r="E29" t="str">
        <f>IFERROR(IF(C29="","",IF(B29="موظف",VLOOKUP(C29,الموظفين!$B:$H,7,FALSE),VLOOKUP(C29,المستفيدين!$B:$F,5,FALSE))),"")</f>
        <v>مركز إرادة وتمكين لمتلازمة داون (نجد)</v>
      </c>
      <c r="F29" s="3">
        <v>45635</v>
      </c>
      <c r="G29" s="1" t="s">
        <v>52</v>
      </c>
      <c r="H29" s="1" t="s">
        <v>0</v>
      </c>
      <c r="I29" s="1"/>
    </row>
    <row r="30" spans="1:9" x14ac:dyDescent="0.2">
      <c r="A30" s="1">
        <v>29</v>
      </c>
      <c r="B30" s="1" t="s">
        <v>354</v>
      </c>
      <c r="C30" s="1" t="s">
        <v>258</v>
      </c>
      <c r="D30" t="str">
        <f>IFERROR(IF(C30="","",IF(B30="موظف",VLOOKUP(C30,الموظفين!$B:$C,2,FALSE),VLOOKUP(C30,المستفيدين!$B:$C,2,FALSE))),"")</f>
        <v>موظف58</v>
      </c>
      <c r="E30" t="str">
        <f>IFERROR(IF(C30="","",IF(B30="موظف",VLOOKUP(C30,الموظفين!$B:$H,7,FALSE),VLOOKUP(C30,المستفيدين!$B:$F,5,FALSE))),"")</f>
        <v>مدرسة إرادة للتعليم (مكة)</v>
      </c>
      <c r="F30" s="3">
        <v>45638</v>
      </c>
      <c r="G30" s="1" t="s">
        <v>51</v>
      </c>
      <c r="H30" s="1" t="s">
        <v>1</v>
      </c>
      <c r="I30" s="1"/>
    </row>
    <row r="31" spans="1:9" x14ac:dyDescent="0.2">
      <c r="A31" s="1">
        <v>30</v>
      </c>
      <c r="B31" s="1" t="s">
        <v>353</v>
      </c>
      <c r="C31" s="1">
        <v>1239383239</v>
      </c>
      <c r="D31" t="str">
        <f>IFERROR(IF(C31="","",IF(B31="موظف",VLOOKUP(C31,الموظفين!$B:$C,2,FALSE),VLOOKUP(C31,المستفيدين!$B:$C,2,FALSE))),"")</f>
        <v>مستفيد13</v>
      </c>
      <c r="E31" t="str">
        <f>IFERROR(IF(C31="","",IF(B31="موظف",VLOOKUP(C31,الموظفين!$B:$H,7,FALSE),VLOOKUP(C31,المستفيدين!$B:$F,5,FALSE))),"")</f>
        <v>مركز إرادة وتمكين لرعاية ذوي الاحتياجات الخاصة (جلمودة)</v>
      </c>
      <c r="F31" s="3">
        <v>45644</v>
      </c>
      <c r="G31" s="1" t="s">
        <v>52</v>
      </c>
      <c r="H31" s="1" t="s">
        <v>1</v>
      </c>
      <c r="I31" s="1"/>
    </row>
    <row r="32" spans="1:9" x14ac:dyDescent="0.2">
      <c r="A32" s="1">
        <v>31</v>
      </c>
      <c r="B32" s="1" t="s">
        <v>353</v>
      </c>
      <c r="C32" s="1">
        <v>1239970649</v>
      </c>
      <c r="D32" t="str">
        <f>IFERROR(IF(C32="","",IF(B32="موظف",VLOOKUP(C32,الموظفين!$B:$C,2,FALSE),VLOOKUP(C32,المستفيدين!$B:$C,2,FALSE))),"")</f>
        <v>مستفيد87</v>
      </c>
      <c r="E32" t="str">
        <f>IFERROR(IF(C32="","",IF(B32="موظف",VLOOKUP(C32,الموظفين!$B:$H,7,FALSE),VLOOKUP(C32,المستفيدين!$B:$F,5,FALSE))),"")</f>
        <v>مدرسة إرادة للتعليم (مكة)</v>
      </c>
      <c r="F32" s="3">
        <v>45645</v>
      </c>
      <c r="G32" s="1" t="s">
        <v>50</v>
      </c>
      <c r="H32" s="1" t="s">
        <v>1</v>
      </c>
      <c r="I32" s="1"/>
    </row>
    <row r="33" spans="1:9" x14ac:dyDescent="0.2">
      <c r="A33" s="1">
        <v>32</v>
      </c>
      <c r="B33" s="1" t="s">
        <v>354</v>
      </c>
      <c r="C33" s="1" t="s">
        <v>272</v>
      </c>
      <c r="D33" t="str">
        <f>IFERROR(IF(C33="","",IF(B33="موظف",VLOOKUP(C33,الموظفين!$B:$C,2,FALSE),VLOOKUP(C33,المستفيدين!$B:$C,2,FALSE))),"")</f>
        <v>موظف65</v>
      </c>
      <c r="E33" t="str">
        <f>IFERROR(IF(C33="","",IF(B33="موظف",VLOOKUP(C33,الموظفين!$B:$H,7,FALSE),VLOOKUP(C33,المستفيدين!$B:$F,5,FALSE))),"")</f>
        <v>مركز إرادة وتمكين لرعاية ذوي الاحتياجات الخاصة (جلمودة)</v>
      </c>
      <c r="F33" s="3">
        <v>45654</v>
      </c>
      <c r="G33" s="1" t="s">
        <v>51</v>
      </c>
      <c r="H33" s="1" t="s">
        <v>1</v>
      </c>
      <c r="I33" s="1" t="s">
        <v>523</v>
      </c>
    </row>
    <row r="34" spans="1:9" x14ac:dyDescent="0.2">
      <c r="A34" s="1">
        <v>33</v>
      </c>
      <c r="B34" s="1" t="s">
        <v>353</v>
      </c>
      <c r="C34" s="1">
        <v>1096348523</v>
      </c>
      <c r="D34" t="str">
        <f>IFERROR(IF(C34="","",IF(B34="موظف",VLOOKUP(C34,الموظفين!$B:$C,2,FALSE),VLOOKUP(C34,المستفيدين!$B:$C,2,FALSE))),"")</f>
        <v>مستفيد4</v>
      </c>
      <c r="E34" t="str">
        <f>IFERROR(IF(C34="","",IF(B34="موظف",VLOOKUP(C34,الموظفين!$B:$H,7,FALSE),VLOOKUP(C34,المستفيدين!$B:$F,5,FALSE))),"")</f>
        <v>مدرسة إرادة للتعليم (مكة)</v>
      </c>
      <c r="F34" s="3">
        <v>45657</v>
      </c>
      <c r="G34" s="1" t="s">
        <v>51</v>
      </c>
      <c r="H34" s="1" t="s">
        <v>1</v>
      </c>
      <c r="I34" s="1"/>
    </row>
    <row r="35" spans="1:9" x14ac:dyDescent="0.2">
      <c r="A35" s="1">
        <v>34</v>
      </c>
      <c r="B35" s="1" t="s">
        <v>353</v>
      </c>
      <c r="C35" s="1">
        <v>1151017514</v>
      </c>
      <c r="D35" t="str">
        <f>IFERROR(IF(C35="","",IF(B35="موظف",VLOOKUP(C35,الموظفين!$B:$C,2,FALSE),VLOOKUP(C35,المستفيدين!$B:$C,2,FALSE))),"")</f>
        <v>مستفيد24</v>
      </c>
      <c r="E35" t="str">
        <f>IFERROR(IF(C35="","",IF(B35="موظف",VLOOKUP(C35,الموظفين!$B:$H,7,FALSE),VLOOKUP(C35,المستفيدين!$B:$F,5,FALSE))),"")</f>
        <v>مركز إرادة وتمكين للرعاية النهارية (القدس)</v>
      </c>
      <c r="F35" s="3">
        <v>45657</v>
      </c>
      <c r="G35" s="1" t="s">
        <v>32</v>
      </c>
      <c r="H35" s="1" t="s">
        <v>1</v>
      </c>
      <c r="I35" s="1" t="s">
        <v>527</v>
      </c>
    </row>
    <row r="36" spans="1:9" x14ac:dyDescent="0.2">
      <c r="A36" s="1">
        <v>35</v>
      </c>
      <c r="B36" s="1" t="s">
        <v>353</v>
      </c>
      <c r="C36" s="1">
        <v>1147655592</v>
      </c>
      <c r="D36" t="str">
        <f>IFERROR(IF(C36="","",IF(B36="موظف",VLOOKUP(C36,الموظفين!$B:$C,2,FALSE),VLOOKUP(C36,المستفيدين!$B:$C,2,FALSE))),"")</f>
        <v>مستفيد165</v>
      </c>
      <c r="E36" t="str">
        <f>IFERROR(IF(C36="","",IF(B36="موظف",VLOOKUP(C36,الموظفين!$B:$H,7,FALSE),VLOOKUP(C36,المستفيدين!$B:$F,5,FALSE))),"")</f>
        <v>مركز إرادة وتمكين لرعاية ذوي الاحتياجات الخاصة (جلمودة)</v>
      </c>
      <c r="F36" s="3">
        <v>45666</v>
      </c>
      <c r="G36" s="1" t="s">
        <v>50</v>
      </c>
      <c r="H36" s="1" t="s">
        <v>1</v>
      </c>
      <c r="I36" s="1" t="s">
        <v>523</v>
      </c>
    </row>
    <row r="37" spans="1:9" x14ac:dyDescent="0.2">
      <c r="A37" s="1">
        <v>36</v>
      </c>
      <c r="B37" s="1" t="s">
        <v>353</v>
      </c>
      <c r="C37" s="1">
        <v>1358470403</v>
      </c>
      <c r="D37" t="str">
        <f>IFERROR(IF(C37="","",IF(B37="موظف",VLOOKUP(C37,الموظفين!$B:$C,2,FALSE),VLOOKUP(C37,المستفيدين!$B:$C,2,FALSE))),"")</f>
        <v>مستفيد200</v>
      </c>
      <c r="E37" t="str">
        <f>IFERROR(IF(C37="","",IF(B37="موظف",VLOOKUP(C37,الموظفين!$B:$H,7,FALSE),VLOOKUP(C37,المستفيدين!$B:$F,5,FALSE))),"")</f>
        <v>مركز إرادة وتمكين للرعاية النهارية (القدس)</v>
      </c>
      <c r="F37" s="3">
        <v>45670</v>
      </c>
      <c r="G37" s="1" t="s">
        <v>52</v>
      </c>
      <c r="H37" s="1" t="s">
        <v>0</v>
      </c>
      <c r="I37" s="1" t="s">
        <v>527</v>
      </c>
    </row>
    <row r="38" spans="1:9" x14ac:dyDescent="0.2">
      <c r="A38" s="1">
        <v>37</v>
      </c>
      <c r="B38" s="1" t="s">
        <v>354</v>
      </c>
      <c r="C38" s="1" t="s">
        <v>170</v>
      </c>
      <c r="D38" t="str">
        <f>IFERROR(IF(C38="","",IF(B38="موظف",VLOOKUP(C38,الموظفين!$B:$C,2,FALSE),VLOOKUP(C38,المستفيدين!$B:$C,2,FALSE))),"")</f>
        <v>موظف14</v>
      </c>
      <c r="E38" t="str">
        <f>IFERROR(IF(C38="","",IF(B38="موظف",VLOOKUP(C38,الموظفين!$B:$H,7,FALSE),VLOOKUP(C38,المستفيدين!$B:$F,5,FALSE))),"")</f>
        <v>مركز إرادة وتمكين لرعاية ذوي الاحتياجات الخاصة (جلمودة)</v>
      </c>
      <c r="F38" s="3">
        <v>45684</v>
      </c>
      <c r="G38" s="1" t="s">
        <v>52</v>
      </c>
      <c r="H38" s="1" t="s">
        <v>0</v>
      </c>
      <c r="I38" s="1"/>
    </row>
    <row r="39" spans="1:9" x14ac:dyDescent="0.2">
      <c r="A39" s="1">
        <v>38</v>
      </c>
      <c r="B39" s="1" t="s">
        <v>353</v>
      </c>
      <c r="C39" s="1">
        <v>1580476879</v>
      </c>
      <c r="D39" t="str">
        <f>IFERROR(IF(C39="","",IF(B39="موظف",VLOOKUP(C39,الموظفين!$B:$C,2,FALSE),VLOOKUP(C39,المستفيدين!$B:$C,2,FALSE))),"")</f>
        <v>مستفيد82</v>
      </c>
      <c r="E39" t="str">
        <f>IFERROR(IF(C39="","",IF(B39="موظف",VLOOKUP(C39,الموظفين!$B:$H,7,FALSE),VLOOKUP(C39,المستفيدين!$B:$F,5,FALSE))),"")</f>
        <v>مدرسة إرادة للتعليم (مكة)</v>
      </c>
      <c r="F39" s="3">
        <v>45692</v>
      </c>
      <c r="G39" s="1" t="s">
        <v>32</v>
      </c>
      <c r="H39" s="1" t="s">
        <v>0</v>
      </c>
      <c r="I39" s="1"/>
    </row>
    <row r="40" spans="1:9" x14ac:dyDescent="0.2">
      <c r="A40" s="1">
        <v>39</v>
      </c>
      <c r="B40" s="1" t="s">
        <v>353</v>
      </c>
      <c r="C40" s="1">
        <v>1839924869</v>
      </c>
      <c r="D40" t="str">
        <f>IFERROR(IF(C40="","",IF(B40="موظف",VLOOKUP(C40,الموظفين!$B:$C,2,FALSE),VLOOKUP(C40,المستفيدين!$B:$C,2,FALSE))),"")</f>
        <v>مستفيد14</v>
      </c>
      <c r="E40" t="str">
        <f>IFERROR(IF(C40="","",IF(B40="موظف",VLOOKUP(C40,الموظفين!$B:$H,7,FALSE),VLOOKUP(C40,المستفيدين!$B:$F,5,FALSE))),"")</f>
        <v>مدرسة إرادة وتمكين لمتلازمة داون (نجد)</v>
      </c>
      <c r="F40" s="3">
        <v>45707</v>
      </c>
      <c r="G40" s="1" t="s">
        <v>51</v>
      </c>
      <c r="H40" s="1" t="s">
        <v>0</v>
      </c>
      <c r="I40" s="1"/>
    </row>
    <row r="41" spans="1:9" x14ac:dyDescent="0.2">
      <c r="A41" s="1">
        <v>40</v>
      </c>
      <c r="B41" s="1" t="s">
        <v>353</v>
      </c>
      <c r="C41" s="1">
        <v>1345489113</v>
      </c>
      <c r="D41" t="str">
        <f>IFERROR(IF(C41="","",IF(B41="موظف",VLOOKUP(C41,الموظفين!$B:$C,2,FALSE),VLOOKUP(C41,المستفيدين!$B:$C,2,FALSE))),"")</f>
        <v>مستفيد124</v>
      </c>
      <c r="E41" t="str">
        <f>IFERROR(IF(C41="","",IF(B41="موظف",VLOOKUP(C41,الموظفين!$B:$H,7,FALSE),VLOOKUP(C41,المستفيدين!$B:$F,5,FALSE))),"")</f>
        <v>مركز إرادة وتمكين لرعاية ذوي الاحتياجات الخاصة (جلمودة)</v>
      </c>
      <c r="F41" s="3">
        <v>45709</v>
      </c>
      <c r="G41" s="1" t="s">
        <v>52</v>
      </c>
      <c r="H41" s="1" t="s">
        <v>1</v>
      </c>
      <c r="I41" s="1"/>
    </row>
    <row r="42" spans="1:9" x14ac:dyDescent="0.2">
      <c r="A42" s="1">
        <v>41</v>
      </c>
      <c r="B42" s="1" t="s">
        <v>353</v>
      </c>
      <c r="C42" s="1">
        <v>1183545493</v>
      </c>
      <c r="D42" t="str">
        <f>IFERROR(IF(C42="","",IF(B42="موظف",VLOOKUP(C42,الموظفين!$B:$C,2,FALSE),VLOOKUP(C42,المستفيدين!$B:$C,2,FALSE))),"")</f>
        <v>مستفيد162</v>
      </c>
      <c r="E42" t="str">
        <f>IFERROR(IF(C42="","",IF(B42="موظف",VLOOKUP(C42,الموظفين!$B:$H,7,FALSE),VLOOKUP(C42,المستفيدين!$B:$F,5,FALSE))),"")</f>
        <v>مركز إرادة وتمكين لرعاية ذوي الاحتياجات الخاصة (جلمودة)</v>
      </c>
      <c r="F42" s="3">
        <v>45724</v>
      </c>
      <c r="G42" s="1" t="s">
        <v>51</v>
      </c>
      <c r="H42" s="1" t="s">
        <v>1</v>
      </c>
      <c r="I42" s="1" t="s">
        <v>527</v>
      </c>
    </row>
    <row r="43" spans="1:9" x14ac:dyDescent="0.2">
      <c r="A43" s="1">
        <v>42</v>
      </c>
      <c r="B43" s="1" t="s">
        <v>353</v>
      </c>
      <c r="C43" s="1">
        <v>1846035977</v>
      </c>
      <c r="D43" t="str">
        <f>IFERROR(IF(C43="","",IF(B43="موظف",VLOOKUP(C43,الموظفين!$B:$C,2,FALSE),VLOOKUP(C43,المستفيدين!$B:$C,2,FALSE))),"")</f>
        <v>مستفيد62</v>
      </c>
      <c r="E43" t="str">
        <f>IFERROR(IF(C43="","",IF(B43="موظف",VLOOKUP(C43,الموظفين!$B:$H,7,FALSE),VLOOKUP(C43,المستفيدين!$B:$F,5,FALSE))),"")</f>
        <v>مدرسة إرادة للتعليم (مكة)</v>
      </c>
      <c r="F43" s="3">
        <v>45727</v>
      </c>
      <c r="G43" s="1" t="s">
        <v>32</v>
      </c>
      <c r="H43" s="1" t="s">
        <v>0</v>
      </c>
      <c r="I43" s="1" t="s">
        <v>527</v>
      </c>
    </row>
    <row r="44" spans="1:9" x14ac:dyDescent="0.2">
      <c r="A44" s="1">
        <v>43</v>
      </c>
      <c r="B44" s="1" t="s">
        <v>353</v>
      </c>
      <c r="C44" s="1">
        <v>1074930603</v>
      </c>
      <c r="D44" t="str">
        <f>IFERROR(IF(C44="","",IF(B44="موظف",VLOOKUP(C44,الموظفين!$B:$C,2,FALSE),VLOOKUP(C44,المستفيدين!$B:$C,2,FALSE))),"")</f>
        <v>مستفيد50</v>
      </c>
      <c r="E44" t="str">
        <f>IFERROR(IF(C44="","",IF(B44="موظف",VLOOKUP(C44,الموظفين!$B:$H,7,FALSE),VLOOKUP(C44,المستفيدين!$B:$F,5,FALSE))),"")</f>
        <v>مركز إرادة وتمكين لمتلازمة داون (نجد)</v>
      </c>
      <c r="F44" s="3">
        <v>45742</v>
      </c>
      <c r="G44" s="1" t="s">
        <v>50</v>
      </c>
      <c r="H44" s="1" t="s">
        <v>0</v>
      </c>
      <c r="I44" s="1" t="s">
        <v>523</v>
      </c>
    </row>
    <row r="45" spans="1:9" x14ac:dyDescent="0.2">
      <c r="A45" s="1">
        <v>44</v>
      </c>
      <c r="B45" s="1" t="s">
        <v>354</v>
      </c>
      <c r="C45" s="1" t="s">
        <v>284</v>
      </c>
      <c r="D45" t="str">
        <f>IFERROR(IF(C45="","",IF(B45="موظف",VLOOKUP(C45,الموظفين!$B:$C,2,FALSE),VLOOKUP(C45,المستفيدين!$B:$C,2,FALSE))),"")</f>
        <v>موظف71</v>
      </c>
      <c r="E45" t="str">
        <f>IFERROR(IF(C45="","",IF(B45="موظف",VLOOKUP(C45,الموظفين!$B:$H,7,FALSE),VLOOKUP(C45,المستفيدين!$B:$F,5,FALSE))),"")</f>
        <v>مركز إرادة وتمكين لمتلازمة داون (نجد)</v>
      </c>
      <c r="F45" s="3">
        <v>45761</v>
      </c>
      <c r="G45" s="1" t="s">
        <v>32</v>
      </c>
      <c r="H45" s="1" t="s">
        <v>0</v>
      </c>
      <c r="I45" s="1" t="s">
        <v>523</v>
      </c>
    </row>
    <row r="46" spans="1:9" x14ac:dyDescent="0.2">
      <c r="A46" s="1">
        <v>45</v>
      </c>
      <c r="B46" s="1" t="s">
        <v>354</v>
      </c>
      <c r="C46" s="1" t="s">
        <v>324</v>
      </c>
      <c r="D46" t="str">
        <f>IFERROR(IF(C46="","",IF(B46="موظف",VLOOKUP(C46,الموظفين!$B:$C,2,FALSE),VLOOKUP(C46,المستفيدين!$B:$C,2,FALSE))),"")</f>
        <v>موظف91</v>
      </c>
      <c r="E46" t="str">
        <f>IFERROR(IF(C46="","",IF(B46="موظف",VLOOKUP(C46,الموظفين!$B:$H,7,FALSE),VLOOKUP(C46,المستفيدين!$B:$F,5,FALSE))),"")</f>
        <v>مركز إرادة وتمكين لمتلازمة داون (نجد)</v>
      </c>
      <c r="F46" s="3">
        <v>45765</v>
      </c>
      <c r="G46" s="1" t="s">
        <v>50</v>
      </c>
      <c r="H46" s="1" t="s">
        <v>1</v>
      </c>
      <c r="I46" s="1" t="s">
        <v>523</v>
      </c>
    </row>
    <row r="47" spans="1:9" x14ac:dyDescent="0.2">
      <c r="A47" s="1">
        <v>46</v>
      </c>
      <c r="B47" s="1" t="s">
        <v>353</v>
      </c>
      <c r="C47" s="1">
        <v>1473361734</v>
      </c>
      <c r="D47" t="str">
        <f>IFERROR(IF(C47="","",IF(B47="موظف",VLOOKUP(C47,الموظفين!$B:$C,2,FALSE),VLOOKUP(C47,المستفيدين!$B:$C,2,FALSE))),"")</f>
        <v>مستفيد63</v>
      </c>
      <c r="E47" t="str">
        <f>IFERROR(IF(C47="","",IF(B47="موظف",VLOOKUP(C47,الموظفين!$B:$H,7,FALSE),VLOOKUP(C47,المستفيدين!$B:$F,5,FALSE))),"")</f>
        <v>مدرسة إرادة للتعليم (مكة)</v>
      </c>
      <c r="F47" s="3">
        <v>45765</v>
      </c>
      <c r="G47" s="1" t="s">
        <v>51</v>
      </c>
      <c r="H47" s="1" t="s">
        <v>1</v>
      </c>
      <c r="I47" s="1" t="s">
        <v>523</v>
      </c>
    </row>
    <row r="48" spans="1:9" x14ac:dyDescent="0.2">
      <c r="A48" s="1">
        <v>47</v>
      </c>
      <c r="B48" s="1" t="s">
        <v>353</v>
      </c>
      <c r="C48" s="1">
        <v>1700680764</v>
      </c>
      <c r="D48" t="str">
        <f>IFERROR(IF(C48="","",IF(B48="موظف",VLOOKUP(C48,الموظفين!$B:$C,2,FALSE),VLOOKUP(C48,المستفيدين!$B:$C,2,FALSE))),"")</f>
        <v>مستفيد97</v>
      </c>
      <c r="E48" t="str">
        <f>IFERROR(IF(C48="","",IF(B48="موظف",VLOOKUP(C48,الموظفين!$B:$H,7,FALSE),VLOOKUP(C48,المستفيدين!$B:$F,5,FALSE))),"")</f>
        <v>مركز إرادة وتمكين لرعاية ذوي الاحتياجات الخاصة (جلمودة)</v>
      </c>
      <c r="F48" s="3">
        <v>45770</v>
      </c>
      <c r="G48" s="1" t="s">
        <v>52</v>
      </c>
      <c r="H48" s="1" t="s">
        <v>1</v>
      </c>
      <c r="I48" s="1"/>
    </row>
    <row r="49" spans="1:9" x14ac:dyDescent="0.2">
      <c r="A49" s="1">
        <v>48</v>
      </c>
      <c r="B49" s="1" t="s">
        <v>353</v>
      </c>
      <c r="C49" s="1">
        <v>1688005726</v>
      </c>
      <c r="D49" t="str">
        <f>IFERROR(IF(C49="","",IF(B49="موظف",VLOOKUP(C49,الموظفين!$B:$C,2,FALSE),VLOOKUP(C49,المستفيدين!$B:$C,2,FALSE))),"")</f>
        <v>مستفيد16</v>
      </c>
      <c r="E49" t="str">
        <f>IFERROR(IF(C49="","",IF(B49="موظف",VLOOKUP(C49,الموظفين!$B:$H,7,FALSE),VLOOKUP(C49,المستفيدين!$B:$F,5,FALSE))),"")</f>
        <v>مركز إرادة وتمكين لرعاية ذوي الاحتياجات الخاصة (جلمودة)</v>
      </c>
      <c r="F49" s="3">
        <v>45796</v>
      </c>
      <c r="G49" s="1" t="s">
        <v>32</v>
      </c>
      <c r="H49" s="1" t="s">
        <v>0</v>
      </c>
      <c r="I49" s="1" t="s">
        <v>523</v>
      </c>
    </row>
    <row r="50" spans="1:9" x14ac:dyDescent="0.2">
      <c r="A50" s="1">
        <v>49</v>
      </c>
      <c r="B50" s="1" t="s">
        <v>353</v>
      </c>
      <c r="C50" s="1">
        <v>1506829260</v>
      </c>
      <c r="D50" t="str">
        <f>IFERROR(IF(C50="","",IF(B50="موظف",VLOOKUP(C50,الموظفين!$B:$C,2,FALSE),VLOOKUP(C50,المستفيدين!$B:$C,2,FALSE))),"")</f>
        <v>مستفيد181</v>
      </c>
      <c r="E50" t="str">
        <f>IFERROR(IF(C50="","",IF(B50="موظف",VLOOKUP(C50,الموظفين!$B:$H,7,FALSE),VLOOKUP(C50,المستفيدين!$B:$F,5,FALSE))),"")</f>
        <v>مركز إرادة وتمكين للرعاية النهارية (القدس)</v>
      </c>
      <c r="F50" s="3">
        <v>45804</v>
      </c>
      <c r="G50" s="1" t="s">
        <v>52</v>
      </c>
      <c r="H50" s="1" t="s">
        <v>1</v>
      </c>
      <c r="I50" s="1"/>
    </row>
    <row r="51" spans="1:9" x14ac:dyDescent="0.2">
      <c r="A51" s="1">
        <v>50</v>
      </c>
      <c r="B51" s="1" t="s">
        <v>353</v>
      </c>
      <c r="C51" s="1">
        <v>1423056836</v>
      </c>
      <c r="D51" t="str">
        <f>IFERROR(IF(C51="","",IF(B51="موظف",VLOOKUP(C51,الموظفين!$B:$C,2,FALSE),VLOOKUP(C51,المستفيدين!$B:$C,2,FALSE))),"")</f>
        <v>مستفيد160</v>
      </c>
      <c r="E51" t="str">
        <f>IFERROR(IF(C51="","",IF(B51="موظف",VLOOKUP(C51,الموظفين!$B:$H,7,FALSE),VLOOKUP(C51,المستفيدين!$B:$F,5,FALSE))),"")</f>
        <v>مدرسة إرادة وتمكين لمتلازمة داون (نجد)</v>
      </c>
      <c r="F51" s="3">
        <v>45805</v>
      </c>
      <c r="G51" s="1" t="s">
        <v>50</v>
      </c>
      <c r="H51" s="1" t="s">
        <v>0</v>
      </c>
      <c r="I51" s="1"/>
    </row>
    <row r="52" spans="1:9" x14ac:dyDescent="0.2">
      <c r="A52" s="1">
        <v>51</v>
      </c>
      <c r="B52" s="1" t="s">
        <v>354</v>
      </c>
      <c r="C52" s="1" t="s">
        <v>334</v>
      </c>
      <c r="D52" t="str">
        <f>IFERROR(IF(C52="","",IF(B52="موظف",VLOOKUP(C52,الموظفين!$B:$C,2,FALSE),VLOOKUP(C52,المستفيدين!$B:$C,2,FALSE))),"")</f>
        <v>موظف96</v>
      </c>
      <c r="E52" t="str">
        <f>IFERROR(IF(C52="","",IF(B52="موظف",VLOOKUP(C52,الموظفين!$B:$H,7,FALSE),VLOOKUP(C52,المستفيدين!$B:$F,5,FALSE))),"")</f>
        <v>مدرسة إرادة للتعليم (مكة)</v>
      </c>
      <c r="F52" s="3">
        <v>45815</v>
      </c>
      <c r="G52" s="1" t="s">
        <v>50</v>
      </c>
      <c r="H52" s="1" t="s">
        <v>1</v>
      </c>
      <c r="I52" s="1"/>
    </row>
    <row r="53" spans="1:9" x14ac:dyDescent="0.2">
      <c r="A53" s="1">
        <v>52</v>
      </c>
      <c r="B53" s="1" t="s">
        <v>354</v>
      </c>
      <c r="C53" s="1" t="s">
        <v>254</v>
      </c>
      <c r="D53" t="str">
        <f>IFERROR(IF(C53="","",IF(B53="موظف",VLOOKUP(C53,الموظفين!$B:$C,2,FALSE),VLOOKUP(C53,المستفيدين!$B:$C,2,FALSE))),"")</f>
        <v>موظف56</v>
      </c>
      <c r="E53" t="str">
        <f>IFERROR(IF(C53="","",IF(B53="موظف",VLOOKUP(C53,الموظفين!$B:$H,7,FALSE),VLOOKUP(C53,المستفيدين!$B:$F,5,FALSE))),"")</f>
        <v>مدرسة إرادة وتمكين لمتلازمة داون (نجد)</v>
      </c>
      <c r="F53" s="3">
        <v>45836</v>
      </c>
      <c r="G53" s="1" t="s">
        <v>51</v>
      </c>
      <c r="H53" s="1" t="s">
        <v>1</v>
      </c>
      <c r="I53" s="1"/>
    </row>
    <row r="54" spans="1:9" x14ac:dyDescent="0.2">
      <c r="A54" s="1">
        <v>53</v>
      </c>
      <c r="B54" s="1" t="s">
        <v>353</v>
      </c>
      <c r="C54" s="1">
        <v>1074930603</v>
      </c>
      <c r="D54" t="str">
        <f>IFERROR(IF(C54="","",IF(B54="موظف",VLOOKUP(C54,الموظفين!$B:$C,2,FALSE),VLOOKUP(C54,المستفيدين!$B:$C,2,FALSE))),"")</f>
        <v>مستفيد50</v>
      </c>
      <c r="E54" t="str">
        <f>IFERROR(IF(C54="","",IF(B54="موظف",VLOOKUP(C54,الموظفين!$B:$H,7,FALSE),VLOOKUP(C54,المستفيدين!$B:$F,5,FALSE))),"")</f>
        <v>مركز إرادة وتمكين لمتلازمة داون (نجد)</v>
      </c>
      <c r="F54" s="3">
        <v>45838</v>
      </c>
      <c r="G54" s="1" t="s">
        <v>32</v>
      </c>
      <c r="H54" s="1" t="s">
        <v>0</v>
      </c>
      <c r="I54" s="1" t="s">
        <v>523</v>
      </c>
    </row>
    <row r="55" spans="1:9" x14ac:dyDescent="0.2">
      <c r="A55" s="1">
        <v>54</v>
      </c>
      <c r="B55" s="1" t="s">
        <v>353</v>
      </c>
      <c r="C55" s="1">
        <v>1917178608</v>
      </c>
      <c r="D55" t="str">
        <f>IFERROR(IF(C55="","",IF(B55="موظف",VLOOKUP(C55,الموظفين!$B:$C,2,FALSE),VLOOKUP(C55,المستفيدين!$B:$C,2,FALSE))),"")</f>
        <v>مستفيد90</v>
      </c>
      <c r="E55" t="str">
        <f>IFERROR(IF(C55="","",IF(B55="موظف",VLOOKUP(C55,الموظفين!$B:$H,7,FALSE),VLOOKUP(C55,المستفيدين!$B:$F,5,FALSE))),"")</f>
        <v>مركز إرادة وتمكين للرعاية النهارية (القدس)</v>
      </c>
      <c r="F55" s="3">
        <v>45872</v>
      </c>
      <c r="G55" s="1" t="s">
        <v>50</v>
      </c>
      <c r="H55" s="1" t="s">
        <v>1</v>
      </c>
      <c r="I55" s="1"/>
    </row>
    <row r="56" spans="1:9" x14ac:dyDescent="0.2">
      <c r="A56" s="1">
        <v>55</v>
      </c>
      <c r="B56" s="1" t="s">
        <v>353</v>
      </c>
      <c r="C56" s="1">
        <v>1854312995</v>
      </c>
      <c r="D56" t="str">
        <f>IFERROR(IF(C56="","",IF(B56="موظف",VLOOKUP(C56,الموظفين!$B:$C,2,FALSE),VLOOKUP(C56,المستفيدين!$B:$C,2,FALSE))),"")</f>
        <v>مستفيد7</v>
      </c>
      <c r="E56" t="str">
        <f>IFERROR(IF(C56="","",IF(B56="موظف",VLOOKUP(C56,الموظفين!$B:$H,7,FALSE),VLOOKUP(C56,المستفيدين!$B:$F,5,FALSE))),"")</f>
        <v>مدرسة إرادة وتمكين لمتلازمة داون (نجد)</v>
      </c>
      <c r="F56" s="3">
        <v>45874</v>
      </c>
      <c r="G56" s="1" t="s">
        <v>32</v>
      </c>
      <c r="H56" s="1" t="s">
        <v>0</v>
      </c>
      <c r="I56" s="1" t="s">
        <v>527</v>
      </c>
    </row>
    <row r="57" spans="1:9" x14ac:dyDescent="0.2">
      <c r="A57" s="1">
        <v>56</v>
      </c>
      <c r="B57" s="1" t="s">
        <v>353</v>
      </c>
      <c r="C57" s="1">
        <v>1098792726</v>
      </c>
      <c r="D57" t="str">
        <f>IFERROR(IF(C57="","",IF(B57="موظف",VLOOKUP(C57,الموظفين!$B:$C,2,FALSE),VLOOKUP(C57,المستفيدين!$B:$C,2,FALSE))),"")</f>
        <v>مستفيد140</v>
      </c>
      <c r="E57" t="str">
        <f>IFERROR(IF(C57="","",IF(B57="موظف",VLOOKUP(C57,الموظفين!$B:$H,7,FALSE),VLOOKUP(C57,المستفيدين!$B:$F,5,FALSE))),"")</f>
        <v>مدرسة إرادة وتمكين لمتلازمة داون (نجد)</v>
      </c>
      <c r="F57" s="3">
        <v>45875</v>
      </c>
      <c r="G57" s="1" t="s">
        <v>51</v>
      </c>
      <c r="H57" s="1" t="s">
        <v>1</v>
      </c>
      <c r="I57" s="1" t="s">
        <v>528</v>
      </c>
    </row>
    <row r="58" spans="1:9" x14ac:dyDescent="0.2">
      <c r="A58" s="1">
        <v>57</v>
      </c>
      <c r="B58" s="1" t="s">
        <v>353</v>
      </c>
      <c r="C58" s="1">
        <v>1296378535</v>
      </c>
      <c r="D58" t="str">
        <f>IFERROR(IF(C58="","",IF(B58="موظف",VLOOKUP(C58,الموظفين!$B:$C,2,FALSE),VLOOKUP(C58,المستفيدين!$B:$C,2,FALSE))),"")</f>
        <v>مستفيد156</v>
      </c>
      <c r="E58" t="str">
        <f>IFERROR(IF(C58="","",IF(B58="موظف",VLOOKUP(C58,الموظفين!$B:$H,7,FALSE),VLOOKUP(C58,المستفيدين!$B:$F,5,FALSE))),"")</f>
        <v>مركز إرادة وتمكين لمتلازمة داون (نجد)</v>
      </c>
      <c r="F58" s="3">
        <v>45881</v>
      </c>
      <c r="G58" s="1" t="s">
        <v>32</v>
      </c>
      <c r="H58" s="1" t="s">
        <v>0</v>
      </c>
      <c r="I58" s="1"/>
    </row>
    <row r="59" spans="1:9" x14ac:dyDescent="0.2">
      <c r="A59" s="1">
        <v>58</v>
      </c>
      <c r="B59" s="1" t="s">
        <v>353</v>
      </c>
      <c r="C59" s="1">
        <v>1846035977</v>
      </c>
      <c r="D59" t="str">
        <f>IFERROR(IF(C59="","",IF(B59="موظف",VLOOKUP(C59,الموظفين!$B:$C,2,FALSE),VLOOKUP(C59,المستفيدين!$B:$C,2,FALSE))),"")</f>
        <v>مستفيد62</v>
      </c>
      <c r="E59" t="str">
        <f>IFERROR(IF(C59="","",IF(B59="موظف",VLOOKUP(C59,الموظفين!$B:$H,7,FALSE),VLOOKUP(C59,المستفيدين!$B:$F,5,FALSE))),"")</f>
        <v>مدرسة إرادة للتعليم (مكة)</v>
      </c>
      <c r="F59" s="3">
        <v>45888</v>
      </c>
      <c r="G59" s="1" t="s">
        <v>52</v>
      </c>
      <c r="H59" s="1" t="s">
        <v>0</v>
      </c>
      <c r="I59" s="1"/>
    </row>
    <row r="60" spans="1:9" x14ac:dyDescent="0.2">
      <c r="A60" s="1">
        <v>59</v>
      </c>
      <c r="B60" s="1" t="s">
        <v>354</v>
      </c>
      <c r="C60" s="1" t="s">
        <v>186</v>
      </c>
      <c r="D60" t="str">
        <f>IFERROR(IF(C60="","",IF(B60="موظف",VLOOKUP(C60,الموظفين!$B:$C,2,FALSE),VLOOKUP(C60,المستفيدين!$B:$C,2,FALSE))),"")</f>
        <v>موظف22</v>
      </c>
      <c r="E60" t="str">
        <f>IFERROR(IF(C60="","",IF(B60="موظف",VLOOKUP(C60,الموظفين!$B:$H,7,FALSE),VLOOKUP(C60,المستفيدين!$B:$F,5,FALSE))),"")</f>
        <v>مدرسة إرادة للتعليم (مكة)</v>
      </c>
      <c r="F60" s="3">
        <v>45889</v>
      </c>
      <c r="G60" s="1" t="s">
        <v>51</v>
      </c>
      <c r="H60" s="1" t="s">
        <v>1</v>
      </c>
      <c r="I60" s="1" t="s">
        <v>528</v>
      </c>
    </row>
    <row r="61" spans="1:9" x14ac:dyDescent="0.2">
      <c r="A61" s="1">
        <v>60</v>
      </c>
      <c r="B61" s="1" t="s">
        <v>353</v>
      </c>
      <c r="C61" s="1">
        <v>1104352550</v>
      </c>
      <c r="D61" t="str">
        <f>IFERROR(IF(C61="","",IF(B61="موظف",VLOOKUP(C61,الموظفين!$B:$C,2,FALSE),VLOOKUP(C61,المستفيدين!$B:$C,2,FALSE))),"")</f>
        <v>مستفيد77</v>
      </c>
      <c r="E61" t="str">
        <f>IFERROR(IF(C61="","",IF(B61="موظف",VLOOKUP(C61,الموظفين!$B:$H,7,FALSE),VLOOKUP(C61,المستفيدين!$B:$F,5,FALSE))),"")</f>
        <v>مدرسة إرادة وتمكين لمتلازمة داون (نجد)</v>
      </c>
      <c r="F61" s="3">
        <v>45899</v>
      </c>
      <c r="G61" s="1" t="s">
        <v>52</v>
      </c>
      <c r="H61" s="1" t="s">
        <v>0</v>
      </c>
      <c r="I61" s="1"/>
    </row>
    <row r="62" spans="1:9" x14ac:dyDescent="0.2">
      <c r="A62" s="1">
        <v>61</v>
      </c>
      <c r="B62" s="1" t="s">
        <v>353</v>
      </c>
      <c r="C62" s="1">
        <v>1687244119</v>
      </c>
      <c r="D62" t="str">
        <f>IFERROR(IF(C62="","",IF(B62="موظف",VLOOKUP(C62,الموظفين!$B:$C,2,FALSE),VLOOKUP(C62,المستفيدين!$B:$C,2,FALSE))),"")</f>
        <v>مستفيد154</v>
      </c>
      <c r="E62" t="str">
        <f>IFERROR(IF(C62="","",IF(B62="موظف",VLOOKUP(C62,الموظفين!$B:$H,7,FALSE),VLOOKUP(C62,المستفيدين!$B:$F,5,FALSE))),"")</f>
        <v>مركز إرادة وتمكين للرعاية النهارية (القدس)</v>
      </c>
      <c r="F62" s="3">
        <v>45907</v>
      </c>
      <c r="G62" s="1" t="s">
        <v>52</v>
      </c>
      <c r="H62" s="1" t="s">
        <v>1</v>
      </c>
      <c r="I62" s="1"/>
    </row>
    <row r="63" spans="1:9" x14ac:dyDescent="0.2">
      <c r="A63" s="1">
        <v>62</v>
      </c>
      <c r="B63" s="1" t="s">
        <v>354</v>
      </c>
      <c r="C63" s="1" t="s">
        <v>166</v>
      </c>
      <c r="D63" t="str">
        <f>IFERROR(IF(C63="","",IF(B63="موظف",VLOOKUP(C63,الموظفين!$B:$C,2,FALSE),VLOOKUP(C63,المستفيدين!$B:$C,2,FALSE))),"")</f>
        <v>موظف12</v>
      </c>
      <c r="E63" t="str">
        <f>IFERROR(IF(C63="","",IF(B63="موظف",VLOOKUP(C63,الموظفين!$B:$H,7,FALSE),VLOOKUP(C63,المستفيدين!$B:$F,5,FALSE))),"")</f>
        <v>مدرسة إرادة للتعليم (مكة)</v>
      </c>
      <c r="F63" s="3">
        <v>45912</v>
      </c>
      <c r="G63" s="1" t="s">
        <v>32</v>
      </c>
      <c r="H63" s="1" t="s">
        <v>0</v>
      </c>
      <c r="I63" s="1"/>
    </row>
    <row r="64" spans="1:9" x14ac:dyDescent="0.2">
      <c r="A64" s="1">
        <v>63</v>
      </c>
      <c r="B64" s="1" t="s">
        <v>353</v>
      </c>
      <c r="C64" s="1">
        <v>1994984803</v>
      </c>
      <c r="D64" t="str">
        <f>IFERROR(IF(C64="","",IF(B64="موظف",VLOOKUP(C64,الموظفين!$B:$C,2,FALSE),VLOOKUP(C64,المستفيدين!$B:$C,2,FALSE))),"")</f>
        <v>مستفيد122</v>
      </c>
      <c r="E64" t="str">
        <f>IFERROR(IF(C64="","",IF(B64="موظف",VLOOKUP(C64,الموظفين!$B:$H,7,FALSE),VLOOKUP(C64,المستفيدين!$B:$F,5,FALSE))),"")</f>
        <v>مركز إرادة وتمكين للرعاية النهارية (القدس)</v>
      </c>
      <c r="F64" s="3">
        <v>45913</v>
      </c>
      <c r="G64" s="1" t="s">
        <v>52</v>
      </c>
      <c r="H64" s="1" t="s">
        <v>0</v>
      </c>
      <c r="I64" s="1"/>
    </row>
    <row r="65" spans="1:9" x14ac:dyDescent="0.2">
      <c r="A65" s="1">
        <v>64</v>
      </c>
      <c r="B65" s="1" t="s">
        <v>353</v>
      </c>
      <c r="C65" s="1">
        <v>1239383239</v>
      </c>
      <c r="D65" t="str">
        <f>IFERROR(IF(C65="","",IF(B65="موظف",VLOOKUP(C65,الموظفين!$B:$C,2,FALSE),VLOOKUP(C65,المستفيدين!$B:$C,2,FALSE))),"")</f>
        <v>مستفيد13</v>
      </c>
      <c r="E65" t="str">
        <f>IFERROR(IF(C65="","",IF(B65="موظف",VLOOKUP(C65,الموظفين!$B:$H,7,FALSE),VLOOKUP(C65,المستفيدين!$B:$F,5,FALSE))),"")</f>
        <v>مركز إرادة وتمكين لرعاية ذوي الاحتياجات الخاصة (جلمودة)</v>
      </c>
      <c r="F65" s="3">
        <v>45915</v>
      </c>
      <c r="G65" s="1" t="s">
        <v>51</v>
      </c>
      <c r="H65" s="1" t="s">
        <v>1</v>
      </c>
      <c r="I65" s="1"/>
    </row>
    <row r="66" spans="1:9" x14ac:dyDescent="0.2">
      <c r="A66" s="1">
        <v>65</v>
      </c>
      <c r="B66" s="1" t="s">
        <v>353</v>
      </c>
      <c r="C66" s="1">
        <v>1098792726</v>
      </c>
      <c r="D66" t="str">
        <f>IFERROR(IF(C66="","",IF(B66="موظف",VLOOKUP(C66,الموظفين!$B:$C,2,FALSE),VLOOKUP(C66,المستفيدين!$B:$C,2,FALSE))),"")</f>
        <v>مستفيد140</v>
      </c>
      <c r="E66" t="str">
        <f>IFERROR(IF(C66="","",IF(B66="موظف",VLOOKUP(C66,الموظفين!$B:$H,7,FALSE),VLOOKUP(C66,المستفيدين!$B:$F,5,FALSE))),"")</f>
        <v>مدرسة إرادة وتمكين لمتلازمة داون (نجد)</v>
      </c>
      <c r="F66" s="3">
        <v>45930</v>
      </c>
      <c r="G66" s="1" t="s">
        <v>50</v>
      </c>
      <c r="H66" s="1" t="s">
        <v>1</v>
      </c>
      <c r="I66" s="1" t="s">
        <v>523</v>
      </c>
    </row>
    <row r="67" spans="1:9" x14ac:dyDescent="0.2">
      <c r="A67" s="1">
        <v>66</v>
      </c>
      <c r="B67" s="1" t="s">
        <v>354</v>
      </c>
      <c r="C67" s="1" t="s">
        <v>268</v>
      </c>
      <c r="D67" t="str">
        <f>IFERROR(IF(C67="","",IF(B67="موظف",VLOOKUP(C67,الموظفين!$B:$C,2,FALSE),VLOOKUP(C67,المستفيدين!$B:$C,2,FALSE))),"")</f>
        <v>موظف63</v>
      </c>
      <c r="E67" t="str">
        <f>IFERROR(IF(C67="","",IF(B67="موظف",VLOOKUP(C67,الموظفين!$B:$H,7,FALSE),VLOOKUP(C67,المستفيدين!$B:$F,5,FALSE))),"")</f>
        <v>مركز إرادة وتمكين لمتلازمة داون (نجد)</v>
      </c>
      <c r="F67" s="3">
        <v>45938</v>
      </c>
      <c r="G67" s="1" t="s">
        <v>52</v>
      </c>
      <c r="H67" s="1" t="s">
        <v>1</v>
      </c>
      <c r="I67" s="1"/>
    </row>
    <row r="68" spans="1:9" x14ac:dyDescent="0.2">
      <c r="A68" s="1">
        <v>67</v>
      </c>
      <c r="B68" s="1" t="s">
        <v>353</v>
      </c>
      <c r="C68" s="1">
        <v>1640872800</v>
      </c>
      <c r="D68" t="str">
        <f>IFERROR(IF(C68="","",IF(B68="موظف",VLOOKUP(C68,الموظفين!$B:$C,2,FALSE),VLOOKUP(C68,المستفيدين!$B:$C,2,FALSE))),"")</f>
        <v>مستفيد173</v>
      </c>
      <c r="E68" t="str">
        <f>IFERROR(IF(C68="","",IF(B68="موظف",VLOOKUP(C68,الموظفين!$B:$H,7,FALSE),VLOOKUP(C68,المستفيدين!$B:$F,5,FALSE))),"")</f>
        <v>مركز إرادة وتمكين لرعاية ذوي الاحتياجات الخاصة (جلمودة)</v>
      </c>
      <c r="F68" s="3">
        <v>45946</v>
      </c>
      <c r="G68" s="1" t="s">
        <v>51</v>
      </c>
      <c r="H68" s="1" t="s">
        <v>1</v>
      </c>
      <c r="I68" s="1"/>
    </row>
    <row r="69" spans="1:9" x14ac:dyDescent="0.2">
      <c r="A69" s="1">
        <v>68</v>
      </c>
      <c r="B69" s="1" t="s">
        <v>353</v>
      </c>
      <c r="C69" s="1">
        <v>1742902647</v>
      </c>
      <c r="D69" t="str">
        <f>IFERROR(IF(C69="","",IF(B69="موظف",VLOOKUP(C69,الموظفين!$B:$C,2,FALSE),VLOOKUP(C69,المستفيدين!$B:$C,2,FALSE))),"")</f>
        <v>مستفيد109</v>
      </c>
      <c r="E69" t="str">
        <f>IFERROR(IF(C69="","",IF(B69="موظف",VLOOKUP(C69,الموظفين!$B:$H,7,FALSE),VLOOKUP(C69,المستفيدين!$B:$F,5,FALSE))),"")</f>
        <v>مركز إرادة وتمكين لرعاية ذوي الاحتياجات الخاصة (جلمودة)</v>
      </c>
      <c r="F69" s="3">
        <v>45948</v>
      </c>
      <c r="G69" s="1" t="s">
        <v>50</v>
      </c>
      <c r="H69" s="1" t="s">
        <v>0</v>
      </c>
      <c r="I69" s="1" t="s">
        <v>527</v>
      </c>
    </row>
    <row r="70" spans="1:9" x14ac:dyDescent="0.2">
      <c r="A70" s="1">
        <v>69</v>
      </c>
      <c r="B70" s="1" t="s">
        <v>353</v>
      </c>
      <c r="C70" s="1">
        <v>1715340689</v>
      </c>
      <c r="D70" t="str">
        <f>IFERROR(IF(C70="","",IF(B70="موظف",VLOOKUP(C70,الموظفين!$B:$C,2,FALSE),VLOOKUP(C70,المستفيدين!$B:$C,2,FALSE))),"")</f>
        <v>مستفيد102</v>
      </c>
      <c r="E70" t="str">
        <f>IFERROR(IF(C70="","",IF(B70="موظف",VLOOKUP(C70,الموظفين!$B:$H,7,FALSE),VLOOKUP(C70,المستفيدين!$B:$F,5,FALSE))),"")</f>
        <v>مدرسة إرادة للتعليم (مكة)</v>
      </c>
      <c r="F70" s="3">
        <v>45952</v>
      </c>
      <c r="G70" s="1" t="s">
        <v>50</v>
      </c>
      <c r="H70" s="1" t="s">
        <v>0</v>
      </c>
      <c r="I70" s="1"/>
    </row>
    <row r="71" spans="1:9" x14ac:dyDescent="0.2">
      <c r="A71" s="1">
        <v>70</v>
      </c>
      <c r="B71" s="1" t="s">
        <v>353</v>
      </c>
      <c r="C71" s="1">
        <v>1845701828</v>
      </c>
      <c r="D71" t="str">
        <f>IFERROR(IF(C71="","",IF(B71="موظف",VLOOKUP(C71,الموظفين!$B:$C,2,FALSE),VLOOKUP(C71,المستفيدين!$B:$C,2,FALSE))),"")</f>
        <v>مستفيد192</v>
      </c>
      <c r="E71" t="str">
        <f>IFERROR(IF(C71="","",IF(B71="موظف",VLOOKUP(C71,الموظفين!$B:$H,7,FALSE),VLOOKUP(C71,المستفيدين!$B:$F,5,FALSE))),"")</f>
        <v>مركز إرادة وتمكين للرعاية النهارية (القدس)</v>
      </c>
      <c r="F71" s="3">
        <v>45987</v>
      </c>
      <c r="G71" s="1" t="s">
        <v>52</v>
      </c>
      <c r="H71" s="1" t="s">
        <v>0</v>
      </c>
      <c r="I71" s="1" t="s">
        <v>523</v>
      </c>
    </row>
    <row r="72" spans="1:9" x14ac:dyDescent="0.2">
      <c r="A72" s="1">
        <v>71</v>
      </c>
      <c r="B72" s="1" t="s">
        <v>353</v>
      </c>
      <c r="C72" s="1">
        <v>1715681493</v>
      </c>
      <c r="D72" t="str">
        <f>IFERROR(IF(C72="","",IF(B72="موظف",VLOOKUP(C72,الموظفين!$B:$C,2,FALSE),VLOOKUP(C72,المستفيدين!$B:$C,2,FALSE))),"")</f>
        <v>مستفيد105</v>
      </c>
      <c r="E72" t="str">
        <f>IFERROR(IF(C72="","",IF(B72="موظف",VLOOKUP(C72,الموظفين!$B:$H,7,FALSE),VLOOKUP(C72,المستفيدين!$B:$F,5,FALSE))),"")</f>
        <v>مركز إرادة وتمكين لمتلازمة داون (نجد)</v>
      </c>
      <c r="F72" s="3">
        <v>45989</v>
      </c>
      <c r="G72" s="1" t="s">
        <v>51</v>
      </c>
      <c r="H72" s="1" t="s">
        <v>1</v>
      </c>
      <c r="I72" s="1"/>
    </row>
    <row r="73" spans="1:9" x14ac:dyDescent="0.2">
      <c r="A73" s="1">
        <v>72</v>
      </c>
      <c r="B73" s="1" t="s">
        <v>353</v>
      </c>
      <c r="C73" s="1">
        <v>1668099269</v>
      </c>
      <c r="D73" t="str">
        <f>IFERROR(IF(C73="","",IF(B73="موظف",VLOOKUP(C73,الموظفين!$B:$C,2,FALSE),VLOOKUP(C73,المستفيدين!$B:$C,2,FALSE))),"")</f>
        <v>مستفيد20</v>
      </c>
      <c r="E73" t="str">
        <f>IFERROR(IF(C73="","",IF(B73="موظف",VLOOKUP(C73,الموظفين!$B:$H,7,FALSE),VLOOKUP(C73,المستفيدين!$B:$F,5,FALSE))),"")</f>
        <v>مركز إرادة وتمكين لرعاية ذوي الاحتياجات الخاصة (جلمودة)</v>
      </c>
      <c r="F73" s="3">
        <v>45995</v>
      </c>
      <c r="G73" s="1" t="s">
        <v>52</v>
      </c>
      <c r="H73" s="1" t="s">
        <v>0</v>
      </c>
      <c r="I73" s="1"/>
    </row>
    <row r="74" spans="1:9" x14ac:dyDescent="0.2">
      <c r="A74" s="1">
        <v>73</v>
      </c>
      <c r="B74" s="1" t="s">
        <v>353</v>
      </c>
      <c r="C74" s="1">
        <v>1371671971</v>
      </c>
      <c r="D74" t="str">
        <f>IFERROR(IF(C74="","",IF(B74="موظف",VLOOKUP(C74,الموظفين!$B:$C,2,FALSE),VLOOKUP(C74,المستفيدين!$B:$C,2,FALSE))),"")</f>
        <v>مستفيد91</v>
      </c>
      <c r="E74" t="str">
        <f>IFERROR(IF(C74="","",IF(B74="موظف",VLOOKUP(C74,الموظفين!$B:$H,7,FALSE),VLOOKUP(C74,المستفيدين!$B:$F,5,FALSE))),"")</f>
        <v>مركز إرادة وتمكين لرعاية ذوي الاحتياجات الخاصة (جلمودة)</v>
      </c>
      <c r="F74" s="3">
        <v>46052</v>
      </c>
      <c r="G74" s="1" t="s">
        <v>50</v>
      </c>
      <c r="H74" s="1" t="s">
        <v>1</v>
      </c>
      <c r="I74" s="1"/>
    </row>
    <row r="75" spans="1:9" x14ac:dyDescent="0.2">
      <c r="A75" s="1">
        <v>74</v>
      </c>
      <c r="B75" s="1" t="s">
        <v>353</v>
      </c>
      <c r="C75" s="1">
        <v>1356048067</v>
      </c>
      <c r="D75" t="str">
        <f>IFERROR(IF(C75="","",IF(B75="موظف",VLOOKUP(C75,الموظفين!$B:$C,2,FALSE),VLOOKUP(C75,المستفيدين!$B:$C,2,FALSE))),"")</f>
        <v>مستفيد164</v>
      </c>
      <c r="E75" t="str">
        <f>IFERROR(IF(C75="","",IF(B75="موظف",VLOOKUP(C75,الموظفين!$B:$H,7,FALSE),VLOOKUP(C75,المستفيدين!$B:$F,5,FALSE))),"")</f>
        <v>مركز إرادة وتمكين لمتلازمة داون (نجد)</v>
      </c>
      <c r="F75" s="3">
        <v>46069</v>
      </c>
      <c r="G75" s="1" t="s">
        <v>32</v>
      </c>
      <c r="H75" s="1" t="s">
        <v>1</v>
      </c>
      <c r="I75" s="1" t="s">
        <v>523</v>
      </c>
    </row>
    <row r="76" spans="1:9" x14ac:dyDescent="0.2">
      <c r="A76" s="1">
        <v>75</v>
      </c>
      <c r="B76" s="1" t="s">
        <v>353</v>
      </c>
      <c r="C76" s="1">
        <v>1723683973</v>
      </c>
      <c r="D76" t="str">
        <f>IFERROR(IF(C76="","",IF(B76="موظف",VLOOKUP(C76,الموظفين!$B:$C,2,FALSE),VLOOKUP(C76,المستفيدين!$B:$C,2,FALSE))),"")</f>
        <v>مستفيد152</v>
      </c>
      <c r="E76" t="str">
        <f>IFERROR(IF(C76="","",IF(B76="موظف",VLOOKUP(C76,الموظفين!$B:$H,7,FALSE),VLOOKUP(C76,المستفيدين!$B:$F,5,FALSE))),"")</f>
        <v>مركز إرادة وتمكين لمتلازمة داون (نجد)</v>
      </c>
      <c r="F76" s="3">
        <v>46076</v>
      </c>
      <c r="G76" s="1" t="s">
        <v>51</v>
      </c>
      <c r="H76" s="1" t="s">
        <v>1</v>
      </c>
      <c r="I76" s="1" t="s">
        <v>523</v>
      </c>
    </row>
    <row r="77" spans="1:9" x14ac:dyDescent="0.2">
      <c r="A77" s="1">
        <v>76</v>
      </c>
      <c r="B77" s="1" t="s">
        <v>354</v>
      </c>
      <c r="C77" s="1" t="s">
        <v>332</v>
      </c>
      <c r="D77" t="str">
        <f>IFERROR(IF(C77="","",IF(B77="موظف",VLOOKUP(C77,الموظفين!$B:$C,2,FALSE),VLOOKUP(C77,المستفيدين!$B:$C,2,FALSE))),"")</f>
        <v>موظف95</v>
      </c>
      <c r="E77" t="str">
        <f>IFERROR(IF(C77="","",IF(B77="موظف",VLOOKUP(C77,الموظفين!$B:$H,7,FALSE),VLOOKUP(C77,المستفيدين!$B:$F,5,FALSE))),"")</f>
        <v>مركز إرادة وتمكين لرعاية ذوي الاحتياجات الخاصة (جلمودة)</v>
      </c>
      <c r="F77" s="3">
        <v>46092</v>
      </c>
      <c r="G77" s="1" t="s">
        <v>32</v>
      </c>
      <c r="H77" s="1" t="s">
        <v>0</v>
      </c>
      <c r="I77" s="1"/>
    </row>
    <row r="78" spans="1:9" x14ac:dyDescent="0.2">
      <c r="A78" s="1">
        <v>77</v>
      </c>
      <c r="B78" s="1" t="s">
        <v>353</v>
      </c>
      <c r="C78" s="1">
        <v>1181831202</v>
      </c>
      <c r="D78" t="str">
        <f>IFERROR(IF(C78="","",IF(B78="موظف",VLOOKUP(C78,الموظفين!$B:$C,2,FALSE),VLOOKUP(C78,المستفيدين!$B:$C,2,FALSE))),"")</f>
        <v>مستفيد137</v>
      </c>
      <c r="E78" t="str">
        <f>IFERROR(IF(C78="","",IF(B78="موظف",VLOOKUP(C78,الموظفين!$B:$H,7,FALSE),VLOOKUP(C78,المستفيدين!$B:$F,5,FALSE))),"")</f>
        <v>مركز إرادة وتمكين للرعاية النهارية (القدس)</v>
      </c>
      <c r="F78" s="3">
        <v>46094</v>
      </c>
      <c r="G78" s="1" t="s">
        <v>51</v>
      </c>
      <c r="H78" s="1" t="s">
        <v>0</v>
      </c>
      <c r="I78" s="1"/>
    </row>
    <row r="79" spans="1:9" x14ac:dyDescent="0.2">
      <c r="A79" s="1">
        <v>78</v>
      </c>
      <c r="B79" s="1" t="s">
        <v>353</v>
      </c>
      <c r="C79" s="1">
        <v>1751252727</v>
      </c>
      <c r="D79" t="str">
        <f>IFERROR(IF(C79="","",IF(B79="موظف",VLOOKUP(C79,الموظفين!$B:$C,2,FALSE),VLOOKUP(C79,المستفيدين!$B:$C,2,FALSE))),"")</f>
        <v>مستفيد131</v>
      </c>
      <c r="E79" t="str">
        <f>IFERROR(IF(C79="","",IF(B79="موظف",VLOOKUP(C79,الموظفين!$B:$H,7,FALSE),VLOOKUP(C79,المستفيدين!$B:$F,5,FALSE))),"")</f>
        <v>مركز إرادة وتمكين للرعاية النهارية (القدس)</v>
      </c>
      <c r="F79" s="3">
        <v>46096</v>
      </c>
      <c r="G79" s="1" t="s">
        <v>32</v>
      </c>
      <c r="H79" s="1" t="s">
        <v>1</v>
      </c>
      <c r="I79" s="1" t="s">
        <v>523</v>
      </c>
    </row>
    <row r="80" spans="1:9" x14ac:dyDescent="0.2">
      <c r="A80" s="1">
        <v>79</v>
      </c>
      <c r="B80" s="1" t="s">
        <v>353</v>
      </c>
      <c r="C80" s="1">
        <v>1076683920</v>
      </c>
      <c r="D80" t="str">
        <f>IFERROR(IF(C80="","",IF(B80="موظف",VLOOKUP(C80,الموظفين!$B:$C,2,FALSE),VLOOKUP(C80,المستفيدين!$B:$C,2,FALSE))),"")</f>
        <v>مستفيد92</v>
      </c>
      <c r="E80" t="str">
        <f>IFERROR(IF(C80="","",IF(B80="موظف",VLOOKUP(C80,الموظفين!$B:$H,7,FALSE),VLOOKUP(C80,المستفيدين!$B:$F,5,FALSE))),"")</f>
        <v>مركز إرادة وتمكين للرعاية النهارية (القدس)</v>
      </c>
      <c r="F80" s="3">
        <v>46110</v>
      </c>
      <c r="G80" s="1" t="s">
        <v>50</v>
      </c>
      <c r="H80" s="1" t="s">
        <v>0</v>
      </c>
      <c r="I80" s="1"/>
    </row>
    <row r="81" spans="1:9" x14ac:dyDescent="0.2">
      <c r="A81" s="1">
        <v>80</v>
      </c>
      <c r="B81" s="1" t="s">
        <v>353</v>
      </c>
      <c r="C81" s="1">
        <v>1020269730</v>
      </c>
      <c r="D81" t="str">
        <f>IFERROR(IF(C81="","",IF(B81="موظف",VLOOKUP(C81,الموظفين!$B:$C,2,FALSE),VLOOKUP(C81,المستفيدين!$B:$C,2,FALSE))),"")</f>
        <v>مستفيد32</v>
      </c>
      <c r="E81" t="str">
        <f>IFERROR(IF(C81="","",IF(B81="موظف",VLOOKUP(C81,الموظفين!$B:$H,7,FALSE),VLOOKUP(C81,المستفيدين!$B:$F,5,FALSE))),"")</f>
        <v>مدرسة إرادة للتعليم (مكة)</v>
      </c>
      <c r="F81" s="3">
        <v>46128</v>
      </c>
      <c r="G81" s="1" t="s">
        <v>32</v>
      </c>
      <c r="H81" s="1" t="s">
        <v>0</v>
      </c>
      <c r="I81" s="1" t="s">
        <v>523</v>
      </c>
    </row>
    <row r="82" spans="1:9" x14ac:dyDescent="0.2">
      <c r="A82" s="1"/>
      <c r="B82" s="1"/>
      <c r="C82" s="1"/>
      <c r="D82" t="str">
        <f>IFERROR(IF(C82="","",IF(B82="موظف",VLOOKUP(C82,الموظفين!$B:$C,2,FALSE),VLOOKUP(C82,المستفيدين!$B:$C,2,FALSE))),"")</f>
        <v/>
      </c>
      <c r="F82" s="1"/>
      <c r="G82" s="1"/>
      <c r="H82" s="1"/>
      <c r="I82" s="1"/>
    </row>
    <row r="83" spans="1:9" x14ac:dyDescent="0.2">
      <c r="A83" s="1"/>
      <c r="B83" s="1"/>
      <c r="C83" s="1"/>
      <c r="D83" t="str">
        <f>IFERROR(IF(C83="","",IF(B83="موظف",VLOOKUP(C83,الموظفين!$B:$C,2,FALSE),VLOOKUP(C83,المستفيدين!$B:$C,2,FALSE))),"")</f>
        <v/>
      </c>
      <c r="F83" s="1"/>
      <c r="G83" s="1"/>
      <c r="H83" s="1"/>
      <c r="I83" s="1"/>
    </row>
    <row r="84" spans="1:9" x14ac:dyDescent="0.2">
      <c r="A84" s="1"/>
      <c r="B84" s="1"/>
      <c r="C84" s="1"/>
      <c r="D84" t="str">
        <f>IFERROR(IF(C84="","",IF(B84="موظف",VLOOKUP(C84,الموظفين!$B:$C,2,FALSE),VLOOKUP(C84,المستفيدين!$B:$C,2,FALSE))),"")</f>
        <v/>
      </c>
      <c r="F84" s="1"/>
      <c r="G84" s="1"/>
      <c r="H84" s="1"/>
      <c r="I84" s="1"/>
    </row>
    <row r="85" spans="1:9" x14ac:dyDescent="0.2">
      <c r="A85" s="1"/>
      <c r="B85" s="1"/>
      <c r="C85" s="1"/>
      <c r="D85" t="str">
        <f>IFERROR(IF(C85="","",IF(B85="موظف",VLOOKUP(C85,الموظفين!$B:$C,2,FALSE),VLOOKUP(C85,المستفيدين!$B:$C,2,FALSE))),"")</f>
        <v/>
      </c>
      <c r="F85" s="1"/>
      <c r="G85" s="1"/>
      <c r="H85" s="1"/>
      <c r="I85" s="1"/>
    </row>
    <row r="86" spans="1:9" x14ac:dyDescent="0.2">
      <c r="A86" s="1"/>
      <c r="B86" s="1"/>
      <c r="C86" s="1"/>
      <c r="D86" t="str">
        <f>IFERROR(IF(C86="","",IF(B86="موظف",VLOOKUP(C86,الموظفين!$B:$C,2,FALSE),VLOOKUP(C86,المستفيدين!$B:$C,2,FALSE))),"")</f>
        <v/>
      </c>
      <c r="F86" s="1"/>
      <c r="G86" s="1"/>
      <c r="H86" s="1"/>
      <c r="I86" s="1"/>
    </row>
    <row r="87" spans="1:9" x14ac:dyDescent="0.2">
      <c r="A87" s="1"/>
      <c r="B87" s="1"/>
      <c r="C87" s="1"/>
      <c r="D87" t="str">
        <f>IFERROR(IF(C87="","",IF(B87="موظف",VLOOKUP(C87,الموظفين!$B:$C,2,FALSE),VLOOKUP(C87,المستفيدين!$B:$C,2,FALSE))),"")</f>
        <v/>
      </c>
      <c r="F87" s="1"/>
      <c r="G87" s="1"/>
      <c r="H87" s="1"/>
      <c r="I87" s="1"/>
    </row>
    <row r="88" spans="1:9" x14ac:dyDescent="0.2">
      <c r="A88" s="1"/>
      <c r="B88" s="1"/>
      <c r="C88" s="1"/>
      <c r="D88" t="str">
        <f>IFERROR(IF(C88="","",IF(B88="موظف",VLOOKUP(C88,الموظفين!$B:$C,2,FALSE),VLOOKUP(C88,المستفيدين!$B:$C,2,FALSE))),"")</f>
        <v/>
      </c>
      <c r="F88" s="1"/>
      <c r="G88" s="1"/>
      <c r="H88" s="1"/>
      <c r="I88" s="1"/>
    </row>
    <row r="89" spans="1:9" x14ac:dyDescent="0.2">
      <c r="A89" s="1"/>
      <c r="B89" s="1"/>
      <c r="C89" s="1"/>
      <c r="D89" t="str">
        <f>IFERROR(IF(C89="","",IF(B89="موظف",VLOOKUP(C89,الموظفين!$B:$C,2,FALSE),VLOOKUP(C89,المستفيدين!$B:$C,2,FALSE))),"")</f>
        <v/>
      </c>
      <c r="F89" s="1"/>
      <c r="G89" s="1"/>
      <c r="H89" s="1"/>
      <c r="I89" s="1"/>
    </row>
    <row r="90" spans="1:9" x14ac:dyDescent="0.2">
      <c r="A90" s="1"/>
      <c r="B90" s="1"/>
      <c r="C90" s="1"/>
      <c r="D90" t="str">
        <f>IFERROR(IF(C90="","",IF(B90="موظف",VLOOKUP(C90,الموظفين!$B:$C,2,FALSE),VLOOKUP(C90,المستفيدين!$B:$C,2,FALSE))),"")</f>
        <v/>
      </c>
      <c r="F90" s="1"/>
      <c r="G90" s="1"/>
      <c r="H90" s="1"/>
      <c r="I90" s="1"/>
    </row>
    <row r="91" spans="1:9" x14ac:dyDescent="0.2">
      <c r="A91" s="1"/>
      <c r="B91" s="1"/>
      <c r="C91" s="1"/>
      <c r="D91" t="str">
        <f>IFERROR(IF(C91="","",IF(B91="موظف",VLOOKUP(C91,الموظفين!$B:$C,2,FALSE),VLOOKUP(C91,المستفيدين!$B:$C,2,FALSE))),"")</f>
        <v/>
      </c>
      <c r="F91" s="1"/>
      <c r="G91" s="1"/>
      <c r="H91" s="1"/>
      <c r="I91" s="1"/>
    </row>
    <row r="92" spans="1:9" x14ac:dyDescent="0.2">
      <c r="A92" s="1"/>
      <c r="B92" s="1"/>
      <c r="C92" s="1"/>
      <c r="D92" t="str">
        <f>IFERROR(IF(C92="","",IF(B92="موظف",VLOOKUP(C92,الموظفين!$B:$C,2,FALSE),VLOOKUP(C92,المستفيدين!$B:$C,2,FALSE))),"")</f>
        <v/>
      </c>
      <c r="F92" s="1"/>
      <c r="G92" s="1"/>
      <c r="H92" s="1"/>
      <c r="I92" s="1"/>
    </row>
    <row r="93" spans="1:9" x14ac:dyDescent="0.2">
      <c r="A93" s="1"/>
      <c r="B93" s="1"/>
      <c r="C93" s="1"/>
      <c r="D93" t="str">
        <f>IFERROR(IF(C93="","",IF(B93="موظف",VLOOKUP(C93,الموظفين!$B:$C,2,FALSE),VLOOKUP(C93,المستفيدين!$B:$C,2,FALSE))),"")</f>
        <v/>
      </c>
      <c r="F93" s="1"/>
      <c r="G93" s="1"/>
      <c r="H93" s="1"/>
      <c r="I93" s="1"/>
    </row>
    <row r="94" spans="1:9" x14ac:dyDescent="0.2">
      <c r="A94" s="1"/>
      <c r="B94" s="1"/>
      <c r="C94" s="1"/>
      <c r="D94" t="str">
        <f>IFERROR(IF(C94="","",IF(B94="موظف",VLOOKUP(C94,الموظفين!$B:$C,2,FALSE),VLOOKUP(C94,المستفيدين!$B:$C,2,FALSE))),"")</f>
        <v/>
      </c>
      <c r="F94" s="1"/>
      <c r="G94" s="1"/>
      <c r="H94" s="1"/>
      <c r="I94" s="1"/>
    </row>
    <row r="95" spans="1:9" x14ac:dyDescent="0.2">
      <c r="A95" s="1"/>
      <c r="B95" s="1"/>
      <c r="C95" s="1"/>
      <c r="D95" t="str">
        <f>IFERROR(IF(C95="","",IF(B95="موظف",VLOOKUP(C95,الموظفين!$B:$C,2,FALSE),VLOOKUP(C95,المستفيدين!$B:$C,2,FALSE))),"")</f>
        <v/>
      </c>
      <c r="F95" s="1"/>
      <c r="G95" s="1"/>
      <c r="H95" s="1"/>
      <c r="I95" s="1"/>
    </row>
    <row r="96" spans="1:9" x14ac:dyDescent="0.2">
      <c r="A96" s="1"/>
      <c r="B96" s="1"/>
      <c r="C96" s="1"/>
      <c r="D96" t="str">
        <f>IFERROR(IF(C96="","",IF(B96="موظف",VLOOKUP(C96,الموظفين!$B:$C,2,FALSE),VLOOKUP(C96,المستفيدين!$B:$C,2,FALSE))),"")</f>
        <v/>
      </c>
      <c r="F96" s="1"/>
      <c r="G96" s="1"/>
      <c r="H96" s="1"/>
      <c r="I96" s="1"/>
    </row>
    <row r="97" spans="1:9" x14ac:dyDescent="0.2">
      <c r="A97" s="1"/>
      <c r="B97" s="1"/>
      <c r="C97" s="1"/>
      <c r="D97" t="str">
        <f>IFERROR(IF(C97="","",IF(B97="موظف",VLOOKUP(C97,الموظفين!$B:$C,2,FALSE),VLOOKUP(C97,المستفيدين!$B:$C,2,FALSE))),"")</f>
        <v/>
      </c>
      <c r="F97" s="1"/>
      <c r="G97" s="1"/>
      <c r="H97" s="1"/>
      <c r="I97" s="1"/>
    </row>
    <row r="98" spans="1:9" x14ac:dyDescent="0.2">
      <c r="A98" s="1"/>
      <c r="B98" s="1"/>
      <c r="C98" s="1"/>
      <c r="D98" t="str">
        <f>IFERROR(IF(C98="","",IF(B98="موظف",VLOOKUP(C98,الموظفين!$B:$C,2,FALSE),VLOOKUP(C98,المستفيدين!$B:$C,2,FALSE))),"")</f>
        <v/>
      </c>
      <c r="F98" s="1"/>
      <c r="G98" s="1"/>
      <c r="H98" s="1"/>
      <c r="I98" s="1"/>
    </row>
    <row r="99" spans="1:9" x14ac:dyDescent="0.2">
      <c r="A99" s="1"/>
      <c r="B99" s="1"/>
      <c r="C99" s="1"/>
      <c r="D99" t="str">
        <f>IFERROR(IF(C99="","",IF(B99="موظف",VLOOKUP(C99,الموظفين!$B:$C,2,FALSE),VLOOKUP(C99,المستفيدين!$B:$C,2,FALSE))),"")</f>
        <v/>
      </c>
      <c r="F99" s="1"/>
      <c r="G99" s="1"/>
      <c r="H99" s="1"/>
      <c r="I99" s="1"/>
    </row>
    <row r="100" spans="1:9" x14ac:dyDescent="0.2">
      <c r="A100" s="1"/>
      <c r="B100" s="1"/>
      <c r="C100" s="1"/>
      <c r="D100" t="str">
        <f>IFERROR(IF(C100="","",IF(B100="موظف",VLOOKUP(C100,الموظفين!$B:$C,2,FALSE),VLOOKUP(C100,المستفيدين!$B:$C,2,FALSE))),"")</f>
        <v/>
      </c>
      <c r="F100" s="1"/>
      <c r="G100" s="1"/>
      <c r="H100" s="1"/>
      <c r="I100" s="1"/>
    </row>
    <row r="101" spans="1:9" x14ac:dyDescent="0.2">
      <c r="A101" s="1"/>
      <c r="B101" s="1"/>
      <c r="C101" s="1"/>
      <c r="D101" t="str">
        <f>IFERROR(IF(C101="","",IF(B101="موظف",VLOOKUP(C101,الموظفين!$B:$C,2,FALSE),VLOOKUP(C101,المستفيدين!$B:$C,2,FALSE))),"")</f>
        <v/>
      </c>
      <c r="F101" s="1"/>
      <c r="G101" s="1"/>
      <c r="H101" s="1"/>
      <c r="I101" s="1"/>
    </row>
    <row r="102" spans="1:9" x14ac:dyDescent="0.2">
      <c r="A102" s="1"/>
      <c r="B102" s="1"/>
      <c r="C102" s="1"/>
      <c r="D102" t="str">
        <f>IFERROR(IF(C102="","",IF(B102="موظف",VLOOKUP(C102,الموظفين!$B:$C,2,FALSE),VLOOKUP(C102,المستفيدين!$B:$C,2,FALSE))),"")</f>
        <v/>
      </c>
      <c r="F102" s="1"/>
      <c r="G102" s="1"/>
      <c r="H102" s="1"/>
      <c r="I102" s="1"/>
    </row>
    <row r="103" spans="1:9" x14ac:dyDescent="0.2">
      <c r="A103" s="1"/>
      <c r="B103" s="1"/>
      <c r="C103" s="1"/>
      <c r="D103" t="str">
        <f>IFERROR(IF(C103="","",IF(B103="موظف",VLOOKUP(C103,الموظفين!$B:$C,2,FALSE),VLOOKUP(C103,المستفيدين!$B:$C,2,FALSE))),"")</f>
        <v/>
      </c>
      <c r="F103" s="1"/>
      <c r="G103" s="1"/>
      <c r="H103" s="1"/>
      <c r="I103" s="1"/>
    </row>
    <row r="104" spans="1:9" x14ac:dyDescent="0.2">
      <c r="A104" s="1"/>
      <c r="B104" s="1"/>
      <c r="C104" s="1"/>
      <c r="D104" t="str">
        <f>IFERROR(IF(C104="","",IF(B104="موظف",VLOOKUP(C104,الموظفين!$B:$C,2,FALSE),VLOOKUP(C104,المستفيدين!$B:$C,2,FALSE))),"")</f>
        <v/>
      </c>
      <c r="F104" s="1"/>
      <c r="G104" s="1"/>
      <c r="H104" s="1"/>
      <c r="I104" s="1"/>
    </row>
    <row r="105" spans="1:9" x14ac:dyDescent="0.2">
      <c r="A105" s="1"/>
      <c r="B105" s="1"/>
      <c r="C105" s="1"/>
      <c r="D105" t="str">
        <f>IFERROR(IF(C105="","",IF(B105="موظف",VLOOKUP(C105,الموظفين!$B:$C,2,FALSE),VLOOKUP(C105,المستفيدين!$B:$C,2,FALSE))),"")</f>
        <v/>
      </c>
      <c r="F105" s="1"/>
      <c r="G105" s="1"/>
      <c r="H105" s="1"/>
      <c r="I105" s="1"/>
    </row>
    <row r="106" spans="1:9" x14ac:dyDescent="0.2">
      <c r="A106" s="1"/>
      <c r="B106" s="1"/>
      <c r="C106" s="1"/>
      <c r="D106" t="str">
        <f>IFERROR(IF(C106="","",IF(B106="موظف",VLOOKUP(C106,الموظفين!$B:$C,2,FALSE),VLOOKUP(C106,المستفيدين!$B:$C,2,FALSE))),"")</f>
        <v/>
      </c>
      <c r="F106" s="1"/>
      <c r="G106" s="1"/>
      <c r="H106" s="1"/>
      <c r="I106" s="1"/>
    </row>
    <row r="107" spans="1:9" x14ac:dyDescent="0.2">
      <c r="A107" s="1"/>
      <c r="B107" s="1"/>
      <c r="C107" s="1"/>
      <c r="D107" t="str">
        <f>IFERROR(IF(C107="","",IF(B107="موظف",VLOOKUP(C107,الموظفين!$B:$C,2,FALSE),VLOOKUP(C107,المستفيدين!$B:$C,2,FALSE))),"")</f>
        <v/>
      </c>
      <c r="F107" s="1"/>
      <c r="G107" s="1"/>
      <c r="H107" s="1"/>
      <c r="I107" s="1"/>
    </row>
    <row r="108" spans="1:9" x14ac:dyDescent="0.2">
      <c r="A108" s="1"/>
      <c r="B108" s="1"/>
      <c r="C108" s="1"/>
      <c r="D108" t="str">
        <f>IFERROR(IF(C108="","",IF(B108="موظف",VLOOKUP(C108,الموظفين!$B:$C,2,FALSE),VLOOKUP(C108,المستفيدين!$B:$C,2,FALSE))),"")</f>
        <v/>
      </c>
      <c r="F108" s="1"/>
      <c r="G108" s="1"/>
      <c r="H108" s="1"/>
      <c r="I108" s="1"/>
    </row>
    <row r="109" spans="1:9" x14ac:dyDescent="0.2">
      <c r="A109" s="1"/>
      <c r="B109" s="1"/>
      <c r="C109" s="1"/>
      <c r="D109" t="str">
        <f>IFERROR(IF(C109="","",IF(B109="موظف",VLOOKUP(C109,الموظفين!$B:$C,2,FALSE),VLOOKUP(C109,المستفيدين!$B:$C,2,FALSE))),"")</f>
        <v/>
      </c>
      <c r="F109" s="1"/>
      <c r="G109" s="1"/>
      <c r="H109" s="1"/>
      <c r="I109" s="1"/>
    </row>
    <row r="110" spans="1:9" x14ac:dyDescent="0.2">
      <c r="A110" s="1"/>
      <c r="B110" s="1"/>
      <c r="C110" s="1"/>
      <c r="D110" t="str">
        <f>IFERROR(IF(C110="","",IF(B110="موظف",VLOOKUP(C110,الموظفين!$B:$C,2,FALSE),VLOOKUP(C110,المستفيدين!$B:$C,2,FALSE))),"")</f>
        <v/>
      </c>
      <c r="F110" s="1"/>
      <c r="G110" s="1"/>
      <c r="H110" s="1"/>
      <c r="I110" s="1"/>
    </row>
    <row r="111" spans="1:9" x14ac:dyDescent="0.2">
      <c r="A111" s="1"/>
      <c r="B111" s="1"/>
      <c r="C111" s="1"/>
      <c r="D111" t="str">
        <f>IFERROR(IF(C111="","",IF(B111="موظف",VLOOKUP(C111,الموظفين!$B:$C,2,FALSE),VLOOKUP(C111,المستفيدين!$B:$C,2,FALSE))),"")</f>
        <v/>
      </c>
      <c r="F111" s="1"/>
      <c r="G111" s="1"/>
      <c r="H111" s="1"/>
      <c r="I111" s="1"/>
    </row>
    <row r="112" spans="1:9" x14ac:dyDescent="0.2">
      <c r="A112" s="1"/>
      <c r="B112" s="1"/>
      <c r="C112" s="1"/>
      <c r="D112" t="str">
        <f>IFERROR(IF(C112="","",IF(B112="موظف",VLOOKUP(C112,الموظفين!$B:$C,2,FALSE),VLOOKUP(C112,المستفيدين!$B:$C,2,FALSE))),"")</f>
        <v/>
      </c>
      <c r="F112" s="1"/>
      <c r="G112" s="1"/>
      <c r="H112" s="1"/>
      <c r="I112" s="1"/>
    </row>
    <row r="113" spans="1:9" x14ac:dyDescent="0.2">
      <c r="A113" s="1"/>
      <c r="B113" s="1"/>
      <c r="C113" s="1"/>
      <c r="D113" t="str">
        <f>IFERROR(IF(C113="","",IF(B113="موظف",VLOOKUP(C113,الموظفين!$B:$C,2,FALSE),VLOOKUP(C113,المستفيدين!$B:$C,2,FALSE))),"")</f>
        <v/>
      </c>
      <c r="F113" s="1"/>
      <c r="G113" s="1"/>
      <c r="H113" s="1"/>
      <c r="I113" s="1"/>
    </row>
    <row r="114" spans="1:9" x14ac:dyDescent="0.2">
      <c r="A114" s="1"/>
      <c r="B114" s="1"/>
      <c r="C114" s="1"/>
      <c r="D114" t="str">
        <f>IFERROR(IF(C114="","",IF(B114="موظف",VLOOKUP(C114,الموظفين!$B:$C,2,FALSE),VLOOKUP(C114,المستفيدين!$B:$C,2,FALSE))),"")</f>
        <v/>
      </c>
      <c r="F114" s="1"/>
      <c r="G114" s="1"/>
      <c r="H114" s="1"/>
      <c r="I114" s="1"/>
    </row>
    <row r="115" spans="1:9" x14ac:dyDescent="0.2">
      <c r="A115" s="1"/>
      <c r="B115" s="1"/>
      <c r="C115" s="1"/>
      <c r="D115" t="str">
        <f>IFERROR(IF(C115="","",IF(B115="موظف",VLOOKUP(C115,الموظفين!$B:$C,2,FALSE),VLOOKUP(C115,المستفيدين!$B:$C,2,FALSE))),"")</f>
        <v/>
      </c>
      <c r="F115" s="1"/>
      <c r="G115" s="1"/>
      <c r="H115" s="1"/>
      <c r="I115" s="1"/>
    </row>
    <row r="116" spans="1:9" x14ac:dyDescent="0.2">
      <c r="A116" s="1"/>
      <c r="B116" s="1"/>
      <c r="C116" s="1"/>
      <c r="D116" t="str">
        <f>IFERROR(IF(C116="","",IF(B116="موظف",VLOOKUP(C116,الموظفين!$B:$C,2,FALSE),VLOOKUP(C116,المستفيدين!$B:$C,2,FALSE))),"")</f>
        <v/>
      </c>
      <c r="F116" s="1"/>
      <c r="G116" s="1"/>
      <c r="H116" s="1"/>
      <c r="I116" s="1"/>
    </row>
    <row r="117" spans="1:9" x14ac:dyDescent="0.2">
      <c r="A117" s="1"/>
      <c r="B117" s="1"/>
      <c r="C117" s="1"/>
      <c r="D117" t="str">
        <f>IFERROR(IF(C117="","",IF(B117="موظف",VLOOKUP(C117,الموظفين!$B:$C,2,FALSE),VLOOKUP(C117,المستفيدين!$B:$C,2,FALSE))),"")</f>
        <v/>
      </c>
      <c r="F117" s="1"/>
      <c r="G117" s="1"/>
      <c r="H117" s="1"/>
      <c r="I117" s="1"/>
    </row>
    <row r="118" spans="1:9" x14ac:dyDescent="0.2">
      <c r="A118" s="1"/>
      <c r="B118" s="1"/>
      <c r="C118" s="1"/>
      <c r="D118" t="str">
        <f>IFERROR(IF(C118="","",IF(B118="موظف",VLOOKUP(C118,الموظفين!$B:$C,2,FALSE),VLOOKUP(C118,المستفيدين!$B:$C,2,FALSE))),"")</f>
        <v/>
      </c>
      <c r="F118" s="1"/>
      <c r="G118" s="1"/>
      <c r="H118" s="1"/>
      <c r="I118" s="1"/>
    </row>
    <row r="119" spans="1:9" x14ac:dyDescent="0.2">
      <c r="A119" s="1"/>
      <c r="B119" s="1"/>
      <c r="C119" s="1"/>
      <c r="D119" t="str">
        <f>IFERROR(IF(C119="","",IF(B119="موظف",VLOOKUP(C119,الموظفين!$B:$C,2,FALSE),VLOOKUP(C119,المستفيدين!$B:$C,2,FALSE))),"")</f>
        <v/>
      </c>
      <c r="F119" s="1"/>
      <c r="G119" s="1"/>
      <c r="H119" s="1"/>
      <c r="I119" s="1"/>
    </row>
    <row r="120" spans="1:9" x14ac:dyDescent="0.2">
      <c r="A120" s="1"/>
      <c r="B120" s="1"/>
      <c r="C120" s="1"/>
      <c r="D120" t="str">
        <f>IFERROR(IF(C120="","",IF(B120="موظف",VLOOKUP(C120,الموظفين!$B:$C,2,FALSE),VLOOKUP(C120,المستفيدين!$B:$C,2,FALSE))),"")</f>
        <v/>
      </c>
      <c r="F120" s="1"/>
      <c r="G120" s="1"/>
      <c r="H120" s="1"/>
      <c r="I120" s="1"/>
    </row>
    <row r="121" spans="1:9" x14ac:dyDescent="0.2">
      <c r="A121" s="1"/>
      <c r="B121" s="1"/>
      <c r="C121" s="1"/>
      <c r="D121" t="str">
        <f>IFERROR(IF(C121="","",IF(B121="موظف",VLOOKUP(C121,الموظفين!$B:$C,2,FALSE),VLOOKUP(C121,المستفيدين!$B:$C,2,FALSE))),"")</f>
        <v/>
      </c>
      <c r="F121" s="1"/>
      <c r="G121" s="1"/>
      <c r="H121" s="1"/>
      <c r="I121" s="1"/>
    </row>
    <row r="122" spans="1:9" x14ac:dyDescent="0.2">
      <c r="A122" s="1"/>
      <c r="B122" s="1"/>
      <c r="C122" s="1"/>
      <c r="D122" t="str">
        <f>IFERROR(IF(C122="","",IF(B122="موظف",VLOOKUP(C122,الموظفين!$B:$C,2,FALSE),VLOOKUP(C122,المستفيدين!$B:$C,2,FALSE))),"")</f>
        <v/>
      </c>
      <c r="F122" s="1"/>
      <c r="G122" s="1"/>
      <c r="H122" s="1"/>
      <c r="I122" s="1"/>
    </row>
    <row r="123" spans="1:9" x14ac:dyDescent="0.2">
      <c r="A123" s="1"/>
      <c r="B123" s="1"/>
      <c r="C123" s="1"/>
      <c r="D123" t="str">
        <f>IFERROR(IF(C123="","",IF(B123="موظف",VLOOKUP(C123,الموظفين!$B:$C,2,FALSE),VLOOKUP(C123,المستفيدين!$B:$C,2,FALSE))),"")</f>
        <v/>
      </c>
      <c r="F123" s="1"/>
      <c r="G123" s="1"/>
      <c r="H123" s="1"/>
      <c r="I123" s="1"/>
    </row>
    <row r="124" spans="1:9" x14ac:dyDescent="0.2">
      <c r="A124" s="1"/>
      <c r="B124" s="1"/>
      <c r="C124" s="1"/>
      <c r="D124" t="str">
        <f>IFERROR(IF(C124="","",IF(B124="موظف",VLOOKUP(C124,الموظفين!$B:$C,2,FALSE),VLOOKUP(C124,المستفيدين!$B:$C,2,FALSE))),"")</f>
        <v/>
      </c>
      <c r="F124" s="1"/>
      <c r="G124" s="1"/>
      <c r="H124" s="1"/>
      <c r="I124" s="1"/>
    </row>
    <row r="125" spans="1:9" x14ac:dyDescent="0.2">
      <c r="A125" s="1"/>
      <c r="B125" s="1"/>
      <c r="C125" s="1"/>
      <c r="D125" t="str">
        <f>IFERROR(IF(C125="","",IF(B125="موظف",VLOOKUP(C125,الموظفين!$B:$C,2,FALSE),VLOOKUP(C125,المستفيدين!$B:$C,2,FALSE))),"")</f>
        <v/>
      </c>
      <c r="F125" s="1"/>
      <c r="G125" s="1"/>
      <c r="H125" s="1"/>
      <c r="I125" s="1"/>
    </row>
    <row r="126" spans="1:9" x14ac:dyDescent="0.2">
      <c r="A126" s="1"/>
      <c r="B126" s="1"/>
      <c r="C126" s="1"/>
      <c r="D126" t="str">
        <f>IFERROR(IF(C126="","",IF(B126="موظف",VLOOKUP(C126,الموظفين!$B:$C,2,FALSE),VLOOKUP(C126,المستفيدين!$B:$C,2,FALSE))),"")</f>
        <v/>
      </c>
      <c r="F126" s="1"/>
      <c r="G126" s="1"/>
      <c r="H126" s="1"/>
      <c r="I126" s="1"/>
    </row>
    <row r="127" spans="1:9" x14ac:dyDescent="0.2">
      <c r="A127" s="1"/>
      <c r="B127" s="1"/>
      <c r="C127" s="1"/>
      <c r="D127" t="str">
        <f>IFERROR(IF(C127="","",IF(B127="موظف",VLOOKUP(C127,الموظفين!$B:$C,2,FALSE),VLOOKUP(C127,المستفيدين!$B:$C,2,FALSE))),"")</f>
        <v/>
      </c>
      <c r="F127" s="1"/>
      <c r="G127" s="1"/>
      <c r="H127" s="1"/>
      <c r="I127" s="1"/>
    </row>
    <row r="128" spans="1:9" x14ac:dyDescent="0.2">
      <c r="A128" s="1"/>
      <c r="B128" s="1"/>
      <c r="C128" s="1"/>
      <c r="D128" t="str">
        <f>IFERROR(IF(C128="","",IF(B128="موظف",VLOOKUP(C128,الموظفين!$B:$C,2,FALSE),VLOOKUP(C128,المستفيدين!$B:$C,2,FALSE))),"")</f>
        <v/>
      </c>
      <c r="F128" s="1"/>
      <c r="G128" s="1"/>
      <c r="H128" s="1"/>
      <c r="I128" s="1"/>
    </row>
    <row r="129" spans="1:9" x14ac:dyDescent="0.2">
      <c r="A129" s="1"/>
      <c r="B129" s="1"/>
      <c r="C129" s="1"/>
      <c r="D129" t="str">
        <f>IFERROR(IF(C129="","",IF(B129="موظف",VLOOKUP(C129,الموظفين!$B:$C,2,FALSE),VLOOKUP(C129,المستفيدين!$B:$C,2,FALSE))),"")</f>
        <v/>
      </c>
      <c r="F129" s="1"/>
      <c r="G129" s="1"/>
      <c r="H129" s="1"/>
      <c r="I129" s="1"/>
    </row>
    <row r="130" spans="1:9" x14ac:dyDescent="0.2">
      <c r="A130" s="1"/>
      <c r="B130" s="1"/>
      <c r="C130" s="1"/>
      <c r="D130" t="str">
        <f>IFERROR(IF(C130="","",IF(B130="موظف",VLOOKUP(C130,الموظفين!$B:$C,2,FALSE),VLOOKUP(C130,المستفيدين!$B:$C,2,FALSE))),"")</f>
        <v/>
      </c>
      <c r="F130" s="1"/>
      <c r="G130" s="1"/>
      <c r="H130" s="1"/>
      <c r="I130" s="1"/>
    </row>
    <row r="131" spans="1:9" x14ac:dyDescent="0.2">
      <c r="A131" s="1"/>
      <c r="B131" s="1"/>
      <c r="C131" s="1"/>
      <c r="D131" t="str">
        <f>IFERROR(IF(C131="","",IF(B131="موظف",VLOOKUP(C131,الموظفين!$B:$C,2,FALSE),VLOOKUP(C131,المستفيدين!$B:$C,2,FALSE))),"")</f>
        <v/>
      </c>
      <c r="F131" s="1"/>
      <c r="G131" s="1"/>
      <c r="H131" s="1"/>
      <c r="I131" s="1"/>
    </row>
    <row r="132" spans="1:9" x14ac:dyDescent="0.2">
      <c r="A132" s="1"/>
      <c r="B132" s="1"/>
      <c r="C132" s="1"/>
      <c r="D132" t="str">
        <f>IFERROR(IF(C132="","",IF(B132="موظف",VLOOKUP(C132,الموظفين!$B:$C,2,FALSE),VLOOKUP(C132,المستفيدين!$B:$C,2,FALSE))),"")</f>
        <v/>
      </c>
      <c r="F132" s="1"/>
      <c r="G132" s="1"/>
      <c r="H132" s="1"/>
      <c r="I132" s="1"/>
    </row>
    <row r="133" spans="1:9" x14ac:dyDescent="0.2">
      <c r="A133" s="1"/>
      <c r="B133" s="1"/>
      <c r="C133" s="1"/>
      <c r="D133" t="str">
        <f>IFERROR(IF(C133="","",IF(B133="موظف",VLOOKUP(C133,الموظفين!$B:$C,2,FALSE),VLOOKUP(C133,المستفيدين!$B:$C,2,FALSE))),"")</f>
        <v/>
      </c>
      <c r="F133" s="1"/>
      <c r="G133" s="1"/>
      <c r="H133" s="1"/>
      <c r="I133" s="1"/>
    </row>
    <row r="134" spans="1:9" x14ac:dyDescent="0.2">
      <c r="A134" s="1"/>
      <c r="B134" s="1"/>
      <c r="C134" s="1"/>
      <c r="D134" t="str">
        <f>IFERROR(IF(C134="","",IF(B134="موظف",VLOOKUP(C134,الموظفين!$B:$C,2,FALSE),VLOOKUP(C134,المستفيدين!$B:$C,2,FALSE))),"")</f>
        <v/>
      </c>
      <c r="F134" s="1"/>
      <c r="G134" s="1"/>
      <c r="H134" s="1"/>
      <c r="I134" s="1"/>
    </row>
    <row r="135" spans="1:9" x14ac:dyDescent="0.2">
      <c r="A135" s="1"/>
      <c r="B135" s="1"/>
      <c r="C135" s="1"/>
      <c r="D135" t="str">
        <f>IFERROR(IF(C135="","",IF(B135="موظف",VLOOKUP(C135,الموظفين!$B:$C,2,FALSE),VLOOKUP(C135,المستفيدين!$B:$C,2,FALSE))),"")</f>
        <v/>
      </c>
      <c r="F135" s="1"/>
      <c r="G135" s="1"/>
      <c r="H135" s="1"/>
      <c r="I135" s="1"/>
    </row>
    <row r="136" spans="1:9" x14ac:dyDescent="0.2">
      <c r="A136" s="1"/>
      <c r="B136" s="1"/>
      <c r="C136" s="1"/>
      <c r="D136" t="str">
        <f>IFERROR(IF(C136="","",IF(B136="موظف",VLOOKUP(C136,الموظفين!$B:$C,2,FALSE),VLOOKUP(C136,المستفيدين!$B:$C,2,FALSE))),"")</f>
        <v/>
      </c>
      <c r="F136" s="1"/>
      <c r="G136" s="1"/>
      <c r="H136" s="1"/>
      <c r="I136" s="1"/>
    </row>
    <row r="137" spans="1:9" x14ac:dyDescent="0.2">
      <c r="A137" s="1"/>
      <c r="B137" s="1"/>
      <c r="C137" s="1"/>
      <c r="D137" t="str">
        <f>IFERROR(IF(C137="","",IF(B137="موظف",VLOOKUP(C137,الموظفين!$B:$C,2,FALSE),VLOOKUP(C137,المستفيدين!$B:$C,2,FALSE))),"")</f>
        <v/>
      </c>
      <c r="F137" s="1"/>
      <c r="G137" s="1"/>
      <c r="H137" s="1"/>
      <c r="I137" s="1"/>
    </row>
    <row r="138" spans="1:9" x14ac:dyDescent="0.2">
      <c r="A138" s="1"/>
      <c r="B138" s="1"/>
      <c r="C138" s="1"/>
      <c r="D138" t="str">
        <f>IFERROR(IF(C138="","",IF(B138="موظف",VLOOKUP(C138,الموظفين!$B:$C,2,FALSE),VLOOKUP(C138,المستفيدين!$B:$C,2,FALSE))),"")</f>
        <v/>
      </c>
      <c r="F138" s="1"/>
      <c r="G138" s="1"/>
      <c r="H138" s="1"/>
      <c r="I138" s="1"/>
    </row>
    <row r="139" spans="1:9" x14ac:dyDescent="0.2">
      <c r="A139" s="1"/>
      <c r="B139" s="1"/>
      <c r="C139" s="1"/>
      <c r="D139" t="str">
        <f>IFERROR(IF(C139="","",IF(B139="موظف",VLOOKUP(C139,الموظفين!$B:$C,2,FALSE),VLOOKUP(C139,المستفيدين!$B:$C,2,FALSE))),"")</f>
        <v/>
      </c>
      <c r="F139" s="1"/>
      <c r="G139" s="1"/>
      <c r="H139" s="1"/>
      <c r="I139" s="1"/>
    </row>
    <row r="140" spans="1:9" x14ac:dyDescent="0.2">
      <c r="A140" s="1"/>
      <c r="B140" s="1"/>
      <c r="C140" s="1"/>
      <c r="D140" t="str">
        <f>IFERROR(IF(C140="","",IF(B140="موظف",VLOOKUP(C140,الموظفين!$B:$C,2,FALSE),VLOOKUP(C140,المستفيدين!$B:$C,2,FALSE))),"")</f>
        <v/>
      </c>
      <c r="F140" s="1"/>
      <c r="G140" s="1"/>
      <c r="H140" s="1"/>
      <c r="I140" s="1"/>
    </row>
    <row r="141" spans="1:9" x14ac:dyDescent="0.2">
      <c r="A141" s="1"/>
      <c r="B141" s="1"/>
      <c r="C141" s="1"/>
      <c r="D141" t="str">
        <f>IFERROR(IF(C141="","",IF(B141="موظف",VLOOKUP(C141,الموظفين!$B:$C,2,FALSE),VLOOKUP(C141,المستفيدين!$B:$C,2,FALSE))),"")</f>
        <v/>
      </c>
      <c r="F141" s="1"/>
      <c r="G141" s="1"/>
      <c r="H141" s="1"/>
      <c r="I141" s="1"/>
    </row>
    <row r="142" spans="1:9" x14ac:dyDescent="0.2">
      <c r="A142" s="1"/>
      <c r="B142" s="1"/>
      <c r="C142" s="1"/>
      <c r="D142" t="str">
        <f>IFERROR(IF(C142="","",IF(B142="موظف",VLOOKUP(C142,الموظفين!$B:$C,2,FALSE),VLOOKUP(C142,المستفيدين!$B:$C,2,FALSE))),"")</f>
        <v/>
      </c>
      <c r="F142" s="1"/>
      <c r="G142" s="1"/>
      <c r="H142" s="1"/>
      <c r="I142" s="1"/>
    </row>
    <row r="143" spans="1:9" x14ac:dyDescent="0.2">
      <c r="A143" s="1"/>
      <c r="B143" s="1"/>
      <c r="C143" s="1"/>
      <c r="D143" t="str">
        <f>IFERROR(IF(C143="","",IF(B143="موظف",VLOOKUP(C143,الموظفين!$B:$C,2,FALSE),VLOOKUP(C143,المستفيدين!$B:$C,2,FALSE))),"")</f>
        <v/>
      </c>
      <c r="F143" s="1"/>
      <c r="G143" s="1"/>
      <c r="H143" s="1"/>
      <c r="I143" s="1"/>
    </row>
    <row r="144" spans="1:9" x14ac:dyDescent="0.2">
      <c r="A144" s="1"/>
      <c r="B144" s="1"/>
      <c r="C144" s="1"/>
      <c r="D144" t="str">
        <f>IFERROR(IF(C144="","",IF(B144="موظف",VLOOKUP(C144,الموظفين!$B:$C,2,FALSE),VLOOKUP(C144,المستفيدين!$B:$C,2,FALSE))),"")</f>
        <v/>
      </c>
      <c r="F144" s="1"/>
      <c r="G144" s="1"/>
      <c r="H144" s="1"/>
      <c r="I144" s="1"/>
    </row>
    <row r="145" spans="1:9" x14ac:dyDescent="0.2">
      <c r="A145" s="1"/>
      <c r="B145" s="1"/>
      <c r="C145" s="1"/>
      <c r="D145" t="str">
        <f>IFERROR(IF(C145="","",IF(B145="موظف",VLOOKUP(C145,الموظفين!$B:$C,2,FALSE),VLOOKUP(C145,المستفيدين!$B:$C,2,FALSE))),"")</f>
        <v/>
      </c>
      <c r="F145" s="1"/>
      <c r="G145" s="1"/>
      <c r="H145" s="1"/>
      <c r="I145" s="1"/>
    </row>
    <row r="146" spans="1:9" x14ac:dyDescent="0.2">
      <c r="A146" s="1"/>
      <c r="B146" s="1"/>
      <c r="C146" s="1"/>
      <c r="D146" t="str">
        <f>IFERROR(IF(C146="","",IF(B146="موظف",VLOOKUP(C146,الموظفين!$B:$C,2,FALSE),VLOOKUP(C146,المستفيدين!$B:$C,2,FALSE))),"")</f>
        <v/>
      </c>
      <c r="F146" s="1"/>
      <c r="G146" s="1"/>
      <c r="H146" s="1"/>
      <c r="I146" s="1"/>
    </row>
    <row r="147" spans="1:9" x14ac:dyDescent="0.2">
      <c r="A147" s="1"/>
      <c r="B147" s="1"/>
      <c r="C147" s="1"/>
      <c r="D147" t="str">
        <f>IFERROR(IF(C147="","",IF(B147="موظف",VLOOKUP(C147,الموظفين!$B:$C,2,FALSE),VLOOKUP(C147,المستفيدين!$B:$C,2,FALSE))),"")</f>
        <v/>
      </c>
      <c r="F147" s="1"/>
      <c r="G147" s="1"/>
      <c r="H147" s="1"/>
      <c r="I147" s="1"/>
    </row>
    <row r="148" spans="1:9" x14ac:dyDescent="0.2">
      <c r="A148" s="1"/>
      <c r="B148" s="1"/>
      <c r="C148" s="1"/>
      <c r="D148" t="str">
        <f>IFERROR(IF(C148="","",IF(B148="موظف",VLOOKUP(C148,الموظفين!$B:$C,2,FALSE),VLOOKUP(C148,المستفيدين!$B:$C,2,FALSE))),"")</f>
        <v/>
      </c>
      <c r="F148" s="1"/>
      <c r="G148" s="1"/>
      <c r="H148" s="1"/>
      <c r="I148" s="1"/>
    </row>
    <row r="149" spans="1:9" x14ac:dyDescent="0.2">
      <c r="A149" s="1"/>
      <c r="B149" s="1"/>
      <c r="C149" s="1"/>
      <c r="D149" t="str">
        <f>IFERROR(IF(C149="","",IF(B149="موظف",VLOOKUP(C149,الموظفين!$B:$C,2,FALSE),VLOOKUP(C149,المستفيدين!$B:$C,2,FALSE))),"")</f>
        <v/>
      </c>
      <c r="F149" s="1"/>
      <c r="G149" s="1"/>
      <c r="H149" s="1"/>
      <c r="I149" s="1"/>
    </row>
    <row r="150" spans="1:9" x14ac:dyDescent="0.2">
      <c r="A150" s="1"/>
      <c r="B150" s="1"/>
      <c r="C150" s="1"/>
      <c r="D150" t="str">
        <f>IFERROR(IF(C150="","",IF(B150="موظف",VLOOKUP(C150,الموظفين!$B:$C,2,FALSE),VLOOKUP(C150,المستفيدين!$B:$C,2,FALSE))),"")</f>
        <v/>
      </c>
      <c r="F150" s="1"/>
      <c r="G150" s="1"/>
      <c r="H150" s="1"/>
      <c r="I150" s="1"/>
    </row>
    <row r="151" spans="1:9" x14ac:dyDescent="0.2">
      <c r="A151" s="1"/>
      <c r="B151" s="1"/>
      <c r="C151" s="1"/>
      <c r="D151" t="str">
        <f>IFERROR(IF(C151="","",IF(B151="موظف",VLOOKUP(C151,الموظفين!$B:$C,2,FALSE),VLOOKUP(C151,المستفيدين!$B:$C,2,FALSE))),"")</f>
        <v/>
      </c>
      <c r="F151" s="1"/>
      <c r="G151" s="1"/>
      <c r="H151" s="1"/>
      <c r="I151" s="1"/>
    </row>
    <row r="152" spans="1:9" x14ac:dyDescent="0.2">
      <c r="A152" s="1"/>
      <c r="B152" s="1"/>
      <c r="C152" s="1"/>
      <c r="D152" t="str">
        <f>IFERROR(IF(C152="","",IF(B152="موظف",VLOOKUP(C152,الموظفين!$B:$C,2,FALSE),VLOOKUP(C152,المستفيدين!$B:$C,2,FALSE))),"")</f>
        <v/>
      </c>
      <c r="F152" s="1"/>
      <c r="G152" s="1"/>
      <c r="H152" s="1"/>
      <c r="I152" s="1"/>
    </row>
    <row r="153" spans="1:9" x14ac:dyDescent="0.2">
      <c r="A153" s="1"/>
      <c r="B153" s="1"/>
      <c r="C153" s="1"/>
      <c r="D153" t="str">
        <f>IFERROR(IF(C153="","",IF(B153="موظف",VLOOKUP(C153,الموظفين!$B:$C,2,FALSE),VLOOKUP(C153,المستفيدين!$B:$C,2,FALSE))),"")</f>
        <v/>
      </c>
      <c r="F153" s="1"/>
      <c r="G153" s="1"/>
      <c r="H153" s="1"/>
      <c r="I153" s="1"/>
    </row>
    <row r="154" spans="1:9" x14ac:dyDescent="0.2">
      <c r="A154" s="1"/>
      <c r="B154" s="1"/>
      <c r="C154" s="1"/>
      <c r="D154" t="str">
        <f>IFERROR(IF(C154="","",IF(B154="موظف",VLOOKUP(C154,الموظفين!$B:$C,2,FALSE),VLOOKUP(C154,المستفيدين!$B:$C,2,FALSE))),"")</f>
        <v/>
      </c>
      <c r="F154" s="1"/>
      <c r="G154" s="1"/>
      <c r="H154" s="1"/>
      <c r="I154" s="1"/>
    </row>
    <row r="155" spans="1:9" x14ac:dyDescent="0.2">
      <c r="A155" s="1"/>
      <c r="B155" s="1"/>
      <c r="C155" s="1"/>
      <c r="D155" t="str">
        <f>IFERROR(IF(C155="","",IF(B155="موظف",VLOOKUP(C155,الموظفين!$B:$C,2,FALSE),VLOOKUP(C155,المستفيدين!$B:$C,2,FALSE))),"")</f>
        <v/>
      </c>
      <c r="F155" s="1"/>
      <c r="G155" s="1"/>
      <c r="H155" s="1"/>
      <c r="I155" s="1"/>
    </row>
    <row r="156" spans="1:9" x14ac:dyDescent="0.2">
      <c r="A156" s="1"/>
      <c r="B156" s="1"/>
      <c r="C156" s="1"/>
      <c r="D156" t="str">
        <f>IFERROR(IF(C156="","",IF(B156="موظف",VLOOKUP(C156,الموظفين!$B:$C,2,FALSE),VLOOKUP(C156,المستفيدين!$B:$C,2,FALSE))),"")</f>
        <v/>
      </c>
      <c r="F156" s="1"/>
      <c r="G156" s="1"/>
      <c r="H156" s="1"/>
      <c r="I156" s="1"/>
    </row>
    <row r="157" spans="1:9" x14ac:dyDescent="0.2">
      <c r="A157" s="1"/>
      <c r="B157" s="1"/>
      <c r="C157" s="1"/>
      <c r="D157" t="str">
        <f>IFERROR(IF(C157="","",IF(B157="موظف",VLOOKUP(C157,الموظفين!$B:$C,2,FALSE),VLOOKUP(C157,المستفيدين!$B:$C,2,FALSE))),"")</f>
        <v/>
      </c>
      <c r="F157" s="1"/>
      <c r="G157" s="1"/>
      <c r="H157" s="1"/>
      <c r="I157" s="1"/>
    </row>
    <row r="158" spans="1:9" x14ac:dyDescent="0.2">
      <c r="A158" s="1"/>
      <c r="B158" s="1"/>
      <c r="C158" s="1"/>
      <c r="D158" t="str">
        <f>IFERROR(IF(C158="","",IF(B158="موظف",VLOOKUP(C158,الموظفين!$B:$C,2,FALSE),VLOOKUP(C158,المستفيدين!$B:$C,2,FALSE))),"")</f>
        <v/>
      </c>
      <c r="F158" s="1"/>
      <c r="G158" s="1"/>
      <c r="H158" s="1"/>
      <c r="I158" s="1"/>
    </row>
    <row r="159" spans="1:9" x14ac:dyDescent="0.2">
      <c r="A159" s="1"/>
      <c r="B159" s="1"/>
      <c r="C159" s="1"/>
      <c r="D159" t="str">
        <f>IFERROR(IF(C159="","",IF(B159="موظف",VLOOKUP(C159,الموظفين!$B:$C,2,FALSE),VLOOKUP(C159,المستفيدين!$B:$C,2,FALSE))),"")</f>
        <v/>
      </c>
      <c r="F159" s="1"/>
      <c r="G159" s="1"/>
      <c r="H159" s="1"/>
      <c r="I159" s="1"/>
    </row>
    <row r="160" spans="1:9" x14ac:dyDescent="0.2">
      <c r="A160" s="1"/>
      <c r="B160" s="1"/>
      <c r="C160" s="1"/>
      <c r="D160" t="str">
        <f>IFERROR(IF(C160="","",IF(B160="موظف",VLOOKUP(C160,الموظفين!$B:$C,2,FALSE),VLOOKUP(C160,المستفيدين!$B:$C,2,FALSE))),"")</f>
        <v/>
      </c>
      <c r="F160" s="1"/>
      <c r="G160" s="1"/>
      <c r="H160" s="1"/>
      <c r="I160" s="1"/>
    </row>
    <row r="161" spans="1:9" x14ac:dyDescent="0.2">
      <c r="A161" s="1"/>
      <c r="B161" s="1"/>
      <c r="C161" s="1"/>
      <c r="D161" t="str">
        <f>IFERROR(IF(C161="","",IF(B161="موظف",VLOOKUP(C161,الموظفين!$B:$C,2,FALSE),VLOOKUP(C161,المستفيدين!$B:$C,2,FALSE))),"")</f>
        <v/>
      </c>
      <c r="F161" s="1"/>
      <c r="G161" s="1"/>
      <c r="H161" s="1"/>
      <c r="I161" s="1"/>
    </row>
    <row r="162" spans="1:9" x14ac:dyDescent="0.2">
      <c r="A162" s="1"/>
      <c r="B162" s="1"/>
      <c r="C162" s="1"/>
      <c r="D162" t="str">
        <f>IFERROR(IF(C162="","",IF(B162="موظف",VLOOKUP(C162,الموظفين!$B:$C,2,FALSE),VLOOKUP(C162,المستفيدين!$B:$C,2,FALSE))),"")</f>
        <v/>
      </c>
      <c r="F162" s="1"/>
      <c r="G162" s="1"/>
      <c r="H162" s="1"/>
      <c r="I162" s="1"/>
    </row>
    <row r="163" spans="1:9" x14ac:dyDescent="0.2">
      <c r="A163" s="1"/>
      <c r="B163" s="1"/>
      <c r="C163" s="1"/>
      <c r="D163" t="str">
        <f>IFERROR(IF(C163="","",IF(B163="موظف",VLOOKUP(C163,الموظفين!$B:$C,2,FALSE),VLOOKUP(C163,المستفيدين!$B:$C,2,FALSE))),"")</f>
        <v/>
      </c>
      <c r="F163" s="1"/>
      <c r="G163" s="1"/>
      <c r="H163" s="1"/>
      <c r="I163" s="1"/>
    </row>
    <row r="164" spans="1:9" x14ac:dyDescent="0.2">
      <c r="A164" s="1"/>
      <c r="B164" s="1"/>
      <c r="C164" s="1"/>
      <c r="D164" t="str">
        <f>IFERROR(IF(C164="","",IF(B164="موظف",VLOOKUP(C164,الموظفين!$B:$C,2,FALSE),VLOOKUP(C164,المستفيدين!$B:$C,2,FALSE))),"")</f>
        <v/>
      </c>
      <c r="F164" s="1"/>
      <c r="G164" s="1"/>
      <c r="H164" s="1"/>
      <c r="I164" s="1"/>
    </row>
    <row r="165" spans="1:9" x14ac:dyDescent="0.2">
      <c r="A165" s="1"/>
      <c r="B165" s="1"/>
      <c r="C165" s="1"/>
      <c r="D165" t="str">
        <f>IFERROR(IF(C165="","",IF(B165="موظف",VLOOKUP(C165,الموظفين!$B:$C,2,FALSE),VLOOKUP(C165,المستفيدين!$B:$C,2,FALSE))),"")</f>
        <v/>
      </c>
      <c r="F165" s="1"/>
      <c r="G165" s="1"/>
      <c r="H165" s="1"/>
      <c r="I165" s="1"/>
    </row>
    <row r="166" spans="1:9" x14ac:dyDescent="0.2">
      <c r="A166" s="1"/>
      <c r="B166" s="1"/>
      <c r="C166" s="1"/>
      <c r="D166" t="str">
        <f>IFERROR(IF(C166="","",IF(B166="موظف",VLOOKUP(C166,الموظفين!$B:$C,2,FALSE),VLOOKUP(C166,المستفيدين!$B:$C,2,FALSE))),"")</f>
        <v/>
      </c>
      <c r="F166" s="1"/>
      <c r="G166" s="1"/>
      <c r="H166" s="1"/>
      <c r="I166" s="1"/>
    </row>
    <row r="167" spans="1:9" x14ac:dyDescent="0.2">
      <c r="A167" s="1"/>
      <c r="B167" s="1"/>
      <c r="C167" s="1"/>
      <c r="D167" t="str">
        <f>IFERROR(IF(C167="","",IF(B167="موظف",VLOOKUP(C167,الموظفين!$B:$C,2,FALSE),VLOOKUP(C167,المستفيدين!$B:$C,2,FALSE))),"")</f>
        <v/>
      </c>
      <c r="F167" s="1"/>
      <c r="G167" s="1"/>
      <c r="H167" s="1"/>
      <c r="I167" s="1"/>
    </row>
    <row r="168" spans="1:9" x14ac:dyDescent="0.2">
      <c r="A168" s="1"/>
      <c r="B168" s="1"/>
      <c r="C168" s="1"/>
      <c r="D168" t="str">
        <f>IFERROR(IF(C168="","",IF(B168="موظف",VLOOKUP(C168,الموظفين!$B:$C,2,FALSE),VLOOKUP(C168,المستفيدين!$B:$C,2,FALSE))),"")</f>
        <v/>
      </c>
      <c r="F168" s="1"/>
      <c r="G168" s="1"/>
      <c r="H168" s="1"/>
      <c r="I168" s="1"/>
    </row>
    <row r="169" spans="1:9" x14ac:dyDescent="0.2">
      <c r="A169" s="1"/>
      <c r="B169" s="1"/>
      <c r="C169" s="1"/>
      <c r="D169" t="str">
        <f>IFERROR(IF(C169="","",IF(B169="موظف",VLOOKUP(C169,الموظفين!$B:$C,2,FALSE),VLOOKUP(C169,المستفيدين!$B:$C,2,FALSE))),"")</f>
        <v/>
      </c>
      <c r="F169" s="1"/>
      <c r="G169" s="1"/>
      <c r="H169" s="1"/>
      <c r="I169" s="1"/>
    </row>
    <row r="170" spans="1:9" x14ac:dyDescent="0.2">
      <c r="A170" s="1"/>
      <c r="B170" s="1"/>
      <c r="C170" s="1"/>
      <c r="D170" t="str">
        <f>IFERROR(IF(C170="","",IF(B170="موظف",VLOOKUP(C170,الموظفين!$B:$C,2,FALSE),VLOOKUP(C170,المستفيدين!$B:$C,2,FALSE))),"")</f>
        <v/>
      </c>
      <c r="F170" s="1"/>
      <c r="G170" s="1"/>
      <c r="H170" s="1"/>
      <c r="I170" s="1"/>
    </row>
    <row r="171" spans="1:9" x14ac:dyDescent="0.2">
      <c r="A171" s="1"/>
      <c r="B171" s="1"/>
      <c r="C171" s="1"/>
      <c r="D171" t="str">
        <f>IFERROR(IF(C171="","",IF(B171="موظف",VLOOKUP(C171,الموظفين!$B:$C,2,FALSE),VLOOKUP(C171,المستفيدين!$B:$C,2,FALSE))),"")</f>
        <v/>
      </c>
      <c r="F171" s="1"/>
      <c r="G171" s="1"/>
      <c r="H171" s="1"/>
      <c r="I171" s="1"/>
    </row>
    <row r="172" spans="1:9" x14ac:dyDescent="0.2">
      <c r="A172" s="1"/>
      <c r="B172" s="1"/>
      <c r="C172" s="1"/>
      <c r="D172" t="str">
        <f>IFERROR(IF(C172="","",IF(B172="موظف",VLOOKUP(C172,الموظفين!$B:$C,2,FALSE),VLOOKUP(C172,المستفيدين!$B:$C,2,FALSE))),"")</f>
        <v/>
      </c>
      <c r="F172" s="1"/>
      <c r="G172" s="1"/>
      <c r="H172" s="1"/>
      <c r="I172" s="1"/>
    </row>
    <row r="173" spans="1:9" x14ac:dyDescent="0.2">
      <c r="A173" s="1"/>
      <c r="B173" s="1"/>
      <c r="C173" s="1"/>
      <c r="D173" t="str">
        <f>IFERROR(IF(C173="","",IF(B173="موظف",VLOOKUP(C173,الموظفين!$B:$C,2,FALSE),VLOOKUP(C173,المستفيدين!$B:$C,2,FALSE))),"")</f>
        <v/>
      </c>
      <c r="F173" s="1"/>
      <c r="G173" s="1"/>
      <c r="H173" s="1"/>
      <c r="I173" s="1"/>
    </row>
    <row r="174" spans="1:9" x14ac:dyDescent="0.2">
      <c r="A174" s="1"/>
      <c r="B174" s="1"/>
      <c r="C174" s="1"/>
      <c r="D174" t="str">
        <f>IFERROR(IF(C174="","",IF(B174="موظف",VLOOKUP(C174,الموظفين!$B:$C,2,FALSE),VLOOKUP(C174,المستفيدين!$B:$C,2,FALSE))),"")</f>
        <v/>
      </c>
      <c r="F174" s="1"/>
      <c r="G174" s="1"/>
      <c r="H174" s="1"/>
      <c r="I174" s="1"/>
    </row>
    <row r="175" spans="1:9" x14ac:dyDescent="0.2">
      <c r="A175" s="1"/>
      <c r="B175" s="1"/>
      <c r="C175" s="1"/>
      <c r="D175" t="str">
        <f>IFERROR(IF(C175="","",IF(B175="موظف",VLOOKUP(C175,الموظفين!$B:$C,2,FALSE),VLOOKUP(C175,المستفيدين!$B:$C,2,FALSE))),"")</f>
        <v/>
      </c>
      <c r="F175" s="1"/>
      <c r="G175" s="1"/>
      <c r="H175" s="1"/>
      <c r="I175" s="1"/>
    </row>
    <row r="176" spans="1:9" x14ac:dyDescent="0.2">
      <c r="A176" s="1"/>
      <c r="B176" s="1"/>
      <c r="C176" s="1"/>
      <c r="D176" t="str">
        <f>IFERROR(IF(C176="","",IF(B176="موظف",VLOOKUP(C176,الموظفين!$B:$C,2,FALSE),VLOOKUP(C176,المستفيدين!$B:$C,2,FALSE))),"")</f>
        <v/>
      </c>
      <c r="F176" s="1"/>
      <c r="G176" s="1"/>
      <c r="H176" s="1"/>
      <c r="I176" s="1"/>
    </row>
    <row r="177" spans="1:9" x14ac:dyDescent="0.2">
      <c r="A177" s="1"/>
      <c r="B177" s="1"/>
      <c r="C177" s="1"/>
      <c r="D177" t="str">
        <f>IFERROR(IF(C177="","",IF(B177="موظف",VLOOKUP(C177,الموظفين!$B:$C,2,FALSE),VLOOKUP(C177,المستفيدين!$B:$C,2,FALSE))),"")</f>
        <v/>
      </c>
      <c r="F177" s="1"/>
      <c r="G177" s="1"/>
      <c r="H177" s="1"/>
      <c r="I177" s="1"/>
    </row>
    <row r="178" spans="1:9" x14ac:dyDescent="0.2">
      <c r="A178" s="1"/>
      <c r="B178" s="1"/>
      <c r="C178" s="1"/>
      <c r="D178" t="str">
        <f>IFERROR(IF(C178="","",IF(B178="موظف",VLOOKUP(C178,الموظفين!$B:$C,2,FALSE),VLOOKUP(C178,المستفيدين!$B:$C,2,FALSE))),"")</f>
        <v/>
      </c>
      <c r="F178" s="1"/>
      <c r="G178" s="1"/>
      <c r="H178" s="1"/>
      <c r="I178" s="1"/>
    </row>
    <row r="179" spans="1:9" x14ac:dyDescent="0.2">
      <c r="A179" s="1"/>
      <c r="B179" s="1"/>
      <c r="C179" s="1"/>
      <c r="D179" t="str">
        <f>IFERROR(IF(C179="","",IF(B179="موظف",VLOOKUP(C179,الموظفين!$B:$C,2,FALSE),VLOOKUP(C179,المستفيدين!$B:$C,2,FALSE))),"")</f>
        <v/>
      </c>
      <c r="F179" s="1"/>
      <c r="G179" s="1"/>
      <c r="H179" s="1"/>
      <c r="I179" s="1"/>
    </row>
    <row r="180" spans="1:9" x14ac:dyDescent="0.2">
      <c r="A180" s="1"/>
      <c r="B180" s="1"/>
      <c r="C180" s="1"/>
      <c r="D180" t="str">
        <f>IFERROR(IF(C180="","",IF(B180="موظف",VLOOKUP(C180,الموظفين!$B:$C,2,FALSE),VLOOKUP(C180,المستفيدين!$B:$C,2,FALSE))),"")</f>
        <v/>
      </c>
      <c r="F180" s="1"/>
      <c r="G180" s="1"/>
      <c r="H180" s="1"/>
      <c r="I180" s="1"/>
    </row>
    <row r="181" spans="1:9" x14ac:dyDescent="0.2">
      <c r="A181" s="1"/>
      <c r="B181" s="1"/>
      <c r="C181" s="1"/>
      <c r="D181" t="str">
        <f>IFERROR(IF(C181="","",IF(B181="موظف",VLOOKUP(C181,الموظفين!$B:$C,2,FALSE),VLOOKUP(C181,المستفيدين!$B:$C,2,FALSE))),"")</f>
        <v/>
      </c>
      <c r="F181" s="1"/>
      <c r="G181" s="1"/>
      <c r="H181" s="1"/>
      <c r="I181" s="1"/>
    </row>
    <row r="182" spans="1:9" x14ac:dyDescent="0.2">
      <c r="A182" s="1"/>
      <c r="B182" s="1"/>
      <c r="C182" s="1"/>
      <c r="D182" t="str">
        <f>IFERROR(IF(C182="","",IF(B182="موظف",VLOOKUP(C182,الموظفين!$B:$C,2,FALSE),VLOOKUP(C182,المستفيدين!$B:$C,2,FALSE))),"")</f>
        <v/>
      </c>
      <c r="F182" s="1"/>
      <c r="G182" s="1"/>
      <c r="H182" s="1"/>
      <c r="I182" s="1"/>
    </row>
    <row r="183" spans="1:9" x14ac:dyDescent="0.2">
      <c r="A183" s="1"/>
      <c r="B183" s="1"/>
      <c r="C183" s="1"/>
      <c r="D183" t="str">
        <f>IFERROR(IF(C183="","",IF(B183="موظف",VLOOKUP(C183,الموظفين!$B:$C,2,FALSE),VLOOKUP(C183,المستفيدين!$B:$C,2,FALSE))),"")</f>
        <v/>
      </c>
      <c r="F183" s="1"/>
      <c r="G183" s="1"/>
      <c r="H183" s="1"/>
      <c r="I183" s="1"/>
    </row>
    <row r="184" spans="1:9" x14ac:dyDescent="0.2">
      <c r="A184" s="1"/>
      <c r="B184" s="1"/>
      <c r="C184" s="1"/>
      <c r="D184" t="str">
        <f>IFERROR(IF(C184="","",IF(B184="موظف",VLOOKUP(C184,الموظفين!$B:$C,2,FALSE),VLOOKUP(C184,المستفيدين!$B:$C,2,FALSE))),"")</f>
        <v/>
      </c>
      <c r="F184" s="1"/>
      <c r="G184" s="1"/>
      <c r="H184" s="1"/>
      <c r="I184" s="1"/>
    </row>
    <row r="185" spans="1:9" x14ac:dyDescent="0.2">
      <c r="A185" s="1"/>
      <c r="B185" s="1"/>
      <c r="C185" s="1"/>
      <c r="D185" t="str">
        <f>IFERROR(IF(C185="","",IF(B185="موظف",VLOOKUP(C185,الموظفين!$B:$C,2,FALSE),VLOOKUP(C185,المستفيدين!$B:$C,2,FALSE))),"")</f>
        <v/>
      </c>
      <c r="F185" s="1"/>
      <c r="G185" s="1"/>
      <c r="H185" s="1"/>
      <c r="I185" s="1"/>
    </row>
    <row r="186" spans="1:9" x14ac:dyDescent="0.2">
      <c r="A186" s="1"/>
      <c r="B186" s="1"/>
      <c r="C186" s="1"/>
      <c r="D186" t="str">
        <f>IFERROR(IF(C186="","",IF(B186="موظف",VLOOKUP(C186,الموظفين!$B:$C,2,FALSE),VLOOKUP(C186,المستفيدين!$B:$C,2,FALSE))),"")</f>
        <v/>
      </c>
      <c r="F186" s="1"/>
      <c r="G186" s="1"/>
      <c r="H186" s="1"/>
      <c r="I186" s="1"/>
    </row>
    <row r="187" spans="1:9" x14ac:dyDescent="0.2">
      <c r="A187" s="1"/>
      <c r="B187" s="1"/>
      <c r="C187" s="1"/>
      <c r="D187" t="str">
        <f>IFERROR(IF(C187="","",IF(B187="موظف",VLOOKUP(C187,الموظفين!$B:$C,2,FALSE),VLOOKUP(C187,المستفيدين!$B:$C,2,FALSE))),"")</f>
        <v/>
      </c>
      <c r="F187" s="1"/>
      <c r="G187" s="1"/>
      <c r="H187" s="1"/>
      <c r="I187" s="1"/>
    </row>
    <row r="188" spans="1:9" x14ac:dyDescent="0.2">
      <c r="A188" s="1"/>
      <c r="B188" s="1"/>
      <c r="C188" s="1"/>
      <c r="D188" t="str">
        <f>IFERROR(IF(C188="","",IF(B188="موظف",VLOOKUP(C188,الموظفين!$B:$C,2,FALSE),VLOOKUP(C188,المستفيدين!$B:$C,2,FALSE))),"")</f>
        <v/>
      </c>
      <c r="F188" s="1"/>
      <c r="G188" s="1"/>
      <c r="H188" s="1"/>
      <c r="I188" s="1"/>
    </row>
    <row r="189" spans="1:9" x14ac:dyDescent="0.2">
      <c r="A189" s="1"/>
      <c r="B189" s="1"/>
      <c r="C189" s="1"/>
      <c r="D189" t="str">
        <f>IFERROR(IF(C189="","",IF(B189="موظف",VLOOKUP(C189,الموظفين!$B:$C,2,FALSE),VLOOKUP(C189,المستفيدين!$B:$C,2,FALSE))),"")</f>
        <v/>
      </c>
      <c r="F189" s="1"/>
      <c r="G189" s="1"/>
      <c r="H189" s="1"/>
      <c r="I189" s="1"/>
    </row>
    <row r="190" spans="1:9" x14ac:dyDescent="0.2">
      <c r="A190" s="1"/>
      <c r="B190" s="1"/>
      <c r="C190" s="1"/>
      <c r="D190" t="str">
        <f>IFERROR(IF(C190="","",IF(B190="موظف",VLOOKUP(C190,الموظفين!$B:$C,2,FALSE),VLOOKUP(C190,المستفيدين!$B:$C,2,FALSE))),"")</f>
        <v/>
      </c>
      <c r="F190" s="1"/>
      <c r="G190" s="1"/>
      <c r="H190" s="1"/>
      <c r="I190" s="1"/>
    </row>
    <row r="191" spans="1:9" x14ac:dyDescent="0.2">
      <c r="A191" s="1"/>
      <c r="B191" s="1"/>
      <c r="C191" s="1"/>
      <c r="D191" t="str">
        <f>IFERROR(IF(C191="","",IF(B191="موظف",VLOOKUP(C191,الموظفين!$B:$C,2,FALSE),VLOOKUP(C191,المستفيدين!$B:$C,2,FALSE))),"")</f>
        <v/>
      </c>
      <c r="F191" s="1"/>
      <c r="G191" s="1"/>
      <c r="H191" s="1"/>
      <c r="I191" s="1"/>
    </row>
    <row r="192" spans="1:9" x14ac:dyDescent="0.2">
      <c r="A192" s="1"/>
      <c r="B192" s="1"/>
      <c r="C192" s="1"/>
      <c r="D192" t="str">
        <f>IFERROR(IF(C192="","",IF(B192="موظف",VLOOKUP(C192,الموظفين!$B:$C,2,FALSE),VLOOKUP(C192,المستفيدين!$B:$C,2,FALSE))),"")</f>
        <v/>
      </c>
      <c r="F192" s="1"/>
      <c r="G192" s="1"/>
      <c r="H192" s="1"/>
      <c r="I192" s="1"/>
    </row>
    <row r="193" spans="1:9" x14ac:dyDescent="0.2">
      <c r="A193" s="1"/>
      <c r="B193" s="1"/>
      <c r="C193" s="1"/>
      <c r="D193" t="str">
        <f>IFERROR(IF(C193="","",IF(B193="موظف",VLOOKUP(C193,الموظفين!$B:$C,2,FALSE),VLOOKUP(C193,المستفيدين!$B:$C,2,FALSE))),"")</f>
        <v/>
      </c>
      <c r="F193" s="1"/>
      <c r="G193" s="1"/>
      <c r="H193" s="1"/>
      <c r="I193" s="1"/>
    </row>
    <row r="194" spans="1:9" x14ac:dyDescent="0.2">
      <c r="A194" s="1"/>
      <c r="B194" s="1"/>
      <c r="C194" s="1"/>
      <c r="D194" t="str">
        <f>IFERROR(IF(C194="","",IF(B194="موظف",VLOOKUP(C194,الموظفين!$B:$C,2,FALSE),VLOOKUP(C194,المستفيدين!$B:$C,2,FALSE))),"")</f>
        <v/>
      </c>
      <c r="F194" s="1"/>
      <c r="G194" s="1"/>
      <c r="H194" s="1"/>
      <c r="I194" s="1"/>
    </row>
    <row r="195" spans="1:9" x14ac:dyDescent="0.2">
      <c r="A195" s="1"/>
      <c r="B195" s="1"/>
      <c r="C195" s="1"/>
      <c r="D195" t="str">
        <f>IFERROR(IF(C195="","",IF(B195="موظف",VLOOKUP(C195,الموظفين!$B:$C,2,FALSE),VLOOKUP(C195,المستفيدين!$B:$C,2,FALSE))),"")</f>
        <v/>
      </c>
      <c r="F195" s="1"/>
      <c r="G195" s="1"/>
      <c r="H195" s="1"/>
      <c r="I195" s="1"/>
    </row>
    <row r="196" spans="1:9" x14ac:dyDescent="0.2">
      <c r="A196" s="1"/>
      <c r="B196" s="1"/>
      <c r="C196" s="1"/>
      <c r="D196" t="str">
        <f>IFERROR(IF(C196="","",IF(B196="موظف",VLOOKUP(C196,الموظفين!$B:$C,2,FALSE),VLOOKUP(C196,المستفيدين!$B:$C,2,FALSE))),"")</f>
        <v/>
      </c>
      <c r="F196" s="1"/>
      <c r="G196" s="1"/>
      <c r="H196" s="1"/>
      <c r="I196" s="1"/>
    </row>
    <row r="197" spans="1:9" x14ac:dyDescent="0.2">
      <c r="A197" s="1"/>
      <c r="B197" s="1"/>
      <c r="C197" s="1"/>
      <c r="D197" t="str">
        <f>IFERROR(IF(C197="","",IF(B197="موظف",VLOOKUP(C197,الموظفين!$B:$C,2,FALSE),VLOOKUP(C197,المستفيدين!$B:$C,2,FALSE))),"")</f>
        <v/>
      </c>
      <c r="F197" s="1"/>
      <c r="G197" s="1"/>
      <c r="H197" s="1"/>
      <c r="I197" s="1"/>
    </row>
    <row r="198" spans="1:9" x14ac:dyDescent="0.2">
      <c r="A198" s="1"/>
      <c r="B198" s="1"/>
      <c r="C198" s="1"/>
      <c r="D198" t="str">
        <f>IFERROR(IF(C198="","",IF(B198="موظف",VLOOKUP(C198,الموظفين!$B:$C,2,FALSE),VLOOKUP(C198,المستفيدين!$B:$C,2,FALSE))),"")</f>
        <v/>
      </c>
      <c r="F198" s="1"/>
      <c r="G198" s="1"/>
      <c r="H198" s="1"/>
      <c r="I198" s="1"/>
    </row>
    <row r="199" spans="1:9" x14ac:dyDescent="0.2">
      <c r="A199" s="1"/>
      <c r="B199" s="1"/>
      <c r="C199" s="1"/>
      <c r="D199" t="str">
        <f>IFERROR(IF(C199="","",IF(B199="موظف",VLOOKUP(C199,الموظفين!$B:$C,2,FALSE),VLOOKUP(C199,المستفيدين!$B:$C,2,FALSE))),"")</f>
        <v/>
      </c>
      <c r="F199" s="1"/>
      <c r="G199" s="1"/>
      <c r="H199" s="1"/>
      <c r="I199" s="1"/>
    </row>
    <row r="200" spans="1:9" x14ac:dyDescent="0.2">
      <c r="A200" s="1"/>
      <c r="B200" s="1"/>
      <c r="C200" s="1"/>
      <c r="D200" t="str">
        <f>IFERROR(IF(C200="","",IF(B200="موظف",VLOOKUP(C200,الموظفين!$B:$C,2,FALSE),VLOOKUP(C200,المستفيدين!$B:$C,2,FALSE))),"")</f>
        <v/>
      </c>
      <c r="F200" s="1"/>
      <c r="G200" s="1"/>
      <c r="H200" s="1"/>
      <c r="I200" s="1"/>
    </row>
    <row r="201" spans="1:9" x14ac:dyDescent="0.2">
      <c r="A201" s="1"/>
      <c r="B201" s="1"/>
      <c r="C201" s="1"/>
      <c r="D201" t="str">
        <f>IFERROR(IF(C201="","",IF(B201="موظف",VLOOKUP(C201,الموظفين!$B:$C,2,FALSE),VLOOKUP(C201,المستفيدين!$B:$C,2,FALSE))),"")</f>
        <v/>
      </c>
      <c r="F201" s="1"/>
      <c r="G201" s="1"/>
      <c r="H201" s="1"/>
      <c r="I201" s="1"/>
    </row>
    <row r="202" spans="1:9" x14ac:dyDescent="0.2">
      <c r="A202" s="1"/>
      <c r="B202" s="1"/>
      <c r="C202" s="1"/>
      <c r="D202" t="str">
        <f>IFERROR(IF(C202="","",IF(B202="موظف",VLOOKUP(C202,الموظفين!$B:$C,2,FALSE),VLOOKUP(C202,المستفيدين!$B:$C,2,FALSE))),"")</f>
        <v/>
      </c>
      <c r="F202" s="1"/>
      <c r="G202" s="1"/>
      <c r="H202" s="1"/>
      <c r="I202" s="1"/>
    </row>
    <row r="203" spans="1:9" x14ac:dyDescent="0.2">
      <c r="A203" s="1"/>
      <c r="B203" s="1"/>
      <c r="C203" s="1"/>
      <c r="D203" t="str">
        <f>IFERROR(IF(C203="","",IF(B203="موظف",VLOOKUP(C203,الموظفين!$B:$C,2,FALSE),VLOOKUP(C203,المستفيدين!$B:$C,2,FALSE))),"")</f>
        <v/>
      </c>
      <c r="F203" s="1"/>
      <c r="G203" s="1"/>
      <c r="H203" s="1"/>
      <c r="I203" s="1"/>
    </row>
    <row r="204" spans="1:9" x14ac:dyDescent="0.2">
      <c r="A204" s="1"/>
      <c r="B204" s="1"/>
      <c r="C204" s="1"/>
      <c r="D204" t="str">
        <f>IFERROR(IF(C204="","",IF(B204="موظف",VLOOKUP(C204,الموظفين!$B:$C,2,FALSE),VLOOKUP(C204,المستفيدين!$B:$C,2,FALSE))),"")</f>
        <v/>
      </c>
      <c r="F204" s="1"/>
      <c r="G204" s="1"/>
      <c r="H204" s="1"/>
      <c r="I204" s="1"/>
    </row>
    <row r="205" spans="1:9" x14ac:dyDescent="0.2">
      <c r="A205" s="1"/>
      <c r="B205" s="1"/>
      <c r="C205" s="1"/>
      <c r="D205" t="str">
        <f>IFERROR(IF(C205="","",IF(B205="موظف",VLOOKUP(C205,الموظفين!$B:$C,2,FALSE),VLOOKUP(C205,المستفيدين!$B:$C,2,FALSE))),"")</f>
        <v/>
      </c>
      <c r="F205" s="1"/>
      <c r="G205" s="1"/>
      <c r="H205" s="1"/>
      <c r="I205" s="1"/>
    </row>
    <row r="206" spans="1:9" x14ac:dyDescent="0.2">
      <c r="A206" s="1"/>
      <c r="B206" s="1"/>
      <c r="C206" s="1"/>
      <c r="D206" t="str">
        <f>IFERROR(IF(C206="","",IF(B206="موظف",VLOOKUP(C206,الموظفين!$B:$C,2,FALSE),VLOOKUP(C206,المستفيدين!$B:$C,2,FALSE))),"")</f>
        <v/>
      </c>
      <c r="F206" s="1"/>
      <c r="G206" s="1"/>
      <c r="H206" s="1"/>
      <c r="I206" s="1"/>
    </row>
    <row r="207" spans="1:9" x14ac:dyDescent="0.2">
      <c r="A207" s="1"/>
      <c r="B207" s="1"/>
      <c r="C207" s="1"/>
      <c r="D207" t="str">
        <f>IFERROR(IF(C207="","",IF(B207="موظف",VLOOKUP(C207,الموظفين!$B:$C,2,FALSE),VLOOKUP(C207,المستفيدين!$B:$C,2,FALSE))),"")</f>
        <v/>
      </c>
      <c r="F207" s="1"/>
      <c r="G207" s="1"/>
      <c r="H207" s="1"/>
      <c r="I207" s="1"/>
    </row>
    <row r="208" spans="1:9" x14ac:dyDescent="0.2">
      <c r="A208" s="1"/>
      <c r="B208" s="1"/>
      <c r="C208" s="1"/>
      <c r="D208" t="str">
        <f>IFERROR(IF(C208="","",IF(B208="موظف",VLOOKUP(C208,الموظفين!$B:$C,2,FALSE),VLOOKUP(C208,المستفيدين!$B:$C,2,FALSE))),"")</f>
        <v/>
      </c>
      <c r="F208" s="1"/>
      <c r="G208" s="1"/>
      <c r="H208" s="1"/>
      <c r="I208" s="1"/>
    </row>
    <row r="209" spans="1:9" x14ac:dyDescent="0.2">
      <c r="A209" s="1"/>
      <c r="B209" s="1"/>
      <c r="C209" s="1"/>
      <c r="D209" t="str">
        <f>IFERROR(IF(C209="","",IF(B209="موظف",VLOOKUP(C209,الموظفين!$B:$C,2,FALSE),VLOOKUP(C209,المستفيدين!$B:$C,2,FALSE))),"")</f>
        <v/>
      </c>
      <c r="F209" s="1"/>
      <c r="G209" s="1"/>
      <c r="H209" s="1"/>
      <c r="I209" s="1"/>
    </row>
    <row r="210" spans="1:9" x14ac:dyDescent="0.2">
      <c r="A210" s="1"/>
      <c r="B210" s="1"/>
      <c r="C210" s="1"/>
      <c r="D210" t="str">
        <f>IFERROR(IF(C210="","",IF(B210="موظف",VLOOKUP(C210,الموظفين!$B:$C,2,FALSE),VLOOKUP(C210,المستفيدين!$B:$C,2,FALSE))),"")</f>
        <v/>
      </c>
      <c r="F210" s="1"/>
      <c r="G210" s="1"/>
      <c r="H210" s="1"/>
      <c r="I210" s="1"/>
    </row>
    <row r="211" spans="1:9" x14ac:dyDescent="0.2">
      <c r="A211" s="1"/>
      <c r="B211" s="1"/>
      <c r="C211" s="1"/>
      <c r="D211" t="str">
        <f>IFERROR(IF(C211="","",IF(B211="موظف",VLOOKUP(C211,الموظفين!$B:$C,2,FALSE),VLOOKUP(C211,المستفيدين!$B:$C,2,FALSE))),"")</f>
        <v/>
      </c>
      <c r="F211" s="1"/>
      <c r="G211" s="1"/>
      <c r="H211" s="1"/>
      <c r="I211" s="1"/>
    </row>
    <row r="212" spans="1:9" x14ac:dyDescent="0.2">
      <c r="A212" s="1"/>
      <c r="B212" s="1"/>
      <c r="C212" s="1"/>
      <c r="D212" t="str">
        <f>IFERROR(IF(C212="","",IF(B212="موظف",VLOOKUP(C212,الموظفين!$B:$C,2,FALSE),VLOOKUP(C212,المستفيدين!$B:$C,2,FALSE))),"")</f>
        <v/>
      </c>
      <c r="F212" s="1"/>
      <c r="G212" s="1"/>
      <c r="H212" s="1"/>
      <c r="I212" s="1"/>
    </row>
    <row r="213" spans="1:9" x14ac:dyDescent="0.2">
      <c r="A213" s="1"/>
      <c r="B213" s="1"/>
      <c r="C213" s="1"/>
      <c r="D213" t="str">
        <f>IFERROR(IF(C213="","",IF(B213="موظف",VLOOKUP(C213,الموظفين!$B:$C,2,FALSE),VLOOKUP(C213,المستفيدين!$B:$C,2,FALSE))),"")</f>
        <v/>
      </c>
      <c r="F213" s="1"/>
      <c r="G213" s="1"/>
      <c r="H213" s="1"/>
      <c r="I213" s="1"/>
    </row>
    <row r="214" spans="1:9" x14ac:dyDescent="0.2">
      <c r="A214" s="1"/>
      <c r="B214" s="1"/>
      <c r="C214" s="1"/>
      <c r="D214" t="str">
        <f>IFERROR(IF(C214="","",IF(B214="موظف",VLOOKUP(C214,الموظفين!$B:$C,2,FALSE),VLOOKUP(C214,المستفيدين!$B:$C,2,FALSE))),"")</f>
        <v/>
      </c>
      <c r="F214" s="1"/>
      <c r="G214" s="1"/>
      <c r="H214" s="1"/>
      <c r="I214" s="1"/>
    </row>
    <row r="215" spans="1:9" x14ac:dyDescent="0.2">
      <c r="A215" s="1"/>
      <c r="B215" s="1"/>
      <c r="C215" s="1"/>
      <c r="D215" t="str">
        <f>IFERROR(IF(C215="","",IF(B215="موظف",VLOOKUP(C215,الموظفين!$B:$C,2,FALSE),VLOOKUP(C215,المستفيدين!$B:$C,2,FALSE))),"")</f>
        <v/>
      </c>
      <c r="F215" s="1"/>
      <c r="G215" s="1"/>
      <c r="H215" s="1"/>
      <c r="I215" s="1"/>
    </row>
    <row r="216" spans="1:9" x14ac:dyDescent="0.2">
      <c r="A216" s="1"/>
      <c r="B216" s="1"/>
      <c r="C216" s="1"/>
      <c r="D216" t="str">
        <f>IFERROR(IF(C216="","",IF(B216="موظف",VLOOKUP(C216,الموظفين!$B:$C,2,FALSE),VLOOKUP(C216,المستفيدين!$B:$C,2,FALSE))),"")</f>
        <v/>
      </c>
      <c r="F216" s="1"/>
      <c r="G216" s="1"/>
      <c r="H216" s="1"/>
      <c r="I216" s="1"/>
    </row>
    <row r="217" spans="1:9" x14ac:dyDescent="0.2">
      <c r="A217" s="1"/>
      <c r="B217" s="1"/>
      <c r="C217" s="1"/>
      <c r="D217" t="str">
        <f>IFERROR(IF(C217="","",IF(B217="موظف",VLOOKUP(C217,الموظفين!$B:$C,2,FALSE),VLOOKUP(C217,المستفيدين!$B:$C,2,FALSE))),"")</f>
        <v/>
      </c>
      <c r="F217" s="1"/>
      <c r="G217" s="1"/>
      <c r="H217" s="1"/>
      <c r="I217" s="1"/>
    </row>
    <row r="218" spans="1:9" x14ac:dyDescent="0.2">
      <c r="A218" s="1"/>
      <c r="B218" s="1"/>
      <c r="C218" s="1"/>
      <c r="D218" t="str">
        <f>IFERROR(IF(C218="","",IF(B218="موظف",VLOOKUP(C218,الموظفين!$B:$C,2,FALSE),VLOOKUP(C218,المستفيدين!$B:$C,2,FALSE))),"")</f>
        <v/>
      </c>
      <c r="F218" s="1"/>
      <c r="G218" s="1"/>
      <c r="H218" s="1"/>
      <c r="I218" s="1"/>
    </row>
    <row r="219" spans="1:9" x14ac:dyDescent="0.2">
      <c r="A219" s="1"/>
      <c r="B219" s="1"/>
      <c r="C219" s="1"/>
      <c r="D219" t="str">
        <f>IFERROR(IF(C219="","",IF(B219="موظف",VLOOKUP(C219,الموظفين!$B:$C,2,FALSE),VLOOKUP(C219,المستفيدين!$B:$C,2,FALSE))),"")</f>
        <v/>
      </c>
      <c r="F219" s="1"/>
      <c r="G219" s="1"/>
      <c r="H219" s="1"/>
      <c r="I219" s="1"/>
    </row>
    <row r="220" spans="1:9" x14ac:dyDescent="0.2">
      <c r="A220" s="1"/>
      <c r="B220" s="1"/>
      <c r="C220" s="1"/>
      <c r="D220" t="str">
        <f>IFERROR(IF(C220="","",IF(B220="موظف",VLOOKUP(C220,الموظفين!$B:$C,2,FALSE),VLOOKUP(C220,المستفيدين!$B:$C,2,FALSE))),"")</f>
        <v/>
      </c>
      <c r="F220" s="1"/>
      <c r="G220" s="1"/>
      <c r="H220" s="1"/>
      <c r="I220" s="1"/>
    </row>
    <row r="221" spans="1:9" x14ac:dyDescent="0.2">
      <c r="A221" s="1"/>
      <c r="B221" s="1"/>
      <c r="C221" s="1"/>
      <c r="D221" t="str">
        <f>IFERROR(IF(C221="","",IF(B221="موظف",VLOOKUP(C221,الموظفين!$B:$C,2,FALSE),VLOOKUP(C221,المستفيدين!$B:$C,2,FALSE))),"")</f>
        <v/>
      </c>
      <c r="F221" s="1"/>
      <c r="G221" s="1"/>
      <c r="H221" s="1"/>
      <c r="I221" s="1"/>
    </row>
    <row r="222" spans="1:9" x14ac:dyDescent="0.2">
      <c r="A222" s="1"/>
      <c r="B222" s="1"/>
      <c r="C222" s="1"/>
      <c r="D222" t="str">
        <f>IFERROR(IF(C222="","",IF(B222="موظف",VLOOKUP(C222,الموظفين!$B:$C,2,FALSE),VLOOKUP(C222,المستفيدين!$B:$C,2,FALSE))),"")</f>
        <v/>
      </c>
      <c r="F222" s="1"/>
      <c r="G222" s="1"/>
      <c r="H222" s="1"/>
      <c r="I222" s="1"/>
    </row>
    <row r="223" spans="1:9" x14ac:dyDescent="0.2">
      <c r="A223" s="1"/>
      <c r="B223" s="1"/>
      <c r="C223" s="1"/>
      <c r="D223" t="str">
        <f>IFERROR(IF(C223="","",IF(B223="موظف",VLOOKUP(C223,الموظفين!$B:$C,2,FALSE),VLOOKUP(C223,المستفيدين!$B:$C,2,FALSE))),"")</f>
        <v/>
      </c>
      <c r="F223" s="1"/>
      <c r="G223" s="1"/>
      <c r="H223" s="1"/>
      <c r="I223" s="1"/>
    </row>
    <row r="224" spans="1:9" x14ac:dyDescent="0.2">
      <c r="A224" s="1"/>
      <c r="B224" s="1"/>
      <c r="C224" s="1"/>
      <c r="D224" t="str">
        <f>IFERROR(IF(C224="","",IF(B224="موظف",VLOOKUP(C224,الموظفين!$B:$C,2,FALSE),VLOOKUP(C224,المستفيدين!$B:$C,2,FALSE))),"")</f>
        <v/>
      </c>
      <c r="F224" s="1"/>
      <c r="G224" s="1"/>
      <c r="H224" s="1"/>
      <c r="I224" s="1"/>
    </row>
    <row r="225" spans="1:9" x14ac:dyDescent="0.2">
      <c r="A225" s="1"/>
      <c r="B225" s="1"/>
      <c r="C225" s="1"/>
      <c r="D225" t="str">
        <f>IFERROR(IF(C225="","",IF(B225="موظف",VLOOKUP(C225,الموظفين!$B:$C,2,FALSE),VLOOKUP(C225,المستفيدين!$B:$C,2,FALSE))),"")</f>
        <v/>
      </c>
      <c r="F225" s="1"/>
      <c r="G225" s="1"/>
      <c r="H225" s="1"/>
      <c r="I225" s="1"/>
    </row>
    <row r="226" spans="1:9" x14ac:dyDescent="0.2">
      <c r="A226" s="1"/>
      <c r="B226" s="1"/>
      <c r="C226" s="1"/>
      <c r="D226" t="str">
        <f>IFERROR(IF(C226="","",IF(B226="موظف",VLOOKUP(C226,الموظفين!$B:$C,2,FALSE),VLOOKUP(C226,المستفيدين!$B:$C,2,FALSE))),"")</f>
        <v/>
      </c>
      <c r="F226" s="1"/>
      <c r="G226" s="1"/>
      <c r="H226" s="1"/>
      <c r="I226" s="1"/>
    </row>
    <row r="227" spans="1:9" x14ac:dyDescent="0.2">
      <c r="A227" s="1"/>
      <c r="B227" s="1"/>
      <c r="C227" s="1"/>
      <c r="D227" t="str">
        <f>IFERROR(IF(C227="","",IF(B227="موظف",VLOOKUP(C227,الموظفين!$B:$C,2,FALSE),VLOOKUP(C227,المستفيدين!$B:$C,2,FALSE))),"")</f>
        <v/>
      </c>
      <c r="F227" s="1"/>
      <c r="G227" s="1"/>
      <c r="H227" s="1"/>
      <c r="I227" s="1"/>
    </row>
    <row r="228" spans="1:9" x14ac:dyDescent="0.2">
      <c r="A228" s="1"/>
      <c r="B228" s="1"/>
      <c r="C228" s="1"/>
      <c r="D228" t="str">
        <f>IFERROR(IF(C228="","",IF(B228="موظف",VLOOKUP(C228,الموظفين!$B:$C,2,FALSE),VLOOKUP(C228,المستفيدين!$B:$C,2,FALSE))),"")</f>
        <v/>
      </c>
      <c r="F228" s="1"/>
      <c r="G228" s="1"/>
      <c r="H228" s="1"/>
      <c r="I228" s="1"/>
    </row>
    <row r="229" spans="1:9" x14ac:dyDescent="0.2">
      <c r="A229" s="1"/>
      <c r="B229" s="1"/>
      <c r="C229" s="1"/>
      <c r="D229" t="str">
        <f>IFERROR(IF(C229="","",IF(B229="موظف",VLOOKUP(C229,الموظفين!$B:$C,2,FALSE),VLOOKUP(C229,المستفيدين!$B:$C,2,FALSE))),"")</f>
        <v/>
      </c>
      <c r="F229" s="1"/>
      <c r="G229" s="1"/>
      <c r="H229" s="1"/>
      <c r="I229" s="1"/>
    </row>
    <row r="230" spans="1:9" x14ac:dyDescent="0.2">
      <c r="A230" s="1"/>
      <c r="B230" s="1"/>
      <c r="C230" s="1"/>
      <c r="D230" t="str">
        <f>IFERROR(IF(C230="","",IF(B230="موظف",VLOOKUP(C230,الموظفين!$B:$C,2,FALSE),VLOOKUP(C230,المستفيدين!$B:$C,2,FALSE))),"")</f>
        <v/>
      </c>
      <c r="F230" s="1"/>
      <c r="G230" s="1"/>
      <c r="H230" s="1"/>
      <c r="I230" s="1"/>
    </row>
    <row r="231" spans="1:9" x14ac:dyDescent="0.2">
      <c r="A231" s="1"/>
      <c r="B231" s="1"/>
      <c r="C231" s="1"/>
      <c r="D231" t="str">
        <f>IFERROR(IF(C231="","",IF(B231="موظف",VLOOKUP(C231,الموظفين!$B:$C,2,FALSE),VLOOKUP(C231,المستفيدين!$B:$C,2,FALSE))),"")</f>
        <v/>
      </c>
      <c r="F231" s="1"/>
      <c r="G231" s="1"/>
      <c r="H231" s="1"/>
      <c r="I231" s="1"/>
    </row>
    <row r="232" spans="1:9" x14ac:dyDescent="0.2">
      <c r="A232" s="1"/>
      <c r="B232" s="1"/>
      <c r="C232" s="1"/>
      <c r="D232" t="str">
        <f>IFERROR(IF(C232="","",IF(B232="موظف",VLOOKUP(C232,الموظفين!$B:$C,2,FALSE),VLOOKUP(C232,المستفيدين!$B:$C,2,FALSE))),"")</f>
        <v/>
      </c>
      <c r="F232" s="1"/>
      <c r="G232" s="1"/>
      <c r="H232" s="1"/>
      <c r="I232" s="1"/>
    </row>
    <row r="233" spans="1:9" x14ac:dyDescent="0.2">
      <c r="A233" s="1"/>
      <c r="B233" s="1"/>
      <c r="C233" s="1"/>
      <c r="D233" t="str">
        <f>IFERROR(IF(C233="","",IF(B233="موظف",VLOOKUP(C233,الموظفين!$B:$C,2,FALSE),VLOOKUP(C233,المستفيدين!$B:$C,2,FALSE))),"")</f>
        <v/>
      </c>
      <c r="F233" s="1"/>
      <c r="G233" s="1"/>
      <c r="H233" s="1"/>
      <c r="I233" s="1"/>
    </row>
    <row r="234" spans="1:9" x14ac:dyDescent="0.2">
      <c r="A234" s="1"/>
      <c r="B234" s="1"/>
      <c r="C234" s="1"/>
      <c r="D234" t="str">
        <f>IFERROR(IF(C234="","",IF(B234="موظف",VLOOKUP(C234,الموظفين!$B:$C,2,FALSE),VLOOKUP(C234,المستفيدين!$B:$C,2,FALSE))),"")</f>
        <v/>
      </c>
      <c r="F234" s="1"/>
      <c r="G234" s="1"/>
      <c r="H234" s="1"/>
      <c r="I234" s="1"/>
    </row>
    <row r="235" spans="1:9" x14ac:dyDescent="0.2">
      <c r="A235" s="1"/>
      <c r="B235" s="1"/>
      <c r="C235" s="1"/>
      <c r="D235" t="str">
        <f>IFERROR(IF(C235="","",IF(B235="موظف",VLOOKUP(C235,الموظفين!$B:$C,2,FALSE),VLOOKUP(C235,المستفيدين!$B:$C,2,FALSE))),"")</f>
        <v/>
      </c>
      <c r="F235" s="1"/>
      <c r="G235" s="1"/>
      <c r="H235" s="1"/>
      <c r="I235" s="1"/>
    </row>
    <row r="236" spans="1:9" x14ac:dyDescent="0.2">
      <c r="A236" s="1"/>
      <c r="B236" s="1"/>
      <c r="C236" s="1"/>
      <c r="D236" t="str">
        <f>IFERROR(IF(C236="","",IF(B236="موظف",VLOOKUP(C236,الموظفين!$B:$C,2,FALSE),VLOOKUP(C236,المستفيدين!$B:$C,2,FALSE))),"")</f>
        <v/>
      </c>
      <c r="F236" s="1"/>
      <c r="G236" s="1"/>
      <c r="H236" s="1"/>
      <c r="I236" s="1"/>
    </row>
    <row r="237" spans="1:9" x14ac:dyDescent="0.2">
      <c r="A237" s="1"/>
      <c r="B237" s="1"/>
      <c r="C237" s="1"/>
      <c r="D237" t="str">
        <f>IFERROR(IF(C237="","",IF(B237="موظف",VLOOKUP(C237,الموظفين!$B:$C,2,FALSE),VLOOKUP(C237,المستفيدين!$B:$C,2,FALSE))),"")</f>
        <v/>
      </c>
      <c r="F237" s="1"/>
      <c r="G237" s="1"/>
      <c r="H237" s="1"/>
      <c r="I237" s="1"/>
    </row>
    <row r="238" spans="1:9" x14ac:dyDescent="0.2">
      <c r="A238" s="1"/>
      <c r="B238" s="1"/>
      <c r="C238" s="1"/>
      <c r="D238" t="str">
        <f>IFERROR(IF(C238="","",IF(B238="موظف",VLOOKUP(C238,الموظفين!$B:$C,2,FALSE),VLOOKUP(C238,المستفيدين!$B:$C,2,FALSE))),"")</f>
        <v/>
      </c>
      <c r="F238" s="1"/>
      <c r="G238" s="1"/>
      <c r="H238" s="1"/>
      <c r="I238" s="1"/>
    </row>
    <row r="239" spans="1:9" x14ac:dyDescent="0.2">
      <c r="A239" s="1"/>
      <c r="B239" s="1"/>
      <c r="C239" s="1"/>
      <c r="D239" t="str">
        <f>IFERROR(IF(C239="","",IF(B239="موظف",VLOOKUP(C239,الموظفين!$B:$C,2,FALSE),VLOOKUP(C239,المستفيدين!$B:$C,2,FALSE))),"")</f>
        <v/>
      </c>
      <c r="F239" s="1"/>
      <c r="G239" s="1"/>
      <c r="H239" s="1"/>
      <c r="I239" s="1"/>
    </row>
    <row r="240" spans="1:9" x14ac:dyDescent="0.2">
      <c r="A240" s="1"/>
      <c r="B240" s="1"/>
      <c r="C240" s="1"/>
      <c r="D240" t="str">
        <f>IFERROR(IF(C240="","",IF(B240="موظف",VLOOKUP(C240,الموظفين!$B:$C,2,FALSE),VLOOKUP(C240,المستفيدين!$B:$C,2,FALSE))),"")</f>
        <v/>
      </c>
      <c r="F240" s="1"/>
      <c r="G240" s="1"/>
      <c r="H240" s="1"/>
      <c r="I240" s="1"/>
    </row>
    <row r="241" spans="1:9" x14ac:dyDescent="0.2">
      <c r="A241" s="1"/>
      <c r="B241" s="1"/>
      <c r="C241" s="1"/>
      <c r="D241" t="str">
        <f>IFERROR(IF(C241="","",IF(B241="موظف",VLOOKUP(C241,الموظفين!$B:$C,2,FALSE),VLOOKUP(C241,المستفيدين!$B:$C,2,FALSE))),"")</f>
        <v/>
      </c>
      <c r="F241" s="1"/>
      <c r="G241" s="1"/>
      <c r="H241" s="1"/>
      <c r="I241" s="1"/>
    </row>
    <row r="242" spans="1:9" x14ac:dyDescent="0.2">
      <c r="A242" s="1"/>
      <c r="B242" s="1"/>
      <c r="C242" s="1"/>
      <c r="D242" t="str">
        <f>IFERROR(IF(C242="","",IF(B242="موظف",VLOOKUP(C242,الموظفين!$B:$C,2,FALSE),VLOOKUP(C242,المستفيدين!$B:$C,2,FALSE))),"")</f>
        <v/>
      </c>
      <c r="F242" s="1"/>
      <c r="G242" s="1"/>
      <c r="H242" s="1"/>
      <c r="I242" s="1"/>
    </row>
    <row r="243" spans="1:9" x14ac:dyDescent="0.2">
      <c r="A243" s="1"/>
      <c r="B243" s="1"/>
      <c r="C243" s="1"/>
      <c r="D243" t="str">
        <f>IFERROR(IF(C243="","",IF(B243="موظف",VLOOKUP(C243,الموظفين!$B:$C,2,FALSE),VLOOKUP(C243,المستفيدين!$B:$C,2,FALSE))),"")</f>
        <v/>
      </c>
      <c r="F243" s="1"/>
      <c r="G243" s="1"/>
      <c r="H243" s="1"/>
      <c r="I243" s="1"/>
    </row>
    <row r="244" spans="1:9" x14ac:dyDescent="0.2">
      <c r="A244" s="1"/>
      <c r="B244" s="1"/>
      <c r="C244" s="1"/>
      <c r="D244" t="str">
        <f>IFERROR(IF(C244="","",IF(B244="موظف",VLOOKUP(C244,الموظفين!$B:$C,2,FALSE),VLOOKUP(C244,المستفيدين!$B:$C,2,FALSE))),"")</f>
        <v/>
      </c>
      <c r="F244" s="1"/>
      <c r="G244" s="1"/>
      <c r="H244" s="1"/>
      <c r="I244" s="1"/>
    </row>
    <row r="245" spans="1:9" x14ac:dyDescent="0.2">
      <c r="A245" s="1"/>
      <c r="B245" s="1"/>
      <c r="C245" s="1"/>
      <c r="D245" t="str">
        <f>IFERROR(IF(C245="","",IF(B245="موظف",VLOOKUP(C245,الموظفين!$B:$C,2,FALSE),VLOOKUP(C245,المستفيدين!$B:$C,2,FALSE))),"")</f>
        <v/>
      </c>
      <c r="F245" s="1"/>
      <c r="G245" s="1"/>
      <c r="H245" s="1"/>
      <c r="I245" s="1"/>
    </row>
    <row r="246" spans="1:9" x14ac:dyDescent="0.2">
      <c r="A246" s="1"/>
      <c r="B246" s="1"/>
      <c r="C246" s="1"/>
      <c r="D246" t="str">
        <f>IFERROR(IF(C246="","",IF(B246="موظف",VLOOKUP(C246,الموظفين!$B:$C,2,FALSE),VLOOKUP(C246,المستفيدين!$B:$C,2,FALSE))),"")</f>
        <v/>
      </c>
      <c r="F246" s="1"/>
      <c r="G246" s="1"/>
      <c r="H246" s="1"/>
      <c r="I246" s="1"/>
    </row>
    <row r="247" spans="1:9" x14ac:dyDescent="0.2">
      <c r="A247" s="1"/>
      <c r="B247" s="1"/>
      <c r="C247" s="1"/>
      <c r="D247" t="str">
        <f>IFERROR(IF(C247="","",IF(B247="موظف",VLOOKUP(C247,الموظفين!$B:$C,2,FALSE),VLOOKUP(C247,المستفيدين!$B:$C,2,FALSE))),"")</f>
        <v/>
      </c>
      <c r="F247" s="1"/>
      <c r="G247" s="1"/>
      <c r="H247" s="1"/>
      <c r="I247" s="1"/>
    </row>
    <row r="248" spans="1:9" x14ac:dyDescent="0.2">
      <c r="A248" s="1"/>
      <c r="B248" s="1"/>
      <c r="C248" s="1"/>
      <c r="D248" t="str">
        <f>IFERROR(IF(C248="","",IF(B248="موظف",VLOOKUP(C248,الموظفين!$B:$C,2,FALSE),VLOOKUP(C248,المستفيدين!$B:$C,2,FALSE))),"")</f>
        <v/>
      </c>
      <c r="F248" s="1"/>
      <c r="G248" s="1"/>
      <c r="H248" s="1"/>
      <c r="I248" s="1"/>
    </row>
    <row r="249" spans="1:9" x14ac:dyDescent="0.2">
      <c r="A249" s="1"/>
      <c r="B249" s="1"/>
      <c r="C249" s="1"/>
      <c r="D249" t="str">
        <f>IFERROR(IF(C249="","",IF(B249="موظف",VLOOKUP(C249,الموظفين!$B:$C,2,FALSE),VLOOKUP(C249,المستفيدين!$B:$C,2,FALSE))),"")</f>
        <v/>
      </c>
      <c r="F249" s="1"/>
      <c r="G249" s="1"/>
      <c r="H249" s="1"/>
      <c r="I249" s="1"/>
    </row>
    <row r="250" spans="1:9" x14ac:dyDescent="0.2">
      <c r="A250" s="1"/>
      <c r="B250" s="1"/>
      <c r="C250" s="1"/>
      <c r="D250" t="str">
        <f>IFERROR(IF(C250="","",IF(B250="موظف",VLOOKUP(C250,الموظفين!$B:$C,2,FALSE),VLOOKUP(C250,المستفيدين!$B:$C,2,FALSE))),"")</f>
        <v/>
      </c>
      <c r="F250" s="1"/>
      <c r="G250" s="1"/>
      <c r="H250" s="1"/>
      <c r="I250" s="1"/>
    </row>
    <row r="251" spans="1:9" x14ac:dyDescent="0.2">
      <c r="A251" s="1"/>
      <c r="B251" s="1"/>
      <c r="C251" s="1"/>
      <c r="D251" t="str">
        <f>IFERROR(IF(C251="","",IF(B251="موظف",VLOOKUP(C251,الموظفين!$B:$C,2,FALSE),VLOOKUP(C251,المستفيدين!$B:$C,2,FALSE))),"")</f>
        <v/>
      </c>
      <c r="F251" s="1"/>
      <c r="G251" s="1"/>
      <c r="H251" s="1"/>
      <c r="I251" s="1"/>
    </row>
    <row r="252" spans="1:9" x14ac:dyDescent="0.2">
      <c r="A252" s="1"/>
      <c r="B252" s="1"/>
      <c r="C252" s="1"/>
      <c r="D252" t="str">
        <f>IFERROR(IF(C252="","",IF(B252="موظف",VLOOKUP(C252,الموظفين!$B:$C,2,FALSE),VLOOKUP(C252,المستفيدين!$B:$C,2,FALSE))),"")</f>
        <v/>
      </c>
      <c r="F252" s="1"/>
      <c r="G252" s="1"/>
      <c r="H252" s="1"/>
      <c r="I252" s="1"/>
    </row>
    <row r="253" spans="1:9" x14ac:dyDescent="0.2">
      <c r="A253" s="1"/>
      <c r="B253" s="1"/>
      <c r="C253" s="1"/>
      <c r="D253" t="str">
        <f>IFERROR(IF(C253="","",IF(B253="موظف",VLOOKUP(C253,الموظفين!$B:$C,2,FALSE),VLOOKUP(C253,المستفيدين!$B:$C,2,FALSE))),"")</f>
        <v/>
      </c>
      <c r="F253" s="1"/>
      <c r="G253" s="1"/>
      <c r="H253" s="1"/>
      <c r="I253" s="1"/>
    </row>
    <row r="254" spans="1:9" x14ac:dyDescent="0.2">
      <c r="A254" s="1"/>
      <c r="B254" s="1"/>
      <c r="C254" s="1"/>
      <c r="D254" t="str">
        <f>IFERROR(IF(C254="","",IF(B254="موظف",VLOOKUP(C254,الموظفين!$B:$C,2,FALSE),VLOOKUP(C254,المستفيدين!$B:$C,2,FALSE))),"")</f>
        <v/>
      </c>
      <c r="F254" s="1"/>
      <c r="G254" s="1"/>
      <c r="H254" s="1"/>
      <c r="I254" s="1"/>
    </row>
    <row r="255" spans="1:9" x14ac:dyDescent="0.2">
      <c r="A255" s="1"/>
      <c r="B255" s="1"/>
      <c r="C255" s="1"/>
      <c r="D255" t="str">
        <f>IFERROR(IF(C255="","",IF(B255="موظف",VLOOKUP(C255,الموظفين!$B:$C,2,FALSE),VLOOKUP(C255,المستفيدين!$B:$C,2,FALSE))),"")</f>
        <v/>
      </c>
      <c r="F255" s="1"/>
      <c r="G255" s="1"/>
      <c r="H255" s="1"/>
      <c r="I255" s="1"/>
    </row>
    <row r="256" spans="1:9" x14ac:dyDescent="0.2">
      <c r="A256" s="1"/>
      <c r="B256" s="1"/>
      <c r="C256" s="1"/>
      <c r="D256" t="str">
        <f>IFERROR(IF(C256="","",IF(B256="موظف",VLOOKUP(C256,الموظفين!$B:$C,2,FALSE),VLOOKUP(C256,المستفيدين!$B:$C,2,FALSE))),"")</f>
        <v/>
      </c>
      <c r="F256" s="1"/>
      <c r="G256" s="1"/>
      <c r="H256" s="1"/>
      <c r="I256" s="1"/>
    </row>
    <row r="257" spans="1:9" x14ac:dyDescent="0.2">
      <c r="A257" s="1"/>
      <c r="B257" s="1"/>
      <c r="C257" s="1"/>
      <c r="D257" t="str">
        <f>IFERROR(IF(C257="","",IF(B257="موظف",VLOOKUP(C257,الموظفين!$B:$C,2,FALSE),VLOOKUP(C257,المستفيدين!$B:$C,2,FALSE))),"")</f>
        <v/>
      </c>
      <c r="F257" s="1"/>
      <c r="G257" s="1"/>
      <c r="H257" s="1"/>
      <c r="I257" s="1"/>
    </row>
    <row r="258" spans="1:9" x14ac:dyDescent="0.2">
      <c r="A258" s="1"/>
      <c r="B258" s="1"/>
      <c r="C258" s="1"/>
      <c r="D258" t="str">
        <f>IFERROR(IF(C258="","",IF(B258="موظف",VLOOKUP(C258,الموظفين!$B:$C,2,FALSE),VLOOKUP(C258,المستفيدين!$B:$C,2,FALSE))),"")</f>
        <v/>
      </c>
      <c r="F258" s="1"/>
      <c r="G258" s="1"/>
      <c r="H258" s="1"/>
      <c r="I258" s="1"/>
    </row>
    <row r="259" spans="1:9" x14ac:dyDescent="0.2">
      <c r="A259" s="1"/>
      <c r="B259" s="1"/>
      <c r="C259" s="1"/>
      <c r="D259" t="str">
        <f>IFERROR(IF(C259="","",IF(B259="موظف",VLOOKUP(C259,الموظفين!$B:$C,2,FALSE),VLOOKUP(C259,المستفيدين!$B:$C,2,FALSE))),"")</f>
        <v/>
      </c>
      <c r="F259" s="1"/>
      <c r="G259" s="1"/>
      <c r="H259" s="1"/>
      <c r="I259" s="1"/>
    </row>
    <row r="260" spans="1:9" x14ac:dyDescent="0.2">
      <c r="A260" s="1"/>
      <c r="B260" s="1"/>
      <c r="C260" s="1"/>
      <c r="D260" t="str">
        <f>IFERROR(IF(C260="","",IF(B260="موظف",VLOOKUP(C260,الموظفين!$B:$C,2,FALSE),VLOOKUP(C260,المستفيدين!$B:$C,2,FALSE))),"")</f>
        <v/>
      </c>
      <c r="F260" s="1"/>
      <c r="G260" s="1"/>
      <c r="H260" s="1"/>
      <c r="I260" s="1"/>
    </row>
    <row r="261" spans="1:9" x14ac:dyDescent="0.2">
      <c r="A261" s="1"/>
      <c r="B261" s="1"/>
      <c r="C261" s="1"/>
      <c r="D261" t="str">
        <f>IFERROR(IF(C261="","",IF(B261="موظف",VLOOKUP(C261,الموظفين!$B:$C,2,FALSE),VLOOKUP(C261,المستفيدين!$B:$C,2,FALSE))),"")</f>
        <v/>
      </c>
      <c r="F261" s="1"/>
      <c r="G261" s="1"/>
      <c r="H261" s="1"/>
      <c r="I261" s="1"/>
    </row>
    <row r="262" spans="1:9" x14ac:dyDescent="0.2">
      <c r="A262" s="1"/>
      <c r="B262" s="1"/>
      <c r="C262" s="1"/>
      <c r="D262" t="str">
        <f>IFERROR(IF(C262="","",IF(B262="موظف",VLOOKUP(C262,الموظفين!$B:$C,2,FALSE),VLOOKUP(C262,المستفيدين!$B:$C,2,FALSE))),"")</f>
        <v/>
      </c>
      <c r="F262" s="1"/>
      <c r="G262" s="1"/>
      <c r="H262" s="1"/>
      <c r="I262" s="1"/>
    </row>
    <row r="263" spans="1:9" x14ac:dyDescent="0.2">
      <c r="A263" s="1"/>
      <c r="B263" s="1"/>
      <c r="C263" s="1"/>
      <c r="D263" t="str">
        <f>IFERROR(IF(C263="","",IF(B263="موظف",VLOOKUP(C263,الموظفين!$B:$C,2,FALSE),VLOOKUP(C263,المستفيدين!$B:$C,2,FALSE))),"")</f>
        <v/>
      </c>
      <c r="F263" s="1"/>
      <c r="G263" s="1"/>
      <c r="H263" s="1"/>
      <c r="I263" s="1"/>
    </row>
    <row r="264" spans="1:9" x14ac:dyDescent="0.2">
      <c r="A264" s="1"/>
      <c r="B264" s="1"/>
      <c r="C264" s="1"/>
      <c r="D264" t="str">
        <f>IFERROR(IF(C264="","",IF(B264="موظف",VLOOKUP(C264,الموظفين!$B:$C,2,FALSE),VLOOKUP(C264,المستفيدين!$B:$C,2,FALSE))),"")</f>
        <v/>
      </c>
      <c r="F264" s="1"/>
      <c r="G264" s="1"/>
      <c r="H264" s="1"/>
      <c r="I264" s="1"/>
    </row>
    <row r="265" spans="1:9" x14ac:dyDescent="0.2">
      <c r="A265" s="1"/>
      <c r="B265" s="1"/>
      <c r="C265" s="1"/>
      <c r="D265" t="str">
        <f>IFERROR(IF(C265="","",IF(B265="موظف",VLOOKUP(C265,الموظفين!$B:$C,2,FALSE),VLOOKUP(C265,المستفيدين!$B:$C,2,FALSE))),"")</f>
        <v/>
      </c>
      <c r="F265" s="1"/>
      <c r="G265" s="1"/>
      <c r="H265" s="1"/>
      <c r="I265" s="1"/>
    </row>
    <row r="266" spans="1:9" x14ac:dyDescent="0.2">
      <c r="A266" s="1"/>
      <c r="B266" s="1"/>
      <c r="C266" s="1"/>
      <c r="D266" t="str">
        <f>IFERROR(IF(C266="","",IF(B266="موظف",VLOOKUP(C266,الموظفين!$B:$C,2,FALSE),VLOOKUP(C266,المستفيدين!$B:$C,2,FALSE))),"")</f>
        <v/>
      </c>
      <c r="F266" s="1"/>
      <c r="G266" s="1"/>
      <c r="H266" s="1"/>
      <c r="I266" s="1"/>
    </row>
    <row r="267" spans="1:9" x14ac:dyDescent="0.2">
      <c r="A267" s="1"/>
      <c r="B267" s="1"/>
      <c r="C267" s="1"/>
      <c r="D267" t="str">
        <f>IFERROR(IF(C267="","",IF(B267="موظف",VLOOKUP(C267,الموظفين!$B:$C,2,FALSE),VLOOKUP(C267,المستفيدين!$B:$C,2,FALSE))),"")</f>
        <v/>
      </c>
      <c r="F267" s="1"/>
      <c r="G267" s="1"/>
      <c r="H267" s="1"/>
      <c r="I267" s="1"/>
    </row>
    <row r="268" spans="1:9" x14ac:dyDescent="0.2">
      <c r="A268" s="1"/>
      <c r="B268" s="1"/>
      <c r="C268" s="1"/>
      <c r="D268" t="str">
        <f>IFERROR(IF(C268="","",IF(B268="موظف",VLOOKUP(C268,الموظفين!$B:$C,2,FALSE),VLOOKUP(C268,المستفيدين!$B:$C,2,FALSE))),"")</f>
        <v/>
      </c>
      <c r="F268" s="1"/>
      <c r="G268" s="1"/>
      <c r="H268" s="1"/>
      <c r="I268" s="1"/>
    </row>
    <row r="269" spans="1:9" x14ac:dyDescent="0.2">
      <c r="A269" s="1"/>
      <c r="B269" s="1"/>
      <c r="C269" s="1"/>
      <c r="D269" t="str">
        <f>IFERROR(IF(C269="","",IF(B269="موظف",VLOOKUP(C269,الموظفين!$B:$C,2,FALSE),VLOOKUP(C269,المستفيدين!$B:$C,2,FALSE))),"")</f>
        <v/>
      </c>
      <c r="F269" s="1"/>
      <c r="G269" s="1"/>
      <c r="H269" s="1"/>
      <c r="I269" s="1"/>
    </row>
    <row r="270" spans="1:9" x14ac:dyDescent="0.2">
      <c r="A270" s="1"/>
      <c r="B270" s="1"/>
      <c r="C270" s="1"/>
      <c r="D270" t="str">
        <f>IFERROR(IF(C270="","",IF(B270="موظف",VLOOKUP(C270,الموظفين!$B:$C,2,FALSE),VLOOKUP(C270,المستفيدين!$B:$C,2,FALSE))),"")</f>
        <v/>
      </c>
      <c r="F270" s="1"/>
      <c r="G270" s="1"/>
      <c r="H270" s="1"/>
      <c r="I270" s="1"/>
    </row>
    <row r="271" spans="1:9" x14ac:dyDescent="0.2">
      <c r="A271" s="1"/>
      <c r="B271" s="1"/>
      <c r="C271" s="1"/>
      <c r="D271" t="str">
        <f>IFERROR(IF(C271="","",IF(B271="موظف",VLOOKUP(C271,الموظفين!$B:$C,2,FALSE),VLOOKUP(C271,المستفيدين!$B:$C,2,FALSE))),"")</f>
        <v/>
      </c>
      <c r="F271" s="1"/>
      <c r="G271" s="1"/>
      <c r="H271" s="1"/>
      <c r="I271" s="1"/>
    </row>
    <row r="272" spans="1:9" x14ac:dyDescent="0.2">
      <c r="A272" s="1"/>
      <c r="B272" s="1"/>
      <c r="C272" s="1"/>
      <c r="D272" t="str">
        <f>IFERROR(IF(C272="","",IF(B272="موظف",VLOOKUP(C272,الموظفين!$B:$C,2,FALSE),VLOOKUP(C272,المستفيدين!$B:$C,2,FALSE))),"")</f>
        <v/>
      </c>
      <c r="F272" s="1"/>
      <c r="G272" s="1"/>
      <c r="H272" s="1"/>
      <c r="I272" s="1"/>
    </row>
    <row r="273" spans="1:9" x14ac:dyDescent="0.2">
      <c r="A273" s="1"/>
      <c r="B273" s="1"/>
      <c r="C273" s="1"/>
      <c r="D273" t="str">
        <f>IFERROR(IF(C273="","",IF(B273="موظف",VLOOKUP(C273,الموظفين!$B:$C,2,FALSE),VLOOKUP(C273,المستفيدين!$B:$C,2,FALSE))),"")</f>
        <v/>
      </c>
      <c r="F273" s="1"/>
      <c r="G273" s="1"/>
      <c r="H273" s="1"/>
      <c r="I273" s="1"/>
    </row>
    <row r="274" spans="1:9" x14ac:dyDescent="0.2">
      <c r="A274" s="1"/>
      <c r="B274" s="1"/>
      <c r="C274" s="1"/>
      <c r="D274" t="str">
        <f>IFERROR(IF(C274="","",IF(B274="موظف",VLOOKUP(C274,الموظفين!$B:$C,2,FALSE),VLOOKUP(C274,المستفيدين!$B:$C,2,FALSE))),"")</f>
        <v/>
      </c>
      <c r="F274" s="1"/>
      <c r="G274" s="1"/>
      <c r="H274" s="1"/>
      <c r="I274" s="1"/>
    </row>
    <row r="275" spans="1:9" x14ac:dyDescent="0.2">
      <c r="A275" s="1"/>
      <c r="B275" s="1"/>
      <c r="C275" s="1"/>
      <c r="D275" t="str">
        <f>IFERROR(IF(C275="","",IF(B275="موظف",VLOOKUP(C275,الموظفين!$B:$C,2,FALSE),VLOOKUP(C275,المستفيدين!$B:$C,2,FALSE))),"")</f>
        <v/>
      </c>
      <c r="F275" s="1"/>
      <c r="G275" s="1"/>
      <c r="H275" s="1"/>
      <c r="I275" s="1"/>
    </row>
    <row r="276" spans="1:9" x14ac:dyDescent="0.2">
      <c r="A276" s="1"/>
      <c r="B276" s="1"/>
      <c r="C276" s="1"/>
      <c r="D276" t="str">
        <f>IFERROR(IF(C276="","",IF(B276="موظف",VLOOKUP(C276,الموظفين!$B:$C,2,FALSE),VLOOKUP(C276,المستفيدين!$B:$C,2,FALSE))),"")</f>
        <v/>
      </c>
      <c r="F276" s="1"/>
      <c r="G276" s="1"/>
      <c r="H276" s="1"/>
      <c r="I276" s="1"/>
    </row>
    <row r="277" spans="1:9" x14ac:dyDescent="0.2">
      <c r="A277" s="1"/>
      <c r="B277" s="1"/>
      <c r="C277" s="1"/>
      <c r="D277" t="str">
        <f>IFERROR(IF(C277="","",IF(B277="موظف",VLOOKUP(C277,الموظفين!$B:$C,2,FALSE),VLOOKUP(C277,المستفيدين!$B:$C,2,FALSE))),"")</f>
        <v/>
      </c>
      <c r="F277" s="1"/>
      <c r="G277" s="1"/>
      <c r="H277" s="1"/>
      <c r="I277" s="1"/>
    </row>
    <row r="278" spans="1:9" x14ac:dyDescent="0.2">
      <c r="A278" s="1"/>
      <c r="B278" s="1"/>
      <c r="C278" s="1"/>
      <c r="D278" t="str">
        <f>IFERROR(IF(C278="","",IF(B278="موظف",VLOOKUP(C278,الموظفين!$B:$C,2,FALSE),VLOOKUP(C278,المستفيدين!$B:$C,2,FALSE))),"")</f>
        <v/>
      </c>
      <c r="F278" s="1"/>
      <c r="G278" s="1"/>
      <c r="H278" s="1"/>
      <c r="I278" s="1"/>
    </row>
    <row r="279" spans="1:9" x14ac:dyDescent="0.2">
      <c r="A279" s="1"/>
      <c r="B279" s="1"/>
      <c r="C279" s="1"/>
      <c r="D279" t="str">
        <f>IFERROR(IF(C279="","",IF(B279="موظف",VLOOKUP(C279,الموظفين!$B:$C,2,FALSE),VLOOKUP(C279,المستفيدين!$B:$C,2,FALSE))),"")</f>
        <v/>
      </c>
      <c r="F279" s="1"/>
      <c r="G279" s="1"/>
      <c r="H279" s="1"/>
      <c r="I279" s="1"/>
    </row>
    <row r="280" spans="1:9" x14ac:dyDescent="0.2">
      <c r="A280" s="1"/>
      <c r="B280" s="1"/>
      <c r="C280" s="1"/>
      <c r="D280" t="str">
        <f>IFERROR(IF(C280="","",IF(B280="موظف",VLOOKUP(C280,الموظفين!$B:$C,2,FALSE),VLOOKUP(C280,المستفيدين!$B:$C,2,FALSE))),"")</f>
        <v/>
      </c>
      <c r="F280" s="1"/>
      <c r="G280" s="1"/>
      <c r="H280" s="1"/>
      <c r="I280" s="1"/>
    </row>
    <row r="281" spans="1:9" x14ac:dyDescent="0.2">
      <c r="A281" s="1"/>
      <c r="B281" s="1"/>
      <c r="C281" s="1"/>
      <c r="D281" t="str">
        <f>IFERROR(IF(C281="","",IF(B281="موظف",VLOOKUP(C281,الموظفين!$B:$C,2,FALSE),VLOOKUP(C281,المستفيدين!$B:$C,2,FALSE))),"")</f>
        <v/>
      </c>
      <c r="F281" s="1"/>
      <c r="G281" s="1"/>
      <c r="H281" s="1"/>
      <c r="I281" s="1"/>
    </row>
    <row r="282" spans="1:9" x14ac:dyDescent="0.2">
      <c r="A282" s="1"/>
      <c r="B282" s="1"/>
      <c r="C282" s="1"/>
      <c r="D282" t="str">
        <f>IFERROR(IF(C282="","",IF(B282="موظف",VLOOKUP(C282,الموظفين!$B:$C,2,FALSE),VLOOKUP(C282,المستفيدين!$B:$C,2,FALSE))),"")</f>
        <v/>
      </c>
      <c r="F282" s="1"/>
      <c r="G282" s="1"/>
      <c r="H282" s="1"/>
      <c r="I282" s="1"/>
    </row>
    <row r="283" spans="1:9" x14ac:dyDescent="0.2">
      <c r="A283" s="1"/>
      <c r="B283" s="1"/>
      <c r="C283" s="1"/>
      <c r="D283" t="str">
        <f>IFERROR(IF(C283="","",IF(B283="موظف",VLOOKUP(C283,الموظفين!$B:$C,2,FALSE),VLOOKUP(C283,المستفيدين!$B:$C,2,FALSE))),"")</f>
        <v/>
      </c>
      <c r="F283" s="1"/>
      <c r="G283" s="1"/>
      <c r="H283" s="1"/>
      <c r="I283" s="1"/>
    </row>
    <row r="284" spans="1:9" x14ac:dyDescent="0.2">
      <c r="A284" s="1"/>
      <c r="B284" s="1"/>
      <c r="C284" s="1"/>
      <c r="D284" t="str">
        <f>IFERROR(IF(C284="","",IF(B284="موظف",VLOOKUP(C284,الموظفين!$B:$C,2,FALSE),VLOOKUP(C284,المستفيدين!$B:$C,2,FALSE))),"")</f>
        <v/>
      </c>
      <c r="F284" s="1"/>
      <c r="G284" s="1"/>
      <c r="H284" s="1"/>
      <c r="I284" s="1"/>
    </row>
    <row r="285" spans="1:9" x14ac:dyDescent="0.2">
      <c r="A285" s="1"/>
      <c r="B285" s="1"/>
      <c r="C285" s="1"/>
      <c r="D285" t="str">
        <f>IFERROR(IF(C285="","",IF(B285="موظف",VLOOKUP(C285,الموظفين!$B:$C,2,FALSE),VLOOKUP(C285,المستفيدين!$B:$C,2,FALSE))),"")</f>
        <v/>
      </c>
      <c r="F285" s="1"/>
      <c r="G285" s="1"/>
      <c r="H285" s="1"/>
      <c r="I285" s="1"/>
    </row>
    <row r="286" spans="1:9" x14ac:dyDescent="0.2">
      <c r="A286" s="1"/>
      <c r="B286" s="1"/>
      <c r="C286" s="1"/>
      <c r="D286" t="str">
        <f>IFERROR(IF(C286="","",IF(B286="موظف",VLOOKUP(C286,الموظفين!$B:$C,2,FALSE),VLOOKUP(C286,المستفيدين!$B:$C,2,FALSE))),"")</f>
        <v/>
      </c>
      <c r="F286" s="1"/>
      <c r="G286" s="1"/>
      <c r="H286" s="1"/>
      <c r="I286" s="1"/>
    </row>
    <row r="287" spans="1:9" x14ac:dyDescent="0.2">
      <c r="A287" s="1"/>
      <c r="B287" s="1"/>
      <c r="C287" s="1"/>
      <c r="D287" t="str">
        <f>IFERROR(IF(C287="","",IF(B287="موظف",VLOOKUP(C287,الموظفين!$B:$C,2,FALSE),VLOOKUP(C287,المستفيدين!$B:$C,2,FALSE))),"")</f>
        <v/>
      </c>
      <c r="F287" s="1"/>
      <c r="G287" s="1"/>
      <c r="H287" s="1"/>
      <c r="I287" s="1"/>
    </row>
    <row r="288" spans="1:9" x14ac:dyDescent="0.2">
      <c r="A288" s="1"/>
      <c r="B288" s="1"/>
      <c r="C288" s="1"/>
      <c r="D288" t="str">
        <f>IFERROR(IF(C288="","",IF(B288="موظف",VLOOKUP(C288,الموظفين!$B:$C,2,FALSE),VLOOKUP(C288,المستفيدين!$B:$C,2,FALSE))),"")</f>
        <v/>
      </c>
      <c r="F288" s="1"/>
      <c r="G288" s="1"/>
      <c r="H288" s="1"/>
      <c r="I288" s="1"/>
    </row>
    <row r="289" spans="1:9" x14ac:dyDescent="0.2">
      <c r="A289" s="1"/>
      <c r="B289" s="1"/>
      <c r="C289" s="1"/>
      <c r="D289" t="str">
        <f>IFERROR(IF(C289="","",IF(B289="موظف",VLOOKUP(C289,الموظفين!$B:$C,2,FALSE),VLOOKUP(C289,المستفيدين!$B:$C,2,FALSE))),"")</f>
        <v/>
      </c>
      <c r="F289" s="1"/>
      <c r="G289" s="1"/>
      <c r="H289" s="1"/>
      <c r="I289" s="1"/>
    </row>
    <row r="290" spans="1:9" x14ac:dyDescent="0.2">
      <c r="A290" s="1"/>
      <c r="B290" s="1"/>
      <c r="C290" s="1"/>
      <c r="D290" t="str">
        <f>IFERROR(IF(C290="","",IF(B290="موظف",VLOOKUP(C290,الموظفين!$B:$C,2,FALSE),VLOOKUP(C290,المستفيدين!$B:$C,2,FALSE))),"")</f>
        <v/>
      </c>
      <c r="F290" s="1"/>
      <c r="G290" s="1"/>
      <c r="H290" s="1"/>
      <c r="I290" s="1"/>
    </row>
    <row r="291" spans="1:9" x14ac:dyDescent="0.2">
      <c r="A291" s="1"/>
      <c r="B291" s="1"/>
      <c r="C291" s="1"/>
      <c r="D291" t="str">
        <f>IFERROR(IF(C291="","",IF(B291="موظف",VLOOKUP(C291,الموظفين!$B:$C,2,FALSE),VLOOKUP(C291,المستفيدين!$B:$C,2,FALSE))),"")</f>
        <v/>
      </c>
      <c r="F291" s="1"/>
      <c r="G291" s="1"/>
      <c r="H291" s="1"/>
      <c r="I291" s="1"/>
    </row>
    <row r="292" spans="1:9" x14ac:dyDescent="0.2">
      <c r="A292" s="1"/>
      <c r="B292" s="1"/>
      <c r="C292" s="1"/>
      <c r="D292" t="str">
        <f>IFERROR(IF(C292="","",IF(B292="موظف",VLOOKUP(C292,الموظفين!$B:$C,2,FALSE),VLOOKUP(C292,المستفيدين!$B:$C,2,FALSE))),"")</f>
        <v/>
      </c>
      <c r="F292" s="1"/>
      <c r="G292" s="1"/>
      <c r="H292" s="1"/>
      <c r="I292" s="1"/>
    </row>
    <row r="293" spans="1:9" x14ac:dyDescent="0.2">
      <c r="A293" s="1"/>
      <c r="B293" s="1"/>
      <c r="C293" s="1"/>
      <c r="D293" t="str">
        <f>IFERROR(IF(C293="","",IF(B293="موظف",VLOOKUP(C293,الموظفين!$B:$C,2,FALSE),VLOOKUP(C293,المستفيدين!$B:$C,2,FALSE))),"")</f>
        <v/>
      </c>
      <c r="F293" s="1"/>
      <c r="G293" s="1"/>
      <c r="H293" s="1"/>
      <c r="I293" s="1"/>
    </row>
    <row r="294" spans="1:9" x14ac:dyDescent="0.2">
      <c r="A294" s="1"/>
      <c r="B294" s="1"/>
      <c r="C294" s="1"/>
      <c r="D294" t="str">
        <f>IFERROR(IF(C294="","",IF(B294="موظف",VLOOKUP(C294,الموظفين!$B:$C,2,FALSE),VLOOKUP(C294,المستفيدين!$B:$C,2,FALSE))),"")</f>
        <v/>
      </c>
      <c r="F294" s="1"/>
      <c r="G294" s="1"/>
      <c r="H294" s="1"/>
      <c r="I294" s="1"/>
    </row>
    <row r="295" spans="1:9" x14ac:dyDescent="0.2">
      <c r="A295" s="1"/>
      <c r="B295" s="1"/>
      <c r="C295" s="1"/>
      <c r="D295" t="str">
        <f>IFERROR(IF(C295="","",IF(B295="موظف",VLOOKUP(C295,الموظفين!$B:$C,2,FALSE),VLOOKUP(C295,المستفيدين!$B:$C,2,FALSE))),"")</f>
        <v/>
      </c>
      <c r="F295" s="1"/>
      <c r="G295" s="1"/>
      <c r="H295" s="1"/>
      <c r="I295" s="1"/>
    </row>
    <row r="296" spans="1:9" x14ac:dyDescent="0.2">
      <c r="A296" s="1"/>
      <c r="B296" s="1"/>
      <c r="C296" s="1"/>
      <c r="D296" t="str">
        <f>IFERROR(IF(C296="","",IF(B296="موظف",VLOOKUP(C296,الموظفين!$B:$C,2,FALSE),VLOOKUP(C296,المستفيدين!$B:$C,2,FALSE))),"")</f>
        <v/>
      </c>
      <c r="F296" s="1"/>
      <c r="G296" s="1"/>
      <c r="H296" s="1"/>
      <c r="I296" s="1"/>
    </row>
    <row r="297" spans="1:9" x14ac:dyDescent="0.2">
      <c r="A297" s="1"/>
      <c r="B297" s="1"/>
      <c r="C297" s="1"/>
      <c r="D297" t="str">
        <f>IFERROR(IF(C297="","",IF(B297="موظف",VLOOKUP(C297,الموظفين!$B:$C,2,FALSE),VLOOKUP(C297,المستفيدين!$B:$C,2,FALSE))),"")</f>
        <v/>
      </c>
      <c r="F297" s="1"/>
      <c r="G297" s="1"/>
      <c r="H297" s="1"/>
      <c r="I297" s="1"/>
    </row>
    <row r="298" spans="1:9" x14ac:dyDescent="0.2">
      <c r="A298" s="1"/>
      <c r="B298" s="1"/>
      <c r="C298" s="1"/>
      <c r="D298" t="str">
        <f>IFERROR(IF(C298="","",IF(B298="موظف",VLOOKUP(C298,الموظفين!$B:$C,2,FALSE),VLOOKUP(C298,المستفيدين!$B:$C,2,FALSE))),"")</f>
        <v/>
      </c>
      <c r="F298" s="1"/>
      <c r="G298" s="1"/>
      <c r="H298" s="1"/>
      <c r="I298" s="1"/>
    </row>
    <row r="299" spans="1:9" x14ac:dyDescent="0.2">
      <c r="A299" s="1"/>
      <c r="B299" s="1"/>
      <c r="C299" s="1"/>
      <c r="D299" t="str">
        <f>IFERROR(IF(C299="","",IF(B299="موظف",VLOOKUP(C299,الموظفين!$B:$C,2,FALSE),VLOOKUP(C299,المستفيدين!$B:$C,2,FALSE))),"")</f>
        <v/>
      </c>
      <c r="F299" s="1"/>
      <c r="G299" s="1"/>
      <c r="H299" s="1"/>
      <c r="I299" s="1"/>
    </row>
    <row r="300" spans="1:9" x14ac:dyDescent="0.2">
      <c r="A300" s="1"/>
      <c r="B300" s="1"/>
      <c r="C300" s="1"/>
      <c r="D300" t="str">
        <f>IFERROR(IF(C300="","",IF(B300="موظف",VLOOKUP(C300,الموظفين!$B:$C,2,FALSE),VLOOKUP(C300,المستفيدين!$B:$C,2,FALSE))),"")</f>
        <v/>
      </c>
      <c r="F300" s="1"/>
      <c r="G300" s="1"/>
      <c r="H300" s="1"/>
      <c r="I300" s="1"/>
    </row>
    <row r="301" spans="1:9" x14ac:dyDescent="0.2">
      <c r="A301" s="1"/>
      <c r="B301" s="1"/>
      <c r="C301" s="1"/>
      <c r="D301" t="str">
        <f>IFERROR(IF(C301="","",IF(B301="موظف",VLOOKUP(C301,الموظفين!$B:$C,2,FALSE),VLOOKUP(C301,المستفيدين!$B:$C,2,FALSE))),"")</f>
        <v/>
      </c>
      <c r="F301" s="1"/>
      <c r="G301" s="1"/>
      <c r="H301" s="1"/>
      <c r="I301" s="1"/>
    </row>
    <row r="302" spans="1:9" x14ac:dyDescent="0.2">
      <c r="A302" s="1"/>
      <c r="B302" s="1"/>
      <c r="C302" s="1"/>
      <c r="D302" t="str">
        <f>IFERROR(IF(C302="","",IF(B302="موظف",VLOOKUP(C302,الموظفين!$B:$C,2,FALSE),VLOOKUP(C302,المستفيدين!$B:$C,2,FALSE))),"")</f>
        <v/>
      </c>
      <c r="F302" s="1"/>
      <c r="G302" s="1"/>
      <c r="H302" s="1"/>
      <c r="I302" s="1"/>
    </row>
    <row r="303" spans="1:9" x14ac:dyDescent="0.2">
      <c r="A303" s="1"/>
      <c r="B303" s="1"/>
      <c r="C303" s="1"/>
      <c r="D303" t="str">
        <f>IFERROR(IF(C303="","",IF(B303="موظف",VLOOKUP(C303,الموظفين!$B:$C,2,FALSE),VLOOKUP(C303,المستفيدين!$B:$C,2,FALSE))),"")</f>
        <v/>
      </c>
      <c r="F303" s="1"/>
      <c r="G303" s="1"/>
      <c r="H303" s="1"/>
      <c r="I303" s="1"/>
    </row>
    <row r="304" spans="1:9" x14ac:dyDescent="0.2">
      <c r="A304" s="1"/>
      <c r="B304" s="1"/>
      <c r="C304" s="1"/>
      <c r="D304" t="str">
        <f>IFERROR(IF(C304="","",IF(B304="موظف",VLOOKUP(C304,الموظفين!$B:$C,2,FALSE),VLOOKUP(C304,المستفيدين!$B:$C,2,FALSE))),"")</f>
        <v/>
      </c>
      <c r="F304" s="1"/>
      <c r="G304" s="1"/>
      <c r="H304" s="1"/>
      <c r="I304" s="1"/>
    </row>
    <row r="305" spans="1:9" x14ac:dyDescent="0.2">
      <c r="A305" s="1"/>
      <c r="B305" s="1"/>
      <c r="C305" s="1"/>
      <c r="D305" t="str">
        <f>IFERROR(IF(C305="","",IF(B305="موظف",VLOOKUP(C305,الموظفين!$B:$C,2,FALSE),VLOOKUP(C305,المستفيدين!$B:$C,2,FALSE))),"")</f>
        <v/>
      </c>
      <c r="F305" s="1"/>
      <c r="G305" s="1"/>
      <c r="H305" s="1"/>
      <c r="I305" s="1"/>
    </row>
    <row r="306" spans="1:9" x14ac:dyDescent="0.2">
      <c r="A306" s="1"/>
      <c r="B306" s="1"/>
      <c r="C306" s="1"/>
      <c r="D306" t="str">
        <f>IFERROR(IF(C306="","",IF(B306="موظف",VLOOKUP(C306,الموظفين!$B:$C,2,FALSE),VLOOKUP(C306,المستفيدين!$B:$C,2,FALSE))),"")</f>
        <v/>
      </c>
      <c r="F306" s="1"/>
      <c r="G306" s="1"/>
      <c r="H306" s="1"/>
      <c r="I306" s="1"/>
    </row>
    <row r="307" spans="1:9" x14ac:dyDescent="0.2">
      <c r="A307" s="1"/>
      <c r="B307" s="1"/>
      <c r="C307" s="1"/>
      <c r="D307" t="str">
        <f>IFERROR(IF(C307="","",IF(B307="موظف",VLOOKUP(C307,الموظفين!$B:$C,2,FALSE),VLOOKUP(C307,المستفيدين!$B:$C,2,FALSE))),"")</f>
        <v/>
      </c>
      <c r="F307" s="1"/>
      <c r="G307" s="1"/>
      <c r="H307" s="1"/>
      <c r="I307" s="1"/>
    </row>
    <row r="308" spans="1:9" x14ac:dyDescent="0.2">
      <c r="A308" s="1"/>
      <c r="B308" s="1"/>
      <c r="C308" s="1"/>
      <c r="D308" t="str">
        <f>IFERROR(IF(C308="","",IF(B308="موظف",VLOOKUP(C308,الموظفين!$B:$C,2,FALSE),VLOOKUP(C308,المستفيدين!$B:$C,2,FALSE))),"")</f>
        <v/>
      </c>
      <c r="F308" s="1"/>
      <c r="G308" s="1"/>
      <c r="H308" s="1"/>
      <c r="I308" s="1"/>
    </row>
    <row r="309" spans="1:9" x14ac:dyDescent="0.2">
      <c r="A309" s="1"/>
      <c r="B309" s="1"/>
      <c r="C309" s="1"/>
      <c r="D309" t="str">
        <f>IFERROR(IF(C309="","",IF(B309="موظف",VLOOKUP(C309,الموظفين!$B:$C,2,FALSE),VLOOKUP(C309,المستفيدين!$B:$C,2,FALSE))),"")</f>
        <v/>
      </c>
      <c r="F309" s="1"/>
      <c r="G309" s="1"/>
      <c r="H309" s="1"/>
      <c r="I309" s="1"/>
    </row>
    <row r="310" spans="1:9" x14ac:dyDescent="0.2">
      <c r="A310" s="1"/>
      <c r="B310" s="1"/>
      <c r="C310" s="1"/>
      <c r="D310" t="str">
        <f>IFERROR(IF(C310="","",IF(B310="موظف",VLOOKUP(C310,الموظفين!$B:$C,2,FALSE),VLOOKUP(C310,المستفيدين!$B:$C,2,FALSE))),"")</f>
        <v/>
      </c>
      <c r="F310" s="1"/>
      <c r="G310" s="1"/>
      <c r="H310" s="1"/>
      <c r="I310" s="1"/>
    </row>
    <row r="311" spans="1:9" x14ac:dyDescent="0.2">
      <c r="A311" s="1"/>
      <c r="B311" s="1"/>
      <c r="C311" s="1"/>
      <c r="D311" t="str">
        <f>IFERROR(IF(C311="","",IF(B311="موظف",VLOOKUP(C311,الموظفين!$B:$C,2,FALSE),VLOOKUP(C311,المستفيدين!$B:$C,2,FALSE))),"")</f>
        <v/>
      </c>
      <c r="F311" s="1"/>
      <c r="G311" s="1"/>
      <c r="H311" s="1"/>
      <c r="I311" s="1"/>
    </row>
    <row r="312" spans="1:9" x14ac:dyDescent="0.2">
      <c r="A312" s="1"/>
      <c r="B312" s="1"/>
      <c r="C312" s="1"/>
      <c r="D312" t="str">
        <f>IFERROR(IF(C312="","",IF(B312="موظف",VLOOKUP(C312,الموظفين!$B:$C,2,FALSE),VLOOKUP(C312,المستفيدين!$B:$C,2,FALSE))),"")</f>
        <v/>
      </c>
      <c r="F312" s="1"/>
      <c r="G312" s="1"/>
      <c r="H312" s="1"/>
      <c r="I312" s="1"/>
    </row>
    <row r="313" spans="1:9" x14ac:dyDescent="0.2">
      <c r="A313" s="1"/>
      <c r="B313" s="1"/>
      <c r="C313" s="1"/>
      <c r="D313" t="str">
        <f>IFERROR(IF(C313="","",IF(B313="موظف",VLOOKUP(C313,الموظفين!$B:$C,2,FALSE),VLOOKUP(C313,المستفيدين!$B:$C,2,FALSE))),"")</f>
        <v/>
      </c>
      <c r="F313" s="1"/>
      <c r="G313" s="1"/>
      <c r="H313" s="1"/>
      <c r="I313" s="1"/>
    </row>
    <row r="314" spans="1:9" x14ac:dyDescent="0.2">
      <c r="A314" s="1"/>
      <c r="B314" s="1"/>
      <c r="C314" s="1"/>
      <c r="D314" t="str">
        <f>IFERROR(IF(C314="","",IF(B314="موظف",VLOOKUP(C314,الموظفين!$B:$C,2,FALSE),VLOOKUP(C314,المستفيدين!$B:$C,2,FALSE))),"")</f>
        <v/>
      </c>
      <c r="F314" s="1"/>
      <c r="G314" s="1"/>
      <c r="H314" s="1"/>
      <c r="I314" s="1"/>
    </row>
    <row r="315" spans="1:9" x14ac:dyDescent="0.2">
      <c r="A315" s="1"/>
      <c r="B315" s="1"/>
      <c r="C315" s="1"/>
      <c r="D315" t="str">
        <f>IFERROR(IF(C315="","",IF(B315="موظف",VLOOKUP(C315,الموظفين!$B:$C,2,FALSE),VLOOKUP(C315,المستفيدين!$B:$C,2,FALSE))),"")</f>
        <v/>
      </c>
      <c r="F315" s="1"/>
      <c r="G315" s="1"/>
      <c r="H315" s="1"/>
      <c r="I315" s="1"/>
    </row>
    <row r="316" spans="1:9" x14ac:dyDescent="0.2">
      <c r="A316" s="1"/>
      <c r="B316" s="1"/>
      <c r="C316" s="1"/>
      <c r="D316" t="str">
        <f>IFERROR(IF(C316="","",IF(B316="موظف",VLOOKUP(C316,الموظفين!$B:$C,2,FALSE),VLOOKUP(C316,المستفيدين!$B:$C,2,FALSE))),"")</f>
        <v/>
      </c>
      <c r="F316" s="1"/>
      <c r="G316" s="1"/>
      <c r="H316" s="1"/>
      <c r="I316" s="1"/>
    </row>
    <row r="317" spans="1:9" x14ac:dyDescent="0.2">
      <c r="A317" s="1"/>
      <c r="B317" s="1"/>
      <c r="C317" s="1"/>
      <c r="D317" t="str">
        <f>IFERROR(IF(C317="","",IF(B317="موظف",VLOOKUP(C317,الموظفين!$B:$C,2,FALSE),VLOOKUP(C317,المستفيدين!$B:$C,2,FALSE))),"")</f>
        <v/>
      </c>
      <c r="F317" s="1"/>
      <c r="G317" s="1"/>
      <c r="H317" s="1"/>
      <c r="I317" s="1"/>
    </row>
    <row r="318" spans="1:9" x14ac:dyDescent="0.2">
      <c r="A318" s="1"/>
      <c r="B318" s="1"/>
      <c r="C318" s="1"/>
      <c r="D318" t="str">
        <f>IFERROR(IF(C318="","",IF(B318="موظف",VLOOKUP(C318,الموظفين!$B:$C,2,FALSE),VLOOKUP(C318,المستفيدين!$B:$C,2,FALSE))),"")</f>
        <v/>
      </c>
      <c r="F318" s="1"/>
      <c r="G318" s="1"/>
      <c r="H318" s="1"/>
      <c r="I318" s="1"/>
    </row>
    <row r="319" spans="1:9" x14ac:dyDescent="0.2">
      <c r="A319" s="1"/>
      <c r="B319" s="1"/>
      <c r="C319" s="1"/>
      <c r="D319" t="str">
        <f>IFERROR(IF(C319="","",IF(B319="موظف",VLOOKUP(C319,الموظفين!$B:$C,2,FALSE),VLOOKUP(C319,المستفيدين!$B:$C,2,FALSE))),"")</f>
        <v/>
      </c>
      <c r="F319" s="1"/>
      <c r="G319" s="1"/>
      <c r="H319" s="1"/>
      <c r="I319" s="1"/>
    </row>
    <row r="320" spans="1:9" x14ac:dyDescent="0.2">
      <c r="A320" s="1"/>
      <c r="B320" s="1"/>
      <c r="C320" s="1"/>
      <c r="D320" t="str">
        <f>IFERROR(IF(C320="","",IF(B320="موظف",VLOOKUP(C320,الموظفين!$B:$C,2,FALSE),VLOOKUP(C320,المستفيدين!$B:$C,2,FALSE))),"")</f>
        <v/>
      </c>
      <c r="F320" s="1"/>
      <c r="G320" s="1"/>
      <c r="H320" s="1"/>
      <c r="I320" s="1"/>
    </row>
    <row r="321" spans="1:9" x14ac:dyDescent="0.2">
      <c r="A321" s="1"/>
      <c r="B321" s="1"/>
      <c r="C321" s="1"/>
      <c r="D321" t="str">
        <f>IFERROR(IF(C321="","",IF(B321="موظف",VLOOKUP(C321,الموظفين!$B:$C,2,FALSE),VLOOKUP(C321,المستفيدين!$B:$C,2,FALSE))),"")</f>
        <v/>
      </c>
      <c r="F321" s="1"/>
      <c r="G321" s="1"/>
      <c r="H321" s="1"/>
      <c r="I321" s="1"/>
    </row>
    <row r="322" spans="1:9" x14ac:dyDescent="0.2">
      <c r="A322" s="1"/>
      <c r="B322" s="1"/>
      <c r="C322" s="1"/>
      <c r="D322" t="str">
        <f>IFERROR(IF(C322="","",IF(B322="موظف",VLOOKUP(C322,الموظفين!$B:$C,2,FALSE),VLOOKUP(C322,المستفيدين!$B:$C,2,FALSE))),"")</f>
        <v/>
      </c>
      <c r="F322" s="1"/>
      <c r="G322" s="1"/>
      <c r="H322" s="1"/>
      <c r="I322" s="1"/>
    </row>
    <row r="323" spans="1:9" x14ac:dyDescent="0.2">
      <c r="A323" s="1"/>
      <c r="B323" s="1"/>
      <c r="C323" s="1"/>
      <c r="D323" t="str">
        <f>IFERROR(IF(C323="","",IF(B323="موظف",VLOOKUP(C323,الموظفين!$B:$C,2,FALSE),VLOOKUP(C323,المستفيدين!$B:$C,2,FALSE))),"")</f>
        <v/>
      </c>
      <c r="F323" s="1"/>
      <c r="G323" s="1"/>
      <c r="H323" s="1"/>
      <c r="I323" s="1"/>
    </row>
    <row r="324" spans="1:9" x14ac:dyDescent="0.2">
      <c r="A324" s="1"/>
      <c r="B324" s="1"/>
      <c r="C324" s="1"/>
      <c r="D324" t="str">
        <f>IFERROR(IF(C324="","",IF(B324="موظف",VLOOKUP(C324,الموظفين!$B:$C,2,FALSE),VLOOKUP(C324,المستفيدين!$B:$C,2,FALSE))),"")</f>
        <v/>
      </c>
      <c r="F324" s="1"/>
      <c r="G324" s="1"/>
      <c r="H324" s="1"/>
      <c r="I324" s="1"/>
    </row>
    <row r="325" spans="1:9" x14ac:dyDescent="0.2">
      <c r="A325" s="1"/>
      <c r="B325" s="1"/>
      <c r="C325" s="1"/>
      <c r="D325" t="str">
        <f>IFERROR(IF(C325="","",IF(B325="موظف",VLOOKUP(C325,الموظفين!$B:$C,2,FALSE),VLOOKUP(C325,المستفيدين!$B:$C,2,FALSE))),"")</f>
        <v/>
      </c>
      <c r="F325" s="1"/>
      <c r="G325" s="1"/>
      <c r="H325" s="1"/>
      <c r="I325" s="1"/>
    </row>
    <row r="326" spans="1:9" x14ac:dyDescent="0.2">
      <c r="A326" s="1"/>
      <c r="B326" s="1"/>
      <c r="C326" s="1"/>
      <c r="D326" t="str">
        <f>IFERROR(IF(C326="","",IF(B326="موظف",VLOOKUP(C326,الموظفين!$B:$C,2,FALSE),VLOOKUP(C326,المستفيدين!$B:$C,2,FALSE))),"")</f>
        <v/>
      </c>
      <c r="F326" s="1"/>
      <c r="G326" s="1"/>
      <c r="H326" s="1"/>
      <c r="I326" s="1"/>
    </row>
    <row r="327" spans="1:9" x14ac:dyDescent="0.2">
      <c r="A327" s="1"/>
      <c r="B327" s="1"/>
      <c r="C327" s="1"/>
      <c r="D327" t="str">
        <f>IFERROR(IF(C327="","",IF(B327="موظف",VLOOKUP(C327,الموظفين!$B:$C,2,FALSE),VLOOKUP(C327,المستفيدين!$B:$C,2,FALSE))),"")</f>
        <v/>
      </c>
      <c r="F327" s="1"/>
      <c r="G327" s="1"/>
      <c r="H327" s="1"/>
      <c r="I327" s="1"/>
    </row>
    <row r="328" spans="1:9" x14ac:dyDescent="0.2">
      <c r="A328" s="1"/>
      <c r="B328" s="1"/>
      <c r="C328" s="1"/>
      <c r="D328" t="str">
        <f>IFERROR(IF(C328="","",IF(B328="موظف",VLOOKUP(C328,الموظفين!$B:$C,2,FALSE),VLOOKUP(C328,المستفيدين!$B:$C,2,FALSE))),"")</f>
        <v/>
      </c>
      <c r="F328" s="1"/>
      <c r="G328" s="1"/>
      <c r="H328" s="1"/>
      <c r="I328" s="1"/>
    </row>
    <row r="329" spans="1:9" x14ac:dyDescent="0.2">
      <c r="A329" s="1"/>
      <c r="B329" s="1"/>
      <c r="C329" s="1"/>
      <c r="D329" t="str">
        <f>IFERROR(IF(C329="","",IF(B329="موظف",VLOOKUP(C329,الموظفين!$B:$C,2,FALSE),VLOOKUP(C329,المستفيدين!$B:$C,2,FALSE))),"")</f>
        <v/>
      </c>
      <c r="F329" s="1"/>
      <c r="G329" s="1"/>
      <c r="H329" s="1"/>
      <c r="I329" s="1"/>
    </row>
    <row r="330" spans="1:9" x14ac:dyDescent="0.2">
      <c r="A330" s="1"/>
      <c r="B330" s="1"/>
      <c r="C330" s="1"/>
      <c r="D330" t="str">
        <f>IFERROR(IF(C330="","",IF(B330="موظف",VLOOKUP(C330,الموظفين!$B:$C,2,FALSE),VLOOKUP(C330,المستفيدين!$B:$C,2,FALSE))),"")</f>
        <v/>
      </c>
      <c r="F330" s="1"/>
      <c r="G330" s="1"/>
      <c r="H330" s="1"/>
      <c r="I330" s="1"/>
    </row>
    <row r="331" spans="1:9" x14ac:dyDescent="0.2">
      <c r="A331" s="1"/>
      <c r="B331" s="1"/>
      <c r="C331" s="1"/>
      <c r="D331" t="str">
        <f>IFERROR(IF(C331="","",IF(B331="موظف",VLOOKUP(C331,الموظفين!$B:$C,2,FALSE),VLOOKUP(C331,المستفيدين!$B:$C,2,FALSE))),"")</f>
        <v/>
      </c>
      <c r="F331" s="1"/>
      <c r="G331" s="1"/>
      <c r="H331" s="1"/>
      <c r="I331" s="1"/>
    </row>
    <row r="332" spans="1:9" x14ac:dyDescent="0.2">
      <c r="A332" s="1"/>
      <c r="B332" s="1"/>
      <c r="C332" s="1"/>
      <c r="D332" t="str">
        <f>IFERROR(IF(C332="","",IF(B332="موظف",VLOOKUP(C332,الموظفين!$B:$C,2,FALSE),VLOOKUP(C332,المستفيدين!$B:$C,2,FALSE))),"")</f>
        <v/>
      </c>
      <c r="F332" s="1"/>
      <c r="G332" s="1"/>
      <c r="H332" s="1"/>
      <c r="I332" s="1"/>
    </row>
    <row r="333" spans="1:9" x14ac:dyDescent="0.2">
      <c r="A333" s="1"/>
      <c r="B333" s="1"/>
      <c r="C333" s="1"/>
      <c r="D333" t="str">
        <f>IFERROR(IF(C333="","",IF(B333="موظف",VLOOKUP(C333,الموظفين!$B:$C,2,FALSE),VLOOKUP(C333,المستفيدين!$B:$C,2,FALSE))),"")</f>
        <v/>
      </c>
      <c r="F333" s="1"/>
      <c r="G333" s="1"/>
      <c r="H333" s="1"/>
      <c r="I333" s="1"/>
    </row>
    <row r="334" spans="1:9" x14ac:dyDescent="0.2">
      <c r="A334" s="1"/>
      <c r="B334" s="1"/>
      <c r="C334" s="1"/>
      <c r="D334" t="str">
        <f>IFERROR(IF(C334="","",IF(B334="موظف",VLOOKUP(C334,الموظفين!$B:$C,2,FALSE),VLOOKUP(C334,المستفيدين!$B:$C,2,FALSE))),"")</f>
        <v/>
      </c>
      <c r="F334" s="1"/>
      <c r="G334" s="1"/>
      <c r="H334" s="1"/>
      <c r="I334" s="1"/>
    </row>
    <row r="335" spans="1:9" x14ac:dyDescent="0.2">
      <c r="A335" s="1"/>
      <c r="B335" s="1"/>
      <c r="C335" s="1"/>
      <c r="D335" t="str">
        <f>IFERROR(IF(C335="","",IF(B335="موظف",VLOOKUP(C335,الموظفين!$B:$C,2,FALSE),VLOOKUP(C335,المستفيدين!$B:$C,2,FALSE))),"")</f>
        <v/>
      </c>
      <c r="F335" s="1"/>
      <c r="G335" s="1"/>
      <c r="H335" s="1"/>
      <c r="I335" s="1"/>
    </row>
    <row r="336" spans="1:9" x14ac:dyDescent="0.2">
      <c r="A336" s="1"/>
      <c r="B336" s="1"/>
      <c r="C336" s="1"/>
      <c r="D336" t="str">
        <f>IFERROR(IF(C336="","",IF(B336="موظف",VLOOKUP(C336,الموظفين!$B:$C,2,FALSE),VLOOKUP(C336,المستفيدين!$B:$C,2,FALSE))),"")</f>
        <v/>
      </c>
      <c r="F336" s="1"/>
      <c r="G336" s="1"/>
      <c r="H336" s="1"/>
      <c r="I336" s="1"/>
    </row>
    <row r="337" spans="1:9" x14ac:dyDescent="0.2">
      <c r="A337" s="1"/>
      <c r="B337" s="1"/>
      <c r="C337" s="1"/>
      <c r="D337" t="str">
        <f>IFERROR(IF(C337="","",IF(B337="موظف",VLOOKUP(C337,الموظفين!$B:$C,2,FALSE),VLOOKUP(C337,المستفيدين!$B:$C,2,FALSE))),"")</f>
        <v/>
      </c>
      <c r="F337" s="1"/>
      <c r="G337" s="1"/>
      <c r="H337" s="1"/>
      <c r="I337" s="1"/>
    </row>
    <row r="338" spans="1:9" x14ac:dyDescent="0.2">
      <c r="A338" s="1"/>
      <c r="B338" s="1"/>
      <c r="C338" s="1"/>
      <c r="D338" t="str">
        <f>IFERROR(IF(C338="","",IF(B338="موظف",VLOOKUP(C338,الموظفين!$B:$C,2,FALSE),VLOOKUP(C338,المستفيدين!$B:$C,2,FALSE))),"")</f>
        <v/>
      </c>
      <c r="F338" s="1"/>
      <c r="G338" s="1"/>
      <c r="H338" s="1"/>
      <c r="I338" s="1"/>
    </row>
    <row r="339" spans="1:9" x14ac:dyDescent="0.2">
      <c r="A339" s="1"/>
      <c r="B339" s="1"/>
      <c r="C339" s="1"/>
      <c r="D339" t="str">
        <f>IFERROR(IF(C339="","",IF(B339="موظف",VLOOKUP(C339,الموظفين!$B:$C,2,FALSE),VLOOKUP(C339,المستفيدين!$B:$C,2,FALSE))),"")</f>
        <v/>
      </c>
      <c r="F339" s="1"/>
      <c r="G339" s="1"/>
      <c r="H339" s="1"/>
      <c r="I339" s="1"/>
    </row>
    <row r="340" spans="1:9" x14ac:dyDescent="0.2">
      <c r="A340" s="1"/>
      <c r="B340" s="1"/>
      <c r="C340" s="1"/>
      <c r="D340" t="str">
        <f>IFERROR(IF(C340="","",IF(B340="موظف",VLOOKUP(C340,الموظفين!$B:$C,2,FALSE),VLOOKUP(C340,المستفيدين!$B:$C,2,FALSE))),"")</f>
        <v/>
      </c>
      <c r="F340" s="1"/>
      <c r="G340" s="1"/>
      <c r="H340" s="1"/>
      <c r="I340" s="1"/>
    </row>
    <row r="341" spans="1:9" x14ac:dyDescent="0.2">
      <c r="A341" s="1"/>
      <c r="B341" s="1"/>
      <c r="C341" s="1"/>
      <c r="D341" t="str">
        <f>IFERROR(IF(C341="","",IF(B341="موظف",VLOOKUP(C341,الموظفين!$B:$C,2,FALSE),VLOOKUP(C341,المستفيدين!$B:$C,2,FALSE))),"")</f>
        <v/>
      </c>
      <c r="F341" s="1"/>
      <c r="G341" s="1"/>
      <c r="H341" s="1"/>
      <c r="I341" s="1"/>
    </row>
    <row r="342" spans="1:9" x14ac:dyDescent="0.2">
      <c r="A342" s="1"/>
      <c r="B342" s="1"/>
      <c r="C342" s="1"/>
      <c r="D342" t="str">
        <f>IFERROR(IF(C342="","",IF(B342="موظف",VLOOKUP(C342,الموظفين!$B:$C,2,FALSE),VLOOKUP(C342,المستفيدين!$B:$C,2,FALSE))),"")</f>
        <v/>
      </c>
      <c r="F342" s="1"/>
      <c r="G342" s="1"/>
      <c r="H342" s="1"/>
      <c r="I342" s="1"/>
    </row>
    <row r="343" spans="1:9" x14ac:dyDescent="0.2">
      <c r="A343" s="1"/>
      <c r="B343" s="1"/>
      <c r="C343" s="1"/>
      <c r="D343" t="str">
        <f>IFERROR(IF(C343="","",IF(B343="موظف",VLOOKUP(C343,الموظفين!$B:$C,2,FALSE),VLOOKUP(C343,المستفيدين!$B:$C,2,FALSE))),"")</f>
        <v/>
      </c>
      <c r="F343" s="1"/>
      <c r="G343" s="1"/>
      <c r="H343" s="1"/>
      <c r="I343" s="1"/>
    </row>
    <row r="344" spans="1:9" x14ac:dyDescent="0.2">
      <c r="A344" s="1"/>
      <c r="B344" s="1"/>
      <c r="C344" s="1"/>
      <c r="D344" t="str">
        <f>IFERROR(IF(C344="","",IF(B344="موظف",VLOOKUP(C344,الموظفين!$B:$C,2,FALSE),VLOOKUP(C344,المستفيدين!$B:$C,2,FALSE))),"")</f>
        <v/>
      </c>
      <c r="F344" s="1"/>
      <c r="G344" s="1"/>
      <c r="H344" s="1"/>
      <c r="I344" s="1"/>
    </row>
    <row r="345" spans="1:9" x14ac:dyDescent="0.2">
      <c r="A345" s="1"/>
      <c r="B345" s="1"/>
      <c r="C345" s="1"/>
      <c r="D345" t="str">
        <f>IFERROR(IF(C345="","",IF(B345="موظف",VLOOKUP(C345,الموظفين!$B:$C,2,FALSE),VLOOKUP(C345,المستفيدين!$B:$C,2,FALSE))),"")</f>
        <v/>
      </c>
      <c r="F345" s="1"/>
      <c r="G345" s="1"/>
      <c r="H345" s="1"/>
      <c r="I345" s="1"/>
    </row>
    <row r="346" spans="1:9" x14ac:dyDescent="0.2">
      <c r="A346" s="1"/>
      <c r="B346" s="1"/>
      <c r="C346" s="1"/>
      <c r="D346" t="str">
        <f>IFERROR(IF(C346="","",IF(B346="موظف",VLOOKUP(C346,الموظفين!$B:$C,2,FALSE),VLOOKUP(C346,المستفيدين!$B:$C,2,FALSE))),"")</f>
        <v/>
      </c>
      <c r="F346" s="1"/>
      <c r="G346" s="1"/>
      <c r="H346" s="1"/>
      <c r="I346" s="1"/>
    </row>
    <row r="347" spans="1:9" x14ac:dyDescent="0.2">
      <c r="A347" s="1"/>
      <c r="B347" s="1"/>
      <c r="C347" s="1"/>
      <c r="D347" t="str">
        <f>IFERROR(IF(C347="","",IF(B347="موظف",VLOOKUP(C347,الموظفين!$B:$C,2,FALSE),VLOOKUP(C347,المستفيدين!$B:$C,2,FALSE))),"")</f>
        <v/>
      </c>
      <c r="F347" s="1"/>
      <c r="G347" s="1"/>
      <c r="H347" s="1"/>
      <c r="I347" s="1"/>
    </row>
    <row r="348" spans="1:9" x14ac:dyDescent="0.2">
      <c r="A348" s="1"/>
      <c r="B348" s="1"/>
      <c r="C348" s="1"/>
      <c r="D348" t="str">
        <f>IFERROR(IF(C348="","",IF(B348="موظف",VLOOKUP(C348,الموظفين!$B:$C,2,FALSE),VLOOKUP(C348,المستفيدين!$B:$C,2,FALSE))),"")</f>
        <v/>
      </c>
      <c r="F348" s="1"/>
      <c r="G348" s="1"/>
      <c r="H348" s="1"/>
      <c r="I348" s="1"/>
    </row>
    <row r="349" spans="1:9" x14ac:dyDescent="0.2">
      <c r="A349" s="1"/>
      <c r="B349" s="1"/>
      <c r="C349" s="1"/>
      <c r="D349" t="str">
        <f>IFERROR(IF(C349="","",IF(B349="موظف",VLOOKUP(C349,الموظفين!$B:$C,2,FALSE),VLOOKUP(C349,المستفيدين!$B:$C,2,FALSE))),"")</f>
        <v/>
      </c>
      <c r="F349" s="1"/>
      <c r="G349" s="1"/>
      <c r="H349" s="1"/>
      <c r="I349" s="1"/>
    </row>
    <row r="350" spans="1:9" x14ac:dyDescent="0.2">
      <c r="A350" s="1"/>
      <c r="B350" s="1"/>
      <c r="C350" s="1"/>
      <c r="D350" t="str">
        <f>IFERROR(IF(C350="","",IF(B350="موظف",VLOOKUP(C350,الموظفين!$B:$C,2,FALSE),VLOOKUP(C350,المستفيدين!$B:$C,2,FALSE))),"")</f>
        <v/>
      </c>
      <c r="F350" s="1"/>
      <c r="G350" s="1"/>
      <c r="H350" s="1"/>
      <c r="I350" s="1"/>
    </row>
    <row r="351" spans="1:9" x14ac:dyDescent="0.2">
      <c r="A351" s="1"/>
      <c r="B351" s="1"/>
      <c r="C351" s="1"/>
      <c r="D351" t="str">
        <f>IFERROR(IF(C351="","",IF(B351="موظف",VLOOKUP(C351,الموظفين!$B:$C,2,FALSE),VLOOKUP(C351,المستفيدين!$B:$C,2,FALSE))),"")</f>
        <v/>
      </c>
      <c r="F351" s="1"/>
      <c r="G351" s="1"/>
      <c r="H351" s="1"/>
      <c r="I351" s="1"/>
    </row>
    <row r="352" spans="1:9" x14ac:dyDescent="0.2">
      <c r="A352" s="1"/>
      <c r="B352" s="1"/>
      <c r="C352" s="1"/>
      <c r="D352" t="str">
        <f>IFERROR(IF(C352="","",IF(B352="موظف",VLOOKUP(C352,الموظفين!$B:$C,2,FALSE),VLOOKUP(C352,المستفيدين!$B:$C,2,FALSE))),"")</f>
        <v/>
      </c>
      <c r="F352" s="1"/>
      <c r="G352" s="1"/>
      <c r="H352" s="1"/>
      <c r="I352" s="1"/>
    </row>
    <row r="353" spans="1:9" x14ac:dyDescent="0.2">
      <c r="A353" s="1"/>
      <c r="B353" s="1"/>
      <c r="C353" s="1"/>
      <c r="D353" t="str">
        <f>IFERROR(IF(C353="","",IF(B353="موظف",VLOOKUP(C353,الموظفين!$B:$C,2,FALSE),VLOOKUP(C353,المستفيدين!$B:$C,2,FALSE))),"")</f>
        <v/>
      </c>
      <c r="F353" s="1"/>
      <c r="G353" s="1"/>
      <c r="H353" s="1"/>
      <c r="I353" s="1"/>
    </row>
    <row r="354" spans="1:9" x14ac:dyDescent="0.2">
      <c r="A354" s="1"/>
      <c r="B354" s="1"/>
      <c r="C354" s="1"/>
      <c r="D354" t="str">
        <f>IFERROR(IF(C354="","",IF(B354="موظف",VLOOKUP(C354,الموظفين!$B:$C,2,FALSE),VLOOKUP(C354,المستفيدين!$B:$C,2,FALSE))),"")</f>
        <v/>
      </c>
      <c r="F354" s="1"/>
      <c r="G354" s="1"/>
      <c r="H354" s="1"/>
      <c r="I354" s="1"/>
    </row>
    <row r="355" spans="1:9" x14ac:dyDescent="0.2">
      <c r="A355" s="1"/>
      <c r="B355" s="1"/>
      <c r="C355" s="1"/>
      <c r="D355" t="str">
        <f>IFERROR(IF(C355="","",IF(B355="موظف",VLOOKUP(C355,الموظفين!$B:$C,2,FALSE),VLOOKUP(C355,المستفيدين!$B:$C,2,FALSE))),"")</f>
        <v/>
      </c>
      <c r="F355" s="1"/>
      <c r="G355" s="1"/>
      <c r="H355" s="1"/>
      <c r="I355" s="1"/>
    </row>
    <row r="356" spans="1:9" x14ac:dyDescent="0.2">
      <c r="A356" s="1"/>
      <c r="B356" s="1"/>
      <c r="C356" s="1"/>
      <c r="D356" t="str">
        <f>IFERROR(IF(C356="","",IF(B356="موظف",VLOOKUP(C356,الموظفين!$B:$C,2,FALSE),VLOOKUP(C356,المستفيدين!$B:$C,2,FALSE))),"")</f>
        <v/>
      </c>
      <c r="F356" s="1"/>
      <c r="G356" s="1"/>
      <c r="H356" s="1"/>
      <c r="I356" s="1"/>
    </row>
    <row r="357" spans="1:9" x14ac:dyDescent="0.2">
      <c r="A357" s="1"/>
      <c r="B357" s="1"/>
      <c r="C357" s="1"/>
      <c r="D357" t="str">
        <f>IFERROR(IF(C357="","",IF(B357="موظف",VLOOKUP(C357,الموظفين!$B:$C,2,FALSE),VLOOKUP(C357,المستفيدين!$B:$C,2,FALSE))),"")</f>
        <v/>
      </c>
      <c r="F357" s="1"/>
      <c r="G357" s="1"/>
      <c r="H357" s="1"/>
      <c r="I357" s="1"/>
    </row>
    <row r="358" spans="1:9" x14ac:dyDescent="0.2">
      <c r="A358" s="1"/>
      <c r="B358" s="1"/>
      <c r="C358" s="1"/>
      <c r="D358" t="str">
        <f>IFERROR(IF(C358="","",IF(B358="موظف",VLOOKUP(C358,الموظفين!$B:$C,2,FALSE),VLOOKUP(C358,المستفيدين!$B:$C,2,FALSE))),"")</f>
        <v/>
      </c>
      <c r="F358" s="1"/>
      <c r="G358" s="1"/>
      <c r="H358" s="1"/>
      <c r="I358" s="1"/>
    </row>
    <row r="359" spans="1:9" x14ac:dyDescent="0.2">
      <c r="A359" s="1"/>
      <c r="B359" s="1"/>
      <c r="C359" s="1"/>
      <c r="D359" t="str">
        <f>IFERROR(IF(C359="","",IF(B359="موظف",VLOOKUP(C359,الموظفين!$B:$C,2,FALSE),VLOOKUP(C359,المستفيدين!$B:$C,2,FALSE))),"")</f>
        <v/>
      </c>
      <c r="F359" s="1"/>
      <c r="G359" s="1"/>
      <c r="H359" s="1"/>
      <c r="I359" s="1"/>
    </row>
    <row r="360" spans="1:9" x14ac:dyDescent="0.2">
      <c r="A360" s="1"/>
      <c r="B360" s="1"/>
      <c r="C360" s="1"/>
      <c r="D360" t="str">
        <f>IFERROR(IF(C360="","",IF(B360="موظف",VLOOKUP(C360,الموظفين!$B:$C,2,FALSE),VLOOKUP(C360,المستفيدين!$B:$C,2,FALSE))),"")</f>
        <v/>
      </c>
      <c r="F360" s="1"/>
      <c r="G360" s="1"/>
      <c r="H360" s="1"/>
      <c r="I360" s="1"/>
    </row>
    <row r="361" spans="1:9" x14ac:dyDescent="0.2">
      <c r="A361" s="1"/>
      <c r="B361" s="1"/>
      <c r="C361" s="1"/>
      <c r="D361" t="str">
        <f>IFERROR(IF(C361="","",IF(B361="موظف",VLOOKUP(C361,الموظفين!$B:$C,2,FALSE),VLOOKUP(C361,المستفيدين!$B:$C,2,FALSE))),"")</f>
        <v/>
      </c>
      <c r="F361" s="1"/>
      <c r="G361" s="1"/>
      <c r="H361" s="1"/>
      <c r="I361" s="1"/>
    </row>
    <row r="362" spans="1:9" x14ac:dyDescent="0.2">
      <c r="A362" s="1"/>
      <c r="B362" s="1"/>
      <c r="C362" s="1"/>
      <c r="D362" t="str">
        <f>IFERROR(IF(C362="","",IF(B362="موظف",VLOOKUP(C362,الموظفين!$B:$C,2,FALSE),VLOOKUP(C362,المستفيدين!$B:$C,2,FALSE))),"")</f>
        <v/>
      </c>
      <c r="F362" s="1"/>
      <c r="G362" s="1"/>
      <c r="H362" s="1"/>
      <c r="I362" s="1"/>
    </row>
    <row r="363" spans="1:9" x14ac:dyDescent="0.2">
      <c r="A363" s="1"/>
      <c r="B363" s="1"/>
      <c r="C363" s="1"/>
      <c r="D363" t="str">
        <f>IFERROR(IF(C363="","",IF(B363="موظف",VLOOKUP(C363,الموظفين!$B:$C,2,FALSE),VLOOKUP(C363,المستفيدين!$B:$C,2,FALSE))),"")</f>
        <v/>
      </c>
      <c r="F363" s="1"/>
      <c r="G363" s="1"/>
      <c r="H363" s="1"/>
      <c r="I363" s="1"/>
    </row>
    <row r="364" spans="1:9" x14ac:dyDescent="0.2">
      <c r="A364" s="1"/>
      <c r="B364" s="1"/>
      <c r="C364" s="1"/>
      <c r="D364" t="str">
        <f>IFERROR(IF(C364="","",IF(B364="موظف",VLOOKUP(C364,الموظفين!$B:$C,2,FALSE),VLOOKUP(C364,المستفيدين!$B:$C,2,FALSE))),"")</f>
        <v/>
      </c>
      <c r="F364" s="1"/>
      <c r="G364" s="1"/>
      <c r="H364" s="1"/>
      <c r="I364" s="1"/>
    </row>
    <row r="365" spans="1:9" x14ac:dyDescent="0.2">
      <c r="A365" s="1"/>
      <c r="B365" s="1"/>
      <c r="C365" s="1"/>
      <c r="D365" t="str">
        <f>IFERROR(IF(C365="","",IF(B365="موظف",VLOOKUP(C365,الموظفين!$B:$C,2,FALSE),VLOOKUP(C365,المستفيدين!$B:$C,2,FALSE))),"")</f>
        <v/>
      </c>
      <c r="F365" s="1"/>
      <c r="G365" s="1"/>
      <c r="H365" s="1"/>
      <c r="I365" s="1"/>
    </row>
    <row r="366" spans="1:9" x14ac:dyDescent="0.2">
      <c r="A366" s="1"/>
      <c r="B366" s="1"/>
      <c r="C366" s="1"/>
      <c r="D366" t="str">
        <f>IFERROR(IF(C366="","",IF(B366="موظف",VLOOKUP(C366,الموظفين!$B:$C,2,FALSE),VLOOKUP(C366,المستفيدين!$B:$C,2,FALSE))),"")</f>
        <v/>
      </c>
      <c r="F366" s="1"/>
      <c r="G366" s="1"/>
      <c r="H366" s="1"/>
      <c r="I366" s="1"/>
    </row>
    <row r="367" spans="1:9" x14ac:dyDescent="0.2">
      <c r="A367" s="1"/>
      <c r="B367" s="1"/>
      <c r="C367" s="1"/>
      <c r="D367" t="str">
        <f>IFERROR(IF(C367="","",IF(B367="موظف",VLOOKUP(C367,الموظفين!$B:$C,2,FALSE),VLOOKUP(C367,المستفيدين!$B:$C,2,FALSE))),"")</f>
        <v/>
      </c>
      <c r="F367" s="1"/>
      <c r="G367" s="1"/>
      <c r="H367" s="1"/>
      <c r="I367" s="1"/>
    </row>
    <row r="368" spans="1:9" x14ac:dyDescent="0.2">
      <c r="A368" s="1"/>
      <c r="B368" s="1"/>
      <c r="C368" s="1"/>
      <c r="D368" t="str">
        <f>IFERROR(IF(C368="","",IF(B368="موظف",VLOOKUP(C368,الموظفين!$B:$C,2,FALSE),VLOOKUP(C368,المستفيدين!$B:$C,2,FALSE))),"")</f>
        <v/>
      </c>
      <c r="F368" s="1"/>
      <c r="G368" s="1"/>
      <c r="H368" s="1"/>
      <c r="I368" s="1"/>
    </row>
    <row r="369" spans="1:9" x14ac:dyDescent="0.2">
      <c r="A369" s="1"/>
      <c r="B369" s="1"/>
      <c r="C369" s="1"/>
      <c r="D369" t="str">
        <f>IFERROR(IF(C369="","",IF(B369="موظف",VLOOKUP(C369,الموظفين!$B:$C,2,FALSE),VLOOKUP(C369,المستفيدين!$B:$C,2,FALSE))),"")</f>
        <v/>
      </c>
      <c r="F369" s="1"/>
      <c r="G369" s="1"/>
      <c r="H369" s="1"/>
      <c r="I369" s="1"/>
    </row>
    <row r="370" spans="1:9" x14ac:dyDescent="0.2">
      <c r="A370" s="1"/>
      <c r="B370" s="1"/>
      <c r="C370" s="1"/>
      <c r="D370" t="str">
        <f>IFERROR(IF(C370="","",IF(B370="موظف",VLOOKUP(C370,الموظفين!$B:$C,2,FALSE),VLOOKUP(C370,المستفيدين!$B:$C,2,FALSE))),"")</f>
        <v/>
      </c>
      <c r="F370" s="1"/>
      <c r="G370" s="1"/>
      <c r="H370" s="1"/>
      <c r="I370" s="1"/>
    </row>
    <row r="371" spans="1:9" x14ac:dyDescent="0.2">
      <c r="A371" s="1"/>
      <c r="B371" s="1"/>
      <c r="C371" s="1"/>
      <c r="D371" t="str">
        <f>IFERROR(IF(C371="","",IF(B371="موظف",VLOOKUP(C371,الموظفين!$B:$C,2,FALSE),VLOOKUP(C371,المستفيدين!$B:$C,2,FALSE))),"")</f>
        <v/>
      </c>
      <c r="F371" s="1"/>
      <c r="G371" s="1"/>
      <c r="H371" s="1"/>
      <c r="I371" s="1"/>
    </row>
    <row r="372" spans="1:9" x14ac:dyDescent="0.2">
      <c r="A372" s="1"/>
      <c r="B372" s="1"/>
      <c r="C372" s="1"/>
      <c r="D372" t="str">
        <f>IFERROR(IF(C372="","",IF(B372="موظف",VLOOKUP(C372,الموظفين!$B:$C,2,FALSE),VLOOKUP(C372,المستفيدين!$B:$C,2,FALSE))),"")</f>
        <v/>
      </c>
      <c r="F372" s="1"/>
      <c r="G372" s="1"/>
      <c r="H372" s="1"/>
      <c r="I372" s="1"/>
    </row>
    <row r="373" spans="1:9" x14ac:dyDescent="0.2">
      <c r="A373" s="1"/>
      <c r="B373" s="1"/>
      <c r="C373" s="1"/>
      <c r="D373" t="str">
        <f>IFERROR(IF(C373="","",IF(B373="موظف",VLOOKUP(C373,الموظفين!$B:$C,2,FALSE),VLOOKUP(C373,المستفيدين!$B:$C,2,FALSE))),"")</f>
        <v/>
      </c>
      <c r="F373" s="1"/>
      <c r="G373" s="1"/>
      <c r="H373" s="1"/>
      <c r="I373" s="1"/>
    </row>
    <row r="374" spans="1:9" x14ac:dyDescent="0.2">
      <c r="A374" s="1"/>
      <c r="B374" s="1"/>
      <c r="C374" s="1"/>
      <c r="D374" t="str">
        <f>IFERROR(IF(C374="","",IF(B374="موظف",VLOOKUP(C374,الموظفين!$B:$C,2,FALSE),VLOOKUP(C374,المستفيدين!$B:$C,2,FALSE))),"")</f>
        <v/>
      </c>
      <c r="F374" s="1"/>
      <c r="G374" s="1"/>
      <c r="H374" s="1"/>
      <c r="I374" s="1"/>
    </row>
    <row r="375" spans="1:9" x14ac:dyDescent="0.2">
      <c r="A375" s="1"/>
      <c r="B375" s="1"/>
      <c r="C375" s="1"/>
      <c r="D375" t="str">
        <f>IFERROR(IF(C375="","",IF(B375="موظف",VLOOKUP(C375,الموظفين!$B:$C,2,FALSE),VLOOKUP(C375,المستفيدين!$B:$C,2,FALSE))),"")</f>
        <v/>
      </c>
      <c r="F375" s="1"/>
      <c r="G375" s="1"/>
      <c r="H375" s="1"/>
      <c r="I375" s="1"/>
    </row>
    <row r="376" spans="1:9" x14ac:dyDescent="0.2">
      <c r="A376" s="1"/>
      <c r="B376" s="1"/>
      <c r="C376" s="1"/>
      <c r="D376" t="str">
        <f>IFERROR(IF(C376="","",IF(B376="موظف",VLOOKUP(C376,الموظفين!$B:$C,2,FALSE),VLOOKUP(C376,المستفيدين!$B:$C,2,FALSE))),"")</f>
        <v/>
      </c>
      <c r="F376" s="1"/>
      <c r="G376" s="1"/>
      <c r="H376" s="1"/>
      <c r="I376" s="1"/>
    </row>
    <row r="377" spans="1:9" x14ac:dyDescent="0.2">
      <c r="A377" s="1"/>
      <c r="B377" s="1"/>
      <c r="C377" s="1"/>
      <c r="D377" t="str">
        <f>IFERROR(IF(C377="","",IF(B377="موظف",VLOOKUP(C377,الموظفين!$B:$C,2,FALSE),VLOOKUP(C377,المستفيدين!$B:$C,2,FALSE))),"")</f>
        <v/>
      </c>
      <c r="F377" s="1"/>
      <c r="G377" s="1"/>
      <c r="H377" s="1"/>
      <c r="I377" s="1"/>
    </row>
    <row r="378" spans="1:9" x14ac:dyDescent="0.2">
      <c r="A378" s="1"/>
      <c r="B378" s="1"/>
      <c r="C378" s="1"/>
      <c r="D378" t="str">
        <f>IFERROR(IF(C378="","",IF(B378="موظف",VLOOKUP(C378,الموظفين!$B:$C,2,FALSE),VLOOKUP(C378,المستفيدين!$B:$C,2,FALSE))),"")</f>
        <v/>
      </c>
      <c r="F378" s="1"/>
      <c r="G378" s="1"/>
      <c r="H378" s="1"/>
      <c r="I378" s="1"/>
    </row>
    <row r="379" spans="1:9" x14ac:dyDescent="0.2">
      <c r="A379" s="1"/>
      <c r="B379" s="1"/>
      <c r="C379" s="1"/>
      <c r="D379" t="str">
        <f>IFERROR(IF(C379="","",IF(B379="موظف",VLOOKUP(C379,الموظفين!$B:$C,2,FALSE),VLOOKUP(C379,المستفيدين!$B:$C,2,FALSE))),"")</f>
        <v/>
      </c>
      <c r="F379" s="1"/>
      <c r="G379" s="1"/>
      <c r="H379" s="1"/>
      <c r="I379" s="1"/>
    </row>
    <row r="380" spans="1:9" x14ac:dyDescent="0.2">
      <c r="A380" s="1"/>
      <c r="B380" s="1"/>
      <c r="C380" s="1"/>
      <c r="D380" t="str">
        <f>IFERROR(IF(C380="","",IF(B380="موظف",VLOOKUP(C380,الموظفين!$B:$C,2,FALSE),VLOOKUP(C380,المستفيدين!$B:$C,2,FALSE))),"")</f>
        <v/>
      </c>
      <c r="F380" s="1"/>
      <c r="G380" s="1"/>
      <c r="H380" s="1"/>
      <c r="I380" s="1"/>
    </row>
    <row r="381" spans="1:9" x14ac:dyDescent="0.2">
      <c r="A381" s="1"/>
      <c r="B381" s="1"/>
      <c r="C381" s="1"/>
      <c r="D381" t="str">
        <f>IFERROR(IF(C381="","",IF(B381="موظف",VLOOKUP(C381,الموظفين!$B:$C,2,FALSE),VLOOKUP(C381,المستفيدين!$B:$C,2,FALSE))),"")</f>
        <v/>
      </c>
      <c r="F381" s="1"/>
      <c r="G381" s="1"/>
      <c r="H381" s="1"/>
      <c r="I381" s="1"/>
    </row>
    <row r="382" spans="1:9" x14ac:dyDescent="0.2">
      <c r="A382" s="1"/>
      <c r="B382" s="1"/>
      <c r="C382" s="1"/>
      <c r="D382" t="str">
        <f>IFERROR(IF(C382="","",IF(B382="موظف",VLOOKUP(C382,الموظفين!$B:$C,2,FALSE),VLOOKUP(C382,المستفيدين!$B:$C,2,FALSE))),"")</f>
        <v/>
      </c>
      <c r="F382" s="1"/>
      <c r="G382" s="1"/>
      <c r="H382" s="1"/>
      <c r="I382" s="1"/>
    </row>
    <row r="383" spans="1:9" x14ac:dyDescent="0.2">
      <c r="A383" s="1"/>
      <c r="B383" s="1"/>
      <c r="C383" s="1"/>
      <c r="D383" t="str">
        <f>IFERROR(IF(C383="","",IF(B383="موظف",VLOOKUP(C383,الموظفين!$B:$C,2,FALSE),VLOOKUP(C383,المستفيدين!$B:$C,2,FALSE))),"")</f>
        <v/>
      </c>
      <c r="F383" s="1"/>
      <c r="G383" s="1"/>
      <c r="H383" s="1"/>
      <c r="I383" s="1"/>
    </row>
    <row r="384" spans="1:9" x14ac:dyDescent="0.2">
      <c r="A384" s="1"/>
      <c r="B384" s="1"/>
      <c r="C384" s="1"/>
      <c r="D384" t="str">
        <f>IFERROR(IF(C384="","",IF(B384="موظف",VLOOKUP(C384,الموظفين!$B:$C,2,FALSE),VLOOKUP(C384,المستفيدين!$B:$C,2,FALSE))),"")</f>
        <v/>
      </c>
      <c r="F384" s="1"/>
      <c r="G384" s="1"/>
      <c r="H384" s="1"/>
      <c r="I384" s="1"/>
    </row>
    <row r="385" spans="1:9" x14ac:dyDescent="0.2">
      <c r="A385" s="1"/>
      <c r="B385" s="1"/>
      <c r="C385" s="1"/>
      <c r="D385" t="str">
        <f>IFERROR(IF(C385="","",IF(B385="موظف",VLOOKUP(C385,الموظفين!$B:$C,2,FALSE),VLOOKUP(C385,المستفيدين!$B:$C,2,FALSE))),"")</f>
        <v/>
      </c>
      <c r="F385" s="1"/>
      <c r="G385" s="1"/>
      <c r="H385" s="1"/>
      <c r="I385" s="1"/>
    </row>
    <row r="386" spans="1:9" x14ac:dyDescent="0.2">
      <c r="A386" s="1"/>
      <c r="B386" s="1"/>
      <c r="C386" s="1"/>
      <c r="D386" t="str">
        <f>IFERROR(IF(C386="","",IF(B386="موظف",VLOOKUP(C386,الموظفين!$B:$C,2,FALSE),VLOOKUP(C386,المستفيدين!$B:$C,2,FALSE))),"")</f>
        <v/>
      </c>
      <c r="F386" s="1"/>
      <c r="G386" s="1"/>
      <c r="H386" s="1"/>
      <c r="I386" s="1"/>
    </row>
    <row r="387" spans="1:9" x14ac:dyDescent="0.2">
      <c r="A387" s="1"/>
      <c r="B387" s="1"/>
      <c r="C387" s="1"/>
      <c r="D387" t="str">
        <f>IFERROR(IF(C387="","",IF(B387="موظف",VLOOKUP(C387,الموظفين!$B:$C,2,FALSE),VLOOKUP(C387,المستفيدين!$B:$C,2,FALSE))),"")</f>
        <v/>
      </c>
      <c r="F387" s="1"/>
      <c r="G387" s="1"/>
      <c r="H387" s="1"/>
      <c r="I387" s="1"/>
    </row>
    <row r="388" spans="1:9" x14ac:dyDescent="0.2">
      <c r="A388" s="1"/>
      <c r="B388" s="1"/>
      <c r="C388" s="1"/>
      <c r="D388" t="str">
        <f>IFERROR(IF(C388="","",IF(B388="موظف",VLOOKUP(C388,الموظفين!$B:$C,2,FALSE),VLOOKUP(C388,المستفيدين!$B:$C,2,FALSE))),"")</f>
        <v/>
      </c>
      <c r="F388" s="1"/>
      <c r="G388" s="1"/>
      <c r="H388" s="1"/>
      <c r="I388" s="1"/>
    </row>
    <row r="389" spans="1:9" x14ac:dyDescent="0.2">
      <c r="A389" s="1"/>
      <c r="B389" s="1"/>
      <c r="C389" s="1"/>
      <c r="D389" t="str">
        <f>IFERROR(IF(C389="","",IF(B389="موظف",VLOOKUP(C389,الموظفين!$B:$C,2,FALSE),VLOOKUP(C389,المستفيدين!$B:$C,2,FALSE))),"")</f>
        <v/>
      </c>
      <c r="F389" s="1"/>
      <c r="G389" s="1"/>
      <c r="H389" s="1"/>
      <c r="I389" s="1"/>
    </row>
    <row r="390" spans="1:9" x14ac:dyDescent="0.2">
      <c r="A390" s="1"/>
      <c r="B390" s="1"/>
      <c r="C390" s="1"/>
      <c r="D390" t="str">
        <f>IFERROR(IF(C390="","",IF(B390="موظف",VLOOKUP(C390,الموظفين!$B:$C,2,FALSE),VLOOKUP(C390,المستفيدين!$B:$C,2,FALSE))),"")</f>
        <v/>
      </c>
      <c r="F390" s="1"/>
      <c r="G390" s="1"/>
      <c r="H390" s="1"/>
      <c r="I390" s="1"/>
    </row>
    <row r="391" spans="1:9" x14ac:dyDescent="0.2">
      <c r="A391" s="1"/>
      <c r="B391" s="1"/>
      <c r="C391" s="1"/>
      <c r="D391" t="str">
        <f>IFERROR(IF(C391="","",IF(B391="موظف",VLOOKUP(C391,الموظفين!$B:$C,2,FALSE),VLOOKUP(C391,المستفيدين!$B:$C,2,FALSE))),"")</f>
        <v/>
      </c>
      <c r="F391" s="1"/>
      <c r="G391" s="1"/>
      <c r="H391" s="1"/>
      <c r="I391" s="1"/>
    </row>
    <row r="392" spans="1:9" x14ac:dyDescent="0.2">
      <c r="A392" s="1"/>
      <c r="B392" s="1"/>
      <c r="C392" s="1"/>
      <c r="D392" t="str">
        <f>IFERROR(IF(C392="","",IF(B392="موظف",VLOOKUP(C392,الموظفين!$B:$C,2,FALSE),VLOOKUP(C392,المستفيدين!$B:$C,2,FALSE))),"")</f>
        <v/>
      </c>
      <c r="F392" s="1"/>
      <c r="G392" s="1"/>
      <c r="H392" s="1"/>
      <c r="I392" s="1"/>
    </row>
    <row r="393" spans="1:9" x14ac:dyDescent="0.2">
      <c r="A393" s="1"/>
      <c r="B393" s="1"/>
      <c r="C393" s="1"/>
      <c r="D393" t="str">
        <f>IFERROR(IF(C393="","",IF(B393="موظف",VLOOKUP(C393,الموظفين!$B:$C,2,FALSE),VLOOKUP(C393,المستفيدين!$B:$C,2,FALSE))),"")</f>
        <v/>
      </c>
      <c r="F393" s="1"/>
      <c r="G393" s="1"/>
      <c r="H393" s="1"/>
      <c r="I393" s="1"/>
    </row>
    <row r="394" spans="1:9" x14ac:dyDescent="0.2">
      <c r="A394" s="1"/>
      <c r="B394" s="1"/>
      <c r="C394" s="1"/>
      <c r="D394" t="str">
        <f>IFERROR(IF(C394="","",IF(B394="موظف",VLOOKUP(C394,الموظفين!$B:$C,2,FALSE),VLOOKUP(C394,المستفيدين!$B:$C,2,FALSE))),"")</f>
        <v/>
      </c>
      <c r="F394" s="1"/>
      <c r="G394" s="1"/>
      <c r="H394" s="1"/>
      <c r="I394" s="1"/>
    </row>
    <row r="395" spans="1:9" x14ac:dyDescent="0.2">
      <c r="A395" s="1"/>
      <c r="B395" s="1"/>
      <c r="C395" s="1"/>
      <c r="D395" t="str">
        <f>IFERROR(IF(C395="","",IF(B395="موظف",VLOOKUP(C395,الموظفين!$B:$C,2,FALSE),VLOOKUP(C395,المستفيدين!$B:$C,2,FALSE))),"")</f>
        <v/>
      </c>
      <c r="F395" s="1"/>
      <c r="G395" s="1"/>
      <c r="H395" s="1"/>
      <c r="I395" s="1"/>
    </row>
    <row r="396" spans="1:9" x14ac:dyDescent="0.2">
      <c r="A396" s="1"/>
      <c r="B396" s="1"/>
      <c r="C396" s="1"/>
      <c r="D396" t="str">
        <f>IFERROR(IF(C396="","",IF(B396="موظف",VLOOKUP(C396,الموظفين!$B:$C,2,FALSE),VLOOKUP(C396,المستفيدين!$B:$C,2,FALSE))),"")</f>
        <v/>
      </c>
      <c r="F396" s="1"/>
      <c r="G396" s="1"/>
      <c r="H396" s="1"/>
      <c r="I396" s="1"/>
    </row>
    <row r="397" spans="1:9" x14ac:dyDescent="0.2">
      <c r="A397" s="1"/>
      <c r="B397" s="1"/>
      <c r="C397" s="1"/>
      <c r="D397" t="str">
        <f>IFERROR(IF(C397="","",IF(B397="موظف",VLOOKUP(C397,الموظفين!$B:$C,2,FALSE),VLOOKUP(C397,المستفيدين!$B:$C,2,FALSE))),"")</f>
        <v/>
      </c>
      <c r="F397" s="1"/>
      <c r="G397" s="1"/>
      <c r="H397" s="1"/>
      <c r="I397" s="1"/>
    </row>
    <row r="398" spans="1:9" x14ac:dyDescent="0.2">
      <c r="A398" s="1"/>
      <c r="B398" s="1"/>
      <c r="C398" s="1"/>
      <c r="D398" t="str">
        <f>IFERROR(IF(C398="","",IF(B398="موظف",VLOOKUP(C398,الموظفين!$B:$C,2,FALSE),VLOOKUP(C398,المستفيدين!$B:$C,2,FALSE))),"")</f>
        <v/>
      </c>
      <c r="F398" s="1"/>
      <c r="G398" s="1"/>
      <c r="H398" s="1"/>
      <c r="I398" s="1"/>
    </row>
    <row r="399" spans="1:9" x14ac:dyDescent="0.2">
      <c r="A399" s="1"/>
      <c r="B399" s="1"/>
      <c r="C399" s="1"/>
      <c r="D399" t="str">
        <f>IFERROR(IF(C399="","",IF(B399="موظف",VLOOKUP(C399,الموظفين!$B:$C,2,FALSE),VLOOKUP(C399,المستفيدين!$B:$C,2,FALSE))),"")</f>
        <v/>
      </c>
      <c r="F399" s="1"/>
      <c r="G399" s="1"/>
      <c r="H399" s="1"/>
      <c r="I399" s="1"/>
    </row>
    <row r="400" spans="1:9" x14ac:dyDescent="0.2">
      <c r="A400" s="1"/>
      <c r="B400" s="1"/>
      <c r="C400" s="1"/>
      <c r="D400" t="str">
        <f>IFERROR(IF(C400="","",IF(B400="موظف",VLOOKUP(C400,الموظفين!$B:$C,2,FALSE),VLOOKUP(C400,المستفيدين!$B:$C,2,FALSE))),"")</f>
        <v/>
      </c>
      <c r="F400" s="1"/>
      <c r="G400" s="1"/>
      <c r="H400" s="1"/>
      <c r="I400" s="1"/>
    </row>
    <row r="401" spans="1:9" x14ac:dyDescent="0.2">
      <c r="A401" s="1"/>
      <c r="B401" s="1"/>
      <c r="C401" s="1"/>
      <c r="D401" t="str">
        <f>IFERROR(IF(C401="","",IF(B401="موظف",VLOOKUP(C401,الموظفين!$B:$C,2,FALSE),VLOOKUP(C401,المستفيدين!$B:$C,2,FALSE))),"")</f>
        <v/>
      </c>
      <c r="F401" s="1"/>
      <c r="G401" s="1"/>
      <c r="H401" s="1"/>
      <c r="I401" s="1"/>
    </row>
    <row r="402" spans="1:9" x14ac:dyDescent="0.2">
      <c r="A402" s="1"/>
      <c r="B402" s="1"/>
      <c r="C402" s="1"/>
      <c r="D402" t="str">
        <f>IFERROR(IF(C402="","",IF(B402="موظف",VLOOKUP(C402,الموظفين!$B:$C,2,FALSE),VLOOKUP(C402,المستفيدين!$B:$C,2,FALSE))),"")</f>
        <v/>
      </c>
      <c r="F402" s="1"/>
      <c r="G402" s="1"/>
      <c r="H402" s="1"/>
      <c r="I402" s="1"/>
    </row>
    <row r="403" spans="1:9" x14ac:dyDescent="0.2">
      <c r="A403" s="1"/>
      <c r="B403" s="1"/>
      <c r="C403" s="1"/>
      <c r="D403" t="str">
        <f>IFERROR(IF(C403="","",IF(B403="موظف",VLOOKUP(C403,الموظفين!$B:$C,2,FALSE),VLOOKUP(C403,المستفيدين!$B:$C,2,FALSE))),"")</f>
        <v/>
      </c>
      <c r="F403" s="1"/>
      <c r="G403" s="1"/>
      <c r="H403" s="1"/>
      <c r="I403" s="1"/>
    </row>
    <row r="404" spans="1:9" x14ac:dyDescent="0.2">
      <c r="A404" s="1"/>
      <c r="B404" s="1"/>
      <c r="C404" s="1"/>
      <c r="D404" t="str">
        <f>IFERROR(IF(C404="","",IF(B404="موظف",VLOOKUP(C404,الموظفين!$B:$C,2,FALSE),VLOOKUP(C404,المستفيدين!$B:$C,2,FALSE))),"")</f>
        <v/>
      </c>
      <c r="F404" s="1"/>
      <c r="G404" s="1"/>
      <c r="H404" s="1"/>
      <c r="I404" s="1"/>
    </row>
    <row r="405" spans="1:9" x14ac:dyDescent="0.2">
      <c r="A405" s="1"/>
      <c r="B405" s="1"/>
      <c r="C405" s="1"/>
      <c r="D405" t="str">
        <f>IFERROR(IF(C405="","",IF(B405="موظف",VLOOKUP(C405,الموظفين!$B:$C,2,FALSE),VLOOKUP(C405,المستفيدين!$B:$C,2,FALSE))),"")</f>
        <v/>
      </c>
      <c r="F405" s="1"/>
      <c r="G405" s="1"/>
      <c r="H405" s="1"/>
      <c r="I405" s="1"/>
    </row>
    <row r="406" spans="1:9" x14ac:dyDescent="0.2">
      <c r="A406" s="1"/>
      <c r="B406" s="1"/>
      <c r="C406" s="1"/>
      <c r="D406" t="str">
        <f>IFERROR(IF(C406="","",IF(B406="موظف",VLOOKUP(C406,الموظفين!$B:$C,2,FALSE),VLOOKUP(C406,المستفيدين!$B:$C,2,FALSE))),"")</f>
        <v/>
      </c>
      <c r="F406" s="1"/>
      <c r="G406" s="1"/>
      <c r="H406" s="1"/>
      <c r="I406" s="1"/>
    </row>
    <row r="407" spans="1:9" x14ac:dyDescent="0.2">
      <c r="A407" s="1"/>
      <c r="B407" s="1"/>
      <c r="C407" s="1"/>
      <c r="D407" t="str">
        <f>IFERROR(IF(C407="","",IF(B407="موظف",VLOOKUP(C407,الموظفين!$B:$C,2,FALSE),VLOOKUP(C407,المستفيدين!$B:$C,2,FALSE))),"")</f>
        <v/>
      </c>
      <c r="F407" s="1"/>
      <c r="G407" s="1"/>
      <c r="H407" s="1"/>
      <c r="I407" s="1"/>
    </row>
    <row r="408" spans="1:9" x14ac:dyDescent="0.2">
      <c r="A408" s="1"/>
      <c r="B408" s="1"/>
      <c r="C408" s="1"/>
      <c r="D408" t="str">
        <f>IFERROR(IF(C408="","",IF(B408="موظف",VLOOKUP(C408,الموظفين!$B:$C,2,FALSE),VLOOKUP(C408,المستفيدين!$B:$C,2,FALSE))),"")</f>
        <v/>
      </c>
      <c r="F408" s="1"/>
      <c r="G408" s="1"/>
      <c r="H408" s="1"/>
      <c r="I408" s="1"/>
    </row>
    <row r="409" spans="1:9" x14ac:dyDescent="0.2">
      <c r="A409" s="1"/>
      <c r="B409" s="1"/>
      <c r="C409" s="1"/>
      <c r="D409" t="str">
        <f>IFERROR(IF(C409="","",IF(B409="موظف",VLOOKUP(C409,الموظفين!$B:$C,2,FALSE),VLOOKUP(C409,المستفيدين!$B:$C,2,FALSE))),"")</f>
        <v/>
      </c>
      <c r="F409" s="1"/>
      <c r="G409" s="1"/>
      <c r="H409" s="1"/>
      <c r="I409" s="1"/>
    </row>
    <row r="410" spans="1:9" x14ac:dyDescent="0.2">
      <c r="A410" s="1"/>
      <c r="B410" s="1"/>
      <c r="C410" s="1"/>
      <c r="D410" t="str">
        <f>IFERROR(IF(C410="","",IF(B410="موظف",VLOOKUP(C410,الموظفين!$B:$C,2,FALSE),VLOOKUP(C410,المستفيدين!$B:$C,2,FALSE))),"")</f>
        <v/>
      </c>
      <c r="F410" s="1"/>
      <c r="G410" s="1"/>
      <c r="H410" s="1"/>
      <c r="I410" s="1"/>
    </row>
    <row r="411" spans="1:9" x14ac:dyDescent="0.2">
      <c r="A411" s="1"/>
      <c r="B411" s="1"/>
      <c r="C411" s="1"/>
      <c r="D411" t="str">
        <f>IFERROR(IF(C411="","",IF(B411="موظف",VLOOKUP(C411,الموظفين!$B:$C,2,FALSE),VLOOKUP(C411,المستفيدين!$B:$C,2,FALSE))),"")</f>
        <v/>
      </c>
      <c r="F411" s="1"/>
      <c r="G411" s="1"/>
      <c r="H411" s="1"/>
      <c r="I411" s="1"/>
    </row>
    <row r="412" spans="1:9" x14ac:dyDescent="0.2">
      <c r="A412" s="1"/>
      <c r="B412" s="1"/>
      <c r="C412" s="1"/>
      <c r="D412" t="str">
        <f>IFERROR(IF(C412="","",IF(B412="موظف",VLOOKUP(C412,الموظفين!$B:$C,2,FALSE),VLOOKUP(C412,المستفيدين!$B:$C,2,FALSE))),"")</f>
        <v/>
      </c>
      <c r="F412" s="1"/>
      <c r="G412" s="1"/>
      <c r="H412" s="1"/>
      <c r="I412" s="1"/>
    </row>
    <row r="413" spans="1:9" x14ac:dyDescent="0.2">
      <c r="A413" s="1"/>
      <c r="B413" s="1"/>
      <c r="C413" s="1"/>
      <c r="D413" t="str">
        <f>IFERROR(IF(C413="","",IF(B413="موظف",VLOOKUP(C413,الموظفين!$B:$C,2,FALSE),VLOOKUP(C413,المستفيدين!$B:$C,2,FALSE))),"")</f>
        <v/>
      </c>
      <c r="F413" s="1"/>
      <c r="G413" s="1"/>
      <c r="H413" s="1"/>
      <c r="I413" s="1"/>
    </row>
    <row r="414" spans="1:9" x14ac:dyDescent="0.2">
      <c r="A414" s="1"/>
      <c r="B414" s="1"/>
      <c r="C414" s="1"/>
      <c r="D414" t="str">
        <f>IFERROR(IF(C414="","",IF(B414="موظف",VLOOKUP(C414,الموظفين!$B:$C,2,FALSE),VLOOKUP(C414,المستفيدين!$B:$C,2,FALSE))),"")</f>
        <v/>
      </c>
      <c r="F414" s="1"/>
      <c r="G414" s="1"/>
      <c r="H414" s="1"/>
      <c r="I414" s="1"/>
    </row>
    <row r="415" spans="1:9" x14ac:dyDescent="0.2">
      <c r="A415" s="1"/>
      <c r="B415" s="1"/>
      <c r="C415" s="1"/>
      <c r="D415" t="str">
        <f>IFERROR(IF(C415="","",IF(B415="موظف",VLOOKUP(C415,الموظفين!$B:$C,2,FALSE),VLOOKUP(C415,المستفيدين!$B:$C,2,FALSE))),"")</f>
        <v/>
      </c>
      <c r="F415" s="1"/>
      <c r="G415" s="1"/>
      <c r="H415" s="1"/>
      <c r="I415" s="1"/>
    </row>
    <row r="416" spans="1:9" x14ac:dyDescent="0.2">
      <c r="A416" s="1"/>
      <c r="B416" s="1"/>
      <c r="C416" s="1"/>
      <c r="D416" t="str">
        <f>IFERROR(IF(C416="","",IF(B416="موظف",VLOOKUP(C416,الموظفين!$B:$C,2,FALSE),VLOOKUP(C416,المستفيدين!$B:$C,2,FALSE))),"")</f>
        <v/>
      </c>
      <c r="F416" s="1"/>
      <c r="G416" s="1"/>
      <c r="H416" s="1"/>
      <c r="I416" s="1"/>
    </row>
    <row r="417" spans="1:9" x14ac:dyDescent="0.2">
      <c r="A417" s="1"/>
      <c r="B417" s="1"/>
      <c r="C417" s="1"/>
      <c r="D417" t="str">
        <f>IFERROR(IF(C417="","",IF(B417="موظف",VLOOKUP(C417,الموظفين!$B:$C,2,FALSE),VLOOKUP(C417,المستفيدين!$B:$C,2,FALSE))),"")</f>
        <v/>
      </c>
      <c r="F417" s="1"/>
      <c r="G417" s="1"/>
      <c r="H417" s="1"/>
      <c r="I417" s="1"/>
    </row>
    <row r="418" spans="1:9" x14ac:dyDescent="0.2">
      <c r="A418" s="1"/>
      <c r="B418" s="1"/>
      <c r="C418" s="1"/>
      <c r="D418" t="str">
        <f>IFERROR(IF(C418="","",IF(B418="موظف",VLOOKUP(C418,الموظفين!$B:$C,2,FALSE),VLOOKUP(C418,المستفيدين!$B:$C,2,FALSE))),"")</f>
        <v/>
      </c>
      <c r="F418" s="1"/>
      <c r="G418" s="1"/>
      <c r="H418" s="1"/>
      <c r="I418" s="1"/>
    </row>
    <row r="419" spans="1:9" x14ac:dyDescent="0.2">
      <c r="A419" s="1"/>
      <c r="B419" s="1"/>
      <c r="C419" s="1"/>
      <c r="D419" t="str">
        <f>IFERROR(IF(C419="","",IF(B419="موظف",VLOOKUP(C419,الموظفين!$B:$C,2,FALSE),VLOOKUP(C419,المستفيدين!$B:$C,2,FALSE))),"")</f>
        <v/>
      </c>
      <c r="F419" s="1"/>
      <c r="G419" s="1"/>
      <c r="H419" s="1"/>
      <c r="I419" s="1"/>
    </row>
    <row r="420" spans="1:9" x14ac:dyDescent="0.2">
      <c r="A420" s="1"/>
      <c r="B420" s="1"/>
      <c r="C420" s="1"/>
      <c r="D420" t="str">
        <f>IFERROR(IF(C420="","",IF(B420="موظف",VLOOKUP(C420,الموظفين!$B:$C,2,FALSE),VLOOKUP(C420,المستفيدين!$B:$C,2,FALSE))),"")</f>
        <v/>
      </c>
      <c r="F420" s="1"/>
      <c r="G420" s="1"/>
      <c r="H420" s="1"/>
      <c r="I420" s="1"/>
    </row>
    <row r="421" spans="1:9" x14ac:dyDescent="0.2">
      <c r="A421" s="1"/>
      <c r="B421" s="1"/>
      <c r="C421" s="1"/>
      <c r="D421" t="str">
        <f>IFERROR(IF(C421="","",IF(B421="موظف",VLOOKUP(C421,الموظفين!$B:$C,2,FALSE),VLOOKUP(C421,المستفيدين!$B:$C,2,FALSE))),"")</f>
        <v/>
      </c>
      <c r="F421" s="1"/>
      <c r="G421" s="1"/>
      <c r="H421" s="1"/>
      <c r="I421" s="1"/>
    </row>
    <row r="422" spans="1:9" x14ac:dyDescent="0.2">
      <c r="A422" s="1"/>
      <c r="B422" s="1"/>
      <c r="C422" s="1"/>
      <c r="D422" t="str">
        <f>IFERROR(IF(C422="","",IF(B422="موظف",VLOOKUP(C422,الموظفين!$B:$C,2,FALSE),VLOOKUP(C422,المستفيدين!$B:$C,2,FALSE))),"")</f>
        <v/>
      </c>
      <c r="F422" s="1"/>
      <c r="G422" s="1"/>
      <c r="H422" s="1"/>
      <c r="I422" s="1"/>
    </row>
    <row r="423" spans="1:9" x14ac:dyDescent="0.2">
      <c r="A423" s="1"/>
      <c r="B423" s="1"/>
      <c r="C423" s="1"/>
      <c r="D423" t="str">
        <f>IFERROR(IF(C423="","",IF(B423="موظف",VLOOKUP(C423,الموظفين!$B:$C,2,FALSE),VLOOKUP(C423,المستفيدين!$B:$C,2,FALSE))),"")</f>
        <v/>
      </c>
      <c r="F423" s="1"/>
      <c r="G423" s="1"/>
      <c r="H423" s="1"/>
      <c r="I423" s="1"/>
    </row>
    <row r="424" spans="1:9" x14ac:dyDescent="0.2">
      <c r="A424" s="1"/>
      <c r="B424" s="1"/>
      <c r="C424" s="1"/>
      <c r="D424" t="str">
        <f>IFERROR(IF(C424="","",IF(B424="موظف",VLOOKUP(C424,الموظفين!$B:$C,2,FALSE),VLOOKUP(C424,المستفيدين!$B:$C,2,FALSE))),"")</f>
        <v/>
      </c>
      <c r="F424" s="1"/>
      <c r="G424" s="1"/>
      <c r="H424" s="1"/>
      <c r="I424" s="1"/>
    </row>
    <row r="425" spans="1:9" x14ac:dyDescent="0.2">
      <c r="A425" s="1"/>
      <c r="B425" s="1"/>
      <c r="C425" s="1"/>
      <c r="D425" t="str">
        <f>IFERROR(IF(C425="","",IF(B425="موظف",VLOOKUP(C425,الموظفين!$B:$C,2,FALSE),VLOOKUP(C425,المستفيدين!$B:$C,2,FALSE))),"")</f>
        <v/>
      </c>
      <c r="F425" s="1"/>
      <c r="G425" s="1"/>
      <c r="H425" s="1"/>
      <c r="I425" s="1"/>
    </row>
    <row r="426" spans="1:9" x14ac:dyDescent="0.2">
      <c r="A426" s="1"/>
      <c r="B426" s="1"/>
      <c r="C426" s="1"/>
      <c r="D426" t="str">
        <f>IFERROR(IF(C426="","",IF(B426="موظف",VLOOKUP(C426,الموظفين!$B:$C,2,FALSE),VLOOKUP(C426,المستفيدين!$B:$C,2,FALSE))),"")</f>
        <v/>
      </c>
      <c r="F426" s="1"/>
      <c r="G426" s="1"/>
      <c r="H426" s="1"/>
      <c r="I426" s="1"/>
    </row>
    <row r="427" spans="1:9" x14ac:dyDescent="0.2">
      <c r="A427" s="1"/>
      <c r="B427" s="1"/>
      <c r="C427" s="1"/>
      <c r="D427" t="str">
        <f>IFERROR(IF(C427="","",IF(B427="موظف",VLOOKUP(C427,الموظفين!$B:$C,2,FALSE),VLOOKUP(C427,المستفيدين!$B:$C,2,FALSE))),"")</f>
        <v/>
      </c>
      <c r="F427" s="1"/>
      <c r="G427" s="1"/>
      <c r="H427" s="1"/>
      <c r="I427" s="1"/>
    </row>
    <row r="428" spans="1:9" x14ac:dyDescent="0.2">
      <c r="A428" s="1"/>
      <c r="B428" s="1"/>
      <c r="C428" s="1"/>
      <c r="D428" t="str">
        <f>IFERROR(IF(C428="","",IF(B428="موظف",VLOOKUP(C428,الموظفين!$B:$C,2,FALSE),VLOOKUP(C428,المستفيدين!$B:$C,2,FALSE))),"")</f>
        <v/>
      </c>
      <c r="F428" s="1"/>
      <c r="G428" s="1"/>
      <c r="H428" s="1"/>
      <c r="I428" s="1"/>
    </row>
    <row r="429" spans="1:9" x14ac:dyDescent="0.2">
      <c r="A429" s="1"/>
      <c r="B429" s="1"/>
      <c r="C429" s="1"/>
      <c r="D429" t="str">
        <f>IFERROR(IF(C429="","",IF(B429="موظف",VLOOKUP(C429,الموظفين!$B:$C,2,FALSE),VLOOKUP(C429,المستفيدين!$B:$C,2,FALSE))),"")</f>
        <v/>
      </c>
      <c r="F429" s="1"/>
      <c r="G429" s="1"/>
      <c r="H429" s="1"/>
      <c r="I429" s="1"/>
    </row>
    <row r="430" spans="1:9" x14ac:dyDescent="0.2">
      <c r="A430" s="1"/>
      <c r="B430" s="1"/>
      <c r="C430" s="1"/>
      <c r="D430" t="str">
        <f>IFERROR(IF(C430="","",IF(B430="موظف",VLOOKUP(C430,الموظفين!$B:$C,2,FALSE),VLOOKUP(C430,المستفيدين!$B:$C,2,FALSE))),"")</f>
        <v/>
      </c>
      <c r="F430" s="1"/>
      <c r="G430" s="1"/>
      <c r="H430" s="1"/>
      <c r="I430" s="1"/>
    </row>
    <row r="431" spans="1:9" x14ac:dyDescent="0.2">
      <c r="A431" s="1"/>
      <c r="B431" s="1"/>
      <c r="C431" s="1"/>
      <c r="D431" t="str">
        <f>IFERROR(IF(C431="","",IF(B431="موظف",VLOOKUP(C431,الموظفين!$B:$C,2,FALSE),VLOOKUP(C431,المستفيدين!$B:$C,2,FALSE))),"")</f>
        <v/>
      </c>
      <c r="F431" s="1"/>
      <c r="G431" s="1"/>
      <c r="H431" s="1"/>
      <c r="I431" s="1"/>
    </row>
    <row r="432" spans="1:9" x14ac:dyDescent="0.2">
      <c r="A432" s="1"/>
      <c r="B432" s="1"/>
      <c r="C432" s="1"/>
      <c r="D432" t="str">
        <f>IFERROR(IF(C432="","",IF(B432="موظف",VLOOKUP(C432,الموظفين!$B:$C,2,FALSE),VLOOKUP(C432,المستفيدين!$B:$C,2,FALSE))),"")</f>
        <v/>
      </c>
      <c r="F432" s="1"/>
      <c r="G432" s="1"/>
      <c r="H432" s="1"/>
      <c r="I432" s="1"/>
    </row>
    <row r="433" spans="1:9" x14ac:dyDescent="0.2">
      <c r="A433" s="1"/>
      <c r="B433" s="1"/>
      <c r="C433" s="1"/>
      <c r="D433" t="str">
        <f>IFERROR(IF(C433="","",IF(B433="موظف",VLOOKUP(C433,الموظفين!$B:$C,2,FALSE),VLOOKUP(C433,المستفيدين!$B:$C,2,FALSE))),"")</f>
        <v/>
      </c>
      <c r="F433" s="1"/>
      <c r="G433" s="1"/>
      <c r="H433" s="1"/>
      <c r="I433" s="1"/>
    </row>
    <row r="434" spans="1:9" x14ac:dyDescent="0.2">
      <c r="A434" s="1"/>
      <c r="B434" s="1"/>
      <c r="C434" s="1"/>
      <c r="D434" t="str">
        <f>IFERROR(IF(C434="","",IF(B434="موظف",VLOOKUP(C434,الموظفين!$B:$C,2,FALSE),VLOOKUP(C434,المستفيدين!$B:$C,2,FALSE))),"")</f>
        <v/>
      </c>
      <c r="F434" s="1"/>
      <c r="G434" s="1"/>
      <c r="H434" s="1"/>
      <c r="I434" s="1"/>
    </row>
    <row r="435" spans="1:9" x14ac:dyDescent="0.2">
      <c r="A435" s="1"/>
      <c r="B435" s="1"/>
      <c r="C435" s="1"/>
      <c r="D435" t="str">
        <f>IFERROR(IF(C435="","",IF(B435="موظف",VLOOKUP(C435,الموظفين!$B:$C,2,FALSE),VLOOKUP(C435,المستفيدين!$B:$C,2,FALSE))),"")</f>
        <v/>
      </c>
      <c r="F435" s="1"/>
      <c r="G435" s="1"/>
      <c r="H435" s="1"/>
      <c r="I435" s="1"/>
    </row>
    <row r="436" spans="1:9" x14ac:dyDescent="0.2">
      <c r="A436" s="1"/>
      <c r="B436" s="1"/>
      <c r="C436" s="1"/>
      <c r="D436" t="str">
        <f>IFERROR(IF(C436="","",IF(B436="موظف",VLOOKUP(C436,الموظفين!$B:$C,2,FALSE),VLOOKUP(C436,المستفيدين!$B:$C,2,FALSE))),"")</f>
        <v/>
      </c>
      <c r="F436" s="1"/>
      <c r="G436" s="1"/>
      <c r="H436" s="1"/>
      <c r="I436" s="1"/>
    </row>
    <row r="437" spans="1:9" x14ac:dyDescent="0.2">
      <c r="A437" s="1"/>
      <c r="B437" s="1"/>
      <c r="C437" s="1"/>
      <c r="D437" t="str">
        <f>IFERROR(IF(C437="","",IF(B437="موظف",VLOOKUP(C437,الموظفين!$B:$C,2,FALSE),VLOOKUP(C437,المستفيدين!$B:$C,2,FALSE))),"")</f>
        <v/>
      </c>
      <c r="F437" s="1"/>
      <c r="G437" s="1"/>
      <c r="H437" s="1"/>
      <c r="I437" s="1"/>
    </row>
    <row r="438" spans="1:9" x14ac:dyDescent="0.2">
      <c r="A438" s="1"/>
      <c r="B438" s="1"/>
      <c r="C438" s="1"/>
      <c r="D438" t="str">
        <f>IFERROR(IF(C438="","",IF(B438="موظف",VLOOKUP(C438,الموظفين!$B:$C,2,FALSE),VLOOKUP(C438,المستفيدين!$B:$C,2,FALSE))),"")</f>
        <v/>
      </c>
      <c r="F438" s="1"/>
      <c r="G438" s="1"/>
      <c r="H438" s="1"/>
      <c r="I438" s="1"/>
    </row>
    <row r="439" spans="1:9" x14ac:dyDescent="0.2">
      <c r="A439" s="1"/>
      <c r="B439" s="1"/>
      <c r="C439" s="1"/>
      <c r="D439" t="str">
        <f>IFERROR(IF(C439="","",IF(B439="موظف",VLOOKUP(C439,الموظفين!$B:$C,2,FALSE),VLOOKUP(C439,المستفيدين!$B:$C,2,FALSE))),"")</f>
        <v/>
      </c>
      <c r="F439" s="1"/>
      <c r="G439" s="1"/>
      <c r="H439" s="1"/>
      <c r="I439" s="1"/>
    </row>
    <row r="440" spans="1:9" x14ac:dyDescent="0.2">
      <c r="A440" s="1"/>
      <c r="B440" s="1"/>
      <c r="C440" s="1"/>
      <c r="D440" t="str">
        <f>IFERROR(IF(C440="","",IF(B440="موظف",VLOOKUP(C440,الموظفين!$B:$C,2,FALSE),VLOOKUP(C440,المستفيدين!$B:$C,2,FALSE))),"")</f>
        <v/>
      </c>
      <c r="F440" s="1"/>
      <c r="G440" s="1"/>
      <c r="H440" s="1"/>
      <c r="I440" s="1"/>
    </row>
    <row r="441" spans="1:9" x14ac:dyDescent="0.2">
      <c r="A441" s="1"/>
      <c r="B441" s="1"/>
      <c r="C441" s="1"/>
      <c r="D441" t="str">
        <f>IFERROR(IF(C441="","",IF(B441="موظف",VLOOKUP(C441,الموظفين!$B:$C,2,FALSE),VLOOKUP(C441,المستفيدين!$B:$C,2,FALSE))),"")</f>
        <v/>
      </c>
      <c r="F441" s="1"/>
      <c r="G441" s="1"/>
      <c r="H441" s="1"/>
      <c r="I441" s="1"/>
    </row>
    <row r="442" spans="1:9" x14ac:dyDescent="0.2">
      <c r="A442" s="1"/>
      <c r="B442" s="1"/>
      <c r="C442" s="1"/>
      <c r="D442" t="str">
        <f>IFERROR(IF(C442="","",IF(B442="موظف",VLOOKUP(C442,الموظفين!$B:$C,2,FALSE),VLOOKUP(C442,المستفيدين!$B:$C,2,FALSE))),"")</f>
        <v/>
      </c>
      <c r="F442" s="1"/>
      <c r="G442" s="1"/>
      <c r="H442" s="1"/>
      <c r="I442" s="1"/>
    </row>
    <row r="443" spans="1:9" x14ac:dyDescent="0.2">
      <c r="A443" s="1"/>
      <c r="B443" s="1"/>
      <c r="C443" s="1"/>
      <c r="D443" t="str">
        <f>IFERROR(IF(C443="","",IF(B443="موظف",VLOOKUP(C443,الموظفين!$B:$C,2,FALSE),VLOOKUP(C443,المستفيدين!$B:$C,2,FALSE))),"")</f>
        <v/>
      </c>
      <c r="F443" s="1"/>
      <c r="G443" s="1"/>
      <c r="H443" s="1"/>
      <c r="I443" s="1"/>
    </row>
    <row r="444" spans="1:9" x14ac:dyDescent="0.2">
      <c r="A444" s="1"/>
      <c r="B444" s="1"/>
      <c r="C444" s="1"/>
      <c r="D444" t="str">
        <f>IFERROR(IF(C444="","",IF(B444="موظف",VLOOKUP(C444,الموظفين!$B:$C,2,FALSE),VLOOKUP(C444,المستفيدين!$B:$C,2,FALSE))),"")</f>
        <v/>
      </c>
      <c r="F444" s="1"/>
      <c r="G444" s="1"/>
      <c r="H444" s="1"/>
      <c r="I444" s="1"/>
    </row>
    <row r="445" spans="1:9" x14ac:dyDescent="0.2">
      <c r="A445" s="1"/>
      <c r="B445" s="1"/>
      <c r="C445" s="1"/>
      <c r="D445" t="str">
        <f>IFERROR(IF(C445="","",IF(B445="موظف",VLOOKUP(C445,الموظفين!$B:$C,2,FALSE),VLOOKUP(C445,المستفيدين!$B:$C,2,FALSE))),"")</f>
        <v/>
      </c>
      <c r="F445" s="1"/>
      <c r="G445" s="1"/>
      <c r="H445" s="1"/>
      <c r="I445" s="1"/>
    </row>
    <row r="446" spans="1:9" x14ac:dyDescent="0.2">
      <c r="A446" s="1"/>
      <c r="B446" s="1"/>
      <c r="C446" s="1"/>
      <c r="D446" t="str">
        <f>IFERROR(IF(C446="","",IF(B446="موظف",VLOOKUP(C446,الموظفين!$B:$C,2,FALSE),VLOOKUP(C446,المستفيدين!$B:$C,2,FALSE))),"")</f>
        <v/>
      </c>
      <c r="F446" s="1"/>
      <c r="G446" s="1"/>
      <c r="H446" s="1"/>
      <c r="I446" s="1"/>
    </row>
    <row r="447" spans="1:9" x14ac:dyDescent="0.2">
      <c r="A447" s="1"/>
      <c r="B447" s="1"/>
      <c r="C447" s="1"/>
      <c r="D447" t="str">
        <f>IFERROR(IF(C447="","",IF(B447="موظف",VLOOKUP(C447,الموظفين!$B:$C,2,FALSE),VLOOKUP(C447,المستفيدين!$B:$C,2,FALSE))),"")</f>
        <v/>
      </c>
      <c r="F447" s="1"/>
      <c r="G447" s="1"/>
      <c r="H447" s="1"/>
      <c r="I447" s="1"/>
    </row>
    <row r="448" spans="1:9" x14ac:dyDescent="0.2">
      <c r="A448" s="1"/>
      <c r="B448" s="1"/>
      <c r="C448" s="1"/>
      <c r="D448" t="str">
        <f>IFERROR(IF(C448="","",IF(B448="موظف",VLOOKUP(C448,الموظفين!$B:$C,2,FALSE),VLOOKUP(C448,المستفيدين!$B:$C,2,FALSE))),"")</f>
        <v/>
      </c>
      <c r="F448" s="1"/>
      <c r="G448" s="1"/>
      <c r="H448" s="1"/>
      <c r="I448" s="1"/>
    </row>
    <row r="449" spans="1:9" x14ac:dyDescent="0.2">
      <c r="A449" s="1"/>
      <c r="B449" s="1"/>
      <c r="C449" s="1"/>
      <c r="D449" t="str">
        <f>IFERROR(IF(C449="","",IF(B449="موظف",VLOOKUP(C449,الموظفين!$B:$C,2,FALSE),VLOOKUP(C449,المستفيدين!$B:$C,2,FALSE))),"")</f>
        <v/>
      </c>
      <c r="F449" s="1"/>
      <c r="G449" s="1"/>
      <c r="H449" s="1"/>
      <c r="I449" s="1"/>
    </row>
    <row r="450" spans="1:9" x14ac:dyDescent="0.2">
      <c r="A450" s="1"/>
      <c r="B450" s="1"/>
      <c r="C450" s="1"/>
      <c r="D450" t="str">
        <f>IFERROR(IF(C450="","",IF(B450="موظف",VLOOKUP(C450,الموظفين!$B:$C,2,FALSE),VLOOKUP(C450,المستفيدين!$B:$C,2,FALSE))),"")</f>
        <v/>
      </c>
      <c r="F450" s="1"/>
      <c r="G450" s="1"/>
      <c r="H450" s="1"/>
      <c r="I450" s="1"/>
    </row>
    <row r="451" spans="1:9" x14ac:dyDescent="0.2">
      <c r="A451" s="1"/>
      <c r="B451" s="1"/>
      <c r="C451" s="1"/>
      <c r="D451" t="str">
        <f>IFERROR(IF(C451="","",IF(B451="موظف",VLOOKUP(C451,الموظفين!$B:$C,2,FALSE),VLOOKUP(C451,المستفيدين!$B:$C,2,FALSE))),"")</f>
        <v/>
      </c>
      <c r="F451" s="1"/>
      <c r="G451" s="1"/>
      <c r="H451" s="1"/>
      <c r="I451" s="1"/>
    </row>
    <row r="452" spans="1:9" x14ac:dyDescent="0.2">
      <c r="A452" s="1"/>
      <c r="B452" s="1"/>
      <c r="C452" s="1"/>
      <c r="D452" t="str">
        <f>IFERROR(IF(C452="","",IF(B452="موظف",VLOOKUP(C452,الموظفين!$B:$C,2,FALSE),VLOOKUP(C452,المستفيدين!$B:$C,2,FALSE))),"")</f>
        <v/>
      </c>
      <c r="F452" s="1"/>
      <c r="G452" s="1"/>
      <c r="H452" s="1"/>
      <c r="I452" s="1"/>
    </row>
    <row r="453" spans="1:9" x14ac:dyDescent="0.2">
      <c r="A453" s="1"/>
      <c r="B453" s="1"/>
      <c r="C453" s="1"/>
      <c r="D453" t="str">
        <f>IFERROR(IF(C453="","",IF(B453="موظف",VLOOKUP(C453,الموظفين!$B:$C,2,FALSE),VLOOKUP(C453,المستفيدين!$B:$C,2,FALSE))),"")</f>
        <v/>
      </c>
      <c r="F453" s="1"/>
      <c r="G453" s="1"/>
      <c r="H453" s="1"/>
      <c r="I453" s="1"/>
    </row>
    <row r="454" spans="1:9" x14ac:dyDescent="0.2">
      <c r="A454" s="1"/>
      <c r="B454" s="1"/>
      <c r="C454" s="1"/>
      <c r="D454" t="str">
        <f>IFERROR(IF(C454="","",IF(B454="موظف",VLOOKUP(C454,الموظفين!$B:$C,2,FALSE),VLOOKUP(C454,المستفيدين!$B:$C,2,FALSE))),"")</f>
        <v/>
      </c>
      <c r="F454" s="1"/>
      <c r="G454" s="1"/>
      <c r="H454" s="1"/>
      <c r="I454" s="1"/>
    </row>
    <row r="455" spans="1:9" x14ac:dyDescent="0.2">
      <c r="A455" s="1"/>
      <c r="B455" s="1"/>
      <c r="C455" s="1"/>
      <c r="D455" t="str">
        <f>IFERROR(IF(C455="","",IF(B455="موظف",VLOOKUP(C455,الموظفين!$B:$C,2,FALSE),VLOOKUP(C455,المستفيدين!$B:$C,2,FALSE))),"")</f>
        <v/>
      </c>
      <c r="F455" s="1"/>
      <c r="G455" s="1"/>
      <c r="H455" s="1"/>
      <c r="I455" s="1"/>
    </row>
    <row r="456" spans="1:9" x14ac:dyDescent="0.2">
      <c r="A456" s="1"/>
      <c r="B456" s="1"/>
      <c r="C456" s="1"/>
      <c r="D456" t="str">
        <f>IFERROR(IF(C456="","",IF(B456="موظف",VLOOKUP(C456,الموظفين!$B:$C,2,FALSE),VLOOKUP(C456,المستفيدين!$B:$C,2,FALSE))),"")</f>
        <v/>
      </c>
      <c r="F456" s="1"/>
      <c r="G456" s="1"/>
      <c r="H456" s="1"/>
      <c r="I456" s="1"/>
    </row>
    <row r="457" spans="1:9" x14ac:dyDescent="0.2">
      <c r="A457" s="1"/>
      <c r="B457" s="1"/>
      <c r="C457" s="1"/>
      <c r="D457" t="str">
        <f>IFERROR(IF(C457="","",IF(B457="موظف",VLOOKUP(C457,الموظفين!$B:$C,2,FALSE),VLOOKUP(C457,المستفيدين!$B:$C,2,FALSE))),"")</f>
        <v/>
      </c>
      <c r="F457" s="1"/>
      <c r="G457" s="1"/>
      <c r="H457" s="1"/>
      <c r="I457" s="1"/>
    </row>
    <row r="458" spans="1:9" x14ac:dyDescent="0.2">
      <c r="A458" s="1"/>
      <c r="B458" s="1"/>
      <c r="C458" s="1"/>
      <c r="D458" t="str">
        <f>IFERROR(IF(C458="","",IF(B458="موظف",VLOOKUP(C458,الموظفين!$B:$C,2,FALSE),VLOOKUP(C458,المستفيدين!$B:$C,2,FALSE))),"")</f>
        <v/>
      </c>
      <c r="F458" s="1"/>
      <c r="G458" s="1"/>
      <c r="H458" s="1"/>
      <c r="I458" s="1"/>
    </row>
    <row r="459" spans="1:9" x14ac:dyDescent="0.2">
      <c r="A459" s="1"/>
      <c r="B459" s="1"/>
      <c r="C459" s="1"/>
      <c r="D459" t="str">
        <f>IFERROR(IF(C459="","",IF(B459="موظف",VLOOKUP(C459,الموظفين!$B:$C,2,FALSE),VLOOKUP(C459,المستفيدين!$B:$C,2,FALSE))),"")</f>
        <v/>
      </c>
      <c r="F459" s="1"/>
      <c r="G459" s="1"/>
      <c r="H459" s="1"/>
      <c r="I459" s="1"/>
    </row>
    <row r="460" spans="1:9" x14ac:dyDescent="0.2">
      <c r="A460" s="1"/>
      <c r="B460" s="1"/>
      <c r="C460" s="1"/>
      <c r="D460" t="str">
        <f>IFERROR(IF(C460="","",IF(B460="موظف",VLOOKUP(C460,الموظفين!$B:$C,2,FALSE),VLOOKUP(C460,المستفيدين!$B:$C,2,FALSE))),"")</f>
        <v/>
      </c>
      <c r="F460" s="1"/>
      <c r="G460" s="1"/>
      <c r="H460" s="1"/>
      <c r="I460" s="1"/>
    </row>
    <row r="461" spans="1:9" x14ac:dyDescent="0.2">
      <c r="A461" s="1"/>
      <c r="B461" s="1"/>
      <c r="C461" s="1"/>
      <c r="D461" t="str">
        <f>IFERROR(IF(C461="","",IF(B461="موظف",VLOOKUP(C461,الموظفين!$B:$C,2,FALSE),VLOOKUP(C461,المستفيدين!$B:$C,2,FALSE))),"")</f>
        <v/>
      </c>
      <c r="F461" s="1"/>
      <c r="G461" s="1"/>
      <c r="H461" s="1"/>
      <c r="I461" s="1"/>
    </row>
    <row r="462" spans="1:9" x14ac:dyDescent="0.2">
      <c r="A462" s="1"/>
      <c r="B462" s="1"/>
      <c r="C462" s="1"/>
      <c r="D462" t="str">
        <f>IFERROR(IF(C462="","",IF(B462="موظف",VLOOKUP(C462,الموظفين!$B:$C,2,FALSE),VLOOKUP(C462,المستفيدين!$B:$C,2,FALSE))),"")</f>
        <v/>
      </c>
      <c r="F462" s="1"/>
      <c r="G462" s="1"/>
      <c r="H462" s="1"/>
      <c r="I462" s="1"/>
    </row>
    <row r="463" spans="1:9" x14ac:dyDescent="0.2">
      <c r="A463" s="1"/>
      <c r="B463" s="1"/>
      <c r="C463" s="1"/>
      <c r="D463" t="str">
        <f>IFERROR(IF(C463="","",IF(B463="موظف",VLOOKUP(C463,الموظفين!$B:$C,2,FALSE),VLOOKUP(C463,المستفيدين!$B:$C,2,FALSE))),"")</f>
        <v/>
      </c>
      <c r="F463" s="1"/>
      <c r="G463" s="1"/>
      <c r="H463" s="1"/>
      <c r="I463" s="1"/>
    </row>
    <row r="464" spans="1:9" x14ac:dyDescent="0.2">
      <c r="A464" s="1"/>
      <c r="B464" s="1"/>
      <c r="C464" s="1"/>
      <c r="D464" t="str">
        <f>IFERROR(IF(C464="","",IF(B464="موظف",VLOOKUP(C464,الموظفين!$B:$C,2,FALSE),VLOOKUP(C464,المستفيدين!$B:$C,2,FALSE))),"")</f>
        <v/>
      </c>
      <c r="F464" s="1"/>
      <c r="G464" s="1"/>
      <c r="H464" s="1"/>
      <c r="I464" s="1"/>
    </row>
    <row r="465" spans="1:9" x14ac:dyDescent="0.2">
      <c r="A465" s="1"/>
      <c r="B465" s="1"/>
      <c r="C465" s="1"/>
      <c r="D465" t="str">
        <f>IFERROR(IF(C465="","",IF(B465="موظف",VLOOKUP(C465,الموظفين!$B:$C,2,FALSE),VLOOKUP(C465,المستفيدين!$B:$C,2,FALSE))),"")</f>
        <v/>
      </c>
      <c r="F465" s="1"/>
      <c r="G465" s="1"/>
      <c r="H465" s="1"/>
      <c r="I465" s="1"/>
    </row>
    <row r="466" spans="1:9" x14ac:dyDescent="0.2">
      <c r="A466" s="1"/>
      <c r="B466" s="1"/>
      <c r="C466" s="1"/>
      <c r="D466" t="str">
        <f>IFERROR(IF(C466="","",IF(B466="موظف",VLOOKUP(C466,الموظفين!$B:$C,2,FALSE),VLOOKUP(C466,المستفيدين!$B:$C,2,FALSE))),"")</f>
        <v/>
      </c>
      <c r="F466" s="1"/>
      <c r="G466" s="1"/>
      <c r="H466" s="1"/>
      <c r="I466" s="1"/>
    </row>
    <row r="467" spans="1:9" x14ac:dyDescent="0.2">
      <c r="A467" s="1"/>
      <c r="B467" s="1"/>
      <c r="C467" s="1"/>
      <c r="D467" t="str">
        <f>IFERROR(IF(C467="","",IF(B467="موظف",VLOOKUP(C467,الموظفين!$B:$C,2,FALSE),VLOOKUP(C467,المستفيدين!$B:$C,2,FALSE))),"")</f>
        <v/>
      </c>
      <c r="F467" s="1"/>
      <c r="G467" s="1"/>
      <c r="H467" s="1"/>
      <c r="I467" s="1"/>
    </row>
    <row r="468" spans="1:9" x14ac:dyDescent="0.2">
      <c r="A468" s="1"/>
      <c r="B468" s="1"/>
      <c r="C468" s="1"/>
      <c r="D468" t="str">
        <f>IFERROR(IF(C468="","",IF(B468="موظف",VLOOKUP(C468,الموظفين!$B:$C,2,FALSE),VLOOKUP(C468,المستفيدين!$B:$C,2,FALSE))),"")</f>
        <v/>
      </c>
      <c r="F468" s="1"/>
      <c r="G468" s="1"/>
      <c r="H468" s="1"/>
      <c r="I468" s="1"/>
    </row>
    <row r="469" spans="1:9" x14ac:dyDescent="0.2">
      <c r="A469" s="1"/>
      <c r="B469" s="1"/>
      <c r="C469" s="1"/>
      <c r="D469" t="str">
        <f>IFERROR(IF(C469="","",IF(B469="موظف",VLOOKUP(C469,الموظفين!$B:$C,2,FALSE),VLOOKUP(C469,المستفيدين!$B:$C,2,FALSE))),"")</f>
        <v/>
      </c>
      <c r="F469" s="1"/>
      <c r="G469" s="1"/>
      <c r="H469" s="1"/>
      <c r="I469" s="1"/>
    </row>
    <row r="470" spans="1:9" x14ac:dyDescent="0.2">
      <c r="A470" s="1"/>
      <c r="B470" s="1"/>
      <c r="C470" s="1"/>
      <c r="D470" t="str">
        <f>IFERROR(IF(C470="","",IF(B470="موظف",VLOOKUP(C470,الموظفين!$B:$C,2,FALSE),VLOOKUP(C470,المستفيدين!$B:$C,2,FALSE))),"")</f>
        <v/>
      </c>
      <c r="F470" s="1"/>
      <c r="G470" s="1"/>
      <c r="H470" s="1"/>
      <c r="I470" s="1"/>
    </row>
    <row r="471" spans="1:9" x14ac:dyDescent="0.2">
      <c r="A471" s="1"/>
      <c r="B471" s="1"/>
      <c r="C471" s="1"/>
      <c r="D471" t="str">
        <f>IFERROR(IF(C471="","",IF(B471="موظف",VLOOKUP(C471,الموظفين!$B:$C,2,FALSE),VLOOKUP(C471,المستفيدين!$B:$C,2,FALSE))),"")</f>
        <v/>
      </c>
      <c r="F471" s="1"/>
      <c r="G471" s="1"/>
      <c r="H471" s="1"/>
      <c r="I471" s="1"/>
    </row>
    <row r="472" spans="1:9" x14ac:dyDescent="0.2">
      <c r="A472" s="1"/>
      <c r="B472" s="1"/>
      <c r="C472" s="1"/>
      <c r="D472" t="str">
        <f>IFERROR(IF(C472="","",IF(B472="موظف",VLOOKUP(C472,الموظفين!$B:$C,2,FALSE),VLOOKUP(C472,المستفيدين!$B:$C,2,FALSE))),"")</f>
        <v/>
      </c>
      <c r="F472" s="1"/>
      <c r="G472" s="1"/>
      <c r="H472" s="1"/>
      <c r="I472" s="1"/>
    </row>
    <row r="473" spans="1:9" x14ac:dyDescent="0.2">
      <c r="A473" s="1"/>
      <c r="B473" s="1"/>
      <c r="C473" s="1"/>
      <c r="D473" t="str">
        <f>IFERROR(IF(C473="","",IF(B473="موظف",VLOOKUP(C473,الموظفين!$B:$C,2,FALSE),VLOOKUP(C473,المستفيدين!$B:$C,2,FALSE))),"")</f>
        <v/>
      </c>
      <c r="F473" s="1"/>
      <c r="G473" s="1"/>
      <c r="H473" s="1"/>
      <c r="I473" s="1"/>
    </row>
    <row r="474" spans="1:9" x14ac:dyDescent="0.2">
      <c r="A474" s="1"/>
      <c r="B474" s="1"/>
      <c r="C474" s="1"/>
      <c r="D474" t="str">
        <f>IFERROR(IF(C474="","",IF(B474="موظف",VLOOKUP(C474,الموظفين!$B:$C,2,FALSE),VLOOKUP(C474,المستفيدين!$B:$C,2,FALSE))),"")</f>
        <v/>
      </c>
      <c r="F474" s="1"/>
      <c r="G474" s="1"/>
      <c r="H474" s="1"/>
      <c r="I474" s="1"/>
    </row>
    <row r="475" spans="1:9" x14ac:dyDescent="0.2">
      <c r="A475" s="1"/>
      <c r="B475" s="1"/>
      <c r="C475" s="1"/>
      <c r="D475" t="str">
        <f>IFERROR(IF(C475="","",IF(B475="موظف",VLOOKUP(C475,الموظفين!$B:$C,2,FALSE),VLOOKUP(C475,المستفيدين!$B:$C,2,FALSE))),"")</f>
        <v/>
      </c>
      <c r="F475" s="1"/>
      <c r="G475" s="1"/>
      <c r="H475" s="1"/>
      <c r="I475" s="1"/>
    </row>
    <row r="476" spans="1:9" x14ac:dyDescent="0.2">
      <c r="A476" s="1"/>
      <c r="B476" s="1"/>
      <c r="C476" s="1"/>
      <c r="D476" t="str">
        <f>IFERROR(IF(C476="","",IF(B476="موظف",VLOOKUP(C476,الموظفين!$B:$C,2,FALSE),VLOOKUP(C476,المستفيدين!$B:$C,2,FALSE))),"")</f>
        <v/>
      </c>
      <c r="F476" s="1"/>
      <c r="G476" s="1"/>
      <c r="H476" s="1"/>
      <c r="I476" s="1"/>
    </row>
    <row r="477" spans="1:9" x14ac:dyDescent="0.2">
      <c r="A477" s="1"/>
      <c r="B477" s="1"/>
      <c r="C477" s="1"/>
      <c r="D477" t="str">
        <f>IFERROR(IF(C477="","",IF(B477="موظف",VLOOKUP(C477,الموظفين!$B:$C,2,FALSE),VLOOKUP(C477,المستفيدين!$B:$C,2,FALSE))),"")</f>
        <v/>
      </c>
      <c r="F477" s="1"/>
      <c r="G477" s="1"/>
      <c r="H477" s="1"/>
      <c r="I477" s="1"/>
    </row>
    <row r="478" spans="1:9" x14ac:dyDescent="0.2">
      <c r="A478" s="1"/>
      <c r="B478" s="1"/>
      <c r="C478" s="1"/>
      <c r="D478" t="str">
        <f>IFERROR(IF(C478="","",IF(B478="موظف",VLOOKUP(C478,الموظفين!$B:$C,2,FALSE),VLOOKUP(C478,المستفيدين!$B:$C,2,FALSE))),"")</f>
        <v/>
      </c>
      <c r="F478" s="1"/>
      <c r="G478" s="1"/>
      <c r="H478" s="1"/>
      <c r="I478" s="1"/>
    </row>
    <row r="479" spans="1:9" x14ac:dyDescent="0.2">
      <c r="A479" s="1"/>
      <c r="B479" s="1"/>
      <c r="C479" s="1"/>
      <c r="D479" t="str">
        <f>IFERROR(IF(C479="","",IF(B479="موظف",VLOOKUP(C479,الموظفين!$B:$C,2,FALSE),VLOOKUP(C479,المستفيدين!$B:$C,2,FALSE))),"")</f>
        <v/>
      </c>
      <c r="F479" s="1"/>
      <c r="G479" s="1"/>
      <c r="H479" s="1"/>
      <c r="I479" s="1"/>
    </row>
    <row r="480" spans="1:9" x14ac:dyDescent="0.2">
      <c r="A480" s="1"/>
      <c r="B480" s="1"/>
      <c r="C480" s="1"/>
      <c r="D480" t="str">
        <f>IFERROR(IF(C480="","",IF(B480="موظف",VLOOKUP(C480,الموظفين!$B:$C,2,FALSE),VLOOKUP(C480,المستفيدين!$B:$C,2,FALSE))),"")</f>
        <v/>
      </c>
      <c r="F480" s="1"/>
      <c r="G480" s="1"/>
      <c r="H480" s="1"/>
      <c r="I480" s="1"/>
    </row>
    <row r="481" spans="1:9" x14ac:dyDescent="0.2">
      <c r="A481" s="1"/>
      <c r="B481" s="1"/>
      <c r="C481" s="1"/>
      <c r="D481" t="str">
        <f>IFERROR(IF(C481="","",IF(B481="موظف",VLOOKUP(C481,الموظفين!$B:$C,2,FALSE),VLOOKUP(C481,المستفيدين!$B:$C,2,FALSE))),"")</f>
        <v/>
      </c>
      <c r="F481" s="1"/>
      <c r="G481" s="1"/>
      <c r="H481" s="1"/>
      <c r="I481" s="1"/>
    </row>
    <row r="482" spans="1:9" x14ac:dyDescent="0.2">
      <c r="A482" s="1"/>
      <c r="B482" s="1"/>
      <c r="C482" s="1"/>
      <c r="D482" t="str">
        <f>IFERROR(IF(C482="","",IF(B482="موظف",VLOOKUP(C482,الموظفين!$B:$C,2,FALSE),VLOOKUP(C482,المستفيدين!$B:$C,2,FALSE))),"")</f>
        <v/>
      </c>
      <c r="F482" s="1"/>
      <c r="G482" s="1"/>
      <c r="H482" s="1"/>
      <c r="I482" s="1"/>
    </row>
    <row r="483" spans="1:9" x14ac:dyDescent="0.2">
      <c r="A483" s="1"/>
      <c r="B483" s="1"/>
      <c r="C483" s="1"/>
      <c r="D483" t="str">
        <f>IFERROR(IF(C483="","",IF(B483="موظف",VLOOKUP(C483,الموظفين!$B:$C,2,FALSE),VLOOKUP(C483,المستفيدين!$B:$C,2,FALSE))),"")</f>
        <v/>
      </c>
      <c r="F483" s="1"/>
      <c r="G483" s="1"/>
      <c r="H483" s="1"/>
      <c r="I483" s="1"/>
    </row>
    <row r="484" spans="1:9" x14ac:dyDescent="0.2">
      <c r="A484" s="1"/>
      <c r="B484" s="1"/>
      <c r="C484" s="1"/>
      <c r="D484" t="str">
        <f>IFERROR(IF(C484="","",IF(B484="موظف",VLOOKUP(C484,الموظفين!$B:$C,2,FALSE),VLOOKUP(C484,المستفيدين!$B:$C,2,FALSE))),"")</f>
        <v/>
      </c>
      <c r="F484" s="1"/>
      <c r="G484" s="1"/>
      <c r="H484" s="1"/>
      <c r="I484" s="1"/>
    </row>
    <row r="485" spans="1:9" x14ac:dyDescent="0.2">
      <c r="A485" s="1"/>
      <c r="B485" s="1"/>
      <c r="C485" s="1"/>
      <c r="D485" t="str">
        <f>IFERROR(IF(C485="","",IF(B485="موظف",VLOOKUP(C485,الموظفين!$B:$C,2,FALSE),VLOOKUP(C485,المستفيدين!$B:$C,2,FALSE))),"")</f>
        <v/>
      </c>
      <c r="F485" s="1"/>
      <c r="G485" s="1"/>
      <c r="H485" s="1"/>
      <c r="I485" s="1"/>
    </row>
    <row r="486" spans="1:9" x14ac:dyDescent="0.2">
      <c r="A486" s="1"/>
      <c r="B486" s="1"/>
      <c r="C486" s="1"/>
      <c r="D486" t="str">
        <f>IFERROR(IF(C486="","",IF(B486="موظف",VLOOKUP(C486,الموظفين!$B:$C,2,FALSE),VLOOKUP(C486,المستفيدين!$B:$C,2,FALSE))),"")</f>
        <v/>
      </c>
      <c r="F486" s="1"/>
      <c r="G486" s="1"/>
      <c r="H486" s="1"/>
      <c r="I486" s="1"/>
    </row>
    <row r="487" spans="1:9" x14ac:dyDescent="0.2">
      <c r="A487" s="1"/>
      <c r="B487" s="1"/>
      <c r="C487" s="1"/>
      <c r="D487" t="str">
        <f>IFERROR(IF(C487="","",IF(B487="موظف",VLOOKUP(C487,الموظفين!$B:$C,2,FALSE),VLOOKUP(C487,المستفيدين!$B:$C,2,FALSE))),"")</f>
        <v/>
      </c>
      <c r="F487" s="1"/>
      <c r="G487" s="1"/>
      <c r="H487" s="1"/>
      <c r="I487" s="1"/>
    </row>
    <row r="488" spans="1:9" x14ac:dyDescent="0.2">
      <c r="A488" s="1"/>
      <c r="B488" s="1"/>
      <c r="C488" s="1"/>
      <c r="D488" t="str">
        <f>IFERROR(IF(C488="","",IF(B488="موظف",VLOOKUP(C488,الموظفين!$B:$C,2,FALSE),VLOOKUP(C488,المستفيدين!$B:$C,2,FALSE))),"")</f>
        <v/>
      </c>
      <c r="F488" s="1"/>
      <c r="G488" s="1"/>
      <c r="H488" s="1"/>
      <c r="I488" s="1"/>
    </row>
    <row r="489" spans="1:9" x14ac:dyDescent="0.2">
      <c r="A489" s="1"/>
      <c r="B489" s="1"/>
      <c r="C489" s="1"/>
      <c r="D489" t="str">
        <f>IFERROR(IF(C489="","",IF(B489="موظف",VLOOKUP(C489,الموظفين!$B:$C,2,FALSE),VLOOKUP(C489,المستفيدين!$B:$C,2,FALSE))),"")</f>
        <v/>
      </c>
      <c r="F489" s="1"/>
      <c r="G489" s="1"/>
      <c r="H489" s="1"/>
      <c r="I489" s="1"/>
    </row>
    <row r="490" spans="1:9" x14ac:dyDescent="0.2">
      <c r="A490" s="1"/>
      <c r="B490" s="1"/>
      <c r="C490" s="1"/>
      <c r="D490" t="str">
        <f>IFERROR(IF(C490="","",IF(B490="موظف",VLOOKUP(C490,الموظفين!$B:$C,2,FALSE),VLOOKUP(C490,المستفيدين!$B:$C,2,FALSE))),"")</f>
        <v/>
      </c>
      <c r="F490" s="1"/>
      <c r="G490" s="1"/>
      <c r="H490" s="1"/>
      <c r="I490" s="1"/>
    </row>
    <row r="491" spans="1:9" x14ac:dyDescent="0.2">
      <c r="A491" s="1"/>
      <c r="B491" s="1"/>
      <c r="C491" s="1"/>
      <c r="D491" t="str">
        <f>IFERROR(IF(C491="","",IF(B491="موظف",VLOOKUP(C491,الموظفين!$B:$C,2,FALSE),VLOOKUP(C491,المستفيدين!$B:$C,2,FALSE))),"")</f>
        <v/>
      </c>
      <c r="F491" s="1"/>
      <c r="G491" s="1"/>
      <c r="H491" s="1"/>
      <c r="I491" s="1"/>
    </row>
    <row r="492" spans="1:9" x14ac:dyDescent="0.2">
      <c r="A492" s="1"/>
      <c r="B492" s="1"/>
      <c r="C492" s="1"/>
      <c r="D492" t="str">
        <f>IFERROR(IF(C492="","",IF(B492="موظف",VLOOKUP(C492,الموظفين!$B:$C,2,FALSE),VLOOKUP(C492,المستفيدين!$B:$C,2,FALSE))),"")</f>
        <v/>
      </c>
      <c r="F492" s="1"/>
      <c r="G492" s="1"/>
      <c r="H492" s="1"/>
      <c r="I492" s="1"/>
    </row>
    <row r="493" spans="1:9" x14ac:dyDescent="0.2">
      <c r="A493" s="1"/>
      <c r="B493" s="1"/>
      <c r="C493" s="1"/>
      <c r="D493" t="str">
        <f>IFERROR(IF(C493="","",IF(B493="موظف",VLOOKUP(C493,الموظفين!$B:$C,2,FALSE),VLOOKUP(C493,المستفيدين!$B:$C,2,FALSE))),"")</f>
        <v/>
      </c>
      <c r="F493" s="1"/>
      <c r="G493" s="1"/>
      <c r="H493" s="1"/>
      <c r="I493" s="1"/>
    </row>
    <row r="494" spans="1:9" x14ac:dyDescent="0.2">
      <c r="A494" s="1"/>
      <c r="B494" s="1"/>
      <c r="C494" s="1"/>
      <c r="D494" t="str">
        <f>IFERROR(IF(C494="","",IF(B494="موظف",VLOOKUP(C494,الموظفين!$B:$C,2,FALSE),VLOOKUP(C494,المستفيدين!$B:$C,2,FALSE))),"")</f>
        <v/>
      </c>
      <c r="F494" s="1"/>
      <c r="G494" s="1"/>
      <c r="H494" s="1"/>
      <c r="I494" s="1"/>
    </row>
    <row r="495" spans="1:9" x14ac:dyDescent="0.2">
      <c r="A495" s="1"/>
      <c r="B495" s="1"/>
      <c r="C495" s="1"/>
      <c r="D495" t="str">
        <f>IFERROR(IF(C495="","",IF(B495="موظف",VLOOKUP(C495,الموظفين!$B:$C,2,FALSE),VLOOKUP(C495,المستفيدين!$B:$C,2,FALSE))),"")</f>
        <v/>
      </c>
      <c r="F495" s="1"/>
      <c r="G495" s="1"/>
      <c r="H495" s="1"/>
      <c r="I495" s="1"/>
    </row>
    <row r="496" spans="1:9" x14ac:dyDescent="0.2">
      <c r="A496" s="1"/>
      <c r="B496" s="1"/>
      <c r="C496" s="1"/>
      <c r="D496" t="str">
        <f>IFERROR(IF(C496="","",IF(B496="موظف",VLOOKUP(C496,الموظفين!$B:$C,2,FALSE),VLOOKUP(C496,المستفيدين!$B:$C,2,FALSE))),"")</f>
        <v/>
      </c>
      <c r="F496" s="1"/>
      <c r="G496" s="1"/>
      <c r="H496" s="1"/>
      <c r="I496" s="1"/>
    </row>
    <row r="497" spans="1:9" x14ac:dyDescent="0.2">
      <c r="A497" s="1"/>
      <c r="B497" s="1"/>
      <c r="C497" s="1"/>
      <c r="D497" t="str">
        <f>IFERROR(IF(C497="","",IF(B497="موظف",VLOOKUP(C497,الموظفين!$B:$C,2,FALSE),VLOOKUP(C497,المستفيدين!$B:$C,2,FALSE))),"")</f>
        <v/>
      </c>
      <c r="F497" s="1"/>
      <c r="G497" s="1"/>
      <c r="H497" s="1"/>
      <c r="I497" s="1"/>
    </row>
    <row r="498" spans="1:9" x14ac:dyDescent="0.2">
      <c r="A498" s="1"/>
      <c r="B498" s="1"/>
      <c r="C498" s="1"/>
      <c r="D498" t="str">
        <f>IFERROR(IF(C498="","",IF(B498="موظف",VLOOKUP(C498,الموظفين!$B:$C,2,FALSE),VLOOKUP(C498,المستفيدين!$B:$C,2,FALSE))),"")</f>
        <v/>
      </c>
      <c r="F498" s="1"/>
      <c r="G498" s="1"/>
      <c r="H498" s="1"/>
      <c r="I498" s="1"/>
    </row>
    <row r="499" spans="1:9" x14ac:dyDescent="0.2">
      <c r="A499" s="1"/>
      <c r="B499" s="1"/>
      <c r="C499" s="1"/>
      <c r="D499" t="str">
        <f>IFERROR(IF(C499="","",IF(B499="موظف",VLOOKUP(C499,الموظفين!$B:$C,2,FALSE),VLOOKUP(C499,المستفيدين!$B:$C,2,FALSE))),"")</f>
        <v/>
      </c>
      <c r="F499" s="1"/>
      <c r="G499" s="1"/>
      <c r="H499" s="1"/>
      <c r="I499" s="1"/>
    </row>
    <row r="500" spans="1:9" x14ac:dyDescent="0.2">
      <c r="A500" s="1"/>
      <c r="B500" s="1"/>
      <c r="C500" s="1"/>
      <c r="D500" t="str">
        <f>IFERROR(IF(C500="","",IF(B500="موظف",VLOOKUP(C500,الموظفين!$B:$C,2,FALSE),VLOOKUP(C500,المستفيدين!$B:$C,2,FALSE))),"")</f>
        <v/>
      </c>
      <c r="F500" s="1"/>
      <c r="G500" s="1"/>
      <c r="H500" s="1"/>
      <c r="I500" s="1"/>
    </row>
    <row r="501" spans="1:9" x14ac:dyDescent="0.2">
      <c r="A501" s="1"/>
      <c r="B501" s="1"/>
      <c r="C501" s="1"/>
      <c r="D501" t="str">
        <f>IFERROR(IF(C501="","",IF(B501="موظف",VLOOKUP(C501,الموظفين!$B:$C,2,FALSE),VLOOKUP(C501,المستفيدين!$B:$C,2,FALSE))),"")</f>
        <v/>
      </c>
      <c r="F501" s="1"/>
      <c r="G501" s="1"/>
      <c r="H501" s="1"/>
      <c r="I501" s="1"/>
    </row>
    <row r="502" spans="1:9" x14ac:dyDescent="0.2">
      <c r="A502" s="1"/>
      <c r="B502" s="1"/>
      <c r="C502" s="1"/>
      <c r="D502" t="str">
        <f>IFERROR(IF(C502="","",IF(B502="موظف",VLOOKUP(C502,الموظفين!$B:$C,2,FALSE),VLOOKUP(C502,المستفيدين!$B:$C,2,FALSE))),"")</f>
        <v/>
      </c>
      <c r="F502" s="1"/>
      <c r="G502" s="1"/>
      <c r="H502" s="1"/>
      <c r="I502" s="1"/>
    </row>
    <row r="503" spans="1:9" x14ac:dyDescent="0.2">
      <c r="A503" s="1"/>
      <c r="B503" s="1"/>
      <c r="C503" s="1"/>
      <c r="D503" t="str">
        <f>IFERROR(IF(C503="","",IF(B503="موظف",VLOOKUP(C503,الموظفين!$B:$C,2,FALSE),VLOOKUP(C503,المستفيدين!$B:$C,2,FALSE))),"")</f>
        <v/>
      </c>
      <c r="F503" s="1"/>
      <c r="G503" s="1"/>
      <c r="H503" s="1"/>
      <c r="I503" s="1"/>
    </row>
    <row r="504" spans="1:9" x14ac:dyDescent="0.2">
      <c r="A504" s="1"/>
      <c r="B504" s="1"/>
      <c r="C504" s="1"/>
      <c r="D504" t="str">
        <f>IFERROR(IF(C504="","",IF(B504="موظف",VLOOKUP(C504,الموظفين!$B:$C,2,FALSE),VLOOKUP(C504,المستفيدين!$B:$C,2,FALSE))),"")</f>
        <v/>
      </c>
      <c r="F504" s="1"/>
      <c r="G504" s="1"/>
      <c r="H504" s="1"/>
      <c r="I504" s="1"/>
    </row>
    <row r="505" spans="1:9" x14ac:dyDescent="0.2">
      <c r="A505" s="1"/>
      <c r="B505" s="1"/>
      <c r="C505" s="1"/>
      <c r="D505" t="str">
        <f>IFERROR(IF(C505="","",IF(B505="موظف",VLOOKUP(C505,الموظفين!$B:$C,2,FALSE),VLOOKUP(C505,المستفيدين!$B:$C,2,FALSE))),"")</f>
        <v/>
      </c>
      <c r="F505" s="1"/>
      <c r="G505" s="1"/>
      <c r="H505" s="1"/>
      <c r="I505" s="1"/>
    </row>
    <row r="506" spans="1:9" x14ac:dyDescent="0.2">
      <c r="A506" s="1"/>
      <c r="B506" s="1"/>
      <c r="C506" s="1"/>
      <c r="D506" t="str">
        <f>IFERROR(IF(C506="","",IF(B506="موظف",VLOOKUP(C506,الموظفين!$B:$C,2,FALSE),VLOOKUP(C506,المستفيدين!$B:$C,2,FALSE))),"")</f>
        <v/>
      </c>
      <c r="F506" s="1"/>
      <c r="G506" s="1"/>
      <c r="H506" s="1"/>
      <c r="I506" s="1"/>
    </row>
    <row r="507" spans="1:9" x14ac:dyDescent="0.2">
      <c r="A507" s="1"/>
      <c r="B507" s="1"/>
      <c r="C507" s="1"/>
      <c r="D507" t="str">
        <f>IFERROR(IF(C507="","",IF(B507="موظف",VLOOKUP(C507,الموظفين!$B:$C,2,FALSE),VLOOKUP(C507,المستفيدين!$B:$C,2,FALSE))),"")</f>
        <v/>
      </c>
      <c r="F507" s="1"/>
      <c r="G507" s="1"/>
      <c r="H507" s="1"/>
      <c r="I507" s="1"/>
    </row>
    <row r="508" spans="1:9" x14ac:dyDescent="0.2">
      <c r="A508" s="1"/>
      <c r="B508" s="1"/>
      <c r="C508" s="1"/>
      <c r="D508" t="str">
        <f>IFERROR(IF(C508="","",IF(B508="موظف",VLOOKUP(C508,الموظفين!$B:$C,2,FALSE),VLOOKUP(C508,المستفيدين!$B:$C,2,FALSE))),"")</f>
        <v/>
      </c>
      <c r="F508" s="1"/>
      <c r="G508" s="1"/>
      <c r="H508" s="1"/>
      <c r="I508" s="1"/>
    </row>
    <row r="509" spans="1:9" x14ac:dyDescent="0.2">
      <c r="A509" s="1"/>
      <c r="B509" s="1"/>
      <c r="C509" s="1"/>
      <c r="D509" t="str">
        <f>IFERROR(IF(C509="","",IF(B509="موظف",VLOOKUP(C509,الموظفين!$B:$C,2,FALSE),VLOOKUP(C509,المستفيدين!$B:$C,2,FALSE))),"")</f>
        <v/>
      </c>
      <c r="F509" s="1"/>
      <c r="G509" s="1"/>
      <c r="H509" s="1"/>
      <c r="I509" s="1"/>
    </row>
    <row r="510" spans="1:9" x14ac:dyDescent="0.2">
      <c r="A510" s="1"/>
      <c r="B510" s="1"/>
      <c r="C510" s="1"/>
      <c r="D510" t="str">
        <f>IFERROR(IF(C510="","",IF(B510="موظف",VLOOKUP(C510,الموظفين!$B:$C,2,FALSE),VLOOKUP(C510,المستفيدين!$B:$C,2,FALSE))),"")</f>
        <v/>
      </c>
      <c r="F510" s="1"/>
      <c r="G510" s="1"/>
      <c r="H510" s="1"/>
      <c r="I510" s="1"/>
    </row>
    <row r="511" spans="1:9" x14ac:dyDescent="0.2">
      <c r="A511" s="1"/>
      <c r="B511" s="1"/>
      <c r="C511" s="1"/>
      <c r="D511" t="str">
        <f>IFERROR(IF(C511="","",IF(B511="موظف",VLOOKUP(C511,الموظفين!$B:$C,2,FALSE),VLOOKUP(C511,المستفيدين!$B:$C,2,FALSE))),"")</f>
        <v/>
      </c>
      <c r="F511" s="1"/>
      <c r="G511" s="1"/>
      <c r="H511" s="1"/>
      <c r="I511" s="1"/>
    </row>
    <row r="512" spans="1:9" x14ac:dyDescent="0.2">
      <c r="A512" s="1"/>
      <c r="B512" s="1"/>
      <c r="C512" s="1"/>
      <c r="D512" t="str">
        <f>IFERROR(IF(C512="","",IF(B512="موظف",VLOOKUP(C512,الموظفين!$B:$C,2,FALSE),VLOOKUP(C512,المستفيدين!$B:$C,2,FALSE))),"")</f>
        <v/>
      </c>
      <c r="F512" s="1"/>
      <c r="G512" s="1"/>
      <c r="H512" s="1"/>
      <c r="I512" s="1"/>
    </row>
    <row r="513" spans="1:9" x14ac:dyDescent="0.2">
      <c r="A513" s="1"/>
      <c r="B513" s="1"/>
      <c r="C513" s="1"/>
      <c r="D513" t="str">
        <f>IFERROR(IF(C513="","",IF(B513="موظف",VLOOKUP(C513,الموظفين!$B:$C,2,FALSE),VLOOKUP(C513,المستفيدين!$B:$C,2,FALSE))),"")</f>
        <v/>
      </c>
      <c r="F513" s="1"/>
      <c r="G513" s="1"/>
      <c r="H513" s="1"/>
      <c r="I513" s="1"/>
    </row>
    <row r="514" spans="1:9" x14ac:dyDescent="0.2">
      <c r="A514" s="1"/>
      <c r="B514" s="1"/>
      <c r="C514" s="1"/>
      <c r="D514" t="str">
        <f>IFERROR(IF(C514="","",IF(B514="موظف",VLOOKUP(C514,الموظفين!$B:$C,2,FALSE),VLOOKUP(C514,المستفيدين!$B:$C,2,FALSE))),"")</f>
        <v/>
      </c>
      <c r="F514" s="1"/>
      <c r="G514" s="1"/>
      <c r="H514" s="1"/>
      <c r="I514" s="1"/>
    </row>
    <row r="515" spans="1:9" x14ac:dyDescent="0.2">
      <c r="A515" s="1"/>
      <c r="B515" s="1"/>
      <c r="C515" s="1"/>
      <c r="D515" t="str">
        <f>IFERROR(IF(C515="","",IF(B515="موظف",VLOOKUP(C515,الموظفين!$B:$C,2,FALSE),VLOOKUP(C515,المستفيدين!$B:$C,2,FALSE))),"")</f>
        <v/>
      </c>
      <c r="F515" s="1"/>
      <c r="G515" s="1"/>
      <c r="H515" s="1"/>
      <c r="I515" s="1"/>
    </row>
    <row r="516" spans="1:9" x14ac:dyDescent="0.2">
      <c r="A516" s="1"/>
      <c r="B516" s="1"/>
      <c r="C516" s="1"/>
      <c r="D516" t="str">
        <f>IFERROR(IF(C516="","",IF(B516="موظف",VLOOKUP(C516,الموظفين!$B:$C,2,FALSE),VLOOKUP(C516,المستفيدين!$B:$C,2,FALSE))),"")</f>
        <v/>
      </c>
      <c r="F516" s="1"/>
      <c r="G516" s="1"/>
      <c r="H516" s="1"/>
      <c r="I516" s="1"/>
    </row>
    <row r="517" spans="1:9" x14ac:dyDescent="0.2">
      <c r="A517" s="1"/>
      <c r="B517" s="1"/>
      <c r="C517" s="1"/>
      <c r="D517" t="str">
        <f>IFERROR(IF(C517="","",IF(B517="موظف",VLOOKUP(C517,الموظفين!$B:$C,2,FALSE),VLOOKUP(C517,المستفيدين!$B:$C,2,FALSE))),"")</f>
        <v/>
      </c>
      <c r="F517" s="1"/>
      <c r="G517" s="1"/>
      <c r="H517" s="1"/>
      <c r="I517" s="1"/>
    </row>
    <row r="518" spans="1:9" x14ac:dyDescent="0.2">
      <c r="A518" s="1"/>
      <c r="B518" s="1"/>
      <c r="C518" s="1"/>
      <c r="D518" t="str">
        <f>IFERROR(IF(C518="","",IF(B518="موظف",VLOOKUP(C518,الموظفين!$B:$C,2,FALSE),VLOOKUP(C518,المستفيدين!$B:$C,2,FALSE))),"")</f>
        <v/>
      </c>
      <c r="F518" s="1"/>
      <c r="G518" s="1"/>
      <c r="H518" s="1"/>
      <c r="I518" s="1"/>
    </row>
    <row r="519" spans="1:9" x14ac:dyDescent="0.2">
      <c r="A519" s="1"/>
      <c r="B519" s="1"/>
      <c r="C519" s="1"/>
      <c r="D519" t="str">
        <f>IFERROR(IF(C519="","",IF(B519="موظف",VLOOKUP(C519,الموظفين!$B:$C,2,FALSE),VLOOKUP(C519,المستفيدين!$B:$C,2,FALSE))),"")</f>
        <v/>
      </c>
      <c r="F519" s="1"/>
      <c r="G519" s="1"/>
      <c r="H519" s="1"/>
      <c r="I519" s="1"/>
    </row>
    <row r="520" spans="1:9" x14ac:dyDescent="0.2">
      <c r="A520" s="1"/>
      <c r="B520" s="1"/>
      <c r="C520" s="1"/>
      <c r="D520" t="str">
        <f>IFERROR(IF(C520="","",IF(B520="موظف",VLOOKUP(C520,الموظفين!$B:$C,2,FALSE),VLOOKUP(C520,المستفيدين!$B:$C,2,FALSE))),"")</f>
        <v/>
      </c>
      <c r="F520" s="1"/>
      <c r="G520" s="1"/>
      <c r="H520" s="1"/>
      <c r="I520" s="1"/>
    </row>
    <row r="521" spans="1:9" x14ac:dyDescent="0.2">
      <c r="A521" s="1"/>
      <c r="B521" s="1"/>
      <c r="C521" s="1"/>
      <c r="D521" t="str">
        <f>IFERROR(IF(C521="","",IF(B521="موظف",VLOOKUP(C521,الموظفين!$B:$C,2,FALSE),VLOOKUP(C521,المستفيدين!$B:$C,2,FALSE))),"")</f>
        <v/>
      </c>
      <c r="F521" s="1"/>
      <c r="G521" s="1"/>
      <c r="H521" s="1"/>
      <c r="I521" s="1"/>
    </row>
    <row r="522" spans="1:9" x14ac:dyDescent="0.2">
      <c r="A522" s="1"/>
      <c r="B522" s="1"/>
      <c r="C522" s="1"/>
      <c r="D522" t="str">
        <f>IFERROR(IF(C522="","",IF(B522="موظف",VLOOKUP(C522,الموظفين!$B:$C,2,FALSE),VLOOKUP(C522,المستفيدين!$B:$C,2,FALSE))),"")</f>
        <v/>
      </c>
      <c r="F522" s="1"/>
      <c r="G522" s="1"/>
      <c r="H522" s="1"/>
      <c r="I522" s="1"/>
    </row>
    <row r="523" spans="1:9" x14ac:dyDescent="0.2">
      <c r="A523" s="1"/>
      <c r="B523" s="1"/>
      <c r="C523" s="1"/>
      <c r="D523" t="str">
        <f>IFERROR(IF(C523="","",IF(B523="موظف",VLOOKUP(C523,الموظفين!$B:$C,2,FALSE),VLOOKUP(C523,المستفيدين!$B:$C,2,FALSE))),"")</f>
        <v/>
      </c>
      <c r="F523" s="1"/>
      <c r="G523" s="1"/>
      <c r="H523" s="1"/>
      <c r="I523" s="1"/>
    </row>
    <row r="524" spans="1:9" x14ac:dyDescent="0.2">
      <c r="A524" s="1"/>
      <c r="B524" s="1"/>
      <c r="C524" s="1"/>
      <c r="D524" t="str">
        <f>IFERROR(IF(C524="","",IF(B524="موظف",VLOOKUP(C524,الموظفين!$B:$C,2,FALSE),VLOOKUP(C524,المستفيدين!$B:$C,2,FALSE))),"")</f>
        <v/>
      </c>
      <c r="F524" s="1"/>
      <c r="G524" s="1"/>
      <c r="H524" s="1"/>
      <c r="I524" s="1"/>
    </row>
    <row r="525" spans="1:9" x14ac:dyDescent="0.2">
      <c r="A525" s="1"/>
      <c r="B525" s="1"/>
      <c r="C525" s="1"/>
      <c r="D525" t="str">
        <f>IFERROR(IF(C525="","",IF(B525="موظف",VLOOKUP(C525,الموظفين!$B:$C,2,FALSE),VLOOKUP(C525,المستفيدين!$B:$C,2,FALSE))),"")</f>
        <v/>
      </c>
      <c r="F525" s="1"/>
      <c r="G525" s="1"/>
      <c r="H525" s="1"/>
      <c r="I525" s="1"/>
    </row>
    <row r="526" spans="1:9" x14ac:dyDescent="0.2">
      <c r="A526" s="1"/>
      <c r="B526" s="1"/>
      <c r="C526" s="1"/>
      <c r="D526" t="str">
        <f>IFERROR(IF(C526="","",IF(B526="موظف",VLOOKUP(C526,الموظفين!$B:$C,2,FALSE),VLOOKUP(C526,المستفيدين!$B:$C,2,FALSE))),"")</f>
        <v/>
      </c>
      <c r="F526" s="1"/>
      <c r="G526" s="1"/>
      <c r="H526" s="1"/>
      <c r="I526" s="1"/>
    </row>
    <row r="527" spans="1:9" x14ac:dyDescent="0.2">
      <c r="A527" s="1"/>
      <c r="B527" s="1"/>
      <c r="C527" s="1"/>
      <c r="D527" t="str">
        <f>IFERROR(IF(C527="","",IF(B527="موظف",VLOOKUP(C527,الموظفين!$B:$C,2,FALSE),VLOOKUP(C527,المستفيدين!$B:$C,2,FALSE))),"")</f>
        <v/>
      </c>
      <c r="F527" s="1"/>
      <c r="G527" s="1"/>
      <c r="H527" s="1"/>
      <c r="I527" s="1"/>
    </row>
    <row r="528" spans="1:9" x14ac:dyDescent="0.2">
      <c r="A528" s="1"/>
      <c r="B528" s="1"/>
      <c r="C528" s="1"/>
      <c r="D528" t="str">
        <f>IFERROR(IF(C528="","",IF(B528="موظف",VLOOKUP(C528,الموظفين!$B:$C,2,FALSE),VLOOKUP(C528,المستفيدين!$B:$C,2,FALSE))),"")</f>
        <v/>
      </c>
      <c r="F528" s="1"/>
      <c r="G528" s="1"/>
      <c r="H528" s="1"/>
      <c r="I528" s="1"/>
    </row>
    <row r="529" spans="1:9" x14ac:dyDescent="0.2">
      <c r="A529" s="1"/>
      <c r="B529" s="1"/>
      <c r="C529" s="1"/>
      <c r="D529" t="str">
        <f>IFERROR(IF(C529="","",IF(B529="موظف",VLOOKUP(C529,الموظفين!$B:$C,2,FALSE),VLOOKUP(C529,المستفيدين!$B:$C,2,FALSE))),"")</f>
        <v/>
      </c>
      <c r="F529" s="1"/>
      <c r="G529" s="1"/>
      <c r="H529" s="1"/>
      <c r="I529" s="1"/>
    </row>
    <row r="530" spans="1:9" x14ac:dyDescent="0.2">
      <c r="A530" s="1"/>
      <c r="B530" s="1"/>
      <c r="C530" s="1"/>
      <c r="D530" t="str">
        <f>IFERROR(IF(C530="","",IF(B530="موظف",VLOOKUP(C530,الموظفين!$B:$C,2,FALSE),VLOOKUP(C530,المستفيدين!$B:$C,2,FALSE))),"")</f>
        <v/>
      </c>
      <c r="F530" s="1"/>
      <c r="G530" s="1"/>
      <c r="H530" s="1"/>
      <c r="I530" s="1"/>
    </row>
    <row r="531" spans="1:9" x14ac:dyDescent="0.2">
      <c r="A531" s="1"/>
      <c r="B531" s="1"/>
      <c r="C531" s="1"/>
      <c r="D531" t="str">
        <f>IFERROR(IF(C531="","",IF(B531="موظف",VLOOKUP(C531,الموظفين!$B:$C,2,FALSE),VLOOKUP(C531,المستفيدين!$B:$C,2,FALSE))),"")</f>
        <v/>
      </c>
      <c r="F531" s="1"/>
      <c r="G531" s="1"/>
      <c r="H531" s="1"/>
      <c r="I531" s="1"/>
    </row>
    <row r="532" spans="1:9" x14ac:dyDescent="0.2">
      <c r="A532" s="1"/>
      <c r="B532" s="1"/>
      <c r="C532" s="1"/>
      <c r="D532" t="str">
        <f>IFERROR(IF(C532="","",IF(B532="موظف",VLOOKUP(C532,الموظفين!$B:$C,2,FALSE),VLOOKUP(C532,المستفيدين!$B:$C,2,FALSE))),"")</f>
        <v/>
      </c>
      <c r="F532" s="1"/>
      <c r="G532" s="1"/>
      <c r="H532" s="1"/>
      <c r="I532" s="1"/>
    </row>
    <row r="533" spans="1:9" x14ac:dyDescent="0.2">
      <c r="A533" s="1"/>
      <c r="B533" s="1"/>
      <c r="C533" s="1"/>
      <c r="D533" t="str">
        <f>IFERROR(IF(C533="","",IF(B533="موظف",VLOOKUP(C533,الموظفين!$B:$C,2,FALSE),VLOOKUP(C533,المستفيدين!$B:$C,2,FALSE))),"")</f>
        <v/>
      </c>
      <c r="F533" s="1"/>
      <c r="G533" s="1"/>
      <c r="H533" s="1"/>
      <c r="I533" s="1"/>
    </row>
    <row r="534" spans="1:9" x14ac:dyDescent="0.2">
      <c r="A534" s="1"/>
      <c r="B534" s="1"/>
      <c r="C534" s="1"/>
      <c r="D534" t="str">
        <f>IFERROR(IF(C534="","",IF(B534="موظف",VLOOKUP(C534,الموظفين!$B:$C,2,FALSE),VLOOKUP(C534,المستفيدين!$B:$C,2,FALSE))),"")</f>
        <v/>
      </c>
      <c r="F534" s="1"/>
      <c r="G534" s="1"/>
      <c r="H534" s="1"/>
      <c r="I534" s="1"/>
    </row>
    <row r="535" spans="1:9" x14ac:dyDescent="0.2">
      <c r="A535" s="1"/>
      <c r="B535" s="1"/>
      <c r="C535" s="1"/>
      <c r="D535" t="str">
        <f>IFERROR(IF(C535="","",IF(B535="موظف",VLOOKUP(C535,الموظفين!$B:$C,2,FALSE),VLOOKUP(C535,المستفيدين!$B:$C,2,FALSE))),"")</f>
        <v/>
      </c>
      <c r="F535" s="1"/>
      <c r="G535" s="1"/>
      <c r="H535" s="1"/>
      <c r="I535" s="1"/>
    </row>
    <row r="536" spans="1:9" x14ac:dyDescent="0.2">
      <c r="A536" s="1"/>
      <c r="B536" s="1"/>
      <c r="C536" s="1"/>
      <c r="D536" t="str">
        <f>IFERROR(IF(C536="","",IF(B536="موظف",VLOOKUP(C536,الموظفين!$B:$C,2,FALSE),VLOOKUP(C536,المستفيدين!$B:$C,2,FALSE))),"")</f>
        <v/>
      </c>
      <c r="F536" s="1"/>
      <c r="G536" s="1"/>
      <c r="H536" s="1"/>
      <c r="I536" s="1"/>
    </row>
    <row r="537" spans="1:9" x14ac:dyDescent="0.2">
      <c r="A537" s="1"/>
      <c r="B537" s="1"/>
      <c r="C537" s="1"/>
      <c r="D537" t="str">
        <f>IFERROR(IF(C537="","",IF(B537="موظف",VLOOKUP(C537,الموظفين!$B:$C,2,FALSE),VLOOKUP(C537,المستفيدين!$B:$C,2,FALSE))),"")</f>
        <v/>
      </c>
      <c r="F537" s="1"/>
      <c r="G537" s="1"/>
      <c r="H537" s="1"/>
      <c r="I537" s="1"/>
    </row>
    <row r="538" spans="1:9" x14ac:dyDescent="0.2">
      <c r="A538" s="1"/>
      <c r="B538" s="1"/>
      <c r="C538" s="1"/>
      <c r="D538" t="str">
        <f>IFERROR(IF(C538="","",IF(B538="موظف",VLOOKUP(C538,الموظفين!$B:$C,2,FALSE),VLOOKUP(C538,المستفيدين!$B:$C,2,FALSE))),"")</f>
        <v/>
      </c>
      <c r="F538" s="1"/>
      <c r="G538" s="1"/>
      <c r="H538" s="1"/>
      <c r="I538" s="1"/>
    </row>
    <row r="539" spans="1:9" x14ac:dyDescent="0.2">
      <c r="A539" s="1"/>
      <c r="B539" s="1"/>
      <c r="C539" s="1"/>
      <c r="D539" t="str">
        <f>IFERROR(IF(C539="","",IF(B539="موظف",VLOOKUP(C539,الموظفين!$B:$C,2,FALSE),VLOOKUP(C539,المستفيدين!$B:$C,2,FALSE))),"")</f>
        <v/>
      </c>
      <c r="F539" s="1"/>
      <c r="G539" s="1"/>
      <c r="H539" s="1"/>
      <c r="I539" s="1"/>
    </row>
    <row r="540" spans="1:9" x14ac:dyDescent="0.2">
      <c r="A540" s="1"/>
      <c r="B540" s="1"/>
      <c r="C540" s="1"/>
      <c r="D540" t="str">
        <f>IFERROR(IF(C540="","",IF(B540="موظف",VLOOKUP(C540,الموظفين!$B:$C,2,FALSE),VLOOKUP(C540,المستفيدين!$B:$C,2,FALSE))),"")</f>
        <v/>
      </c>
      <c r="F540" s="1"/>
      <c r="G540" s="1"/>
      <c r="H540" s="1"/>
      <c r="I540" s="1"/>
    </row>
    <row r="541" spans="1:9" x14ac:dyDescent="0.2">
      <c r="A541" s="1"/>
      <c r="B541" s="1"/>
      <c r="C541" s="1"/>
      <c r="D541" t="str">
        <f>IFERROR(IF(C541="","",IF(B541="موظف",VLOOKUP(C541,الموظفين!$B:$C,2,FALSE),VLOOKUP(C541,المستفيدين!$B:$C,2,FALSE))),"")</f>
        <v/>
      </c>
      <c r="F541" s="1"/>
      <c r="G541" s="1"/>
      <c r="H541" s="1"/>
      <c r="I541" s="1"/>
    </row>
    <row r="542" spans="1:9" x14ac:dyDescent="0.2">
      <c r="A542" s="1"/>
      <c r="B542" s="1"/>
      <c r="C542" s="1"/>
      <c r="D542" t="str">
        <f>IFERROR(IF(C542="","",IF(B542="موظف",VLOOKUP(C542,الموظفين!$B:$C,2,FALSE),VLOOKUP(C542,المستفيدين!$B:$C,2,FALSE))),"")</f>
        <v/>
      </c>
      <c r="F542" s="1"/>
      <c r="G542" s="1"/>
      <c r="H542" s="1"/>
      <c r="I542" s="1"/>
    </row>
    <row r="543" spans="1:9" x14ac:dyDescent="0.2">
      <c r="A543" s="1"/>
      <c r="B543" s="1"/>
      <c r="C543" s="1"/>
      <c r="D543" t="str">
        <f>IFERROR(IF(C543="","",IF(B543="موظف",VLOOKUP(C543,الموظفين!$B:$C,2,FALSE),VLOOKUP(C543,المستفيدين!$B:$C,2,FALSE))),"")</f>
        <v/>
      </c>
      <c r="F543" s="1"/>
      <c r="G543" s="1"/>
      <c r="H543" s="1"/>
      <c r="I543" s="1"/>
    </row>
    <row r="544" spans="1:9" x14ac:dyDescent="0.2">
      <c r="A544" s="1"/>
      <c r="B544" s="1"/>
      <c r="C544" s="1"/>
      <c r="D544" t="str">
        <f>IFERROR(IF(C544="","",IF(B544="موظف",VLOOKUP(C544,الموظفين!$B:$C,2,FALSE),VLOOKUP(C544,المستفيدين!$B:$C,2,FALSE))),"")</f>
        <v/>
      </c>
      <c r="F544" s="1"/>
      <c r="G544" s="1"/>
      <c r="H544" s="1"/>
      <c r="I544" s="1"/>
    </row>
    <row r="545" spans="1:9" x14ac:dyDescent="0.2">
      <c r="A545" s="1"/>
      <c r="B545" s="1"/>
      <c r="C545" s="1"/>
      <c r="D545" t="str">
        <f>IFERROR(IF(C545="","",IF(B545="موظف",VLOOKUP(C545,الموظفين!$B:$C,2,FALSE),VLOOKUP(C545,المستفيدين!$B:$C,2,FALSE))),"")</f>
        <v/>
      </c>
      <c r="F545" s="1"/>
      <c r="G545" s="1"/>
      <c r="H545" s="1"/>
      <c r="I545" s="1"/>
    </row>
    <row r="546" spans="1:9" x14ac:dyDescent="0.2">
      <c r="A546" s="1"/>
      <c r="B546" s="1"/>
      <c r="C546" s="1"/>
      <c r="D546" t="str">
        <f>IFERROR(IF(C546="","",IF(B546="موظف",VLOOKUP(C546,الموظفين!$B:$C,2,FALSE),VLOOKUP(C546,المستفيدين!$B:$C,2,FALSE))),"")</f>
        <v/>
      </c>
      <c r="F546" s="1"/>
      <c r="G546" s="1"/>
      <c r="H546" s="1"/>
      <c r="I546" s="1"/>
    </row>
    <row r="547" spans="1:9" x14ac:dyDescent="0.2">
      <c r="A547" s="1"/>
      <c r="B547" s="1"/>
      <c r="C547" s="1"/>
      <c r="D547" t="str">
        <f>IFERROR(IF(C547="","",IF(B547="موظف",VLOOKUP(C547,الموظفين!$B:$C,2,FALSE),VLOOKUP(C547,المستفيدين!$B:$C,2,FALSE))),"")</f>
        <v/>
      </c>
      <c r="F547" s="1"/>
      <c r="G547" s="1"/>
      <c r="H547" s="1"/>
      <c r="I547" s="1"/>
    </row>
    <row r="548" spans="1:9" x14ac:dyDescent="0.2">
      <c r="A548" s="1"/>
      <c r="B548" s="1"/>
      <c r="C548" s="1"/>
      <c r="D548" t="str">
        <f>IFERROR(IF(C548="","",IF(B548="موظف",VLOOKUP(C548,الموظفين!$B:$C,2,FALSE),VLOOKUP(C548,المستفيدين!$B:$C,2,FALSE))),"")</f>
        <v/>
      </c>
      <c r="F548" s="1"/>
      <c r="G548" s="1"/>
      <c r="H548" s="1"/>
      <c r="I548" s="1"/>
    </row>
    <row r="549" spans="1:9" x14ac:dyDescent="0.2">
      <c r="A549" s="1"/>
      <c r="B549" s="1"/>
      <c r="C549" s="1"/>
      <c r="D549" t="str">
        <f>IFERROR(IF(C549="","",IF(B549="موظف",VLOOKUP(C549,الموظفين!$B:$C,2,FALSE),VLOOKUP(C549,المستفيدين!$B:$C,2,FALSE))),"")</f>
        <v/>
      </c>
      <c r="F549" s="1"/>
      <c r="G549" s="1"/>
      <c r="H549" s="1"/>
      <c r="I549" s="1"/>
    </row>
    <row r="550" spans="1:9" x14ac:dyDescent="0.2">
      <c r="A550" s="1"/>
      <c r="B550" s="1"/>
      <c r="C550" s="1"/>
      <c r="D550" t="str">
        <f>IFERROR(IF(C550="","",IF(B550="موظف",VLOOKUP(C550,الموظفين!$B:$C,2,FALSE),VLOOKUP(C550,المستفيدين!$B:$C,2,FALSE))),"")</f>
        <v/>
      </c>
      <c r="F550" s="1"/>
      <c r="G550" s="1"/>
      <c r="H550" s="1"/>
      <c r="I550" s="1"/>
    </row>
    <row r="551" spans="1:9" x14ac:dyDescent="0.2">
      <c r="A551" s="1"/>
      <c r="B551" s="1"/>
      <c r="C551" s="1"/>
      <c r="D551" t="str">
        <f>IFERROR(IF(C551="","",IF(B551="موظف",VLOOKUP(C551,الموظفين!$B:$C,2,FALSE),VLOOKUP(C551,المستفيدين!$B:$C,2,FALSE))),"")</f>
        <v/>
      </c>
      <c r="F551" s="1"/>
      <c r="G551" s="1"/>
      <c r="H551" s="1"/>
      <c r="I551" s="1"/>
    </row>
    <row r="552" spans="1:9" x14ac:dyDescent="0.2">
      <c r="A552" s="1"/>
      <c r="B552" s="1"/>
      <c r="C552" s="1"/>
      <c r="D552" t="str">
        <f>IFERROR(IF(C552="","",IF(B552="موظف",VLOOKUP(C552,الموظفين!$B:$C,2,FALSE),VLOOKUP(C552,المستفيدين!$B:$C,2,FALSE))),"")</f>
        <v/>
      </c>
      <c r="F552" s="1"/>
      <c r="G552" s="1"/>
      <c r="H552" s="1"/>
      <c r="I552" s="1"/>
    </row>
    <row r="553" spans="1:9" x14ac:dyDescent="0.2">
      <c r="A553" s="1"/>
      <c r="B553" s="1"/>
      <c r="C553" s="1"/>
      <c r="D553" t="str">
        <f>IFERROR(IF(C553="","",IF(B553="موظف",VLOOKUP(C553,الموظفين!$B:$C,2,FALSE),VLOOKUP(C553,المستفيدين!$B:$C,2,FALSE))),"")</f>
        <v/>
      </c>
      <c r="F553" s="1"/>
      <c r="G553" s="1"/>
      <c r="H553" s="1"/>
      <c r="I553" s="1"/>
    </row>
    <row r="554" spans="1:9" x14ac:dyDescent="0.2">
      <c r="A554" s="1"/>
      <c r="B554" s="1"/>
      <c r="C554" s="1"/>
      <c r="D554" t="str">
        <f>IFERROR(IF(C554="","",IF(B554="موظف",VLOOKUP(C554,الموظفين!$B:$C,2,FALSE),VLOOKUP(C554,المستفيدين!$B:$C,2,FALSE))),"")</f>
        <v/>
      </c>
      <c r="F554" s="1"/>
      <c r="G554" s="1"/>
      <c r="H554" s="1"/>
      <c r="I554" s="1"/>
    </row>
    <row r="555" spans="1:9" x14ac:dyDescent="0.2">
      <c r="A555" s="1"/>
      <c r="B555" s="1"/>
      <c r="C555" s="1"/>
      <c r="D555" t="str">
        <f>IFERROR(IF(C555="","",IF(B555="موظف",VLOOKUP(C555,الموظفين!$B:$C,2,FALSE),VLOOKUP(C555,المستفيدين!$B:$C,2,FALSE))),"")</f>
        <v/>
      </c>
      <c r="F555" s="1"/>
      <c r="G555" s="1"/>
      <c r="H555" s="1"/>
      <c r="I555" s="1"/>
    </row>
    <row r="556" spans="1:9" x14ac:dyDescent="0.2">
      <c r="A556" s="1"/>
      <c r="B556" s="1"/>
      <c r="C556" s="1"/>
      <c r="D556" t="str">
        <f>IFERROR(IF(C556="","",IF(B556="موظف",VLOOKUP(C556,الموظفين!$B:$C,2,FALSE),VLOOKUP(C556,المستفيدين!$B:$C,2,FALSE))),"")</f>
        <v/>
      </c>
      <c r="F556" s="1"/>
      <c r="G556" s="1"/>
      <c r="H556" s="1"/>
      <c r="I556" s="1"/>
    </row>
    <row r="557" spans="1:9" x14ac:dyDescent="0.2">
      <c r="A557" s="1"/>
      <c r="B557" s="1"/>
      <c r="C557" s="1"/>
      <c r="D557" t="str">
        <f>IFERROR(IF(C557="","",IF(B557="موظف",VLOOKUP(C557,الموظفين!$B:$C,2,FALSE),VLOOKUP(C557,المستفيدين!$B:$C,2,FALSE))),"")</f>
        <v/>
      </c>
      <c r="F557" s="1"/>
      <c r="G557" s="1"/>
      <c r="H557" s="1"/>
      <c r="I557" s="1"/>
    </row>
    <row r="558" spans="1:9" x14ac:dyDescent="0.2">
      <c r="A558" s="1"/>
      <c r="B558" s="1"/>
      <c r="C558" s="1"/>
      <c r="D558" t="str">
        <f>IFERROR(IF(C558="","",IF(B558="موظف",VLOOKUP(C558,الموظفين!$B:$C,2,FALSE),VLOOKUP(C558,المستفيدين!$B:$C,2,FALSE))),"")</f>
        <v/>
      </c>
      <c r="F558" s="1"/>
      <c r="G558" s="1"/>
      <c r="H558" s="1"/>
      <c r="I558" s="1"/>
    </row>
    <row r="559" spans="1:9" x14ac:dyDescent="0.2">
      <c r="A559" s="1"/>
      <c r="B559" s="1"/>
      <c r="C559" s="1"/>
      <c r="D559" t="str">
        <f>IFERROR(IF(C559="","",IF(B559="موظف",VLOOKUP(C559,الموظفين!$B:$C,2,FALSE),VLOOKUP(C559,المستفيدين!$B:$C,2,FALSE))),"")</f>
        <v/>
      </c>
      <c r="F559" s="1"/>
      <c r="G559" s="1"/>
      <c r="H559" s="1"/>
      <c r="I559" s="1"/>
    </row>
    <row r="560" spans="1:9" x14ac:dyDescent="0.2">
      <c r="A560" s="1"/>
      <c r="B560" s="1"/>
      <c r="C560" s="1"/>
      <c r="D560" t="str">
        <f>IFERROR(IF(C560="","",IF(B560="موظف",VLOOKUP(C560,الموظفين!$B:$C,2,FALSE),VLOOKUP(C560,المستفيدين!$B:$C,2,FALSE))),"")</f>
        <v/>
      </c>
      <c r="F560" s="1"/>
      <c r="G560" s="1"/>
      <c r="H560" s="1"/>
      <c r="I560" s="1"/>
    </row>
    <row r="561" spans="1:9" x14ac:dyDescent="0.2">
      <c r="A561" s="1"/>
      <c r="B561" s="1"/>
      <c r="C561" s="1"/>
      <c r="D561" t="str">
        <f>IFERROR(IF(C561="","",IF(B561="موظف",VLOOKUP(C561,الموظفين!$B:$C,2,FALSE),VLOOKUP(C561,المستفيدين!$B:$C,2,FALSE))),"")</f>
        <v/>
      </c>
      <c r="F561" s="1"/>
      <c r="G561" s="1"/>
      <c r="H561" s="1"/>
      <c r="I561" s="1"/>
    </row>
    <row r="562" spans="1:9" x14ac:dyDescent="0.2">
      <c r="A562" s="1"/>
      <c r="B562" s="1"/>
      <c r="C562" s="1"/>
      <c r="D562" t="str">
        <f>IFERROR(IF(C562="","",IF(B562="موظف",VLOOKUP(C562,الموظفين!$B:$C,2,FALSE),VLOOKUP(C562,المستفيدين!$B:$C,2,FALSE))),"")</f>
        <v/>
      </c>
      <c r="F562" s="1"/>
      <c r="G562" s="1"/>
      <c r="H562" s="1"/>
      <c r="I562" s="1"/>
    </row>
    <row r="563" spans="1:9" x14ac:dyDescent="0.2">
      <c r="A563" s="1"/>
      <c r="B563" s="1"/>
      <c r="C563" s="1"/>
      <c r="D563" t="str">
        <f>IFERROR(IF(C563="","",IF(B563="موظف",VLOOKUP(C563,الموظفين!$B:$C,2,FALSE),VLOOKUP(C563,المستفيدين!$B:$C,2,FALSE))),"")</f>
        <v/>
      </c>
      <c r="F563" s="1"/>
      <c r="G563" s="1"/>
      <c r="H563" s="1"/>
      <c r="I563" s="1"/>
    </row>
    <row r="564" spans="1:9" x14ac:dyDescent="0.2">
      <c r="A564" s="1"/>
      <c r="B564" s="1"/>
      <c r="C564" s="1"/>
      <c r="D564" t="str">
        <f>IFERROR(IF(C564="","",IF(B564="موظف",VLOOKUP(C564,الموظفين!$B:$C,2,FALSE),VLOOKUP(C564,المستفيدين!$B:$C,2,FALSE))),"")</f>
        <v/>
      </c>
      <c r="F564" s="1"/>
      <c r="G564" s="1"/>
      <c r="H564" s="1"/>
      <c r="I564" s="1"/>
    </row>
    <row r="565" spans="1:9" x14ac:dyDescent="0.2">
      <c r="A565" s="1"/>
      <c r="B565" s="1"/>
      <c r="C565" s="1"/>
      <c r="D565" t="str">
        <f>IFERROR(IF(C565="","",IF(B565="موظف",VLOOKUP(C565,الموظفين!$B:$C,2,FALSE),VLOOKUP(C565,المستفيدين!$B:$C,2,FALSE))),"")</f>
        <v/>
      </c>
      <c r="F565" s="1"/>
      <c r="G565" s="1"/>
      <c r="H565" s="1"/>
      <c r="I565" s="1"/>
    </row>
    <row r="566" spans="1:9" x14ac:dyDescent="0.2">
      <c r="A566" s="1"/>
      <c r="B566" s="1"/>
      <c r="C566" s="1"/>
      <c r="D566" t="str">
        <f>IFERROR(IF(C566="","",IF(B566="موظف",VLOOKUP(C566,الموظفين!$B:$C,2,FALSE),VLOOKUP(C566,المستفيدين!$B:$C,2,FALSE))),"")</f>
        <v/>
      </c>
      <c r="F566" s="1"/>
      <c r="G566" s="1"/>
      <c r="H566" s="1"/>
      <c r="I566" s="1"/>
    </row>
    <row r="567" spans="1:9" x14ac:dyDescent="0.2">
      <c r="A567" s="1"/>
      <c r="B567" s="1"/>
      <c r="C567" s="1"/>
      <c r="D567" t="str">
        <f>IFERROR(IF(C567="","",IF(B567="موظف",VLOOKUP(C567,الموظفين!$B:$C,2,FALSE),VLOOKUP(C567,المستفيدين!$B:$C,2,FALSE))),"")</f>
        <v/>
      </c>
      <c r="F567" s="1"/>
      <c r="G567" s="1"/>
      <c r="H567" s="1"/>
      <c r="I567" s="1"/>
    </row>
    <row r="568" spans="1:9" x14ac:dyDescent="0.2">
      <c r="A568" s="1"/>
      <c r="B568" s="1"/>
      <c r="C568" s="1"/>
      <c r="D568" t="str">
        <f>IFERROR(IF(C568="","",IF(B568="موظف",VLOOKUP(C568,الموظفين!$B:$C,2,FALSE),VLOOKUP(C568,المستفيدين!$B:$C,2,FALSE))),"")</f>
        <v/>
      </c>
      <c r="F568" s="1"/>
      <c r="G568" s="1"/>
      <c r="H568" s="1"/>
      <c r="I568" s="1"/>
    </row>
    <row r="569" spans="1:9" x14ac:dyDescent="0.2">
      <c r="A569" s="1"/>
      <c r="B569" s="1"/>
      <c r="C569" s="1"/>
      <c r="D569" t="str">
        <f>IFERROR(IF(C569="","",IF(B569="موظف",VLOOKUP(C569,الموظفين!$B:$C,2,FALSE),VLOOKUP(C569,المستفيدين!$B:$C,2,FALSE))),"")</f>
        <v/>
      </c>
      <c r="F569" s="1"/>
      <c r="G569" s="1"/>
      <c r="H569" s="1"/>
      <c r="I569" s="1"/>
    </row>
    <row r="570" spans="1:9" x14ac:dyDescent="0.2">
      <c r="A570" s="1"/>
      <c r="B570" s="1"/>
      <c r="C570" s="1"/>
      <c r="D570" t="str">
        <f>IFERROR(IF(C570="","",IF(B570="موظف",VLOOKUP(C570,الموظفين!$B:$C,2,FALSE),VLOOKUP(C570,المستفيدين!$B:$C,2,FALSE))),"")</f>
        <v/>
      </c>
      <c r="F570" s="1"/>
      <c r="G570" s="1"/>
      <c r="H570" s="1"/>
      <c r="I570" s="1"/>
    </row>
    <row r="571" spans="1:9" x14ac:dyDescent="0.2">
      <c r="A571" s="1"/>
      <c r="B571" s="1"/>
      <c r="C571" s="1"/>
      <c r="D571" t="str">
        <f>IFERROR(IF(C571="","",IF(B571="موظف",VLOOKUP(C571,الموظفين!$B:$C,2,FALSE),VLOOKUP(C571,المستفيدين!$B:$C,2,FALSE))),"")</f>
        <v/>
      </c>
      <c r="F571" s="1"/>
      <c r="G571" s="1"/>
      <c r="H571" s="1"/>
      <c r="I571" s="1"/>
    </row>
    <row r="572" spans="1:9" x14ac:dyDescent="0.2">
      <c r="A572" s="1"/>
      <c r="B572" s="1"/>
      <c r="C572" s="1"/>
      <c r="D572" t="str">
        <f>IFERROR(IF(C572="","",IF(B572="موظف",VLOOKUP(C572,الموظفين!$B:$C,2,FALSE),VLOOKUP(C572,المستفيدين!$B:$C,2,FALSE))),"")</f>
        <v/>
      </c>
      <c r="F572" s="1"/>
      <c r="G572" s="1"/>
      <c r="H572" s="1"/>
      <c r="I572" s="1"/>
    </row>
    <row r="573" spans="1:9" x14ac:dyDescent="0.2">
      <c r="A573" s="1"/>
      <c r="B573" s="1"/>
      <c r="C573" s="1"/>
      <c r="D573" t="str">
        <f>IFERROR(IF(C573="","",IF(B573="موظف",VLOOKUP(C573,الموظفين!$B:$C,2,FALSE),VLOOKUP(C573,المستفيدين!$B:$C,2,FALSE))),"")</f>
        <v/>
      </c>
      <c r="F573" s="1"/>
      <c r="G573" s="1"/>
      <c r="H573" s="1"/>
      <c r="I573" s="1"/>
    </row>
    <row r="574" spans="1:9" x14ac:dyDescent="0.2">
      <c r="A574" s="1"/>
      <c r="B574" s="1"/>
      <c r="C574" s="1"/>
      <c r="D574" t="str">
        <f>IFERROR(IF(C574="","",IF(B574="موظف",VLOOKUP(C574,الموظفين!$B:$C,2,FALSE),VLOOKUP(C574,المستفيدين!$B:$C,2,FALSE))),"")</f>
        <v/>
      </c>
      <c r="F574" s="1"/>
      <c r="G574" s="1"/>
      <c r="H574" s="1"/>
      <c r="I574" s="1"/>
    </row>
    <row r="575" spans="1:9" x14ac:dyDescent="0.2">
      <c r="A575" s="1"/>
      <c r="B575" s="1"/>
      <c r="C575" s="1"/>
      <c r="D575" t="str">
        <f>IFERROR(IF(C575="","",IF(B575="موظف",VLOOKUP(C575,الموظفين!$B:$C,2,FALSE),VLOOKUP(C575,المستفيدين!$B:$C,2,FALSE))),"")</f>
        <v/>
      </c>
      <c r="F575" s="1"/>
      <c r="G575" s="1"/>
      <c r="H575" s="1"/>
      <c r="I575" s="1"/>
    </row>
    <row r="576" spans="1:9" x14ac:dyDescent="0.2">
      <c r="A576" s="1"/>
      <c r="B576" s="1"/>
      <c r="C576" s="1"/>
      <c r="D576" t="str">
        <f>IFERROR(IF(C576="","",IF(B576="موظف",VLOOKUP(C576,الموظفين!$B:$C,2,FALSE),VLOOKUP(C576,المستفيدين!$B:$C,2,FALSE))),"")</f>
        <v/>
      </c>
      <c r="F576" s="1"/>
      <c r="G576" s="1"/>
      <c r="H576" s="1"/>
      <c r="I576" s="1"/>
    </row>
    <row r="577" spans="1:9" x14ac:dyDescent="0.2">
      <c r="A577" s="1"/>
      <c r="B577" s="1"/>
      <c r="C577" s="1"/>
      <c r="D577" t="str">
        <f>IFERROR(IF(C577="","",IF(B577="موظف",VLOOKUP(C577,الموظفين!$B:$C,2,FALSE),VLOOKUP(C577,المستفيدين!$B:$C,2,FALSE))),"")</f>
        <v/>
      </c>
      <c r="F577" s="1"/>
      <c r="G577" s="1"/>
      <c r="H577" s="1"/>
      <c r="I577" s="1"/>
    </row>
    <row r="578" spans="1:9" x14ac:dyDescent="0.2">
      <c r="A578" s="1"/>
      <c r="B578" s="1"/>
      <c r="C578" s="1"/>
      <c r="D578" t="str">
        <f>IFERROR(IF(C578="","",IF(B578="موظف",VLOOKUP(C578,الموظفين!$B:$C,2,FALSE),VLOOKUP(C578,المستفيدين!$B:$C,2,FALSE))),"")</f>
        <v/>
      </c>
      <c r="F578" s="1"/>
      <c r="G578" s="1"/>
      <c r="H578" s="1"/>
      <c r="I578" s="1"/>
    </row>
    <row r="579" spans="1:9" x14ac:dyDescent="0.2">
      <c r="A579" s="1"/>
      <c r="B579" s="1"/>
      <c r="C579" s="1"/>
      <c r="D579" t="str">
        <f>IFERROR(IF(C579="","",IF(B579="موظف",VLOOKUP(C579,الموظفين!$B:$C,2,FALSE),VLOOKUP(C579,المستفيدين!$B:$C,2,FALSE))),"")</f>
        <v/>
      </c>
      <c r="F579" s="1"/>
      <c r="G579" s="1"/>
      <c r="H579" s="1"/>
      <c r="I579" s="1"/>
    </row>
    <row r="580" spans="1:9" x14ac:dyDescent="0.2">
      <c r="A580" s="1"/>
      <c r="B580" s="1"/>
      <c r="C580" s="1"/>
      <c r="D580" t="str">
        <f>IFERROR(IF(C580="","",IF(B580="موظف",VLOOKUP(C580,الموظفين!$B:$C,2,FALSE),VLOOKUP(C580,المستفيدين!$B:$C,2,FALSE))),"")</f>
        <v/>
      </c>
      <c r="F580" s="1"/>
      <c r="G580" s="1"/>
      <c r="H580" s="1"/>
      <c r="I580" s="1"/>
    </row>
    <row r="581" spans="1:9" x14ac:dyDescent="0.2">
      <c r="A581" s="1"/>
      <c r="B581" s="1"/>
      <c r="C581" s="1"/>
      <c r="D581" t="str">
        <f>IFERROR(IF(C581="","",IF(B581="موظف",VLOOKUP(C581,الموظفين!$B:$C,2,FALSE),VLOOKUP(C581,المستفيدين!$B:$C,2,FALSE))),"")</f>
        <v/>
      </c>
      <c r="F581" s="1"/>
      <c r="G581" s="1"/>
      <c r="H581" s="1"/>
      <c r="I581" s="1"/>
    </row>
    <row r="582" spans="1:9" x14ac:dyDescent="0.2">
      <c r="A582" s="1"/>
      <c r="B582" s="1"/>
      <c r="C582" s="1"/>
      <c r="D582" t="str">
        <f>IFERROR(IF(C582="","",IF(B582="موظف",VLOOKUP(C582,الموظفين!$B:$C,2,FALSE),VLOOKUP(C582,المستفيدين!$B:$C,2,FALSE))),"")</f>
        <v/>
      </c>
      <c r="F582" s="1"/>
      <c r="G582" s="1"/>
      <c r="H582" s="1"/>
      <c r="I582" s="1"/>
    </row>
    <row r="583" spans="1:9" x14ac:dyDescent="0.2">
      <c r="A583" s="1"/>
      <c r="B583" s="1"/>
      <c r="C583" s="1"/>
      <c r="D583" t="str">
        <f>IFERROR(IF(C583="","",IF(B583="موظف",VLOOKUP(C583,الموظفين!$B:$C,2,FALSE),VLOOKUP(C583,المستفيدين!$B:$C,2,FALSE))),"")</f>
        <v/>
      </c>
      <c r="F583" s="1"/>
      <c r="G583" s="1"/>
      <c r="H583" s="1"/>
      <c r="I583" s="1"/>
    </row>
    <row r="584" spans="1:9" x14ac:dyDescent="0.2">
      <c r="A584" s="1"/>
      <c r="B584" s="1"/>
      <c r="C584" s="1"/>
      <c r="D584" t="str">
        <f>IFERROR(IF(C584="","",IF(B584="موظف",VLOOKUP(C584,الموظفين!$B:$C,2,FALSE),VLOOKUP(C584,المستفيدين!$B:$C,2,FALSE))),"")</f>
        <v/>
      </c>
      <c r="F584" s="1"/>
      <c r="G584" s="1"/>
      <c r="H584" s="1"/>
      <c r="I584" s="1"/>
    </row>
    <row r="585" spans="1:9" x14ac:dyDescent="0.2">
      <c r="A585" s="1"/>
      <c r="B585" s="1"/>
      <c r="C585" s="1"/>
      <c r="D585" t="str">
        <f>IFERROR(IF(C585="","",IF(B585="موظف",VLOOKUP(C585,الموظفين!$B:$C,2,FALSE),VLOOKUP(C585,المستفيدين!$B:$C,2,FALSE))),"")</f>
        <v/>
      </c>
      <c r="F585" s="1"/>
      <c r="G585" s="1"/>
      <c r="H585" s="1"/>
      <c r="I585" s="1"/>
    </row>
    <row r="586" spans="1:9" x14ac:dyDescent="0.2">
      <c r="A586" s="1"/>
      <c r="B586" s="1"/>
      <c r="C586" s="1"/>
      <c r="D586" t="str">
        <f>IFERROR(IF(C586="","",IF(B586="موظف",VLOOKUP(C586,الموظفين!$B:$C,2,FALSE),VLOOKUP(C586,المستفيدين!$B:$C,2,FALSE))),"")</f>
        <v/>
      </c>
      <c r="F586" s="1"/>
      <c r="G586" s="1"/>
      <c r="H586" s="1"/>
      <c r="I586" s="1"/>
    </row>
    <row r="587" spans="1:9" x14ac:dyDescent="0.2">
      <c r="A587" s="1"/>
      <c r="B587" s="1"/>
      <c r="C587" s="1"/>
      <c r="D587" t="str">
        <f>IFERROR(IF(C587="","",IF(B587="موظف",VLOOKUP(C587,الموظفين!$B:$C,2,FALSE),VLOOKUP(C587,المستفيدين!$B:$C,2,FALSE))),"")</f>
        <v/>
      </c>
      <c r="F587" s="1"/>
      <c r="G587" s="1"/>
      <c r="H587" s="1"/>
      <c r="I587" s="1"/>
    </row>
    <row r="588" spans="1:9" x14ac:dyDescent="0.2">
      <c r="A588" s="1"/>
      <c r="B588" s="1"/>
      <c r="C588" s="1"/>
      <c r="D588" t="str">
        <f>IFERROR(IF(C588="","",IF(B588="موظف",VLOOKUP(C588,الموظفين!$B:$C,2,FALSE),VLOOKUP(C588,المستفيدين!$B:$C,2,FALSE))),"")</f>
        <v/>
      </c>
      <c r="F588" s="1"/>
      <c r="G588" s="1"/>
      <c r="H588" s="1"/>
      <c r="I588" s="1"/>
    </row>
    <row r="589" spans="1:9" x14ac:dyDescent="0.2">
      <c r="A589" s="1"/>
      <c r="B589" s="1"/>
      <c r="C589" s="1"/>
      <c r="D589" t="str">
        <f>IFERROR(IF(C589="","",IF(B589="موظف",VLOOKUP(C589,الموظفين!$B:$C,2,FALSE),VLOOKUP(C589,المستفيدين!$B:$C,2,FALSE))),"")</f>
        <v/>
      </c>
      <c r="F589" s="1"/>
      <c r="G589" s="1"/>
      <c r="H589" s="1"/>
      <c r="I589" s="1"/>
    </row>
    <row r="590" spans="1:9" x14ac:dyDescent="0.2">
      <c r="A590" s="1"/>
      <c r="B590" s="1"/>
      <c r="C590" s="1"/>
      <c r="D590" t="str">
        <f>IFERROR(IF(C590="","",IF(B590="موظف",VLOOKUP(C590,الموظفين!$B:$C,2,FALSE),VLOOKUP(C590,المستفيدين!$B:$C,2,FALSE))),"")</f>
        <v/>
      </c>
      <c r="F590" s="1"/>
      <c r="G590" s="1"/>
      <c r="H590" s="1"/>
      <c r="I590" s="1"/>
    </row>
    <row r="591" spans="1:9" x14ac:dyDescent="0.2">
      <c r="A591" s="1"/>
      <c r="B591" s="1"/>
      <c r="C591" s="1"/>
      <c r="D591" t="str">
        <f>IFERROR(IF(C591="","",IF(B591="موظف",VLOOKUP(C591,الموظفين!$B:$C,2,FALSE),VLOOKUP(C591,المستفيدين!$B:$C,2,FALSE))),"")</f>
        <v/>
      </c>
      <c r="F591" s="1"/>
      <c r="G591" s="1"/>
      <c r="H591" s="1"/>
      <c r="I591" s="1"/>
    </row>
    <row r="592" spans="1:9" x14ac:dyDescent="0.2">
      <c r="A592" s="1"/>
      <c r="B592" s="1"/>
      <c r="C592" s="1"/>
      <c r="D592" t="str">
        <f>IFERROR(IF(C592="","",IF(B592="موظف",VLOOKUP(C592,الموظفين!$B:$C,2,FALSE),VLOOKUP(C592,المستفيدين!$B:$C,2,FALSE))),"")</f>
        <v/>
      </c>
      <c r="F592" s="1"/>
      <c r="G592" s="1"/>
      <c r="H592" s="1"/>
      <c r="I592" s="1"/>
    </row>
    <row r="593" spans="1:9" x14ac:dyDescent="0.2">
      <c r="A593" s="1"/>
      <c r="B593" s="1"/>
      <c r="C593" s="1"/>
      <c r="D593" t="str">
        <f>IFERROR(IF(C593="","",IF(B593="موظف",VLOOKUP(C593,الموظفين!$B:$C,2,FALSE),VLOOKUP(C593,المستفيدين!$B:$C,2,FALSE))),"")</f>
        <v/>
      </c>
      <c r="F593" s="1"/>
      <c r="G593" s="1"/>
      <c r="H593" s="1"/>
      <c r="I593" s="1"/>
    </row>
    <row r="594" spans="1:9" x14ac:dyDescent="0.2">
      <c r="A594" s="1"/>
      <c r="B594" s="1"/>
      <c r="C594" s="1"/>
      <c r="D594" t="str">
        <f>IFERROR(IF(C594="","",IF(B594="موظف",VLOOKUP(C594,الموظفين!$B:$C,2,FALSE),VLOOKUP(C594,المستفيدين!$B:$C,2,FALSE))),"")</f>
        <v/>
      </c>
      <c r="F594" s="1"/>
      <c r="G594" s="1"/>
      <c r="H594" s="1"/>
      <c r="I594" s="1"/>
    </row>
    <row r="595" spans="1:9" x14ac:dyDescent="0.2">
      <c r="A595" s="1"/>
      <c r="B595" s="1"/>
      <c r="C595" s="1"/>
      <c r="D595" t="str">
        <f>IFERROR(IF(C595="","",IF(B595="موظف",VLOOKUP(C595,الموظفين!$B:$C,2,FALSE),VLOOKUP(C595,المستفيدين!$B:$C,2,FALSE))),"")</f>
        <v/>
      </c>
      <c r="F595" s="1"/>
      <c r="G595" s="1"/>
      <c r="H595" s="1"/>
      <c r="I595" s="1"/>
    </row>
    <row r="596" spans="1:9" x14ac:dyDescent="0.2">
      <c r="A596" s="1"/>
      <c r="B596" s="1"/>
      <c r="C596" s="1"/>
      <c r="D596" t="str">
        <f>IFERROR(IF(C596="","",IF(B596="موظف",VLOOKUP(C596,الموظفين!$B:$C,2,FALSE),VLOOKUP(C596,المستفيدين!$B:$C,2,FALSE))),"")</f>
        <v/>
      </c>
      <c r="F596" s="1"/>
      <c r="G596" s="1"/>
      <c r="H596" s="1"/>
      <c r="I596" s="1"/>
    </row>
    <row r="597" spans="1:9" x14ac:dyDescent="0.2">
      <c r="A597" s="1"/>
      <c r="B597" s="1"/>
      <c r="C597" s="1"/>
      <c r="D597" t="str">
        <f>IFERROR(IF(C597="","",IF(B597="موظف",VLOOKUP(C597,الموظفين!$B:$C,2,FALSE),VLOOKUP(C597,المستفيدين!$B:$C,2,FALSE))),"")</f>
        <v/>
      </c>
      <c r="F597" s="1"/>
      <c r="G597" s="1"/>
      <c r="H597" s="1"/>
      <c r="I597" s="1"/>
    </row>
    <row r="598" spans="1:9" x14ac:dyDescent="0.2">
      <c r="A598" s="1"/>
      <c r="B598" s="1"/>
      <c r="C598" s="1"/>
      <c r="D598" t="str">
        <f>IFERROR(IF(C598="","",IF(B598="موظف",VLOOKUP(C598,الموظفين!$B:$C,2,FALSE),VLOOKUP(C598,المستفيدين!$B:$C,2,FALSE))),"")</f>
        <v/>
      </c>
      <c r="F598" s="1"/>
      <c r="G598" s="1"/>
      <c r="H598" s="1"/>
      <c r="I598" s="1"/>
    </row>
    <row r="599" spans="1:9" x14ac:dyDescent="0.2">
      <c r="A599" s="1"/>
      <c r="B599" s="1"/>
      <c r="C599" s="1"/>
      <c r="D599" t="str">
        <f>IFERROR(IF(C599="","",IF(B599="موظف",VLOOKUP(C599,الموظفين!$B:$C,2,FALSE),VLOOKUP(C599,المستفيدين!$B:$C,2,FALSE))),"")</f>
        <v/>
      </c>
      <c r="F599" s="1"/>
      <c r="G599" s="1"/>
      <c r="H599" s="1"/>
      <c r="I599" s="1"/>
    </row>
    <row r="600" spans="1:9" x14ac:dyDescent="0.2">
      <c r="A600" s="1"/>
      <c r="B600" s="1"/>
      <c r="C600" s="1"/>
      <c r="D600" t="str">
        <f>IFERROR(IF(C600="","",IF(B600="موظف",VLOOKUP(C600,الموظفين!$B:$C,2,FALSE),VLOOKUP(C600,المستفيدين!$B:$C,2,FALSE))),"")</f>
        <v/>
      </c>
      <c r="F600" s="1"/>
      <c r="G600" s="1"/>
      <c r="H600" s="1"/>
      <c r="I600" s="1"/>
    </row>
    <row r="601" spans="1:9" x14ac:dyDescent="0.2">
      <c r="A601" s="1"/>
      <c r="B601" s="1"/>
      <c r="C601" s="1"/>
      <c r="D601" t="str">
        <f>IFERROR(IF(C601="","",IF(B601="موظف",VLOOKUP(C601,الموظفين!$B:$C,2,FALSE),VLOOKUP(C601,المستفيدين!$B:$C,2,FALSE))),"")</f>
        <v/>
      </c>
      <c r="F601" s="1"/>
      <c r="G601" s="1"/>
      <c r="H601" s="1"/>
      <c r="I601" s="1"/>
    </row>
    <row r="602" spans="1:9" x14ac:dyDescent="0.2">
      <c r="A602" s="1"/>
      <c r="B602" s="1"/>
      <c r="C602" s="1"/>
      <c r="D602" t="str">
        <f>IFERROR(IF(C602="","",IF(B602="موظف",VLOOKUP(C602,الموظفين!$B:$C,2,FALSE),VLOOKUP(C602,المستفيدين!$B:$C,2,FALSE))),"")</f>
        <v/>
      </c>
      <c r="F602" s="1"/>
      <c r="G602" s="1"/>
      <c r="H602" s="1"/>
      <c r="I602" s="1"/>
    </row>
    <row r="603" spans="1:9" x14ac:dyDescent="0.2">
      <c r="A603" s="1"/>
      <c r="B603" s="1"/>
      <c r="C603" s="1"/>
      <c r="D603" t="str">
        <f>IFERROR(IF(C603="","",IF(B603="موظف",VLOOKUP(C603,الموظفين!$B:$C,2,FALSE),VLOOKUP(C603,المستفيدين!$B:$C,2,FALSE))),"")</f>
        <v/>
      </c>
      <c r="F603" s="1"/>
      <c r="G603" s="1"/>
      <c r="H603" s="1"/>
      <c r="I603" s="1"/>
    </row>
    <row r="604" spans="1:9" x14ac:dyDescent="0.2">
      <c r="A604" s="1"/>
      <c r="B604" s="1"/>
      <c r="C604" s="1"/>
      <c r="D604" t="str">
        <f>IFERROR(IF(C604="","",IF(B604="موظف",VLOOKUP(C604,الموظفين!$B:$C,2,FALSE),VLOOKUP(C604,المستفيدين!$B:$C,2,FALSE))),"")</f>
        <v/>
      </c>
      <c r="F604" s="1"/>
      <c r="G604" s="1"/>
      <c r="H604" s="1"/>
      <c r="I604" s="1"/>
    </row>
    <row r="605" spans="1:9" x14ac:dyDescent="0.2">
      <c r="A605" s="1"/>
      <c r="B605" s="1"/>
      <c r="C605" s="1"/>
      <c r="D605" t="str">
        <f>IFERROR(IF(C605="","",IF(B605="موظف",VLOOKUP(C605,الموظفين!$B:$C,2,FALSE),VLOOKUP(C605,المستفيدين!$B:$C,2,FALSE))),"")</f>
        <v/>
      </c>
      <c r="F605" s="1"/>
      <c r="G605" s="1"/>
      <c r="H605" s="1"/>
      <c r="I605" s="1"/>
    </row>
    <row r="606" spans="1:9" x14ac:dyDescent="0.2">
      <c r="A606" s="1"/>
      <c r="B606" s="1"/>
      <c r="C606" s="1"/>
      <c r="D606" t="str">
        <f>IFERROR(IF(C606="","",IF(B606="موظف",VLOOKUP(C606,الموظفين!$B:$C,2,FALSE),VLOOKUP(C606,المستفيدين!$B:$C,2,FALSE))),"")</f>
        <v/>
      </c>
      <c r="F606" s="1"/>
      <c r="G606" s="1"/>
      <c r="H606" s="1"/>
      <c r="I606" s="1"/>
    </row>
    <row r="607" spans="1:9" x14ac:dyDescent="0.2">
      <c r="A607" s="1"/>
      <c r="B607" s="1"/>
      <c r="C607" s="1"/>
      <c r="D607" t="str">
        <f>IFERROR(IF(C607="","",IF(B607="موظف",VLOOKUP(C607,الموظفين!$B:$C,2,FALSE),VLOOKUP(C607,المستفيدين!$B:$C,2,FALSE))),"")</f>
        <v/>
      </c>
      <c r="F607" s="1"/>
      <c r="G607" s="1"/>
      <c r="H607" s="1"/>
      <c r="I607" s="1"/>
    </row>
    <row r="608" spans="1:9" x14ac:dyDescent="0.2">
      <c r="A608" s="1"/>
      <c r="B608" s="1"/>
      <c r="C608" s="1"/>
      <c r="D608" t="str">
        <f>IFERROR(IF(C608="","",IF(B608="موظف",VLOOKUP(C608,الموظفين!$B:$C,2,FALSE),VLOOKUP(C608,المستفيدين!$B:$C,2,FALSE))),"")</f>
        <v/>
      </c>
      <c r="F608" s="1"/>
      <c r="G608" s="1"/>
      <c r="H608" s="1"/>
      <c r="I608" s="1"/>
    </row>
    <row r="609" spans="1:9" x14ac:dyDescent="0.2">
      <c r="A609" s="1"/>
      <c r="B609" s="1"/>
      <c r="C609" s="1"/>
      <c r="D609" t="str">
        <f>IFERROR(IF(C609="","",IF(B609="موظف",VLOOKUP(C609,الموظفين!$B:$C,2,FALSE),VLOOKUP(C609,المستفيدين!$B:$C,2,FALSE))),"")</f>
        <v/>
      </c>
      <c r="F609" s="1"/>
      <c r="G609" s="1"/>
      <c r="H609" s="1"/>
      <c r="I609" s="1"/>
    </row>
    <row r="610" spans="1:9" x14ac:dyDescent="0.2">
      <c r="A610" s="1"/>
      <c r="B610" s="1"/>
      <c r="C610" s="1"/>
      <c r="D610" t="str">
        <f>IFERROR(IF(C610="","",IF(B610="موظف",VLOOKUP(C610,الموظفين!$B:$C,2,FALSE),VLOOKUP(C610,المستفيدين!$B:$C,2,FALSE))),"")</f>
        <v/>
      </c>
      <c r="F610" s="1"/>
      <c r="G610" s="1"/>
      <c r="H610" s="1"/>
      <c r="I610" s="1"/>
    </row>
    <row r="611" spans="1:9" x14ac:dyDescent="0.2">
      <c r="A611" s="1"/>
      <c r="B611" s="1"/>
      <c r="C611" s="1"/>
      <c r="D611" t="str">
        <f>IFERROR(IF(C611="","",IF(B611="موظف",VLOOKUP(C611,الموظفين!$B:$C,2,FALSE),VLOOKUP(C611,المستفيدين!$B:$C,2,FALSE))),"")</f>
        <v/>
      </c>
      <c r="F611" s="1"/>
      <c r="G611" s="1"/>
      <c r="H611" s="1"/>
      <c r="I611" s="1"/>
    </row>
    <row r="612" spans="1:9" x14ac:dyDescent="0.2">
      <c r="A612" s="1"/>
      <c r="B612" s="1"/>
      <c r="C612" s="1"/>
      <c r="D612" t="str">
        <f>IFERROR(IF(C612="","",IF(B612="موظف",VLOOKUP(C612,الموظفين!$B:$C,2,FALSE),VLOOKUP(C612,المستفيدين!$B:$C,2,FALSE))),"")</f>
        <v/>
      </c>
      <c r="F612" s="1"/>
      <c r="G612" s="1"/>
      <c r="H612" s="1"/>
      <c r="I612" s="1"/>
    </row>
    <row r="613" spans="1:9" x14ac:dyDescent="0.2">
      <c r="A613" s="1"/>
      <c r="B613" s="1"/>
      <c r="C613" s="1"/>
      <c r="D613" t="str">
        <f>IFERROR(IF(C613="","",IF(B613="موظف",VLOOKUP(C613,الموظفين!$B:$C,2,FALSE),VLOOKUP(C613,المستفيدين!$B:$C,2,FALSE))),"")</f>
        <v/>
      </c>
      <c r="F613" s="1"/>
      <c r="G613" s="1"/>
      <c r="H613" s="1"/>
      <c r="I613" s="1"/>
    </row>
    <row r="614" spans="1:9" x14ac:dyDescent="0.2">
      <c r="A614" s="1"/>
      <c r="B614" s="1"/>
      <c r="C614" s="1"/>
      <c r="D614" t="str">
        <f>IFERROR(IF(C614="","",IF(B614="موظف",VLOOKUP(C614,الموظفين!$B:$C,2,FALSE),VLOOKUP(C614,المستفيدين!$B:$C,2,FALSE))),"")</f>
        <v/>
      </c>
      <c r="F614" s="1"/>
      <c r="G614" s="1"/>
      <c r="H614" s="1"/>
      <c r="I614" s="1"/>
    </row>
    <row r="615" spans="1:9" x14ac:dyDescent="0.2">
      <c r="A615" s="1"/>
      <c r="B615" s="1"/>
      <c r="C615" s="1"/>
      <c r="D615" t="str">
        <f>IFERROR(IF(C615="","",IF(B615="موظف",VLOOKUP(C615,الموظفين!$B:$C,2,FALSE),VLOOKUP(C615,المستفيدين!$B:$C,2,FALSE))),"")</f>
        <v/>
      </c>
      <c r="F615" s="1"/>
      <c r="G615" s="1"/>
      <c r="H615" s="1"/>
      <c r="I615" s="1"/>
    </row>
    <row r="616" spans="1:9" x14ac:dyDescent="0.2">
      <c r="A616" s="1"/>
      <c r="B616" s="1"/>
      <c r="C616" s="1"/>
      <c r="D616" t="str">
        <f>IFERROR(IF(C616="","",IF(B616="موظف",VLOOKUP(C616,الموظفين!$B:$C,2,FALSE),VLOOKUP(C616,المستفيدين!$B:$C,2,FALSE))),"")</f>
        <v/>
      </c>
      <c r="F616" s="1"/>
      <c r="G616" s="1"/>
      <c r="H616" s="1"/>
      <c r="I616" s="1"/>
    </row>
    <row r="617" spans="1:9" x14ac:dyDescent="0.2">
      <c r="A617" s="1"/>
      <c r="B617" s="1"/>
      <c r="C617" s="1"/>
      <c r="D617" t="str">
        <f>IFERROR(IF(C617="","",IF(B617="موظف",VLOOKUP(C617,الموظفين!$B:$C,2,FALSE),VLOOKUP(C617,المستفيدين!$B:$C,2,FALSE))),"")</f>
        <v/>
      </c>
      <c r="F617" s="1"/>
      <c r="G617" s="1"/>
      <c r="H617" s="1"/>
      <c r="I617" s="1"/>
    </row>
    <row r="618" spans="1:9" x14ac:dyDescent="0.2">
      <c r="A618" s="1"/>
      <c r="B618" s="1"/>
      <c r="C618" s="1"/>
      <c r="D618" t="str">
        <f>IFERROR(IF(C618="","",IF(B618="موظف",VLOOKUP(C618,الموظفين!$B:$C,2,FALSE),VLOOKUP(C618,المستفيدين!$B:$C,2,FALSE))),"")</f>
        <v/>
      </c>
      <c r="F618" s="1"/>
      <c r="G618" s="1"/>
      <c r="H618" s="1"/>
      <c r="I618" s="1"/>
    </row>
    <row r="619" spans="1:9" x14ac:dyDescent="0.2">
      <c r="A619" s="1"/>
      <c r="B619" s="1"/>
      <c r="C619" s="1"/>
      <c r="D619" t="str">
        <f>IFERROR(IF(C619="","",IF(B619="موظف",VLOOKUP(C619,الموظفين!$B:$C,2,FALSE),VLOOKUP(C619,المستفيدين!$B:$C,2,FALSE))),"")</f>
        <v/>
      </c>
      <c r="F619" s="1"/>
      <c r="G619" s="1"/>
      <c r="H619" s="1"/>
      <c r="I619" s="1"/>
    </row>
    <row r="620" spans="1:9" x14ac:dyDescent="0.2">
      <c r="A620" s="1"/>
      <c r="B620" s="1"/>
      <c r="C620" s="1"/>
      <c r="D620" t="str">
        <f>IFERROR(IF(C620="","",IF(B620="موظف",VLOOKUP(C620,الموظفين!$B:$C,2,FALSE),VLOOKUP(C620,المستفيدين!$B:$C,2,FALSE))),"")</f>
        <v/>
      </c>
      <c r="F620" s="1"/>
      <c r="G620" s="1"/>
      <c r="H620" s="1"/>
      <c r="I620" s="1"/>
    </row>
    <row r="621" spans="1:9" x14ac:dyDescent="0.2">
      <c r="A621" s="1"/>
      <c r="B621" s="1"/>
      <c r="C621" s="1"/>
      <c r="D621" t="str">
        <f>IFERROR(IF(C621="","",IF(B621="موظف",VLOOKUP(C621,الموظفين!$B:$C,2,FALSE),VLOOKUP(C621,المستفيدين!$B:$C,2,FALSE))),"")</f>
        <v/>
      </c>
      <c r="F621" s="1"/>
      <c r="G621" s="1"/>
      <c r="H621" s="1"/>
      <c r="I621" s="1"/>
    </row>
    <row r="622" spans="1:9" x14ac:dyDescent="0.2">
      <c r="A622" s="1"/>
      <c r="B622" s="1"/>
      <c r="C622" s="1"/>
      <c r="D622" t="str">
        <f>IFERROR(IF(C622="","",IF(B622="موظف",VLOOKUP(C622,الموظفين!$B:$C,2,FALSE),VLOOKUP(C622,المستفيدين!$B:$C,2,FALSE))),"")</f>
        <v/>
      </c>
      <c r="F622" s="1"/>
      <c r="G622" s="1"/>
      <c r="H622" s="1"/>
      <c r="I622" s="1"/>
    </row>
    <row r="623" spans="1:9" x14ac:dyDescent="0.2">
      <c r="A623" s="1"/>
      <c r="B623" s="1"/>
      <c r="C623" s="1"/>
      <c r="D623" t="str">
        <f>IFERROR(IF(C623="","",IF(B623="موظف",VLOOKUP(C623,الموظفين!$B:$C,2,FALSE),VLOOKUP(C623,المستفيدين!$B:$C,2,FALSE))),"")</f>
        <v/>
      </c>
      <c r="F623" s="1"/>
      <c r="G623" s="1"/>
      <c r="H623" s="1"/>
      <c r="I623" s="1"/>
    </row>
    <row r="624" spans="1:9" x14ac:dyDescent="0.2">
      <c r="A624" s="1"/>
      <c r="B624" s="1"/>
      <c r="C624" s="1"/>
      <c r="D624" t="str">
        <f>IFERROR(IF(C624="","",IF(B624="موظف",VLOOKUP(C624,الموظفين!$B:$C,2,FALSE),VLOOKUP(C624,المستفيدين!$B:$C,2,FALSE))),"")</f>
        <v/>
      </c>
      <c r="F624" s="1"/>
      <c r="G624" s="1"/>
      <c r="H624" s="1"/>
      <c r="I624" s="1"/>
    </row>
    <row r="625" spans="1:9" x14ac:dyDescent="0.2">
      <c r="A625" s="1"/>
      <c r="B625" s="1"/>
      <c r="C625" s="1"/>
      <c r="D625" t="str">
        <f>IFERROR(IF(C625="","",IF(B625="موظف",VLOOKUP(C625,الموظفين!$B:$C,2,FALSE),VLOOKUP(C625,المستفيدين!$B:$C,2,FALSE))),"")</f>
        <v/>
      </c>
      <c r="F625" s="1"/>
      <c r="G625" s="1"/>
      <c r="H625" s="1"/>
      <c r="I625" s="1"/>
    </row>
    <row r="626" spans="1:9" x14ac:dyDescent="0.2">
      <c r="A626" s="1"/>
      <c r="B626" s="1"/>
      <c r="C626" s="1"/>
      <c r="D626" t="str">
        <f>IFERROR(IF(C626="","",IF(B626="موظف",VLOOKUP(C626,الموظفين!$B:$C,2,FALSE),VLOOKUP(C626,المستفيدين!$B:$C,2,FALSE))),"")</f>
        <v/>
      </c>
      <c r="F626" s="1"/>
      <c r="G626" s="1"/>
      <c r="H626" s="1"/>
      <c r="I626" s="1"/>
    </row>
    <row r="627" spans="1:9" x14ac:dyDescent="0.2">
      <c r="A627" s="1"/>
      <c r="B627" s="1"/>
      <c r="C627" s="1"/>
      <c r="D627" t="str">
        <f>IFERROR(IF(C627="","",IF(B627="موظف",VLOOKUP(C627,الموظفين!$B:$C,2,FALSE),VLOOKUP(C627,المستفيدين!$B:$C,2,FALSE))),"")</f>
        <v/>
      </c>
      <c r="F627" s="1"/>
      <c r="G627" s="1"/>
      <c r="H627" s="1"/>
      <c r="I627" s="1"/>
    </row>
    <row r="628" spans="1:9" x14ac:dyDescent="0.2">
      <c r="A628" s="1"/>
      <c r="B628" s="1"/>
      <c r="C628" s="1"/>
      <c r="D628" t="str">
        <f>IFERROR(IF(C628="","",IF(B628="موظف",VLOOKUP(C628,الموظفين!$B:$C,2,FALSE),VLOOKUP(C628,المستفيدين!$B:$C,2,FALSE))),"")</f>
        <v/>
      </c>
      <c r="F628" s="1"/>
      <c r="G628" s="1"/>
      <c r="H628" s="1"/>
      <c r="I628" s="1"/>
    </row>
    <row r="629" spans="1:9" x14ac:dyDescent="0.2">
      <c r="A629" s="1"/>
      <c r="B629" s="1"/>
      <c r="C629" s="1"/>
      <c r="D629" t="str">
        <f>IFERROR(IF(C629="","",IF(B629="موظف",VLOOKUP(C629,الموظفين!$B:$C,2,FALSE),VLOOKUP(C629,المستفيدين!$B:$C,2,FALSE))),"")</f>
        <v/>
      </c>
      <c r="F629" s="1"/>
      <c r="G629" s="1"/>
      <c r="H629" s="1"/>
      <c r="I629" s="1"/>
    </row>
    <row r="630" spans="1:9" x14ac:dyDescent="0.2">
      <c r="A630" s="1"/>
      <c r="B630" s="1"/>
      <c r="C630" s="1"/>
      <c r="D630" t="str">
        <f>IFERROR(IF(C630="","",IF(B630="موظف",VLOOKUP(C630,الموظفين!$B:$C,2,FALSE),VLOOKUP(C630,المستفيدين!$B:$C,2,FALSE))),"")</f>
        <v/>
      </c>
      <c r="F630" s="1"/>
      <c r="G630" s="1"/>
      <c r="H630" s="1"/>
      <c r="I630" s="1"/>
    </row>
    <row r="631" spans="1:9" x14ac:dyDescent="0.2">
      <c r="A631" s="1"/>
      <c r="B631" s="1"/>
      <c r="C631" s="1"/>
      <c r="D631" t="str">
        <f>IFERROR(IF(C631="","",IF(B631="موظف",VLOOKUP(C631,الموظفين!$B:$C,2,FALSE),VLOOKUP(C631,المستفيدين!$B:$C,2,FALSE))),"")</f>
        <v/>
      </c>
      <c r="F631" s="1"/>
      <c r="G631" s="1"/>
      <c r="H631" s="1"/>
      <c r="I631" s="1"/>
    </row>
    <row r="632" spans="1:9" x14ac:dyDescent="0.2">
      <c r="A632" s="1"/>
      <c r="B632" s="1"/>
      <c r="C632" s="1"/>
      <c r="D632" t="str">
        <f>IFERROR(IF(C632="","",IF(B632="موظف",VLOOKUP(C632,الموظفين!$B:$C,2,FALSE),VLOOKUP(C632,المستفيدين!$B:$C,2,FALSE))),"")</f>
        <v/>
      </c>
      <c r="F632" s="1"/>
      <c r="G632" s="1"/>
      <c r="H632" s="1"/>
      <c r="I632" s="1"/>
    </row>
    <row r="633" spans="1:9" x14ac:dyDescent="0.2">
      <c r="A633" s="1"/>
      <c r="B633" s="1"/>
      <c r="C633" s="1"/>
      <c r="D633" t="str">
        <f>IFERROR(IF(C633="","",IF(B633="موظف",VLOOKUP(C633,الموظفين!$B:$C,2,FALSE),VLOOKUP(C633,المستفيدين!$B:$C,2,FALSE))),"")</f>
        <v/>
      </c>
      <c r="F633" s="1"/>
      <c r="G633" s="1"/>
      <c r="H633" s="1"/>
      <c r="I633" s="1"/>
    </row>
    <row r="634" spans="1:9" x14ac:dyDescent="0.2">
      <c r="A634" s="1"/>
      <c r="B634" s="1"/>
      <c r="C634" s="1"/>
      <c r="D634" t="str">
        <f>IFERROR(IF(C634="","",IF(B634="موظف",VLOOKUP(C634,الموظفين!$B:$C,2,FALSE),VLOOKUP(C634,المستفيدين!$B:$C,2,FALSE))),"")</f>
        <v/>
      </c>
      <c r="F634" s="1"/>
      <c r="G634" s="1"/>
      <c r="H634" s="1"/>
      <c r="I634" s="1"/>
    </row>
    <row r="635" spans="1:9" x14ac:dyDescent="0.2">
      <c r="A635" s="1"/>
      <c r="B635" s="1"/>
      <c r="C635" s="1"/>
      <c r="D635" t="str">
        <f>IFERROR(IF(C635="","",IF(B635="موظف",VLOOKUP(C635,الموظفين!$B:$C,2,FALSE),VLOOKUP(C635,المستفيدين!$B:$C,2,FALSE))),"")</f>
        <v/>
      </c>
      <c r="F635" s="1"/>
      <c r="G635" s="1"/>
      <c r="H635" s="1"/>
      <c r="I635" s="1"/>
    </row>
    <row r="636" spans="1:9" x14ac:dyDescent="0.2">
      <c r="A636" s="1"/>
      <c r="B636" s="1"/>
      <c r="C636" s="1"/>
      <c r="D636" t="str">
        <f>IFERROR(IF(C636="","",IF(B636="موظف",VLOOKUP(C636,الموظفين!$B:$C,2,FALSE),VLOOKUP(C636,المستفيدين!$B:$C,2,FALSE))),"")</f>
        <v/>
      </c>
      <c r="F636" s="1"/>
      <c r="G636" s="1"/>
      <c r="H636" s="1"/>
      <c r="I636" s="1"/>
    </row>
    <row r="637" spans="1:9" x14ac:dyDescent="0.2">
      <c r="A637" s="1"/>
      <c r="B637" s="1"/>
      <c r="C637" s="1"/>
      <c r="D637" t="str">
        <f>IFERROR(IF(C637="","",IF(B637="موظف",VLOOKUP(C637,الموظفين!$B:$C,2,FALSE),VLOOKUP(C637,المستفيدين!$B:$C,2,FALSE))),"")</f>
        <v/>
      </c>
      <c r="F637" s="1"/>
      <c r="G637" s="1"/>
      <c r="H637" s="1"/>
      <c r="I637" s="1"/>
    </row>
    <row r="638" spans="1:9" x14ac:dyDescent="0.2">
      <c r="A638" s="1"/>
      <c r="B638" s="1"/>
      <c r="C638" s="1"/>
      <c r="D638" t="str">
        <f>IFERROR(IF(C638="","",IF(B638="موظف",VLOOKUP(C638,الموظفين!$B:$C,2,FALSE),VLOOKUP(C638,المستفيدين!$B:$C,2,FALSE))),"")</f>
        <v/>
      </c>
      <c r="F638" s="1"/>
      <c r="G638" s="1"/>
      <c r="H638" s="1"/>
      <c r="I638" s="1"/>
    </row>
    <row r="639" spans="1:9" x14ac:dyDescent="0.2">
      <c r="A639" s="1"/>
      <c r="B639" s="1"/>
      <c r="C639" s="1"/>
      <c r="D639" t="str">
        <f>IFERROR(IF(C639="","",IF(B639="موظف",VLOOKUP(C639,الموظفين!$B:$C,2,FALSE),VLOOKUP(C639,المستفيدين!$B:$C,2,FALSE))),"")</f>
        <v/>
      </c>
      <c r="F639" s="1"/>
      <c r="G639" s="1"/>
      <c r="H639" s="1"/>
      <c r="I639" s="1"/>
    </row>
    <row r="640" spans="1:9" x14ac:dyDescent="0.2">
      <c r="A640" s="1"/>
      <c r="B640" s="1"/>
      <c r="C640" s="1"/>
      <c r="D640" t="str">
        <f>IFERROR(IF(C640="","",IF(B640="موظف",VLOOKUP(C640,الموظفين!$B:$C,2,FALSE),VLOOKUP(C640,المستفيدين!$B:$C,2,FALSE))),"")</f>
        <v/>
      </c>
      <c r="F640" s="1"/>
      <c r="G640" s="1"/>
      <c r="H640" s="1"/>
      <c r="I640" s="1"/>
    </row>
    <row r="641" spans="1:9" x14ac:dyDescent="0.2">
      <c r="A641" s="1"/>
      <c r="B641" s="1"/>
      <c r="C641" s="1"/>
      <c r="D641" t="str">
        <f>IFERROR(IF(C641="","",IF(B641="موظف",VLOOKUP(C641,الموظفين!$B:$C,2,FALSE),VLOOKUP(C641,المستفيدين!$B:$C,2,FALSE))),"")</f>
        <v/>
      </c>
      <c r="F641" s="1"/>
      <c r="G641" s="1"/>
      <c r="H641" s="1"/>
      <c r="I641" s="1"/>
    </row>
    <row r="642" spans="1:9" x14ac:dyDescent="0.2">
      <c r="A642" s="1"/>
      <c r="B642" s="1"/>
      <c r="C642" s="1"/>
      <c r="D642" t="str">
        <f>IFERROR(IF(C642="","",IF(B642="موظف",VLOOKUP(C642,الموظفين!$B:$C,2,FALSE),VLOOKUP(C642,المستفيدين!$B:$C,2,FALSE))),"")</f>
        <v/>
      </c>
      <c r="F642" s="1"/>
      <c r="G642" s="1"/>
      <c r="H642" s="1"/>
      <c r="I642" s="1"/>
    </row>
    <row r="643" spans="1:9" x14ac:dyDescent="0.2">
      <c r="A643" s="1"/>
      <c r="B643" s="1"/>
      <c r="C643" s="1"/>
      <c r="D643" t="str">
        <f>IFERROR(IF(C643="","",IF(B643="موظف",VLOOKUP(C643,الموظفين!$B:$C,2,FALSE),VLOOKUP(C643,المستفيدين!$B:$C,2,FALSE))),"")</f>
        <v/>
      </c>
      <c r="F643" s="1"/>
      <c r="G643" s="1"/>
      <c r="H643" s="1"/>
      <c r="I643" s="1"/>
    </row>
    <row r="644" spans="1:9" x14ac:dyDescent="0.2">
      <c r="A644" s="1"/>
      <c r="B644" s="1"/>
      <c r="C644" s="1"/>
      <c r="D644" t="str">
        <f>IFERROR(IF(C644="","",IF(B644="موظف",VLOOKUP(C644,الموظفين!$B:$C,2,FALSE),VLOOKUP(C644,المستفيدين!$B:$C,2,FALSE))),"")</f>
        <v/>
      </c>
      <c r="F644" s="1"/>
      <c r="G644" s="1"/>
      <c r="H644" s="1"/>
      <c r="I644" s="1"/>
    </row>
    <row r="645" spans="1:9" x14ac:dyDescent="0.2">
      <c r="A645" s="1"/>
      <c r="B645" s="1"/>
      <c r="C645" s="1"/>
      <c r="D645" t="str">
        <f>IFERROR(IF(C645="","",IF(B645="موظف",VLOOKUP(C645,الموظفين!$B:$C,2,FALSE),VLOOKUP(C645,المستفيدين!$B:$C,2,FALSE))),"")</f>
        <v/>
      </c>
      <c r="F645" s="1"/>
      <c r="G645" s="1"/>
      <c r="H645" s="1"/>
      <c r="I645" s="1"/>
    </row>
    <row r="646" spans="1:9" x14ac:dyDescent="0.2">
      <c r="A646" s="1"/>
      <c r="B646" s="1"/>
      <c r="C646" s="1"/>
      <c r="D646" t="str">
        <f>IFERROR(IF(C646="","",IF(B646="موظف",VLOOKUP(C646,الموظفين!$B:$C,2,FALSE),VLOOKUP(C646,المستفيدين!$B:$C,2,FALSE))),"")</f>
        <v/>
      </c>
      <c r="F646" s="1"/>
      <c r="G646" s="1"/>
      <c r="H646" s="1"/>
      <c r="I646" s="1"/>
    </row>
    <row r="647" spans="1:9" x14ac:dyDescent="0.2">
      <c r="A647" s="1"/>
      <c r="B647" s="1"/>
      <c r="C647" s="1"/>
      <c r="D647" t="str">
        <f>IFERROR(IF(C647="","",IF(B647="موظف",VLOOKUP(C647,الموظفين!$B:$C,2,FALSE),VLOOKUP(C647,المستفيدين!$B:$C,2,FALSE))),"")</f>
        <v/>
      </c>
      <c r="F647" s="1"/>
      <c r="G647" s="1"/>
      <c r="H647" s="1"/>
      <c r="I647" s="1"/>
    </row>
    <row r="648" spans="1:9" x14ac:dyDescent="0.2">
      <c r="A648" s="1"/>
      <c r="B648" s="1"/>
      <c r="C648" s="1"/>
      <c r="D648" t="str">
        <f>IFERROR(IF(C648="","",IF(B648="موظف",VLOOKUP(C648,الموظفين!$B:$C,2,FALSE),VLOOKUP(C648,المستفيدين!$B:$C,2,FALSE))),"")</f>
        <v/>
      </c>
      <c r="F648" s="1"/>
      <c r="G648" s="1"/>
      <c r="H648" s="1"/>
      <c r="I648" s="1"/>
    </row>
    <row r="649" spans="1:9" x14ac:dyDescent="0.2">
      <c r="A649" s="1"/>
      <c r="B649" s="1"/>
      <c r="C649" s="1"/>
      <c r="D649" t="str">
        <f>IFERROR(IF(C649="","",IF(B649="موظف",VLOOKUP(C649,الموظفين!$B:$C,2,FALSE),VLOOKUP(C649,المستفيدين!$B:$C,2,FALSE))),"")</f>
        <v/>
      </c>
      <c r="F649" s="1"/>
      <c r="G649" s="1"/>
      <c r="H649" s="1"/>
      <c r="I649" s="1"/>
    </row>
    <row r="650" spans="1:9" x14ac:dyDescent="0.2">
      <c r="A650" s="1"/>
      <c r="B650" s="1"/>
      <c r="C650" s="1"/>
      <c r="D650" t="str">
        <f>IFERROR(IF(C650="","",IF(B650="موظف",VLOOKUP(C650,الموظفين!$B:$C,2,FALSE),VLOOKUP(C650,المستفيدين!$B:$C,2,FALSE))),"")</f>
        <v/>
      </c>
      <c r="F650" s="1"/>
      <c r="G650" s="1"/>
      <c r="H650" s="1"/>
      <c r="I650" s="1"/>
    </row>
    <row r="651" spans="1:9" x14ac:dyDescent="0.2">
      <c r="A651" s="1"/>
      <c r="B651" s="1"/>
      <c r="C651" s="1"/>
      <c r="D651" t="str">
        <f>IFERROR(IF(C651="","",IF(B651="موظف",VLOOKUP(C651,الموظفين!$B:$C,2,FALSE),VLOOKUP(C651,المستفيدين!$B:$C,2,FALSE))),"")</f>
        <v/>
      </c>
      <c r="F651" s="1"/>
      <c r="G651" s="1"/>
      <c r="H651" s="1"/>
      <c r="I651" s="1"/>
    </row>
    <row r="652" spans="1:9" x14ac:dyDescent="0.2">
      <c r="A652" s="1"/>
      <c r="B652" s="1"/>
      <c r="C652" s="1"/>
      <c r="D652" t="str">
        <f>IFERROR(IF(C652="","",IF(B652="موظف",VLOOKUP(C652,الموظفين!$B:$C,2,FALSE),VLOOKUP(C652,المستفيدين!$B:$C,2,FALSE))),"")</f>
        <v/>
      </c>
      <c r="F652" s="1"/>
      <c r="G652" s="1"/>
      <c r="H652" s="1"/>
      <c r="I652" s="1"/>
    </row>
    <row r="653" spans="1:9" x14ac:dyDescent="0.2">
      <c r="A653" s="1"/>
      <c r="B653" s="1"/>
      <c r="C653" s="1"/>
      <c r="D653" t="str">
        <f>IFERROR(IF(C653="","",IF(B653="موظف",VLOOKUP(C653,الموظفين!$B:$C,2,FALSE),VLOOKUP(C653,المستفيدين!$B:$C,2,FALSE))),"")</f>
        <v/>
      </c>
      <c r="F653" s="1"/>
      <c r="G653" s="1"/>
      <c r="H653" s="1"/>
      <c r="I653" s="1"/>
    </row>
    <row r="654" spans="1:9" x14ac:dyDescent="0.2">
      <c r="A654" s="1"/>
      <c r="B654" s="1"/>
      <c r="C654" s="1"/>
      <c r="D654" t="str">
        <f>IFERROR(IF(C654="","",IF(B654="موظف",VLOOKUP(C654,الموظفين!$B:$C,2,FALSE),VLOOKUP(C654,المستفيدين!$B:$C,2,FALSE))),"")</f>
        <v/>
      </c>
      <c r="F654" s="1"/>
      <c r="G654" s="1"/>
      <c r="H654" s="1"/>
      <c r="I654" s="1"/>
    </row>
    <row r="655" spans="1:9" x14ac:dyDescent="0.2">
      <c r="A655" s="1"/>
      <c r="B655" s="1"/>
      <c r="C655" s="1"/>
      <c r="D655" t="str">
        <f>IFERROR(IF(C655="","",IF(B655="موظف",VLOOKUP(C655,الموظفين!$B:$C,2,FALSE),VLOOKUP(C655,المستفيدين!$B:$C,2,FALSE))),"")</f>
        <v/>
      </c>
      <c r="F655" s="1"/>
      <c r="G655" s="1"/>
      <c r="H655" s="1"/>
      <c r="I655" s="1"/>
    </row>
    <row r="656" spans="1:9" x14ac:dyDescent="0.2">
      <c r="A656" s="1"/>
      <c r="B656" s="1"/>
      <c r="C656" s="1"/>
      <c r="D656" t="str">
        <f>IFERROR(IF(C656="","",IF(B656="موظف",VLOOKUP(C656,الموظفين!$B:$C,2,FALSE),VLOOKUP(C656,المستفيدين!$B:$C,2,FALSE))),"")</f>
        <v/>
      </c>
      <c r="F656" s="1"/>
      <c r="G656" s="1"/>
      <c r="H656" s="1"/>
      <c r="I656" s="1"/>
    </row>
    <row r="657" spans="1:9" x14ac:dyDescent="0.2">
      <c r="A657" s="1"/>
      <c r="B657" s="1"/>
      <c r="C657" s="1"/>
      <c r="D657" t="str">
        <f>IFERROR(IF(C657="","",IF(B657="موظف",VLOOKUP(C657,الموظفين!$B:$C,2,FALSE),VLOOKUP(C657,المستفيدين!$B:$C,2,FALSE))),"")</f>
        <v/>
      </c>
      <c r="F657" s="1"/>
      <c r="G657" s="1"/>
      <c r="H657" s="1"/>
      <c r="I657" s="1"/>
    </row>
    <row r="658" spans="1:9" x14ac:dyDescent="0.2">
      <c r="A658" s="1"/>
      <c r="B658" s="1"/>
      <c r="C658" s="1"/>
      <c r="D658" t="str">
        <f>IFERROR(IF(C658="","",IF(B658="موظف",VLOOKUP(C658,الموظفين!$B:$C,2,FALSE),VLOOKUP(C658,المستفيدين!$B:$C,2,FALSE))),"")</f>
        <v/>
      </c>
      <c r="F658" s="1"/>
      <c r="G658" s="1"/>
      <c r="H658" s="1"/>
      <c r="I658" s="1"/>
    </row>
    <row r="659" spans="1:9" x14ac:dyDescent="0.2">
      <c r="A659" s="1"/>
      <c r="B659" s="1"/>
      <c r="C659" s="1"/>
      <c r="D659" t="str">
        <f>IFERROR(IF(C659="","",IF(B659="موظف",VLOOKUP(C659,الموظفين!$B:$C,2,FALSE),VLOOKUP(C659,المستفيدين!$B:$C,2,FALSE))),"")</f>
        <v/>
      </c>
      <c r="F659" s="1"/>
      <c r="G659" s="1"/>
      <c r="H659" s="1"/>
      <c r="I659" s="1"/>
    </row>
    <row r="660" spans="1:9" x14ac:dyDescent="0.2">
      <c r="A660" s="1"/>
      <c r="B660" s="1"/>
      <c r="C660" s="1"/>
      <c r="D660" t="str">
        <f>IFERROR(IF(C660="","",IF(B660="موظف",VLOOKUP(C660,الموظفين!$B:$C,2,FALSE),VLOOKUP(C660,المستفيدين!$B:$C,2,FALSE))),"")</f>
        <v/>
      </c>
      <c r="F660" s="1"/>
      <c r="G660" s="1"/>
      <c r="H660" s="1"/>
      <c r="I660" s="1"/>
    </row>
    <row r="661" spans="1:9" x14ac:dyDescent="0.2">
      <c r="A661" s="1"/>
      <c r="B661" s="1"/>
      <c r="C661" s="1"/>
      <c r="D661" t="str">
        <f>IFERROR(IF(C661="","",IF(B661="موظف",VLOOKUP(C661,الموظفين!$B:$C,2,FALSE),VLOOKUP(C661,المستفيدين!$B:$C,2,FALSE))),"")</f>
        <v/>
      </c>
      <c r="F661" s="1"/>
      <c r="G661" s="1"/>
      <c r="H661" s="1"/>
      <c r="I661" s="1"/>
    </row>
    <row r="662" spans="1:9" x14ac:dyDescent="0.2">
      <c r="A662" s="1"/>
      <c r="B662" s="1"/>
      <c r="C662" s="1"/>
      <c r="D662" t="str">
        <f>IFERROR(IF(C662="","",IF(B662="موظف",VLOOKUP(C662,الموظفين!$B:$C,2,FALSE),VLOOKUP(C662,المستفيدين!$B:$C,2,FALSE))),"")</f>
        <v/>
      </c>
      <c r="F662" s="1"/>
      <c r="G662" s="1"/>
      <c r="H662" s="1"/>
      <c r="I662" s="1"/>
    </row>
    <row r="663" spans="1:9" x14ac:dyDescent="0.2">
      <c r="A663" s="1"/>
      <c r="B663" s="1"/>
      <c r="C663" s="1"/>
      <c r="D663" t="str">
        <f>IFERROR(IF(C663="","",IF(B663="موظف",VLOOKUP(C663,الموظفين!$B:$C,2,FALSE),VLOOKUP(C663,المستفيدين!$B:$C,2,FALSE))),"")</f>
        <v/>
      </c>
      <c r="F663" s="1"/>
      <c r="G663" s="1"/>
      <c r="H663" s="1"/>
      <c r="I663" s="1"/>
    </row>
    <row r="664" spans="1:9" x14ac:dyDescent="0.2">
      <c r="A664" s="1"/>
      <c r="B664" s="1"/>
      <c r="C664" s="1"/>
      <c r="D664" t="str">
        <f>IFERROR(IF(C664="","",IF(B664="موظف",VLOOKUP(C664,الموظفين!$B:$C,2,FALSE),VLOOKUP(C664,المستفيدين!$B:$C,2,FALSE))),"")</f>
        <v/>
      </c>
      <c r="F664" s="1"/>
      <c r="G664" s="1"/>
      <c r="H664" s="1"/>
      <c r="I664" s="1"/>
    </row>
    <row r="665" spans="1:9" x14ac:dyDescent="0.2">
      <c r="A665" s="1"/>
      <c r="B665" s="1"/>
      <c r="C665" s="1"/>
      <c r="D665" t="str">
        <f>IFERROR(IF(C665="","",IF(B665="موظف",VLOOKUP(C665,الموظفين!$B:$C,2,FALSE),VLOOKUP(C665,المستفيدين!$B:$C,2,FALSE))),"")</f>
        <v/>
      </c>
      <c r="F665" s="1"/>
      <c r="G665" s="1"/>
      <c r="H665" s="1"/>
      <c r="I665" s="1"/>
    </row>
    <row r="666" spans="1:9" x14ac:dyDescent="0.2">
      <c r="A666" s="1"/>
      <c r="B666" s="1"/>
      <c r="C666" s="1"/>
      <c r="D666" t="str">
        <f>IFERROR(IF(C666="","",IF(B666="موظف",VLOOKUP(C666,الموظفين!$B:$C,2,FALSE),VLOOKUP(C666,المستفيدين!$B:$C,2,FALSE))),"")</f>
        <v/>
      </c>
      <c r="F666" s="1"/>
      <c r="G666" s="1"/>
      <c r="H666" s="1"/>
      <c r="I666" s="1"/>
    </row>
    <row r="667" spans="1:9" x14ac:dyDescent="0.2">
      <c r="A667" s="1"/>
      <c r="B667" s="1"/>
      <c r="C667" s="1"/>
      <c r="D667" t="str">
        <f>IFERROR(IF(C667="","",IF(B667="موظف",VLOOKUP(C667,الموظفين!$B:$C,2,FALSE),VLOOKUP(C667,المستفيدين!$B:$C,2,FALSE))),"")</f>
        <v/>
      </c>
      <c r="F667" s="1"/>
      <c r="G667" s="1"/>
      <c r="H667" s="1"/>
      <c r="I667" s="1"/>
    </row>
    <row r="668" spans="1:9" x14ac:dyDescent="0.2">
      <c r="A668" s="1"/>
      <c r="B668" s="1"/>
      <c r="C668" s="1"/>
      <c r="D668" t="str">
        <f>IFERROR(IF(C668="","",IF(B668="موظف",VLOOKUP(C668,الموظفين!$B:$C,2,FALSE),VLOOKUP(C668,المستفيدين!$B:$C,2,FALSE))),"")</f>
        <v/>
      </c>
      <c r="F668" s="1"/>
      <c r="G668" s="1"/>
      <c r="H668" s="1"/>
      <c r="I668" s="1"/>
    </row>
    <row r="669" spans="1:9" x14ac:dyDescent="0.2">
      <c r="A669" s="1"/>
      <c r="B669" s="1"/>
      <c r="C669" s="1"/>
      <c r="D669" t="str">
        <f>IFERROR(IF(C669="","",IF(B669="موظف",VLOOKUP(C669,الموظفين!$B:$C,2,FALSE),VLOOKUP(C669,المستفيدين!$B:$C,2,FALSE))),"")</f>
        <v/>
      </c>
      <c r="F669" s="1"/>
      <c r="G669" s="1"/>
      <c r="H669" s="1"/>
      <c r="I669" s="1"/>
    </row>
    <row r="670" spans="1:9" x14ac:dyDescent="0.2">
      <c r="A670" s="1"/>
      <c r="B670" s="1"/>
      <c r="C670" s="1"/>
      <c r="D670" t="str">
        <f>IFERROR(IF(C670="","",IF(B670="موظف",VLOOKUP(C670,الموظفين!$B:$C,2,FALSE),VLOOKUP(C670,المستفيدين!$B:$C,2,FALSE))),"")</f>
        <v/>
      </c>
      <c r="F670" s="1"/>
      <c r="G670" s="1"/>
      <c r="H670" s="1"/>
      <c r="I670" s="1"/>
    </row>
    <row r="671" spans="1:9" x14ac:dyDescent="0.2">
      <c r="A671" s="1"/>
      <c r="B671" s="1"/>
      <c r="C671" s="1"/>
      <c r="D671" t="str">
        <f>IFERROR(IF(C671="","",IF(B671="موظف",VLOOKUP(C671,الموظفين!$B:$C,2,FALSE),VLOOKUP(C671,المستفيدين!$B:$C,2,FALSE))),"")</f>
        <v/>
      </c>
      <c r="F671" s="1"/>
      <c r="G671" s="1"/>
      <c r="H671" s="1"/>
      <c r="I671" s="1"/>
    </row>
    <row r="672" spans="1:9" x14ac:dyDescent="0.2">
      <c r="A672" s="1"/>
      <c r="B672" s="1"/>
      <c r="C672" s="1"/>
      <c r="D672" t="str">
        <f>IFERROR(IF(C672="","",IF(B672="موظف",VLOOKUP(C672,الموظفين!$B:$C,2,FALSE),VLOOKUP(C672,المستفيدين!$B:$C,2,FALSE))),"")</f>
        <v/>
      </c>
      <c r="F672" s="1"/>
      <c r="G672" s="1"/>
      <c r="H672" s="1"/>
      <c r="I672" s="1"/>
    </row>
    <row r="673" spans="1:9" x14ac:dyDescent="0.2">
      <c r="A673" s="1"/>
      <c r="B673" s="1"/>
      <c r="C673" s="1"/>
      <c r="D673" t="str">
        <f>IFERROR(IF(C673="","",IF(B673="موظف",VLOOKUP(C673,الموظفين!$B:$C,2,FALSE),VLOOKUP(C673,المستفيدين!$B:$C,2,FALSE))),"")</f>
        <v/>
      </c>
      <c r="F673" s="1"/>
      <c r="G673" s="1"/>
      <c r="H673" s="1"/>
      <c r="I673" s="1"/>
    </row>
    <row r="674" spans="1:9" x14ac:dyDescent="0.2">
      <c r="A674" s="1"/>
      <c r="B674" s="1"/>
      <c r="C674" s="1"/>
      <c r="D674" t="str">
        <f>IFERROR(IF(C674="","",IF(B674="موظف",VLOOKUP(C674,الموظفين!$B:$C,2,FALSE),VLOOKUP(C674,المستفيدين!$B:$C,2,FALSE))),"")</f>
        <v/>
      </c>
      <c r="F674" s="1"/>
      <c r="G674" s="1"/>
      <c r="H674" s="1"/>
      <c r="I674" s="1"/>
    </row>
    <row r="675" spans="1:9" x14ac:dyDescent="0.2">
      <c r="A675" s="1"/>
      <c r="B675" s="1"/>
      <c r="C675" s="1"/>
      <c r="D675" t="str">
        <f>IFERROR(IF(C675="","",IF(B675="موظف",VLOOKUP(C675,الموظفين!$B:$C,2,FALSE),VLOOKUP(C675,المستفيدين!$B:$C,2,FALSE))),"")</f>
        <v/>
      </c>
      <c r="F675" s="1"/>
      <c r="G675" s="1"/>
      <c r="H675" s="1"/>
      <c r="I675" s="1"/>
    </row>
    <row r="676" spans="1:9" x14ac:dyDescent="0.2">
      <c r="A676" s="1"/>
      <c r="B676" s="1"/>
      <c r="C676" s="1"/>
      <c r="D676" t="str">
        <f>IFERROR(IF(C676="","",IF(B676="موظف",VLOOKUP(C676,الموظفين!$B:$C,2,FALSE),VLOOKUP(C676,المستفيدين!$B:$C,2,FALSE))),"")</f>
        <v/>
      </c>
      <c r="F676" s="1"/>
      <c r="G676" s="1"/>
      <c r="H676" s="1"/>
      <c r="I676" s="1"/>
    </row>
    <row r="677" spans="1:9" x14ac:dyDescent="0.2">
      <c r="A677" s="1"/>
      <c r="B677" s="1"/>
      <c r="C677" s="1"/>
      <c r="D677" t="str">
        <f>IFERROR(IF(C677="","",IF(B677="موظف",VLOOKUP(C677,الموظفين!$B:$C,2,FALSE),VLOOKUP(C677,المستفيدين!$B:$C,2,FALSE))),"")</f>
        <v/>
      </c>
      <c r="F677" s="1"/>
      <c r="G677" s="1"/>
      <c r="H677" s="1"/>
      <c r="I677" s="1"/>
    </row>
    <row r="678" spans="1:9" x14ac:dyDescent="0.2">
      <c r="A678" s="1"/>
      <c r="B678" s="1"/>
      <c r="C678" s="1"/>
      <c r="D678" t="str">
        <f>IFERROR(IF(C678="","",IF(B678="موظف",VLOOKUP(C678,الموظفين!$B:$C,2,FALSE),VLOOKUP(C678,المستفيدين!$B:$C,2,FALSE))),"")</f>
        <v/>
      </c>
      <c r="F678" s="1"/>
      <c r="G678" s="1"/>
      <c r="H678" s="1"/>
      <c r="I678" s="1"/>
    </row>
    <row r="679" spans="1:9" x14ac:dyDescent="0.2">
      <c r="A679" s="1"/>
      <c r="B679" s="1"/>
      <c r="C679" s="1"/>
      <c r="D679" t="str">
        <f>IFERROR(IF(C679="","",IF(B679="موظف",VLOOKUP(C679,الموظفين!$B:$C,2,FALSE),VLOOKUP(C679,المستفيدين!$B:$C,2,FALSE))),"")</f>
        <v/>
      </c>
      <c r="F679" s="1"/>
      <c r="G679" s="1"/>
      <c r="H679" s="1"/>
      <c r="I679" s="1"/>
    </row>
    <row r="680" spans="1:9" x14ac:dyDescent="0.2">
      <c r="A680" s="1"/>
      <c r="B680" s="1"/>
      <c r="C680" s="1"/>
      <c r="D680" t="str">
        <f>IFERROR(IF(C680="","",IF(B680="موظف",VLOOKUP(C680,الموظفين!$B:$C,2,FALSE),VLOOKUP(C680,المستفيدين!$B:$C,2,FALSE))),"")</f>
        <v/>
      </c>
      <c r="F680" s="1"/>
      <c r="G680" s="1"/>
      <c r="H680" s="1"/>
      <c r="I680" s="1"/>
    </row>
    <row r="681" spans="1:9" x14ac:dyDescent="0.2">
      <c r="A681" s="1"/>
      <c r="B681" s="1"/>
      <c r="C681" s="1"/>
      <c r="D681" t="str">
        <f>IFERROR(IF(C681="","",IF(B681="موظف",VLOOKUP(C681,الموظفين!$B:$C,2,FALSE),VLOOKUP(C681,المستفيدين!$B:$C,2,FALSE))),"")</f>
        <v/>
      </c>
      <c r="F681" s="1"/>
      <c r="G681" s="1"/>
      <c r="H681" s="1"/>
      <c r="I681" s="1"/>
    </row>
    <row r="682" spans="1:9" x14ac:dyDescent="0.2">
      <c r="A682" s="1"/>
      <c r="B682" s="1"/>
      <c r="C682" s="1"/>
      <c r="D682" t="str">
        <f>IFERROR(IF(C682="","",IF(B682="موظف",VLOOKUP(C682,الموظفين!$B:$C,2,FALSE),VLOOKUP(C682,المستفيدين!$B:$C,2,FALSE))),"")</f>
        <v/>
      </c>
      <c r="F682" s="1"/>
      <c r="G682" s="1"/>
      <c r="H682" s="1"/>
      <c r="I682" s="1"/>
    </row>
    <row r="683" spans="1:9" x14ac:dyDescent="0.2">
      <c r="A683" s="1"/>
      <c r="B683" s="1"/>
      <c r="C683" s="1"/>
      <c r="D683" t="str">
        <f>IFERROR(IF(C683="","",IF(B683="موظف",VLOOKUP(C683,الموظفين!$B:$C,2,FALSE),VLOOKUP(C683,المستفيدين!$B:$C,2,FALSE))),"")</f>
        <v/>
      </c>
      <c r="F683" s="1"/>
      <c r="G683" s="1"/>
      <c r="H683" s="1"/>
      <c r="I683" s="1"/>
    </row>
    <row r="684" spans="1:9" x14ac:dyDescent="0.2">
      <c r="A684" s="1"/>
      <c r="B684" s="1"/>
      <c r="C684" s="1"/>
      <c r="D684" t="str">
        <f>IFERROR(IF(C684="","",IF(B684="موظف",VLOOKUP(C684,الموظفين!$B:$C,2,FALSE),VLOOKUP(C684,المستفيدين!$B:$C,2,FALSE))),"")</f>
        <v/>
      </c>
      <c r="F684" s="1"/>
      <c r="G684" s="1"/>
      <c r="H684" s="1"/>
      <c r="I684" s="1"/>
    </row>
    <row r="685" spans="1:9" x14ac:dyDescent="0.2">
      <c r="A685" s="1"/>
      <c r="B685" s="1"/>
      <c r="C685" s="1"/>
      <c r="D685" t="str">
        <f>IFERROR(IF(C685="","",IF(B685="موظف",VLOOKUP(C685,الموظفين!$B:$C,2,FALSE),VLOOKUP(C685,المستفيدين!$B:$C,2,FALSE))),"")</f>
        <v/>
      </c>
      <c r="F685" s="1"/>
      <c r="G685" s="1"/>
      <c r="H685" s="1"/>
      <c r="I685" s="1"/>
    </row>
    <row r="686" spans="1:9" x14ac:dyDescent="0.2">
      <c r="A686" s="1"/>
      <c r="B686" s="1"/>
      <c r="C686" s="1"/>
      <c r="D686" t="str">
        <f>IFERROR(IF(C686="","",IF(B686="موظف",VLOOKUP(C686,الموظفين!$B:$C,2,FALSE),VLOOKUP(C686,المستفيدين!$B:$C,2,FALSE))),"")</f>
        <v/>
      </c>
      <c r="F686" s="1"/>
      <c r="G686" s="1"/>
      <c r="H686" s="1"/>
      <c r="I686" s="1"/>
    </row>
    <row r="687" spans="1:9" x14ac:dyDescent="0.2">
      <c r="A687" s="1"/>
      <c r="B687" s="1"/>
      <c r="C687" s="1"/>
      <c r="D687" t="str">
        <f>IFERROR(IF(C687="","",IF(B687="موظف",VLOOKUP(C687,الموظفين!$B:$C,2,FALSE),VLOOKUP(C687,المستفيدين!$B:$C,2,FALSE))),"")</f>
        <v/>
      </c>
      <c r="F687" s="1"/>
      <c r="G687" s="1"/>
      <c r="H687" s="1"/>
      <c r="I687" s="1"/>
    </row>
    <row r="688" spans="1:9" x14ac:dyDescent="0.2">
      <c r="A688" s="1"/>
      <c r="B688" s="1"/>
      <c r="C688" s="1"/>
      <c r="D688" t="str">
        <f>IFERROR(IF(C688="","",IF(B688="موظف",VLOOKUP(C688,الموظفين!$B:$C,2,FALSE),VLOOKUP(C688,المستفيدين!$B:$C,2,FALSE))),"")</f>
        <v/>
      </c>
      <c r="F688" s="1"/>
      <c r="G688" s="1"/>
      <c r="H688" s="1"/>
      <c r="I688" s="1"/>
    </row>
    <row r="689" spans="1:9" x14ac:dyDescent="0.2">
      <c r="A689" s="1"/>
      <c r="B689" s="1"/>
      <c r="C689" s="1"/>
      <c r="D689" t="str">
        <f>IFERROR(IF(C689="","",IF(B689="موظف",VLOOKUP(C689,الموظفين!$B:$C,2,FALSE),VLOOKUP(C689,المستفيدين!$B:$C,2,FALSE))),"")</f>
        <v/>
      </c>
      <c r="F689" s="1"/>
      <c r="G689" s="1"/>
      <c r="H689" s="1"/>
      <c r="I689" s="1"/>
    </row>
    <row r="690" spans="1:9" x14ac:dyDescent="0.2">
      <c r="A690" s="1"/>
      <c r="B690" s="1"/>
      <c r="C690" s="1"/>
      <c r="D690" t="str">
        <f>IFERROR(IF(C690="","",IF(B690="موظف",VLOOKUP(C690,الموظفين!$B:$C,2,FALSE),VLOOKUP(C690,المستفيدين!$B:$C,2,FALSE))),"")</f>
        <v/>
      </c>
      <c r="F690" s="1"/>
      <c r="G690" s="1"/>
      <c r="H690" s="1"/>
      <c r="I690" s="1"/>
    </row>
    <row r="691" spans="1:9" x14ac:dyDescent="0.2">
      <c r="A691" s="1"/>
      <c r="B691" s="1"/>
      <c r="C691" s="1"/>
      <c r="D691" t="str">
        <f>IFERROR(IF(C691="","",IF(B691="موظف",VLOOKUP(C691,الموظفين!$B:$C,2,FALSE),VLOOKUP(C691,المستفيدين!$B:$C,2,FALSE))),"")</f>
        <v/>
      </c>
      <c r="F691" s="1"/>
      <c r="G691" s="1"/>
      <c r="H691" s="1"/>
      <c r="I691" s="1"/>
    </row>
    <row r="692" spans="1:9" x14ac:dyDescent="0.2">
      <c r="A692" s="1"/>
      <c r="B692" s="1"/>
      <c r="C692" s="1"/>
      <c r="D692" t="str">
        <f>IFERROR(IF(C692="","",IF(B692="موظف",VLOOKUP(C692,الموظفين!$B:$C,2,FALSE),VLOOKUP(C692,المستفيدين!$B:$C,2,FALSE))),"")</f>
        <v/>
      </c>
      <c r="F692" s="1"/>
      <c r="G692" s="1"/>
      <c r="H692" s="1"/>
      <c r="I692" s="1"/>
    </row>
    <row r="693" spans="1:9" x14ac:dyDescent="0.2">
      <c r="A693" s="1"/>
      <c r="B693" s="1"/>
      <c r="C693" s="1"/>
      <c r="D693" t="str">
        <f>IFERROR(IF(C693="","",IF(B693="موظف",VLOOKUP(C693,الموظفين!$B:$C,2,FALSE),VLOOKUP(C693,المستفيدين!$B:$C,2,FALSE))),"")</f>
        <v/>
      </c>
      <c r="F693" s="1"/>
      <c r="G693" s="1"/>
      <c r="H693" s="1"/>
      <c r="I693" s="1"/>
    </row>
    <row r="694" spans="1:9" x14ac:dyDescent="0.2">
      <c r="A694" s="1"/>
      <c r="B694" s="1"/>
      <c r="C694" s="1"/>
      <c r="D694" t="str">
        <f>IFERROR(IF(C694="","",IF(B694="موظف",VLOOKUP(C694,الموظفين!$B:$C,2,FALSE),VLOOKUP(C694,المستفيدين!$B:$C,2,FALSE))),"")</f>
        <v/>
      </c>
      <c r="F694" s="1"/>
      <c r="G694" s="1"/>
      <c r="H694" s="1"/>
      <c r="I694" s="1"/>
    </row>
    <row r="695" spans="1:9" x14ac:dyDescent="0.2">
      <c r="A695" s="1"/>
      <c r="B695" s="1"/>
      <c r="C695" s="1"/>
      <c r="D695" t="str">
        <f>IFERROR(IF(C695="","",IF(B695="موظف",VLOOKUP(C695,الموظفين!$B:$C,2,FALSE),VLOOKUP(C695,المستفيدين!$B:$C,2,FALSE))),"")</f>
        <v/>
      </c>
      <c r="F695" s="1"/>
      <c r="G695" s="1"/>
      <c r="H695" s="1"/>
      <c r="I695" s="1"/>
    </row>
    <row r="696" spans="1:9" x14ac:dyDescent="0.2">
      <c r="A696" s="1"/>
      <c r="B696" s="1"/>
      <c r="C696" s="1"/>
      <c r="D696" t="str">
        <f>IFERROR(IF(C696="","",IF(B696="موظف",VLOOKUP(C696,الموظفين!$B:$C,2,FALSE),VLOOKUP(C696,المستفيدين!$B:$C,2,FALSE))),"")</f>
        <v/>
      </c>
      <c r="F696" s="1"/>
      <c r="G696" s="1"/>
      <c r="H696" s="1"/>
      <c r="I696" s="1"/>
    </row>
    <row r="697" spans="1:9" x14ac:dyDescent="0.2">
      <c r="A697" s="1"/>
      <c r="B697" s="1"/>
      <c r="C697" s="1"/>
      <c r="D697" t="str">
        <f>IFERROR(IF(C697="","",IF(B697="موظف",VLOOKUP(C697,الموظفين!$B:$C,2,FALSE),VLOOKUP(C697,المستفيدين!$B:$C,2,FALSE))),"")</f>
        <v/>
      </c>
      <c r="F697" s="1"/>
      <c r="G697" s="1"/>
      <c r="H697" s="1"/>
      <c r="I697" s="1"/>
    </row>
    <row r="698" spans="1:9" x14ac:dyDescent="0.2">
      <c r="A698" s="1"/>
      <c r="B698" s="1"/>
      <c r="C698" s="1"/>
      <c r="D698" t="str">
        <f>IFERROR(IF(C698="","",IF(B698="موظف",VLOOKUP(C698,الموظفين!$B:$C,2,FALSE),VLOOKUP(C698,المستفيدين!$B:$C,2,FALSE))),"")</f>
        <v/>
      </c>
      <c r="F698" s="1"/>
      <c r="G698" s="1"/>
      <c r="H698" s="1"/>
      <c r="I698" s="1"/>
    </row>
    <row r="699" spans="1:9" x14ac:dyDescent="0.2">
      <c r="A699" s="1"/>
      <c r="B699" s="1"/>
      <c r="C699" s="1"/>
      <c r="D699" t="str">
        <f>IFERROR(IF(C699="","",IF(B699="موظف",VLOOKUP(C699,الموظفين!$B:$C,2,FALSE),VLOOKUP(C699,المستفيدين!$B:$C,2,FALSE))),"")</f>
        <v/>
      </c>
      <c r="F699" s="1"/>
      <c r="G699" s="1"/>
      <c r="H699" s="1"/>
      <c r="I699" s="1"/>
    </row>
    <row r="700" spans="1:9" x14ac:dyDescent="0.2">
      <c r="A700" s="1"/>
      <c r="B700" s="1"/>
      <c r="C700" s="1"/>
      <c r="D700" t="str">
        <f>IFERROR(IF(C700="","",IF(B700="موظف",VLOOKUP(C700,الموظفين!$B:$C,2,FALSE),VLOOKUP(C700,المستفيدين!$B:$C,2,FALSE))),"")</f>
        <v/>
      </c>
      <c r="F700" s="1"/>
      <c r="G700" s="1"/>
      <c r="H700" s="1"/>
      <c r="I700" s="1"/>
    </row>
    <row r="701" spans="1:9" x14ac:dyDescent="0.2">
      <c r="A701" s="1"/>
      <c r="B701" s="1"/>
      <c r="C701" s="1"/>
      <c r="D701" t="str">
        <f>IFERROR(IF(C701="","",IF(B701="موظف",VLOOKUP(C701,الموظفين!$B:$C,2,FALSE),VLOOKUP(C701,المستفيدين!$B:$C,2,FALSE))),"")</f>
        <v/>
      </c>
      <c r="F701" s="1"/>
      <c r="G701" s="1"/>
      <c r="H701" s="1"/>
      <c r="I701" s="1"/>
    </row>
    <row r="702" spans="1:9" x14ac:dyDescent="0.2">
      <c r="A702" s="1"/>
      <c r="B702" s="1"/>
      <c r="C702" s="1"/>
      <c r="D702" t="str">
        <f>IFERROR(IF(C702="","",IF(B702="موظف",VLOOKUP(C702,الموظفين!$B:$C,2,FALSE),VLOOKUP(C702,المستفيدين!$B:$C,2,FALSE))),"")</f>
        <v/>
      </c>
      <c r="F702" s="1"/>
      <c r="G702" s="1"/>
      <c r="H702" s="1"/>
      <c r="I702" s="1"/>
    </row>
    <row r="703" spans="1:9" x14ac:dyDescent="0.2">
      <c r="A703" s="1"/>
      <c r="B703" s="1"/>
      <c r="C703" s="1"/>
      <c r="D703" t="str">
        <f>IFERROR(IF(C703="","",IF(B703="موظف",VLOOKUP(C703,الموظفين!$B:$C,2,FALSE),VLOOKUP(C703,المستفيدين!$B:$C,2,FALSE))),"")</f>
        <v/>
      </c>
      <c r="F703" s="1"/>
      <c r="G703" s="1"/>
      <c r="H703" s="1"/>
      <c r="I703" s="1"/>
    </row>
    <row r="704" spans="1:9" x14ac:dyDescent="0.2">
      <c r="A704" s="1"/>
      <c r="B704" s="1"/>
      <c r="C704" s="1"/>
      <c r="D704" t="str">
        <f>IFERROR(IF(C704="","",IF(B704="موظف",VLOOKUP(C704,الموظفين!$B:$C,2,FALSE),VLOOKUP(C704,المستفيدين!$B:$C,2,FALSE))),"")</f>
        <v/>
      </c>
      <c r="F704" s="1"/>
      <c r="G704" s="1"/>
      <c r="H704" s="1"/>
      <c r="I704" s="1"/>
    </row>
    <row r="705" spans="1:9" x14ac:dyDescent="0.2">
      <c r="A705" s="1"/>
      <c r="B705" s="1"/>
      <c r="C705" s="1"/>
      <c r="D705" t="str">
        <f>IFERROR(IF(C705="","",IF(B705="موظف",VLOOKUP(C705,الموظفين!$B:$C,2,FALSE),VLOOKUP(C705,المستفيدين!$B:$C,2,FALSE))),"")</f>
        <v/>
      </c>
      <c r="F705" s="1"/>
      <c r="G705" s="1"/>
      <c r="H705" s="1"/>
      <c r="I705" s="1"/>
    </row>
    <row r="706" spans="1:9" x14ac:dyDescent="0.2">
      <c r="A706" s="1"/>
      <c r="B706" s="1"/>
      <c r="C706" s="1"/>
      <c r="D706" t="str">
        <f>IFERROR(IF(C706="","",IF(B706="موظف",VLOOKUP(C706,الموظفين!$B:$C,2,FALSE),VLOOKUP(C706,المستفيدين!$B:$C,2,FALSE))),"")</f>
        <v/>
      </c>
      <c r="F706" s="1"/>
      <c r="G706" s="1"/>
      <c r="H706" s="1"/>
      <c r="I706" s="1"/>
    </row>
    <row r="707" spans="1:9" x14ac:dyDescent="0.2">
      <c r="A707" s="1"/>
      <c r="B707" s="1"/>
      <c r="C707" s="1"/>
      <c r="D707" t="str">
        <f>IFERROR(IF(C707="","",IF(B707="موظف",VLOOKUP(C707,الموظفين!$B:$C,2,FALSE),VLOOKUP(C707,المستفيدين!$B:$C,2,FALSE))),"")</f>
        <v/>
      </c>
      <c r="F707" s="1"/>
      <c r="G707" s="1"/>
      <c r="H707" s="1"/>
      <c r="I707" s="1"/>
    </row>
    <row r="708" spans="1:9" x14ac:dyDescent="0.2">
      <c r="A708" s="1"/>
      <c r="B708" s="1"/>
      <c r="C708" s="1"/>
      <c r="D708" t="str">
        <f>IFERROR(IF(C708="","",IF(B708="موظف",VLOOKUP(C708,الموظفين!$B:$C,2,FALSE),VLOOKUP(C708,المستفيدين!$B:$C,2,FALSE))),"")</f>
        <v/>
      </c>
      <c r="F708" s="1"/>
      <c r="G708" s="1"/>
      <c r="H708" s="1"/>
      <c r="I708" s="1"/>
    </row>
    <row r="709" spans="1:9" x14ac:dyDescent="0.2">
      <c r="A709" s="1"/>
      <c r="B709" s="1"/>
      <c r="C709" s="1"/>
      <c r="D709" t="str">
        <f>IFERROR(IF(C709="","",IF(B709="موظف",VLOOKUP(C709,الموظفين!$B:$C,2,FALSE),VLOOKUP(C709,المستفيدين!$B:$C,2,FALSE))),"")</f>
        <v/>
      </c>
      <c r="F709" s="1"/>
      <c r="G709" s="1"/>
      <c r="H709" s="1"/>
      <c r="I709" s="1"/>
    </row>
    <row r="710" spans="1:9" x14ac:dyDescent="0.2">
      <c r="A710" s="1"/>
      <c r="B710" s="1"/>
      <c r="C710" s="1"/>
      <c r="D710" t="str">
        <f>IFERROR(IF(C710="","",IF(B710="موظف",VLOOKUP(C710,الموظفين!$B:$C,2,FALSE),VLOOKUP(C710,المستفيدين!$B:$C,2,FALSE))),"")</f>
        <v/>
      </c>
      <c r="F710" s="1"/>
      <c r="G710" s="1"/>
      <c r="H710" s="1"/>
      <c r="I710" s="1"/>
    </row>
    <row r="711" spans="1:9" x14ac:dyDescent="0.2">
      <c r="A711" s="1"/>
      <c r="B711" s="1"/>
      <c r="C711" s="1"/>
      <c r="D711" t="str">
        <f>IFERROR(IF(C711="","",IF(B711="موظف",VLOOKUP(C711,الموظفين!$B:$C,2,FALSE),VLOOKUP(C711,المستفيدين!$B:$C,2,FALSE))),"")</f>
        <v/>
      </c>
      <c r="F711" s="1"/>
      <c r="G711" s="1"/>
      <c r="H711" s="1"/>
      <c r="I711" s="1"/>
    </row>
    <row r="712" spans="1:9" x14ac:dyDescent="0.2">
      <c r="A712" s="1"/>
      <c r="B712" s="1"/>
      <c r="C712" s="1"/>
      <c r="D712" t="str">
        <f>IFERROR(IF(C712="","",IF(B712="موظف",VLOOKUP(C712,الموظفين!$B:$C,2,FALSE),VLOOKUP(C712,المستفيدين!$B:$C,2,FALSE))),"")</f>
        <v/>
      </c>
      <c r="F712" s="1"/>
      <c r="G712" s="1"/>
      <c r="H712" s="1"/>
      <c r="I712" s="1"/>
    </row>
    <row r="713" spans="1:9" x14ac:dyDescent="0.2">
      <c r="A713" s="1"/>
      <c r="B713" s="1"/>
      <c r="C713" s="1"/>
      <c r="D713" t="str">
        <f>IFERROR(IF(C713="","",IF(B713="موظف",VLOOKUP(C713,الموظفين!$B:$C,2,FALSE),VLOOKUP(C713,المستفيدين!$B:$C,2,FALSE))),"")</f>
        <v/>
      </c>
      <c r="F713" s="1"/>
      <c r="G713" s="1"/>
      <c r="H713" s="1"/>
      <c r="I713" s="1"/>
    </row>
    <row r="714" spans="1:9" x14ac:dyDescent="0.2">
      <c r="A714" s="1"/>
      <c r="B714" s="1"/>
      <c r="C714" s="1"/>
      <c r="D714" t="str">
        <f>IFERROR(IF(C714="","",IF(B714="موظف",VLOOKUP(C714,الموظفين!$B:$C,2,FALSE),VLOOKUP(C714,المستفيدين!$B:$C,2,FALSE))),"")</f>
        <v/>
      </c>
      <c r="F714" s="1"/>
      <c r="G714" s="1"/>
      <c r="H714" s="1"/>
      <c r="I714" s="1"/>
    </row>
    <row r="715" spans="1:9" x14ac:dyDescent="0.2">
      <c r="A715" s="1"/>
      <c r="B715" s="1"/>
      <c r="C715" s="1"/>
      <c r="D715" t="str">
        <f>IFERROR(IF(C715="","",IF(B715="موظف",VLOOKUP(C715,الموظفين!$B:$C,2,FALSE),VLOOKUP(C715,المستفيدين!$B:$C,2,FALSE))),"")</f>
        <v/>
      </c>
      <c r="F715" s="1"/>
      <c r="G715" s="1"/>
      <c r="H715" s="1"/>
      <c r="I715" s="1"/>
    </row>
    <row r="716" spans="1:9" x14ac:dyDescent="0.2">
      <c r="A716" s="1"/>
      <c r="B716" s="1"/>
      <c r="C716" s="1"/>
      <c r="D716" t="str">
        <f>IFERROR(IF(C716="","",IF(B716="موظف",VLOOKUP(C716,الموظفين!$B:$C,2,FALSE),VLOOKUP(C716,المستفيدين!$B:$C,2,FALSE))),"")</f>
        <v/>
      </c>
      <c r="F716" s="1"/>
      <c r="G716" s="1"/>
      <c r="H716" s="1"/>
      <c r="I716" s="1"/>
    </row>
    <row r="717" spans="1:9" x14ac:dyDescent="0.2">
      <c r="A717" s="1"/>
      <c r="B717" s="1"/>
      <c r="C717" s="1"/>
      <c r="D717" t="str">
        <f>IFERROR(IF(C717="","",IF(B717="موظف",VLOOKUP(C717,الموظفين!$B:$C,2,FALSE),VLOOKUP(C717,المستفيدين!$B:$C,2,FALSE))),"")</f>
        <v/>
      </c>
      <c r="F717" s="1"/>
      <c r="G717" s="1"/>
      <c r="H717" s="1"/>
      <c r="I717" s="1"/>
    </row>
    <row r="718" spans="1:9" x14ac:dyDescent="0.2">
      <c r="A718" s="1"/>
      <c r="B718" s="1"/>
      <c r="C718" s="1"/>
      <c r="D718" t="str">
        <f>IFERROR(IF(C718="","",IF(B718="موظف",VLOOKUP(C718,الموظفين!$B:$C,2,FALSE),VLOOKUP(C718,المستفيدين!$B:$C,2,FALSE))),"")</f>
        <v/>
      </c>
      <c r="F718" s="1"/>
      <c r="G718" s="1"/>
      <c r="H718" s="1"/>
      <c r="I718" s="1"/>
    </row>
    <row r="719" spans="1:9" x14ac:dyDescent="0.2">
      <c r="A719" s="1"/>
      <c r="B719" s="1"/>
      <c r="C719" s="1"/>
      <c r="D719" t="str">
        <f>IFERROR(IF(C719="","",IF(B719="موظف",VLOOKUP(C719,الموظفين!$B:$C,2,FALSE),VLOOKUP(C719,المستفيدين!$B:$C,2,FALSE))),"")</f>
        <v/>
      </c>
      <c r="F719" s="1"/>
      <c r="G719" s="1"/>
      <c r="H719" s="1"/>
      <c r="I719" s="1"/>
    </row>
    <row r="720" spans="1:9" x14ac:dyDescent="0.2">
      <c r="A720" s="1"/>
      <c r="B720" s="1"/>
      <c r="C720" s="1"/>
      <c r="D720" t="str">
        <f>IFERROR(IF(C720="","",IF(B720="موظف",VLOOKUP(C720,الموظفين!$B:$C,2,FALSE),VLOOKUP(C720,المستفيدين!$B:$C,2,FALSE))),"")</f>
        <v/>
      </c>
      <c r="F720" s="1"/>
      <c r="G720" s="1"/>
      <c r="H720" s="1"/>
      <c r="I720" s="1"/>
    </row>
    <row r="721" spans="1:9" x14ac:dyDescent="0.2">
      <c r="A721" s="1"/>
      <c r="B721" s="1"/>
      <c r="C721" s="1"/>
      <c r="D721" t="str">
        <f>IFERROR(IF(C721="","",IF(B721="موظف",VLOOKUP(C721,الموظفين!$B:$C,2,FALSE),VLOOKUP(C721,المستفيدين!$B:$C,2,FALSE))),"")</f>
        <v/>
      </c>
      <c r="F721" s="1"/>
      <c r="G721" s="1"/>
      <c r="H721" s="1"/>
      <c r="I721" s="1"/>
    </row>
    <row r="722" spans="1:9" x14ac:dyDescent="0.2">
      <c r="A722" s="1"/>
      <c r="B722" s="1"/>
      <c r="C722" s="1"/>
      <c r="D722" t="str">
        <f>IFERROR(IF(C722="","",IF(B722="موظف",VLOOKUP(C722,الموظفين!$B:$C,2,FALSE),VLOOKUP(C722,المستفيدين!$B:$C,2,FALSE))),"")</f>
        <v/>
      </c>
      <c r="F722" s="1"/>
      <c r="G722" s="1"/>
      <c r="H722" s="1"/>
      <c r="I722" s="1"/>
    </row>
    <row r="723" spans="1:9" x14ac:dyDescent="0.2">
      <c r="A723" s="1"/>
      <c r="B723" s="1"/>
      <c r="C723" s="1"/>
      <c r="D723" t="str">
        <f>IFERROR(IF(C723="","",IF(B723="موظف",VLOOKUP(C723,الموظفين!$B:$C,2,FALSE),VLOOKUP(C723,المستفيدين!$B:$C,2,FALSE))),"")</f>
        <v/>
      </c>
      <c r="F723" s="1"/>
      <c r="G723" s="1"/>
      <c r="H723" s="1"/>
      <c r="I723" s="1"/>
    </row>
    <row r="724" spans="1:9" x14ac:dyDescent="0.2">
      <c r="A724" s="1"/>
      <c r="B724" s="1"/>
      <c r="C724" s="1"/>
      <c r="D724" t="str">
        <f>IFERROR(IF(C724="","",IF(B724="موظف",VLOOKUP(C724,الموظفين!$B:$C,2,FALSE),VLOOKUP(C724,المستفيدين!$B:$C,2,FALSE))),"")</f>
        <v/>
      </c>
      <c r="F724" s="1"/>
      <c r="G724" s="1"/>
      <c r="H724" s="1"/>
      <c r="I724" s="1"/>
    </row>
    <row r="725" spans="1:9" x14ac:dyDescent="0.2">
      <c r="A725" s="1"/>
      <c r="B725" s="1"/>
      <c r="C725" s="1"/>
      <c r="D725" t="str">
        <f>IFERROR(IF(C725="","",IF(B725="موظف",VLOOKUP(C725,الموظفين!$B:$C,2,FALSE),VLOOKUP(C725,المستفيدين!$B:$C,2,FALSE))),"")</f>
        <v/>
      </c>
      <c r="F725" s="1"/>
      <c r="G725" s="1"/>
      <c r="H725" s="1"/>
      <c r="I725" s="1"/>
    </row>
    <row r="726" spans="1:9" x14ac:dyDescent="0.2">
      <c r="A726" s="1"/>
      <c r="B726" s="1"/>
      <c r="C726" s="1"/>
      <c r="D726" t="str">
        <f>IFERROR(IF(C726="","",IF(B726="موظف",VLOOKUP(C726,الموظفين!$B:$C,2,FALSE),VLOOKUP(C726,المستفيدين!$B:$C,2,FALSE))),"")</f>
        <v/>
      </c>
      <c r="F726" s="1"/>
      <c r="G726" s="1"/>
      <c r="H726" s="1"/>
      <c r="I726" s="1"/>
    </row>
    <row r="727" spans="1:9" x14ac:dyDescent="0.2">
      <c r="A727" s="1"/>
      <c r="B727" s="1"/>
      <c r="C727" s="1"/>
      <c r="D727" t="str">
        <f>IFERROR(IF(C727="","",IF(B727="موظف",VLOOKUP(C727,الموظفين!$B:$C,2,FALSE),VLOOKUP(C727,المستفيدين!$B:$C,2,FALSE))),"")</f>
        <v/>
      </c>
      <c r="F727" s="1"/>
      <c r="G727" s="1"/>
      <c r="H727" s="1"/>
      <c r="I727" s="1"/>
    </row>
    <row r="728" spans="1:9" x14ac:dyDescent="0.2">
      <c r="A728" s="1"/>
      <c r="B728" s="1"/>
      <c r="C728" s="1"/>
      <c r="D728" t="str">
        <f>IFERROR(IF(C728="","",IF(B728="موظف",VLOOKUP(C728,الموظفين!$B:$C,2,FALSE),VLOOKUP(C728,المستفيدين!$B:$C,2,FALSE))),"")</f>
        <v/>
      </c>
      <c r="F728" s="1"/>
      <c r="G728" s="1"/>
      <c r="H728" s="1"/>
      <c r="I728" s="1"/>
    </row>
    <row r="729" spans="1:9" x14ac:dyDescent="0.2">
      <c r="A729" s="1"/>
      <c r="B729" s="1"/>
      <c r="C729" s="1"/>
      <c r="D729" t="str">
        <f>IFERROR(IF(C729="","",IF(B729="موظف",VLOOKUP(C729,الموظفين!$B:$C,2,FALSE),VLOOKUP(C729,المستفيدين!$B:$C,2,FALSE))),"")</f>
        <v/>
      </c>
      <c r="F729" s="1"/>
      <c r="G729" s="1"/>
      <c r="H729" s="1"/>
      <c r="I729" s="1"/>
    </row>
    <row r="730" spans="1:9" x14ac:dyDescent="0.2">
      <c r="A730" s="1"/>
      <c r="B730" s="1"/>
      <c r="C730" s="1"/>
      <c r="D730" t="str">
        <f>IFERROR(IF(C730="","",IF(B730="موظف",VLOOKUP(C730,الموظفين!$B:$C,2,FALSE),VLOOKUP(C730,المستفيدين!$B:$C,2,FALSE))),"")</f>
        <v/>
      </c>
      <c r="F730" s="1"/>
      <c r="G730" s="1"/>
      <c r="H730" s="1"/>
      <c r="I730" s="1"/>
    </row>
    <row r="731" spans="1:9" x14ac:dyDescent="0.2">
      <c r="A731" s="1"/>
      <c r="B731" s="1"/>
      <c r="C731" s="1"/>
      <c r="D731" t="str">
        <f>IFERROR(IF(C731="","",IF(B731="موظف",VLOOKUP(C731,الموظفين!$B:$C,2,FALSE),VLOOKUP(C731,المستفيدين!$B:$C,2,FALSE))),"")</f>
        <v/>
      </c>
      <c r="F731" s="1"/>
      <c r="G731" s="1"/>
      <c r="H731" s="1"/>
      <c r="I731" s="1"/>
    </row>
    <row r="732" spans="1:9" x14ac:dyDescent="0.2">
      <c r="A732" s="1"/>
      <c r="B732" s="1"/>
      <c r="C732" s="1"/>
      <c r="D732" t="str">
        <f>IFERROR(IF(C732="","",IF(B732="موظف",VLOOKUP(C732,الموظفين!$B:$C,2,FALSE),VLOOKUP(C732,المستفيدين!$B:$C,2,FALSE))),"")</f>
        <v/>
      </c>
      <c r="F732" s="1"/>
      <c r="G732" s="1"/>
      <c r="H732" s="1"/>
      <c r="I732" s="1"/>
    </row>
    <row r="733" spans="1:9" x14ac:dyDescent="0.2">
      <c r="A733" s="1"/>
      <c r="B733" s="1"/>
      <c r="C733" s="1"/>
      <c r="D733" t="str">
        <f>IFERROR(IF(C733="","",IF(B733="موظف",VLOOKUP(C733,الموظفين!$B:$C,2,FALSE),VLOOKUP(C733,المستفيدين!$B:$C,2,FALSE))),"")</f>
        <v/>
      </c>
      <c r="F733" s="1"/>
      <c r="G733" s="1"/>
      <c r="H733" s="1"/>
      <c r="I733" s="1"/>
    </row>
    <row r="734" spans="1:9" x14ac:dyDescent="0.2">
      <c r="A734" s="1"/>
      <c r="B734" s="1"/>
      <c r="C734" s="1"/>
      <c r="D734" t="str">
        <f>IFERROR(IF(C734="","",IF(B734="موظف",VLOOKUP(C734,الموظفين!$B:$C,2,FALSE),VLOOKUP(C734,المستفيدين!$B:$C,2,FALSE))),"")</f>
        <v/>
      </c>
      <c r="F734" s="1"/>
      <c r="G734" s="1"/>
      <c r="H734" s="1"/>
      <c r="I734" s="1"/>
    </row>
    <row r="735" spans="1:9" x14ac:dyDescent="0.2">
      <c r="A735" s="1"/>
      <c r="B735" s="1"/>
      <c r="C735" s="1"/>
      <c r="D735" t="str">
        <f>IFERROR(IF(C735="","",IF(B735="موظف",VLOOKUP(C735,الموظفين!$B:$C,2,FALSE),VLOOKUP(C735,المستفيدين!$B:$C,2,FALSE))),"")</f>
        <v/>
      </c>
      <c r="F735" s="1"/>
      <c r="G735" s="1"/>
      <c r="H735" s="1"/>
      <c r="I735" s="1"/>
    </row>
    <row r="736" spans="1:9" x14ac:dyDescent="0.2">
      <c r="A736" s="1"/>
      <c r="B736" s="1"/>
      <c r="C736" s="1"/>
      <c r="D736" t="str">
        <f>IFERROR(IF(C736="","",IF(B736="موظف",VLOOKUP(C736,الموظفين!$B:$C,2,FALSE),VLOOKUP(C736,المستفيدين!$B:$C,2,FALSE))),"")</f>
        <v/>
      </c>
      <c r="F736" s="1"/>
      <c r="G736" s="1"/>
      <c r="H736" s="1"/>
      <c r="I736" s="1"/>
    </row>
    <row r="737" spans="1:9" x14ac:dyDescent="0.2">
      <c r="A737" s="1"/>
      <c r="B737" s="1"/>
      <c r="C737" s="1"/>
      <c r="D737" t="str">
        <f>IFERROR(IF(C737="","",IF(B737="موظف",VLOOKUP(C737,الموظفين!$B:$C,2,FALSE),VLOOKUP(C737,المستفيدين!$B:$C,2,FALSE))),"")</f>
        <v/>
      </c>
      <c r="F737" s="1"/>
      <c r="G737" s="1"/>
      <c r="H737" s="1"/>
      <c r="I737" s="1"/>
    </row>
    <row r="738" spans="1:9" x14ac:dyDescent="0.2">
      <c r="A738" s="1"/>
      <c r="B738" s="1"/>
      <c r="C738" s="1"/>
      <c r="D738" t="str">
        <f>IFERROR(IF(C738="","",IF(B738="موظف",VLOOKUP(C738,الموظفين!$B:$C,2,FALSE),VLOOKUP(C738,المستفيدين!$B:$C,2,FALSE))),"")</f>
        <v/>
      </c>
      <c r="F738" s="1"/>
      <c r="G738" s="1"/>
      <c r="H738" s="1"/>
      <c r="I738" s="1"/>
    </row>
    <row r="739" spans="1:9" x14ac:dyDescent="0.2">
      <c r="A739" s="1"/>
      <c r="B739" s="1"/>
      <c r="C739" s="1"/>
      <c r="D739" t="str">
        <f>IFERROR(IF(C739="","",IF(B739="موظف",VLOOKUP(C739,الموظفين!$B:$C,2,FALSE),VLOOKUP(C739,المستفيدين!$B:$C,2,FALSE))),"")</f>
        <v/>
      </c>
      <c r="F739" s="1"/>
      <c r="G739" s="1"/>
      <c r="H739" s="1"/>
      <c r="I739" s="1"/>
    </row>
    <row r="740" spans="1:9" x14ac:dyDescent="0.2">
      <c r="A740" s="1"/>
      <c r="B740" s="1"/>
      <c r="C740" s="1"/>
      <c r="D740" t="str">
        <f>IFERROR(IF(C740="","",IF(B740="موظف",VLOOKUP(C740,الموظفين!$B:$C,2,FALSE),VLOOKUP(C740,المستفيدين!$B:$C,2,FALSE))),"")</f>
        <v/>
      </c>
      <c r="F740" s="1"/>
      <c r="G740" s="1"/>
      <c r="H740" s="1"/>
      <c r="I740" s="1"/>
    </row>
    <row r="741" spans="1:9" x14ac:dyDescent="0.2">
      <c r="A741" s="1"/>
      <c r="B741" s="1"/>
      <c r="C741" s="1"/>
      <c r="D741" t="str">
        <f>IFERROR(IF(C741="","",IF(B741="موظف",VLOOKUP(C741,الموظفين!$B:$C,2,FALSE),VLOOKUP(C741,المستفيدين!$B:$C,2,FALSE))),"")</f>
        <v/>
      </c>
      <c r="F741" s="1"/>
      <c r="G741" s="1"/>
      <c r="H741" s="1"/>
      <c r="I741" s="1"/>
    </row>
    <row r="742" spans="1:9" x14ac:dyDescent="0.2">
      <c r="A742" s="1"/>
      <c r="B742" s="1"/>
      <c r="C742" s="1"/>
      <c r="D742" t="str">
        <f>IFERROR(IF(C742="","",IF(B742="موظف",VLOOKUP(C742,الموظفين!$B:$C,2,FALSE),VLOOKUP(C742,المستفيدين!$B:$C,2,FALSE))),"")</f>
        <v/>
      </c>
      <c r="F742" s="1"/>
      <c r="G742" s="1"/>
      <c r="H742" s="1"/>
      <c r="I742" s="1"/>
    </row>
    <row r="743" spans="1:9" x14ac:dyDescent="0.2">
      <c r="A743" s="1"/>
      <c r="B743" s="1"/>
      <c r="C743" s="1"/>
      <c r="D743" t="str">
        <f>IFERROR(IF(C743="","",IF(B743="موظف",VLOOKUP(C743,الموظفين!$B:$C,2,FALSE),VLOOKUP(C743,المستفيدين!$B:$C,2,FALSE))),"")</f>
        <v/>
      </c>
      <c r="F743" s="1"/>
      <c r="G743" s="1"/>
      <c r="H743" s="1"/>
      <c r="I743" s="1"/>
    </row>
    <row r="744" spans="1:9" x14ac:dyDescent="0.2">
      <c r="A744" s="1"/>
      <c r="B744" s="1"/>
      <c r="C744" s="1"/>
      <c r="D744" t="str">
        <f>IFERROR(IF(C744="","",IF(B744="موظف",VLOOKUP(C744,الموظفين!$B:$C,2,FALSE),VLOOKUP(C744,المستفيدين!$B:$C,2,FALSE))),"")</f>
        <v/>
      </c>
      <c r="F744" s="1"/>
      <c r="G744" s="1"/>
      <c r="H744" s="1"/>
      <c r="I744" s="1"/>
    </row>
    <row r="745" spans="1:9" x14ac:dyDescent="0.2">
      <c r="A745" s="1"/>
      <c r="B745" s="1"/>
      <c r="C745" s="1"/>
      <c r="D745" t="str">
        <f>IFERROR(IF(C745="","",IF(B745="موظف",VLOOKUP(C745,الموظفين!$B:$C,2,FALSE),VLOOKUP(C745,المستفيدين!$B:$C,2,FALSE))),"")</f>
        <v/>
      </c>
      <c r="F745" s="1"/>
      <c r="G745" s="1"/>
      <c r="H745" s="1"/>
      <c r="I745" s="1"/>
    </row>
    <row r="746" spans="1:9" x14ac:dyDescent="0.2">
      <c r="A746" s="1"/>
      <c r="B746" s="1"/>
      <c r="C746" s="1"/>
      <c r="D746" t="str">
        <f>IFERROR(IF(C746="","",IF(B746="موظف",VLOOKUP(C746,الموظفين!$B:$C,2,FALSE),VLOOKUP(C746,المستفيدين!$B:$C,2,FALSE))),"")</f>
        <v/>
      </c>
      <c r="F746" s="1"/>
      <c r="G746" s="1"/>
      <c r="H746" s="1"/>
      <c r="I746" s="1"/>
    </row>
    <row r="747" spans="1:9" x14ac:dyDescent="0.2">
      <c r="A747" s="1"/>
      <c r="B747" s="1"/>
      <c r="C747" s="1"/>
      <c r="D747" t="str">
        <f>IFERROR(IF(C747="","",IF(B747="موظف",VLOOKUP(C747,الموظفين!$B:$C,2,FALSE),VLOOKUP(C747,المستفيدين!$B:$C,2,FALSE))),"")</f>
        <v/>
      </c>
      <c r="F747" s="1"/>
      <c r="G747" s="1"/>
      <c r="H747" s="1"/>
      <c r="I747" s="1"/>
    </row>
    <row r="748" spans="1:9" x14ac:dyDescent="0.2">
      <c r="A748" s="1"/>
      <c r="B748" s="1"/>
      <c r="C748" s="1"/>
      <c r="D748" t="str">
        <f>IFERROR(IF(C748="","",IF(B748="موظف",VLOOKUP(C748,الموظفين!$B:$C,2,FALSE),VLOOKUP(C748,المستفيدين!$B:$C,2,FALSE))),"")</f>
        <v/>
      </c>
      <c r="F748" s="1"/>
      <c r="G748" s="1"/>
      <c r="H748" s="1"/>
      <c r="I748" s="1"/>
    </row>
    <row r="749" spans="1:9" x14ac:dyDescent="0.2">
      <c r="A749" s="1"/>
      <c r="B749" s="1"/>
      <c r="C749" s="1"/>
      <c r="D749" t="str">
        <f>IFERROR(IF(C749="","",IF(B749="موظف",VLOOKUP(C749,الموظفين!$B:$C,2,FALSE),VLOOKUP(C749,المستفيدين!$B:$C,2,FALSE))),"")</f>
        <v/>
      </c>
      <c r="F749" s="1"/>
      <c r="G749" s="1"/>
      <c r="H749" s="1"/>
      <c r="I749" s="1"/>
    </row>
    <row r="750" spans="1:9" x14ac:dyDescent="0.2">
      <c r="A750" s="1"/>
      <c r="B750" s="1"/>
      <c r="C750" s="1"/>
      <c r="D750" t="str">
        <f>IFERROR(IF(C750="","",IF(B750="موظف",VLOOKUP(C750,الموظفين!$B:$C,2,FALSE),VLOOKUP(C750,المستفيدين!$B:$C,2,FALSE))),"")</f>
        <v/>
      </c>
      <c r="F750" s="1"/>
      <c r="G750" s="1"/>
      <c r="H750" s="1"/>
      <c r="I750" s="1"/>
    </row>
    <row r="751" spans="1:9" x14ac:dyDescent="0.2">
      <c r="A751" s="1"/>
      <c r="B751" s="1"/>
      <c r="C751" s="1"/>
      <c r="D751" t="str">
        <f>IFERROR(IF(C751="","",IF(B751="موظف",VLOOKUP(C751,الموظفين!$B:$C,2,FALSE),VLOOKUP(C751,المستفيدين!$B:$C,2,FALSE))),"")</f>
        <v/>
      </c>
      <c r="F751" s="1"/>
      <c r="G751" s="1"/>
      <c r="H751" s="1"/>
      <c r="I751" s="1"/>
    </row>
    <row r="752" spans="1:9" x14ac:dyDescent="0.2">
      <c r="A752" s="1"/>
      <c r="B752" s="1"/>
      <c r="C752" s="1"/>
      <c r="D752" t="str">
        <f>IFERROR(IF(C752="","",IF(B752="موظف",VLOOKUP(C752,الموظفين!$B:$C,2,FALSE),VLOOKUP(C752,المستفيدين!$B:$C,2,FALSE))),"")</f>
        <v/>
      </c>
      <c r="F752" s="1"/>
      <c r="G752" s="1"/>
      <c r="H752" s="1"/>
      <c r="I752" s="1"/>
    </row>
    <row r="753" spans="1:9" x14ac:dyDescent="0.2">
      <c r="A753" s="1"/>
      <c r="B753" s="1"/>
      <c r="C753" s="1"/>
      <c r="D753" t="str">
        <f>IFERROR(IF(C753="","",IF(B753="موظف",VLOOKUP(C753,الموظفين!$B:$C,2,FALSE),VLOOKUP(C753,المستفيدين!$B:$C,2,FALSE))),"")</f>
        <v/>
      </c>
      <c r="F753" s="1"/>
      <c r="G753" s="1"/>
      <c r="H753" s="1"/>
      <c r="I753" s="1"/>
    </row>
    <row r="754" spans="1:9" x14ac:dyDescent="0.2">
      <c r="A754" s="1"/>
      <c r="B754" s="1"/>
      <c r="C754" s="1"/>
      <c r="D754" t="str">
        <f>IFERROR(IF(C754="","",IF(B754="موظف",VLOOKUP(C754,الموظفين!$B:$C,2,FALSE),VLOOKUP(C754,المستفيدين!$B:$C,2,FALSE))),"")</f>
        <v/>
      </c>
      <c r="F754" s="1"/>
      <c r="G754" s="1"/>
      <c r="H754" s="1"/>
      <c r="I754" s="1"/>
    </row>
    <row r="755" spans="1:9" x14ac:dyDescent="0.2">
      <c r="A755" s="1"/>
      <c r="B755" s="1"/>
      <c r="C755" s="1"/>
      <c r="D755" t="str">
        <f>IFERROR(IF(C755="","",IF(B755="موظف",VLOOKUP(C755,الموظفين!$B:$C,2,FALSE),VLOOKUP(C755,المستفيدين!$B:$C,2,FALSE))),"")</f>
        <v/>
      </c>
      <c r="F755" s="1"/>
      <c r="G755" s="1"/>
      <c r="H755" s="1"/>
      <c r="I755" s="1"/>
    </row>
    <row r="756" spans="1:9" x14ac:dyDescent="0.2">
      <c r="A756" s="1"/>
      <c r="B756" s="1"/>
      <c r="C756" s="1"/>
      <c r="D756" t="str">
        <f>IFERROR(IF(C756="","",IF(B756="موظف",VLOOKUP(C756,الموظفين!$B:$C,2,FALSE),VLOOKUP(C756,المستفيدين!$B:$C,2,FALSE))),"")</f>
        <v/>
      </c>
      <c r="F756" s="1"/>
      <c r="G756" s="1"/>
      <c r="H756" s="1"/>
      <c r="I756" s="1"/>
    </row>
    <row r="757" spans="1:9" x14ac:dyDescent="0.2">
      <c r="A757" s="1"/>
      <c r="B757" s="1"/>
      <c r="C757" s="1"/>
      <c r="D757" t="str">
        <f>IFERROR(IF(C757="","",IF(B757="موظف",VLOOKUP(C757,الموظفين!$B:$C,2,FALSE),VLOOKUP(C757,المستفيدين!$B:$C,2,FALSE))),"")</f>
        <v/>
      </c>
      <c r="F757" s="1"/>
      <c r="G757" s="1"/>
      <c r="H757" s="1"/>
      <c r="I757" s="1"/>
    </row>
    <row r="758" spans="1:9" x14ac:dyDescent="0.2">
      <c r="A758" s="1"/>
      <c r="B758" s="1"/>
      <c r="C758" s="1"/>
      <c r="D758" t="str">
        <f>IFERROR(IF(C758="","",IF(B758="موظف",VLOOKUP(C758,الموظفين!$B:$C,2,FALSE),VLOOKUP(C758,المستفيدين!$B:$C,2,FALSE))),"")</f>
        <v/>
      </c>
      <c r="F758" s="1"/>
      <c r="G758" s="1"/>
      <c r="H758" s="1"/>
      <c r="I758" s="1"/>
    </row>
    <row r="759" spans="1:9" x14ac:dyDescent="0.2">
      <c r="A759" s="1"/>
      <c r="B759" s="1"/>
      <c r="C759" s="1"/>
      <c r="D759" t="str">
        <f>IFERROR(IF(C759="","",IF(B759="موظف",VLOOKUP(C759,الموظفين!$B:$C,2,FALSE),VLOOKUP(C759,المستفيدين!$B:$C,2,FALSE))),"")</f>
        <v/>
      </c>
      <c r="F759" s="1"/>
      <c r="G759" s="1"/>
      <c r="H759" s="1"/>
      <c r="I759" s="1"/>
    </row>
    <row r="760" spans="1:9" x14ac:dyDescent="0.2">
      <c r="A760" s="1"/>
      <c r="B760" s="1"/>
      <c r="C760" s="1"/>
      <c r="D760" t="str">
        <f>IFERROR(IF(C760="","",IF(B760="موظف",VLOOKUP(C760,الموظفين!$B:$C,2,FALSE),VLOOKUP(C760,المستفيدين!$B:$C,2,FALSE))),"")</f>
        <v/>
      </c>
      <c r="F760" s="1"/>
      <c r="G760" s="1"/>
      <c r="H760" s="1"/>
      <c r="I760" s="1"/>
    </row>
    <row r="761" spans="1:9" x14ac:dyDescent="0.2">
      <c r="A761" s="1"/>
      <c r="B761" s="1"/>
      <c r="C761" s="1"/>
      <c r="D761" t="str">
        <f>IFERROR(IF(C761="","",IF(B761="موظف",VLOOKUP(C761,الموظفين!$B:$C,2,FALSE),VLOOKUP(C761,المستفيدين!$B:$C,2,FALSE))),"")</f>
        <v/>
      </c>
      <c r="F761" s="1"/>
      <c r="G761" s="1"/>
      <c r="H761" s="1"/>
      <c r="I761" s="1"/>
    </row>
    <row r="762" spans="1:9" x14ac:dyDescent="0.2">
      <c r="A762" s="1"/>
      <c r="B762" s="1"/>
      <c r="C762" s="1"/>
      <c r="D762" t="str">
        <f>IFERROR(IF(C762="","",IF(B762="موظف",VLOOKUP(C762,الموظفين!$B:$C,2,FALSE),VLOOKUP(C762,المستفيدين!$B:$C,2,FALSE))),"")</f>
        <v/>
      </c>
      <c r="F762" s="1"/>
      <c r="G762" s="1"/>
      <c r="H762" s="1"/>
      <c r="I762" s="1"/>
    </row>
    <row r="763" spans="1:9" x14ac:dyDescent="0.2">
      <c r="A763" s="1"/>
      <c r="B763" s="1"/>
      <c r="C763" s="1"/>
      <c r="D763" t="str">
        <f>IFERROR(IF(C763="","",IF(B763="موظف",VLOOKUP(C763,الموظفين!$B:$C,2,FALSE),VLOOKUP(C763,المستفيدين!$B:$C,2,FALSE))),"")</f>
        <v/>
      </c>
      <c r="F763" s="1"/>
      <c r="G763" s="1"/>
      <c r="H763" s="1"/>
      <c r="I763" s="1"/>
    </row>
    <row r="764" spans="1:9" x14ac:dyDescent="0.2">
      <c r="A764" s="1"/>
      <c r="B764" s="1"/>
      <c r="C764" s="1"/>
      <c r="D764" t="str">
        <f>IFERROR(IF(C764="","",IF(B764="موظف",VLOOKUP(C764,الموظفين!$B:$C,2,FALSE),VLOOKUP(C764,المستفيدين!$B:$C,2,FALSE))),"")</f>
        <v/>
      </c>
      <c r="F764" s="1"/>
      <c r="G764" s="1"/>
      <c r="H764" s="1"/>
      <c r="I764" s="1"/>
    </row>
    <row r="765" spans="1:9" x14ac:dyDescent="0.2">
      <c r="A765" s="1"/>
      <c r="B765" s="1"/>
      <c r="C765" s="1"/>
      <c r="D765" t="str">
        <f>IFERROR(IF(C765="","",IF(B765="موظف",VLOOKUP(C765,الموظفين!$B:$C,2,FALSE),VLOOKUP(C765,المستفيدين!$B:$C,2,FALSE))),"")</f>
        <v/>
      </c>
      <c r="F765" s="1"/>
      <c r="G765" s="1"/>
      <c r="H765" s="1"/>
      <c r="I765" s="1"/>
    </row>
    <row r="766" spans="1:9" x14ac:dyDescent="0.2">
      <c r="A766" s="1"/>
      <c r="B766" s="1"/>
      <c r="C766" s="1"/>
      <c r="D766" t="str">
        <f>IFERROR(IF(C766="","",IF(B766="موظف",VLOOKUP(C766,الموظفين!$B:$C,2,FALSE),VLOOKUP(C766,المستفيدين!$B:$C,2,FALSE))),"")</f>
        <v/>
      </c>
      <c r="F766" s="1"/>
      <c r="G766" s="1"/>
      <c r="H766" s="1"/>
      <c r="I766" s="1"/>
    </row>
    <row r="767" spans="1:9" x14ac:dyDescent="0.2">
      <c r="A767" s="1"/>
      <c r="B767" s="1"/>
      <c r="C767" s="1"/>
      <c r="D767" t="str">
        <f>IFERROR(IF(C767="","",IF(B767="موظف",VLOOKUP(C767,الموظفين!$B:$C,2,FALSE),VLOOKUP(C767,المستفيدين!$B:$C,2,FALSE))),"")</f>
        <v/>
      </c>
      <c r="F767" s="1"/>
      <c r="G767" s="1"/>
      <c r="H767" s="1"/>
      <c r="I767" s="1"/>
    </row>
    <row r="768" spans="1:9" x14ac:dyDescent="0.2">
      <c r="A768" s="1"/>
      <c r="B768" s="1"/>
      <c r="C768" s="1"/>
      <c r="D768" t="str">
        <f>IFERROR(IF(C768="","",IF(B768="موظف",VLOOKUP(C768,الموظفين!$B:$C,2,FALSE),VLOOKUP(C768,المستفيدين!$B:$C,2,FALSE))),"")</f>
        <v/>
      </c>
      <c r="F768" s="1"/>
      <c r="G768" s="1"/>
      <c r="H768" s="1"/>
      <c r="I768" s="1"/>
    </row>
    <row r="769" spans="1:9" x14ac:dyDescent="0.2">
      <c r="A769" s="1"/>
      <c r="B769" s="1"/>
      <c r="C769" s="1"/>
      <c r="D769" t="str">
        <f>IFERROR(IF(C769="","",IF(B769="موظف",VLOOKUP(C769,الموظفين!$B:$C,2,FALSE),VLOOKUP(C769,المستفيدين!$B:$C,2,FALSE))),"")</f>
        <v/>
      </c>
      <c r="F769" s="1"/>
      <c r="G769" s="1"/>
      <c r="H769" s="1"/>
      <c r="I769" s="1"/>
    </row>
    <row r="770" spans="1:9" x14ac:dyDescent="0.2">
      <c r="A770" s="1"/>
      <c r="B770" s="1"/>
      <c r="C770" s="1"/>
      <c r="D770" t="str">
        <f>IFERROR(IF(C770="","",IF(B770="موظف",VLOOKUP(C770,الموظفين!$B:$C,2,FALSE),VLOOKUP(C770,المستفيدين!$B:$C,2,FALSE))),"")</f>
        <v/>
      </c>
      <c r="F770" s="1"/>
      <c r="G770" s="1"/>
      <c r="H770" s="1"/>
      <c r="I770" s="1"/>
    </row>
    <row r="771" spans="1:9" x14ac:dyDescent="0.2">
      <c r="A771" s="1"/>
      <c r="B771" s="1"/>
      <c r="C771" s="1"/>
      <c r="D771" t="str">
        <f>IFERROR(IF(C771="","",IF(B771="موظف",VLOOKUP(C771,الموظفين!$B:$C,2,FALSE),VLOOKUP(C771,المستفيدين!$B:$C,2,FALSE))),"")</f>
        <v/>
      </c>
      <c r="F771" s="1"/>
      <c r="G771" s="1"/>
      <c r="H771" s="1"/>
      <c r="I771" s="1"/>
    </row>
    <row r="772" spans="1:9" x14ac:dyDescent="0.2">
      <c r="A772" s="1"/>
      <c r="B772" s="1"/>
      <c r="C772" s="1"/>
      <c r="D772" t="str">
        <f>IFERROR(IF(C772="","",IF(B772="موظف",VLOOKUP(C772,الموظفين!$B:$C,2,FALSE),VLOOKUP(C772,المستفيدين!$B:$C,2,FALSE))),"")</f>
        <v/>
      </c>
      <c r="F772" s="1"/>
      <c r="G772" s="1"/>
      <c r="H772" s="1"/>
      <c r="I772" s="1"/>
    </row>
    <row r="773" spans="1:9" x14ac:dyDescent="0.2">
      <c r="A773" s="1"/>
      <c r="B773" s="1"/>
      <c r="C773" s="1"/>
      <c r="D773" t="str">
        <f>IFERROR(IF(C773="","",IF(B773="موظف",VLOOKUP(C773,الموظفين!$B:$C,2,FALSE),VLOOKUP(C773,المستفيدين!$B:$C,2,FALSE))),"")</f>
        <v/>
      </c>
      <c r="F773" s="1"/>
      <c r="G773" s="1"/>
      <c r="H773" s="1"/>
      <c r="I773" s="1"/>
    </row>
    <row r="774" spans="1:9" x14ac:dyDescent="0.2">
      <c r="A774" s="1"/>
      <c r="B774" s="1"/>
      <c r="C774" s="1"/>
      <c r="D774" t="str">
        <f>IFERROR(IF(C774="","",IF(B774="موظف",VLOOKUP(C774,الموظفين!$B:$C,2,FALSE),VLOOKUP(C774,المستفيدين!$B:$C,2,FALSE))),"")</f>
        <v/>
      </c>
      <c r="F774" s="1"/>
      <c r="G774" s="1"/>
      <c r="H774" s="1"/>
      <c r="I774" s="1"/>
    </row>
    <row r="775" spans="1:9" x14ac:dyDescent="0.2">
      <c r="A775" s="1"/>
      <c r="B775" s="1"/>
      <c r="C775" s="1"/>
      <c r="D775" t="str">
        <f>IFERROR(IF(C775="","",IF(B775="موظف",VLOOKUP(C775,الموظفين!$B:$C,2,FALSE),VLOOKUP(C775,المستفيدين!$B:$C,2,FALSE))),"")</f>
        <v/>
      </c>
      <c r="F775" s="1"/>
      <c r="G775" s="1"/>
      <c r="H775" s="1"/>
      <c r="I775" s="1"/>
    </row>
    <row r="776" spans="1:9" x14ac:dyDescent="0.2">
      <c r="A776" s="1"/>
      <c r="B776" s="1"/>
      <c r="C776" s="1"/>
      <c r="D776" t="str">
        <f>IFERROR(IF(C776="","",IF(B776="موظف",VLOOKUP(C776,الموظفين!$B:$C,2,FALSE),VLOOKUP(C776,المستفيدين!$B:$C,2,FALSE))),"")</f>
        <v/>
      </c>
      <c r="F776" s="1"/>
      <c r="G776" s="1"/>
      <c r="H776" s="1"/>
      <c r="I776" s="1"/>
    </row>
    <row r="777" spans="1:9" x14ac:dyDescent="0.2">
      <c r="A777" s="1"/>
      <c r="B777" s="1"/>
      <c r="C777" s="1"/>
      <c r="D777" t="str">
        <f>IFERROR(IF(C777="","",IF(B777="موظف",VLOOKUP(C777,الموظفين!$B:$C,2,FALSE),VLOOKUP(C777,المستفيدين!$B:$C,2,FALSE))),"")</f>
        <v/>
      </c>
      <c r="F777" s="1"/>
      <c r="G777" s="1"/>
      <c r="H777" s="1"/>
      <c r="I777" s="1"/>
    </row>
    <row r="778" spans="1:9" x14ac:dyDescent="0.2">
      <c r="A778" s="1"/>
      <c r="B778" s="1"/>
      <c r="C778" s="1"/>
      <c r="D778" t="str">
        <f>IFERROR(IF(C778="","",IF(B778="موظف",VLOOKUP(C778,الموظفين!$B:$C,2,FALSE),VLOOKUP(C778,المستفيدين!$B:$C,2,FALSE))),"")</f>
        <v/>
      </c>
      <c r="F778" s="1"/>
      <c r="G778" s="1"/>
      <c r="H778" s="1"/>
      <c r="I778" s="1"/>
    </row>
    <row r="779" spans="1:9" x14ac:dyDescent="0.2">
      <c r="A779" s="1"/>
      <c r="B779" s="1"/>
      <c r="C779" s="1"/>
      <c r="D779" t="str">
        <f>IFERROR(IF(C779="","",IF(B779="موظف",VLOOKUP(C779,الموظفين!$B:$C,2,FALSE),VLOOKUP(C779,المستفيدين!$B:$C,2,FALSE))),"")</f>
        <v/>
      </c>
      <c r="F779" s="1"/>
      <c r="G779" s="1"/>
      <c r="H779" s="1"/>
      <c r="I779" s="1"/>
    </row>
    <row r="780" spans="1:9" x14ac:dyDescent="0.2">
      <c r="A780" s="1"/>
      <c r="B780" s="1"/>
      <c r="C780" s="1"/>
      <c r="D780" t="str">
        <f>IFERROR(IF(C780="","",IF(B780="موظف",VLOOKUP(C780,الموظفين!$B:$C,2,FALSE),VLOOKUP(C780,المستفيدين!$B:$C,2,FALSE))),"")</f>
        <v/>
      </c>
      <c r="F780" s="1"/>
      <c r="G780" s="1"/>
      <c r="H780" s="1"/>
      <c r="I780" s="1"/>
    </row>
    <row r="781" spans="1:9" x14ac:dyDescent="0.2">
      <c r="A781" s="1"/>
      <c r="B781" s="1"/>
      <c r="C781" s="1"/>
      <c r="D781" t="str">
        <f>IFERROR(IF(C781="","",IF(B781="موظف",VLOOKUP(C781,الموظفين!$B:$C,2,FALSE),VLOOKUP(C781,المستفيدين!$B:$C,2,FALSE))),"")</f>
        <v/>
      </c>
      <c r="F781" s="1"/>
      <c r="G781" s="1"/>
      <c r="H781" s="1"/>
      <c r="I781" s="1"/>
    </row>
    <row r="782" spans="1:9" x14ac:dyDescent="0.2">
      <c r="A782" s="1"/>
      <c r="B782" s="1"/>
      <c r="C782" s="1"/>
      <c r="D782" t="str">
        <f>IFERROR(IF(C782="","",IF(B782="موظف",VLOOKUP(C782,الموظفين!$B:$C,2,FALSE),VLOOKUP(C782,المستفيدين!$B:$C,2,FALSE))),"")</f>
        <v/>
      </c>
      <c r="F782" s="1"/>
      <c r="G782" s="1"/>
      <c r="H782" s="1"/>
      <c r="I782" s="1"/>
    </row>
    <row r="783" spans="1:9" x14ac:dyDescent="0.2">
      <c r="A783" s="1"/>
      <c r="B783" s="1"/>
      <c r="C783" s="1"/>
      <c r="D783" t="str">
        <f>IFERROR(IF(C783="","",IF(B783="موظف",VLOOKUP(C783,الموظفين!$B:$C,2,FALSE),VLOOKUP(C783,المستفيدين!$B:$C,2,FALSE))),"")</f>
        <v/>
      </c>
      <c r="F783" s="1"/>
      <c r="G783" s="1"/>
      <c r="H783" s="1"/>
      <c r="I783" s="1"/>
    </row>
    <row r="784" spans="1:9" x14ac:dyDescent="0.2">
      <c r="A784" s="1"/>
      <c r="B784" s="1"/>
      <c r="C784" s="1"/>
      <c r="D784" t="str">
        <f>IFERROR(IF(C784="","",IF(B784="موظف",VLOOKUP(C784,الموظفين!$B:$C,2,FALSE),VLOOKUP(C784,المستفيدين!$B:$C,2,FALSE))),"")</f>
        <v/>
      </c>
      <c r="F784" s="1"/>
      <c r="G784" s="1"/>
      <c r="H784" s="1"/>
      <c r="I784" s="1"/>
    </row>
    <row r="785" spans="1:9" x14ac:dyDescent="0.2">
      <c r="A785" s="1"/>
      <c r="B785" s="1"/>
      <c r="C785" s="1"/>
      <c r="D785" t="str">
        <f>IFERROR(IF(C785="","",IF(B785="موظف",VLOOKUP(C785,الموظفين!$B:$C,2,FALSE),VLOOKUP(C785,المستفيدين!$B:$C,2,FALSE))),"")</f>
        <v/>
      </c>
      <c r="F785" s="1"/>
      <c r="G785" s="1"/>
      <c r="H785" s="1"/>
      <c r="I785" s="1"/>
    </row>
    <row r="786" spans="1:9" x14ac:dyDescent="0.2">
      <c r="A786" s="1"/>
      <c r="B786" s="1"/>
      <c r="C786" s="1"/>
      <c r="D786" t="str">
        <f>IFERROR(IF(C786="","",IF(B786="موظف",VLOOKUP(C786,الموظفين!$B:$C,2,FALSE),VLOOKUP(C786,المستفيدين!$B:$C,2,FALSE))),"")</f>
        <v/>
      </c>
      <c r="F786" s="1"/>
      <c r="G786" s="1"/>
      <c r="H786" s="1"/>
      <c r="I786" s="1"/>
    </row>
    <row r="787" spans="1:9" x14ac:dyDescent="0.2">
      <c r="A787" s="1"/>
      <c r="B787" s="1"/>
      <c r="C787" s="1"/>
      <c r="D787" t="str">
        <f>IFERROR(IF(C787="","",IF(B787="موظف",VLOOKUP(C787,الموظفين!$B:$C,2,FALSE),VLOOKUP(C787,المستفيدين!$B:$C,2,FALSE))),"")</f>
        <v/>
      </c>
      <c r="F787" s="1"/>
      <c r="G787" s="1"/>
      <c r="H787" s="1"/>
      <c r="I787" s="1"/>
    </row>
    <row r="788" spans="1:9" x14ac:dyDescent="0.2">
      <c r="A788" s="1"/>
      <c r="B788" s="1"/>
      <c r="C788" s="1"/>
      <c r="D788" t="str">
        <f>IFERROR(IF(C788="","",IF(B788="موظف",VLOOKUP(C788,الموظفين!$B:$C,2,FALSE),VLOOKUP(C788,المستفيدين!$B:$C,2,FALSE))),"")</f>
        <v/>
      </c>
      <c r="F788" s="1"/>
      <c r="G788" s="1"/>
      <c r="H788" s="1"/>
      <c r="I788" s="1"/>
    </row>
    <row r="789" spans="1:9" x14ac:dyDescent="0.2">
      <c r="A789" s="1"/>
      <c r="B789" s="1"/>
      <c r="C789" s="1"/>
      <c r="D789" t="str">
        <f>IFERROR(IF(C789="","",IF(B789="موظف",VLOOKUP(C789,الموظفين!$B:$C,2,FALSE),VLOOKUP(C789,المستفيدين!$B:$C,2,FALSE))),"")</f>
        <v/>
      </c>
      <c r="F789" s="1"/>
      <c r="G789" s="1"/>
      <c r="H789" s="1"/>
      <c r="I789" s="1"/>
    </row>
    <row r="790" spans="1:9" x14ac:dyDescent="0.2">
      <c r="A790" s="1"/>
      <c r="B790" s="1"/>
      <c r="C790" s="1"/>
      <c r="D790" t="str">
        <f>IFERROR(IF(C790="","",IF(B790="موظف",VLOOKUP(C790,الموظفين!$B:$C,2,FALSE),VLOOKUP(C790,المستفيدين!$B:$C,2,FALSE))),"")</f>
        <v/>
      </c>
      <c r="F790" s="1"/>
      <c r="G790" s="1"/>
      <c r="H790" s="1"/>
      <c r="I790" s="1"/>
    </row>
    <row r="791" spans="1:9" x14ac:dyDescent="0.2">
      <c r="A791" s="1"/>
      <c r="B791" s="1"/>
      <c r="C791" s="1"/>
      <c r="D791" t="str">
        <f>IFERROR(IF(C791="","",IF(B791="موظف",VLOOKUP(C791,الموظفين!$B:$C,2,FALSE),VLOOKUP(C791,المستفيدين!$B:$C,2,FALSE))),"")</f>
        <v/>
      </c>
      <c r="F791" s="1"/>
      <c r="G791" s="1"/>
      <c r="H791" s="1"/>
      <c r="I791" s="1"/>
    </row>
    <row r="792" spans="1:9" x14ac:dyDescent="0.2">
      <c r="A792" s="1"/>
      <c r="B792" s="1"/>
      <c r="C792" s="1"/>
      <c r="D792" t="str">
        <f>IFERROR(IF(C792="","",IF(B792="موظف",VLOOKUP(C792,الموظفين!$B:$C,2,FALSE),VLOOKUP(C792,المستفيدين!$B:$C,2,FALSE))),"")</f>
        <v/>
      </c>
      <c r="F792" s="1"/>
      <c r="G792" s="1"/>
      <c r="H792" s="1"/>
      <c r="I792" s="1"/>
    </row>
    <row r="793" spans="1:9" x14ac:dyDescent="0.2">
      <c r="A793" s="1"/>
      <c r="B793" s="1"/>
      <c r="C793" s="1"/>
      <c r="D793" t="str">
        <f>IFERROR(IF(C793="","",IF(B793="موظف",VLOOKUP(C793,الموظفين!$B:$C,2,FALSE),VLOOKUP(C793,المستفيدين!$B:$C,2,FALSE))),"")</f>
        <v/>
      </c>
      <c r="F793" s="1"/>
      <c r="G793" s="1"/>
      <c r="H793" s="1"/>
      <c r="I793" s="1"/>
    </row>
    <row r="794" spans="1:9" x14ac:dyDescent="0.2">
      <c r="A794" s="1"/>
      <c r="B794" s="1"/>
      <c r="C794" s="1"/>
      <c r="D794" t="str">
        <f>IFERROR(IF(C794="","",IF(B794="موظف",VLOOKUP(C794,الموظفين!$B:$C,2,FALSE),VLOOKUP(C794,المستفيدين!$B:$C,2,FALSE))),"")</f>
        <v/>
      </c>
      <c r="F794" s="1"/>
      <c r="G794" s="1"/>
      <c r="H794" s="1"/>
      <c r="I794" s="1"/>
    </row>
    <row r="795" spans="1:9" x14ac:dyDescent="0.2">
      <c r="A795" s="1"/>
      <c r="B795" s="1"/>
      <c r="C795" s="1"/>
      <c r="D795" t="str">
        <f>IFERROR(IF(C795="","",IF(B795="موظف",VLOOKUP(C795,الموظفين!$B:$C,2,FALSE),VLOOKUP(C795,المستفيدين!$B:$C,2,FALSE))),"")</f>
        <v/>
      </c>
      <c r="F795" s="1"/>
      <c r="G795" s="1"/>
      <c r="H795" s="1"/>
      <c r="I795" s="1"/>
    </row>
    <row r="796" spans="1:9" x14ac:dyDescent="0.2">
      <c r="A796" s="1"/>
      <c r="B796" s="1"/>
      <c r="C796" s="1"/>
      <c r="D796" t="str">
        <f>IFERROR(IF(C796="","",IF(B796="موظف",VLOOKUP(C796,الموظفين!$B:$C,2,FALSE),VLOOKUP(C796,المستفيدين!$B:$C,2,FALSE))),"")</f>
        <v/>
      </c>
      <c r="F796" s="1"/>
      <c r="G796" s="1"/>
      <c r="H796" s="1"/>
      <c r="I796" s="1"/>
    </row>
    <row r="797" spans="1:9" x14ac:dyDescent="0.2">
      <c r="A797" s="1"/>
      <c r="B797" s="1"/>
      <c r="C797" s="1"/>
      <c r="D797" t="str">
        <f>IFERROR(IF(C797="","",IF(B797="موظف",VLOOKUP(C797,الموظفين!$B:$C,2,FALSE),VLOOKUP(C797,المستفيدين!$B:$C,2,FALSE))),"")</f>
        <v/>
      </c>
      <c r="F797" s="1"/>
      <c r="G797" s="1"/>
      <c r="H797" s="1"/>
      <c r="I797" s="1"/>
    </row>
    <row r="798" spans="1:9" x14ac:dyDescent="0.2">
      <c r="A798" s="1"/>
      <c r="B798" s="1"/>
      <c r="C798" s="1"/>
      <c r="D798" t="str">
        <f>IFERROR(IF(C798="","",IF(B798="موظف",VLOOKUP(C798,الموظفين!$B:$C,2,FALSE),VLOOKUP(C798,المستفيدين!$B:$C,2,FALSE))),"")</f>
        <v/>
      </c>
      <c r="F798" s="1"/>
      <c r="G798" s="1"/>
      <c r="H798" s="1"/>
      <c r="I798" s="1"/>
    </row>
    <row r="799" spans="1:9" x14ac:dyDescent="0.2">
      <c r="A799" s="1"/>
      <c r="B799" s="1"/>
      <c r="C799" s="1"/>
      <c r="D799" t="str">
        <f>IFERROR(IF(C799="","",IF(B799="موظف",VLOOKUP(C799,الموظفين!$B:$C,2,FALSE),VLOOKUP(C799,المستفيدين!$B:$C,2,FALSE))),"")</f>
        <v/>
      </c>
      <c r="F799" s="1"/>
      <c r="G799" s="1"/>
      <c r="H799" s="1"/>
      <c r="I799" s="1"/>
    </row>
    <row r="800" spans="1:9" x14ac:dyDescent="0.2">
      <c r="A800" s="1"/>
      <c r="B800" s="1"/>
      <c r="C800" s="1"/>
      <c r="D800" t="str">
        <f>IFERROR(IF(C800="","",IF(B800="موظف",VLOOKUP(C800,الموظفين!$B:$C,2,FALSE),VLOOKUP(C800,المستفيدين!$B:$C,2,FALSE))),"")</f>
        <v/>
      </c>
      <c r="F800" s="1"/>
      <c r="G800" s="1"/>
      <c r="H800" s="1"/>
      <c r="I800" s="1"/>
    </row>
    <row r="801" spans="1:9" x14ac:dyDescent="0.2">
      <c r="A801" s="1"/>
      <c r="B801" s="1"/>
      <c r="C801" s="1"/>
      <c r="D801" t="str">
        <f>IFERROR(IF(C801="","",IF(B801="موظف",VLOOKUP(C801,الموظفين!$B:$C,2,FALSE),VLOOKUP(C801,المستفيدين!$B:$C,2,FALSE))),"")</f>
        <v/>
      </c>
      <c r="F801" s="1"/>
      <c r="G801" s="1"/>
      <c r="H801" s="1"/>
      <c r="I801" s="1"/>
    </row>
    <row r="802" spans="1:9" x14ac:dyDescent="0.2">
      <c r="A802" s="1"/>
      <c r="B802" s="1"/>
      <c r="C802" s="1"/>
      <c r="D802" t="str">
        <f>IFERROR(IF(C802="","",IF(B802="موظف",VLOOKUP(C802,الموظفين!$B:$C,2,FALSE),VLOOKUP(C802,المستفيدين!$B:$C,2,FALSE))),"")</f>
        <v/>
      </c>
      <c r="F802" s="1"/>
      <c r="G802" s="1"/>
      <c r="H802" s="1"/>
      <c r="I802" s="1"/>
    </row>
    <row r="803" spans="1:9" x14ac:dyDescent="0.2">
      <c r="A803" s="1"/>
      <c r="B803" s="1"/>
      <c r="C803" s="1"/>
      <c r="D803" t="str">
        <f>IFERROR(IF(C803="","",IF(B803="موظف",VLOOKUP(C803,الموظفين!$B:$C,2,FALSE),VLOOKUP(C803,المستفيدين!$B:$C,2,FALSE))),"")</f>
        <v/>
      </c>
      <c r="F803" s="1"/>
      <c r="G803" s="1"/>
      <c r="H803" s="1"/>
      <c r="I803" s="1"/>
    </row>
    <row r="804" spans="1:9" x14ac:dyDescent="0.2">
      <c r="A804" s="1"/>
      <c r="B804" s="1"/>
      <c r="C804" s="1"/>
      <c r="D804" t="str">
        <f>IFERROR(IF(C804="","",IF(B804="موظف",VLOOKUP(C804,الموظفين!$B:$C,2,FALSE),VLOOKUP(C804,المستفيدين!$B:$C,2,FALSE))),"")</f>
        <v/>
      </c>
      <c r="F804" s="1"/>
      <c r="G804" s="1"/>
      <c r="H804" s="1"/>
      <c r="I804" s="1"/>
    </row>
    <row r="805" spans="1:9" x14ac:dyDescent="0.2">
      <c r="A805" s="1"/>
      <c r="B805" s="1"/>
      <c r="C805" s="1"/>
      <c r="D805" t="str">
        <f>IFERROR(IF(C805="","",IF(B805="موظف",VLOOKUP(C805,الموظفين!$B:$C,2,FALSE),VLOOKUP(C805,المستفيدين!$B:$C,2,FALSE))),"")</f>
        <v/>
      </c>
      <c r="F805" s="1"/>
      <c r="G805" s="1"/>
      <c r="H805" s="1"/>
      <c r="I805" s="1"/>
    </row>
    <row r="806" spans="1:9" x14ac:dyDescent="0.2">
      <c r="A806" s="1"/>
      <c r="B806" s="1"/>
      <c r="C806" s="1"/>
      <c r="D806" t="str">
        <f>IFERROR(IF(C806="","",IF(B806="موظف",VLOOKUP(C806,الموظفين!$B:$C,2,FALSE),VLOOKUP(C806,المستفيدين!$B:$C,2,FALSE))),"")</f>
        <v/>
      </c>
      <c r="F806" s="1"/>
      <c r="G806" s="1"/>
      <c r="H806" s="1"/>
      <c r="I806" s="1"/>
    </row>
    <row r="807" spans="1:9" x14ac:dyDescent="0.2">
      <c r="A807" s="1"/>
      <c r="B807" s="1"/>
      <c r="C807" s="1"/>
      <c r="D807" t="str">
        <f>IFERROR(IF(C807="","",IF(B807="موظف",VLOOKUP(C807,الموظفين!$B:$C,2,FALSE),VLOOKUP(C807,المستفيدين!$B:$C,2,FALSE))),"")</f>
        <v/>
      </c>
      <c r="F807" s="1"/>
      <c r="G807" s="1"/>
      <c r="H807" s="1"/>
      <c r="I807" s="1"/>
    </row>
    <row r="808" spans="1:9" x14ac:dyDescent="0.2">
      <c r="A808" s="1"/>
      <c r="B808" s="1"/>
      <c r="C808" s="1"/>
      <c r="D808" t="str">
        <f>IFERROR(IF(C808="","",IF(B808="موظف",VLOOKUP(C808,الموظفين!$B:$C,2,FALSE),VLOOKUP(C808,المستفيدين!$B:$C,2,FALSE))),"")</f>
        <v/>
      </c>
      <c r="F808" s="1"/>
      <c r="G808" s="1"/>
      <c r="H808" s="1"/>
      <c r="I808" s="1"/>
    </row>
    <row r="809" spans="1:9" x14ac:dyDescent="0.2">
      <c r="A809" s="1"/>
      <c r="B809" s="1"/>
      <c r="C809" s="1"/>
      <c r="D809" t="str">
        <f>IFERROR(IF(C809="","",IF(B809="موظف",VLOOKUP(C809,الموظفين!$B:$C,2,FALSE),VLOOKUP(C809,المستفيدين!$B:$C,2,FALSE))),"")</f>
        <v/>
      </c>
      <c r="F809" s="1"/>
      <c r="G809" s="1"/>
      <c r="H809" s="1"/>
      <c r="I809" s="1"/>
    </row>
    <row r="810" spans="1:9" x14ac:dyDescent="0.2">
      <c r="A810" s="1"/>
      <c r="B810" s="1"/>
      <c r="C810" s="1"/>
      <c r="D810" t="str">
        <f>IFERROR(IF(C810="","",IF(B810="موظف",VLOOKUP(C810,الموظفين!$B:$C,2,FALSE),VLOOKUP(C810,المستفيدين!$B:$C,2,FALSE))),"")</f>
        <v/>
      </c>
      <c r="F810" s="1"/>
      <c r="G810" s="1"/>
      <c r="H810" s="1"/>
      <c r="I810" s="1"/>
    </row>
    <row r="811" spans="1:9" x14ac:dyDescent="0.2">
      <c r="A811" s="1"/>
      <c r="B811" s="1"/>
      <c r="C811" s="1"/>
      <c r="D811" t="str">
        <f>IFERROR(IF(C811="","",IF(B811="موظف",VLOOKUP(C811,الموظفين!$B:$C,2,FALSE),VLOOKUP(C811,المستفيدين!$B:$C,2,FALSE))),"")</f>
        <v/>
      </c>
      <c r="F811" s="1"/>
      <c r="G811" s="1"/>
      <c r="H811" s="1"/>
      <c r="I811" s="1"/>
    </row>
    <row r="812" spans="1:9" x14ac:dyDescent="0.2">
      <c r="A812" s="1"/>
      <c r="B812" s="1"/>
      <c r="C812" s="1"/>
      <c r="D812" t="str">
        <f>IFERROR(IF(C812="","",IF(B812="موظف",VLOOKUP(C812,الموظفين!$B:$C,2,FALSE),VLOOKUP(C812,المستفيدين!$B:$C,2,FALSE))),"")</f>
        <v/>
      </c>
      <c r="F812" s="1"/>
      <c r="G812" s="1"/>
      <c r="H812" s="1"/>
      <c r="I812" s="1"/>
    </row>
    <row r="813" spans="1:9" x14ac:dyDescent="0.2">
      <c r="A813" s="1"/>
      <c r="B813" s="1"/>
      <c r="C813" s="1"/>
      <c r="D813" t="str">
        <f>IFERROR(IF(C813="","",IF(B813="موظف",VLOOKUP(C813,الموظفين!$B:$C,2,FALSE),VLOOKUP(C813,المستفيدين!$B:$C,2,FALSE))),"")</f>
        <v/>
      </c>
      <c r="F813" s="1"/>
      <c r="G813" s="1"/>
      <c r="H813" s="1"/>
      <c r="I813" s="1"/>
    </row>
    <row r="814" spans="1:9" x14ac:dyDescent="0.2">
      <c r="A814" s="1"/>
      <c r="B814" s="1"/>
      <c r="C814" s="1"/>
      <c r="D814" t="str">
        <f>IFERROR(IF(C814="","",IF(B814="موظف",VLOOKUP(C814,الموظفين!$B:$C,2,FALSE),VLOOKUP(C814,المستفيدين!$B:$C,2,FALSE))),"")</f>
        <v/>
      </c>
      <c r="F814" s="1"/>
      <c r="G814" s="1"/>
      <c r="H814" s="1"/>
      <c r="I814" s="1"/>
    </row>
    <row r="815" spans="1:9" x14ac:dyDescent="0.2">
      <c r="A815" s="1"/>
      <c r="B815" s="1"/>
      <c r="C815" s="1"/>
      <c r="D815" t="str">
        <f>IFERROR(IF(C815="","",IF(B815="موظف",VLOOKUP(C815,الموظفين!$B:$C,2,FALSE),VLOOKUP(C815,المستفيدين!$B:$C,2,FALSE))),"")</f>
        <v/>
      </c>
      <c r="F815" s="1"/>
      <c r="G815" s="1"/>
      <c r="H815" s="1"/>
      <c r="I815" s="1"/>
    </row>
    <row r="816" spans="1:9" x14ac:dyDescent="0.2">
      <c r="A816" s="1"/>
      <c r="B816" s="1"/>
      <c r="C816" s="1"/>
      <c r="D816" t="str">
        <f>IFERROR(IF(C816="","",IF(B816="موظف",VLOOKUP(C816,الموظفين!$B:$C,2,FALSE),VLOOKUP(C816,المستفيدين!$B:$C,2,FALSE))),"")</f>
        <v/>
      </c>
      <c r="F816" s="1"/>
      <c r="G816" s="1"/>
      <c r="H816" s="1"/>
      <c r="I816" s="1"/>
    </row>
    <row r="817" spans="1:9" x14ac:dyDescent="0.2">
      <c r="A817" s="1"/>
      <c r="B817" s="1"/>
      <c r="C817" s="1"/>
      <c r="D817" t="str">
        <f>IFERROR(IF(C817="","",IF(B817="موظف",VLOOKUP(C817,الموظفين!$B:$C,2,FALSE),VLOOKUP(C817,المستفيدين!$B:$C,2,FALSE))),"")</f>
        <v/>
      </c>
      <c r="F817" s="1"/>
      <c r="G817" s="1"/>
      <c r="H817" s="1"/>
      <c r="I817" s="1"/>
    </row>
    <row r="818" spans="1:9" x14ac:dyDescent="0.2">
      <c r="A818" s="1"/>
      <c r="B818" s="1"/>
      <c r="C818" s="1"/>
      <c r="D818" t="str">
        <f>IFERROR(IF(C818="","",IF(B818="موظف",VLOOKUP(C818,الموظفين!$B:$C,2,FALSE),VLOOKUP(C818,المستفيدين!$B:$C,2,FALSE))),"")</f>
        <v/>
      </c>
      <c r="F818" s="1"/>
      <c r="G818" s="1"/>
      <c r="H818" s="1"/>
      <c r="I818" s="1"/>
    </row>
    <row r="819" spans="1:9" x14ac:dyDescent="0.2">
      <c r="A819" s="1"/>
      <c r="B819" s="1"/>
      <c r="C819" s="1"/>
      <c r="D819" t="str">
        <f>IFERROR(IF(C819="","",IF(B819="موظف",VLOOKUP(C819,الموظفين!$B:$C,2,FALSE),VLOOKUP(C819,المستفيدين!$B:$C,2,FALSE))),"")</f>
        <v/>
      </c>
      <c r="F819" s="1"/>
      <c r="G819" s="1"/>
      <c r="H819" s="1"/>
      <c r="I819" s="1"/>
    </row>
    <row r="820" spans="1:9" x14ac:dyDescent="0.2">
      <c r="A820" s="1"/>
      <c r="B820" s="1"/>
      <c r="C820" s="1"/>
      <c r="D820" t="str">
        <f>IFERROR(IF(C820="","",IF(B820="موظف",VLOOKUP(C820,الموظفين!$B:$C,2,FALSE),VLOOKUP(C820,المستفيدين!$B:$C,2,FALSE))),"")</f>
        <v/>
      </c>
      <c r="F820" s="1"/>
      <c r="G820" s="1"/>
      <c r="H820" s="1"/>
      <c r="I820" s="1"/>
    </row>
    <row r="821" spans="1:9" x14ac:dyDescent="0.2">
      <c r="A821" s="1"/>
      <c r="B821" s="1"/>
      <c r="C821" s="1"/>
      <c r="D821" t="str">
        <f>IFERROR(IF(C821="","",IF(B821="موظف",VLOOKUP(C821,الموظفين!$B:$C,2,FALSE),VLOOKUP(C821,المستفيدين!$B:$C,2,FALSE))),"")</f>
        <v/>
      </c>
      <c r="F821" s="1"/>
      <c r="G821" s="1"/>
      <c r="H821" s="1"/>
      <c r="I821" s="1"/>
    </row>
    <row r="822" spans="1:9" x14ac:dyDescent="0.2">
      <c r="A822" s="1"/>
      <c r="B822" s="1"/>
      <c r="C822" s="1"/>
      <c r="D822" t="str">
        <f>IFERROR(IF(C822="","",IF(B822="موظف",VLOOKUP(C822,الموظفين!$B:$C,2,FALSE),VLOOKUP(C822,المستفيدين!$B:$C,2,FALSE))),"")</f>
        <v/>
      </c>
      <c r="F822" s="1"/>
      <c r="G822" s="1"/>
      <c r="H822" s="1"/>
      <c r="I822" s="1"/>
    </row>
    <row r="823" spans="1:9" x14ac:dyDescent="0.2">
      <c r="A823" s="1"/>
      <c r="B823" s="1"/>
      <c r="C823" s="1"/>
      <c r="D823" t="str">
        <f>IFERROR(IF(C823="","",IF(B823="موظف",VLOOKUP(C823,الموظفين!$B:$C,2,FALSE),VLOOKUP(C823,المستفيدين!$B:$C,2,FALSE))),"")</f>
        <v/>
      </c>
      <c r="F823" s="1"/>
      <c r="G823" s="1"/>
      <c r="H823" s="1"/>
      <c r="I823" s="1"/>
    </row>
    <row r="824" spans="1:9" x14ac:dyDescent="0.2">
      <c r="A824" s="1"/>
      <c r="B824" s="1"/>
      <c r="C824" s="1"/>
      <c r="D824" t="str">
        <f>IFERROR(IF(C824="","",IF(B824="موظف",VLOOKUP(C824,الموظفين!$B:$C,2,FALSE),VLOOKUP(C824,المستفيدين!$B:$C,2,FALSE))),"")</f>
        <v/>
      </c>
      <c r="F824" s="1"/>
      <c r="G824" s="1"/>
      <c r="H824" s="1"/>
      <c r="I824" s="1"/>
    </row>
    <row r="825" spans="1:9" x14ac:dyDescent="0.2">
      <c r="A825" s="1"/>
      <c r="B825" s="1"/>
      <c r="C825" s="1"/>
      <c r="D825" t="str">
        <f>IFERROR(IF(C825="","",IF(B825="موظف",VLOOKUP(C825,الموظفين!$B:$C,2,FALSE),VLOOKUP(C825,المستفيدين!$B:$C,2,FALSE))),"")</f>
        <v/>
      </c>
      <c r="F825" s="1"/>
      <c r="G825" s="1"/>
      <c r="H825" s="1"/>
      <c r="I825" s="1"/>
    </row>
    <row r="826" spans="1:9" x14ac:dyDescent="0.2">
      <c r="A826" s="1"/>
      <c r="B826" s="1"/>
      <c r="C826" s="1"/>
      <c r="D826" t="str">
        <f>IFERROR(IF(C826="","",IF(B826="موظف",VLOOKUP(C826,الموظفين!$B:$C,2,FALSE),VLOOKUP(C826,المستفيدين!$B:$C,2,FALSE))),"")</f>
        <v/>
      </c>
      <c r="F826" s="1"/>
      <c r="G826" s="1"/>
      <c r="H826" s="1"/>
      <c r="I826" s="1"/>
    </row>
    <row r="827" spans="1:9" x14ac:dyDescent="0.2">
      <c r="A827" s="1"/>
      <c r="B827" s="1"/>
      <c r="C827" s="1"/>
      <c r="D827" t="str">
        <f>IFERROR(IF(C827="","",IF(B827="موظف",VLOOKUP(C827,الموظفين!$B:$C,2,FALSE),VLOOKUP(C827,المستفيدين!$B:$C,2,FALSE))),"")</f>
        <v/>
      </c>
      <c r="F827" s="1"/>
      <c r="G827" s="1"/>
      <c r="H827" s="1"/>
      <c r="I827" s="1"/>
    </row>
    <row r="828" spans="1:9" x14ac:dyDescent="0.2">
      <c r="A828" s="1"/>
      <c r="B828" s="1"/>
      <c r="C828" s="1"/>
      <c r="D828" t="str">
        <f>IFERROR(IF(C828="","",IF(B828="موظف",VLOOKUP(C828,الموظفين!$B:$C,2,FALSE),VLOOKUP(C828,المستفيدين!$B:$C,2,FALSE))),"")</f>
        <v/>
      </c>
      <c r="F828" s="1"/>
      <c r="G828" s="1"/>
      <c r="H828" s="1"/>
      <c r="I828" s="1"/>
    </row>
    <row r="829" spans="1:9" x14ac:dyDescent="0.2">
      <c r="A829" s="1"/>
      <c r="B829" s="1"/>
      <c r="C829" s="1"/>
      <c r="D829" t="str">
        <f>IFERROR(IF(C829="","",IF(B829="موظف",VLOOKUP(C829,الموظفين!$B:$C,2,FALSE),VLOOKUP(C829,المستفيدين!$B:$C,2,FALSE))),"")</f>
        <v/>
      </c>
      <c r="F829" s="1"/>
      <c r="G829" s="1"/>
      <c r="H829" s="1"/>
      <c r="I829" s="1"/>
    </row>
    <row r="830" spans="1:9" x14ac:dyDescent="0.2">
      <c r="A830" s="1"/>
      <c r="B830" s="1"/>
      <c r="C830" s="1"/>
      <c r="D830" t="str">
        <f>IFERROR(IF(C830="","",IF(B830="موظف",VLOOKUP(C830,الموظفين!$B:$C,2,FALSE),VLOOKUP(C830,المستفيدين!$B:$C,2,FALSE))),"")</f>
        <v/>
      </c>
      <c r="F830" s="1"/>
      <c r="G830" s="1"/>
      <c r="H830" s="1"/>
      <c r="I830" s="1"/>
    </row>
    <row r="831" spans="1:9" x14ac:dyDescent="0.2">
      <c r="A831" s="1"/>
      <c r="B831" s="1"/>
      <c r="C831" s="1"/>
      <c r="D831" t="str">
        <f>IFERROR(IF(C831="","",IF(B831="موظف",VLOOKUP(C831,الموظفين!$B:$C,2,FALSE),VLOOKUP(C831,المستفيدين!$B:$C,2,FALSE))),"")</f>
        <v/>
      </c>
      <c r="F831" s="1"/>
      <c r="G831" s="1"/>
      <c r="H831" s="1"/>
      <c r="I831" s="1"/>
    </row>
    <row r="832" spans="1:9" x14ac:dyDescent="0.2">
      <c r="A832" s="1"/>
      <c r="B832" s="1"/>
      <c r="C832" s="1"/>
      <c r="D832" t="str">
        <f>IFERROR(IF(C832="","",IF(B832="موظف",VLOOKUP(C832,الموظفين!$B:$C,2,FALSE),VLOOKUP(C832,المستفيدين!$B:$C,2,FALSE))),"")</f>
        <v/>
      </c>
      <c r="F832" s="1"/>
      <c r="G832" s="1"/>
      <c r="H832" s="1"/>
      <c r="I832" s="1"/>
    </row>
    <row r="833" spans="1:9" x14ac:dyDescent="0.2">
      <c r="A833" s="1"/>
      <c r="B833" s="1"/>
      <c r="C833" s="1"/>
      <c r="D833" t="str">
        <f>IFERROR(IF(C833="","",IF(B833="موظف",VLOOKUP(C833,الموظفين!$B:$C,2,FALSE),VLOOKUP(C833,المستفيدين!$B:$C,2,FALSE))),"")</f>
        <v/>
      </c>
      <c r="F833" s="1"/>
      <c r="G833" s="1"/>
      <c r="H833" s="1"/>
      <c r="I833" s="1"/>
    </row>
    <row r="834" spans="1:9" x14ac:dyDescent="0.2">
      <c r="A834" s="1"/>
      <c r="B834" s="1"/>
      <c r="C834" s="1"/>
      <c r="D834" t="str">
        <f>IFERROR(IF(C834="","",IF(B834="موظف",VLOOKUP(C834,الموظفين!$B:$C,2,FALSE),VLOOKUP(C834,المستفيدين!$B:$C,2,FALSE))),"")</f>
        <v/>
      </c>
      <c r="F834" s="1"/>
      <c r="G834" s="1"/>
      <c r="H834" s="1"/>
      <c r="I834" s="1"/>
    </row>
    <row r="835" spans="1:9" x14ac:dyDescent="0.2">
      <c r="A835" s="1"/>
      <c r="B835" s="1"/>
      <c r="C835" s="1"/>
      <c r="D835" t="str">
        <f>IFERROR(IF(C835="","",IF(B835="موظف",VLOOKUP(C835,الموظفين!$B:$C,2,FALSE),VLOOKUP(C835,المستفيدين!$B:$C,2,FALSE))),"")</f>
        <v/>
      </c>
      <c r="F835" s="1"/>
      <c r="G835" s="1"/>
      <c r="H835" s="1"/>
      <c r="I835" s="1"/>
    </row>
    <row r="836" spans="1:9" x14ac:dyDescent="0.2">
      <c r="A836" s="1"/>
      <c r="B836" s="1"/>
      <c r="C836" s="1"/>
      <c r="D836" t="str">
        <f>IFERROR(IF(C836="","",IF(B836="موظف",VLOOKUP(C836,الموظفين!$B:$C,2,FALSE),VLOOKUP(C836,المستفيدين!$B:$C,2,FALSE))),"")</f>
        <v/>
      </c>
      <c r="F836" s="1"/>
      <c r="G836" s="1"/>
      <c r="H836" s="1"/>
      <c r="I836" s="1"/>
    </row>
    <row r="837" spans="1:9" x14ac:dyDescent="0.2">
      <c r="A837" s="1"/>
      <c r="B837" s="1"/>
      <c r="C837" s="1"/>
      <c r="D837" t="str">
        <f>IFERROR(IF(C837="","",IF(B837="موظف",VLOOKUP(C837,الموظفين!$B:$C,2,FALSE),VLOOKUP(C837,المستفيدين!$B:$C,2,FALSE))),"")</f>
        <v/>
      </c>
      <c r="F837" s="1"/>
      <c r="G837" s="1"/>
      <c r="H837" s="1"/>
      <c r="I837" s="1"/>
    </row>
    <row r="838" spans="1:9" x14ac:dyDescent="0.2">
      <c r="A838" s="1"/>
      <c r="B838" s="1"/>
      <c r="C838" s="1"/>
      <c r="D838" t="str">
        <f>IFERROR(IF(C838="","",IF(B838="موظف",VLOOKUP(C838,الموظفين!$B:$C,2,FALSE),VLOOKUP(C838,المستفيدين!$B:$C,2,FALSE))),"")</f>
        <v/>
      </c>
      <c r="F838" s="1"/>
      <c r="G838" s="1"/>
      <c r="H838" s="1"/>
      <c r="I838" s="1"/>
    </row>
    <row r="839" spans="1:9" x14ac:dyDescent="0.2">
      <c r="A839" s="1"/>
      <c r="B839" s="1"/>
      <c r="C839" s="1"/>
      <c r="D839" t="str">
        <f>IFERROR(IF(C839="","",IF(B839="موظف",VLOOKUP(C839,الموظفين!$B:$C,2,FALSE),VLOOKUP(C839,المستفيدين!$B:$C,2,FALSE))),"")</f>
        <v/>
      </c>
      <c r="F839" s="1"/>
      <c r="G839" s="1"/>
      <c r="H839" s="1"/>
      <c r="I839" s="1"/>
    </row>
    <row r="840" spans="1:9" x14ac:dyDescent="0.2">
      <c r="A840" s="1"/>
      <c r="B840" s="1"/>
      <c r="C840" s="1"/>
      <c r="D840" t="str">
        <f>IFERROR(IF(C840="","",IF(B840="موظف",VLOOKUP(C840,الموظفين!$B:$C,2,FALSE),VLOOKUP(C840,المستفيدين!$B:$C,2,FALSE))),"")</f>
        <v/>
      </c>
      <c r="F840" s="1"/>
      <c r="G840" s="1"/>
      <c r="H840" s="1"/>
      <c r="I840" s="1"/>
    </row>
    <row r="841" spans="1:9" x14ac:dyDescent="0.2">
      <c r="A841" s="1"/>
      <c r="B841" s="1"/>
      <c r="C841" s="1"/>
      <c r="D841" t="str">
        <f>IFERROR(IF(C841="","",IF(B841="موظف",VLOOKUP(C841,الموظفين!$B:$C,2,FALSE),VLOOKUP(C841,المستفيدين!$B:$C,2,FALSE))),"")</f>
        <v/>
      </c>
      <c r="F841" s="1"/>
      <c r="G841" s="1"/>
      <c r="H841" s="1"/>
      <c r="I841" s="1"/>
    </row>
    <row r="842" spans="1:9" x14ac:dyDescent="0.2">
      <c r="A842" s="1"/>
      <c r="B842" s="1"/>
      <c r="C842" s="1"/>
      <c r="D842" t="str">
        <f>IFERROR(IF(C842="","",IF(B842="موظف",VLOOKUP(C842,الموظفين!$B:$C,2,FALSE),VLOOKUP(C842,المستفيدين!$B:$C,2,FALSE))),"")</f>
        <v/>
      </c>
      <c r="F842" s="1"/>
      <c r="G842" s="1"/>
      <c r="H842" s="1"/>
      <c r="I842" s="1"/>
    </row>
    <row r="843" spans="1:9" x14ac:dyDescent="0.2">
      <c r="A843" s="1"/>
      <c r="B843" s="1"/>
      <c r="C843" s="1"/>
      <c r="D843" t="str">
        <f>IFERROR(IF(C843="","",IF(B843="موظف",VLOOKUP(C843,الموظفين!$B:$C,2,FALSE),VLOOKUP(C843,المستفيدين!$B:$C,2,FALSE))),"")</f>
        <v/>
      </c>
      <c r="F843" s="1"/>
      <c r="G843" s="1"/>
      <c r="H843" s="1"/>
      <c r="I843" s="1"/>
    </row>
    <row r="844" spans="1:9" x14ac:dyDescent="0.2">
      <c r="A844" s="1"/>
      <c r="B844" s="1"/>
      <c r="C844" s="1"/>
      <c r="D844" t="str">
        <f>IFERROR(IF(C844="","",IF(B844="موظف",VLOOKUP(C844,الموظفين!$B:$C,2,FALSE),VLOOKUP(C844,المستفيدين!$B:$C,2,FALSE))),"")</f>
        <v/>
      </c>
      <c r="F844" s="1"/>
      <c r="G844" s="1"/>
      <c r="H844" s="1"/>
      <c r="I844" s="1"/>
    </row>
    <row r="845" spans="1:9" x14ac:dyDescent="0.2">
      <c r="A845" s="1"/>
      <c r="B845" s="1"/>
      <c r="C845" s="1"/>
      <c r="D845" t="str">
        <f>IFERROR(IF(C845="","",IF(B845="موظف",VLOOKUP(C845,الموظفين!$B:$C,2,FALSE),VLOOKUP(C845,المستفيدين!$B:$C,2,FALSE))),"")</f>
        <v/>
      </c>
      <c r="F845" s="1"/>
      <c r="G845" s="1"/>
      <c r="H845" s="1"/>
      <c r="I845" s="1"/>
    </row>
    <row r="846" spans="1:9" x14ac:dyDescent="0.2">
      <c r="A846" s="1"/>
      <c r="B846" s="1"/>
      <c r="C846" s="1"/>
      <c r="D846" t="str">
        <f>IFERROR(IF(C846="","",IF(B846="موظف",VLOOKUP(C846,الموظفين!$B:$C,2,FALSE),VLOOKUP(C846,المستفيدين!$B:$C,2,FALSE))),"")</f>
        <v/>
      </c>
      <c r="F846" s="1"/>
      <c r="G846" s="1"/>
      <c r="H846" s="1"/>
      <c r="I846" s="1"/>
    </row>
    <row r="847" spans="1:9" x14ac:dyDescent="0.2">
      <c r="A847" s="1"/>
      <c r="B847" s="1"/>
      <c r="C847" s="1"/>
      <c r="D847" t="str">
        <f>IFERROR(IF(C847="","",IF(B847="موظف",VLOOKUP(C847,الموظفين!$B:$C,2,FALSE),VLOOKUP(C847,المستفيدين!$B:$C,2,FALSE))),"")</f>
        <v/>
      </c>
      <c r="F847" s="1"/>
      <c r="G847" s="1"/>
      <c r="H847" s="1"/>
      <c r="I847" s="1"/>
    </row>
    <row r="848" spans="1:9" x14ac:dyDescent="0.2">
      <c r="A848" s="1"/>
      <c r="B848" s="1"/>
      <c r="C848" s="1"/>
      <c r="D848" t="str">
        <f>IFERROR(IF(C848="","",IF(B848="موظف",VLOOKUP(C848,الموظفين!$B:$C,2,FALSE),VLOOKUP(C848,المستفيدين!$B:$C,2,FALSE))),"")</f>
        <v/>
      </c>
      <c r="F848" s="1"/>
      <c r="G848" s="1"/>
      <c r="H848" s="1"/>
      <c r="I848" s="1"/>
    </row>
    <row r="849" spans="1:9" x14ac:dyDescent="0.2">
      <c r="A849" s="1"/>
      <c r="B849" s="1"/>
      <c r="C849" s="1"/>
      <c r="D849" t="str">
        <f>IFERROR(IF(C849="","",IF(B849="موظف",VLOOKUP(C849,الموظفين!$B:$C,2,FALSE),VLOOKUP(C849,المستفيدين!$B:$C,2,FALSE))),"")</f>
        <v/>
      </c>
      <c r="F849" s="1"/>
      <c r="G849" s="1"/>
      <c r="H849" s="1"/>
      <c r="I849" s="1"/>
    </row>
    <row r="850" spans="1:9" x14ac:dyDescent="0.2">
      <c r="A850" s="1"/>
      <c r="B850" s="1"/>
      <c r="C850" s="1"/>
      <c r="D850" t="str">
        <f>IFERROR(IF(C850="","",IF(B850="موظف",VLOOKUP(C850,الموظفين!$B:$C,2,FALSE),VLOOKUP(C850,المستفيدين!$B:$C,2,FALSE))),"")</f>
        <v/>
      </c>
      <c r="F850" s="1"/>
      <c r="G850" s="1"/>
      <c r="H850" s="1"/>
      <c r="I850" s="1"/>
    </row>
    <row r="851" spans="1:9" x14ac:dyDescent="0.2">
      <c r="A851" s="1"/>
      <c r="B851" s="1"/>
      <c r="C851" s="1"/>
      <c r="D851" t="str">
        <f>IFERROR(IF(C851="","",IF(B851="موظف",VLOOKUP(C851,الموظفين!$B:$C,2,FALSE),VLOOKUP(C851,المستفيدين!$B:$C,2,FALSE))),"")</f>
        <v/>
      </c>
      <c r="F851" s="1"/>
      <c r="G851" s="1"/>
      <c r="H851" s="1"/>
      <c r="I851" s="1"/>
    </row>
    <row r="852" spans="1:9" x14ac:dyDescent="0.2">
      <c r="A852" s="1"/>
      <c r="B852" s="1"/>
      <c r="C852" s="1"/>
      <c r="D852" t="str">
        <f>IFERROR(IF(C852="","",IF(B852="موظف",VLOOKUP(C852,الموظفين!$B:$C,2,FALSE),VLOOKUP(C852,المستفيدين!$B:$C,2,FALSE))),"")</f>
        <v/>
      </c>
      <c r="F852" s="1"/>
      <c r="G852" s="1"/>
      <c r="H852" s="1"/>
      <c r="I852" s="1"/>
    </row>
    <row r="853" spans="1:9" x14ac:dyDescent="0.2">
      <c r="A853" s="1"/>
      <c r="B853" s="1"/>
      <c r="C853" s="1"/>
      <c r="D853" t="str">
        <f>IFERROR(IF(C853="","",IF(B853="موظف",VLOOKUP(C853,الموظفين!$B:$C,2,FALSE),VLOOKUP(C853,المستفيدين!$B:$C,2,FALSE))),"")</f>
        <v/>
      </c>
      <c r="F853" s="1"/>
      <c r="G853" s="1"/>
      <c r="H853" s="1"/>
      <c r="I853" s="1"/>
    </row>
    <row r="854" spans="1:9" x14ac:dyDescent="0.2">
      <c r="A854" s="1"/>
      <c r="B854" s="1"/>
      <c r="C854" s="1"/>
      <c r="D854" t="str">
        <f>IFERROR(IF(C854="","",IF(B854="موظف",VLOOKUP(C854,الموظفين!$B:$C,2,FALSE),VLOOKUP(C854,المستفيدين!$B:$C,2,FALSE))),"")</f>
        <v/>
      </c>
      <c r="F854" s="1"/>
      <c r="G854" s="1"/>
      <c r="H854" s="1"/>
      <c r="I854" s="1"/>
    </row>
    <row r="855" spans="1:9" x14ac:dyDescent="0.2">
      <c r="A855" s="1"/>
      <c r="B855" s="1"/>
      <c r="C855" s="1"/>
      <c r="D855" t="str">
        <f>IFERROR(IF(C855="","",IF(B855="موظف",VLOOKUP(C855,الموظفين!$B:$C,2,FALSE),VLOOKUP(C855,المستفيدين!$B:$C,2,FALSE))),"")</f>
        <v/>
      </c>
      <c r="F855" s="1"/>
      <c r="G855" s="1"/>
      <c r="H855" s="1"/>
      <c r="I855" s="1"/>
    </row>
    <row r="856" spans="1:9" x14ac:dyDescent="0.2">
      <c r="A856" s="1"/>
      <c r="B856" s="1"/>
      <c r="C856" s="1"/>
      <c r="D856" t="str">
        <f>IFERROR(IF(C856="","",IF(B856="موظف",VLOOKUP(C856,الموظفين!$B:$C,2,FALSE),VLOOKUP(C856,المستفيدين!$B:$C,2,FALSE))),"")</f>
        <v/>
      </c>
      <c r="F856" s="1"/>
      <c r="G856" s="1"/>
      <c r="H856" s="1"/>
      <c r="I856" s="1"/>
    </row>
    <row r="857" spans="1:9" x14ac:dyDescent="0.2">
      <c r="A857" s="1"/>
      <c r="B857" s="1"/>
      <c r="C857" s="1"/>
      <c r="D857" t="str">
        <f>IFERROR(IF(C857="","",IF(B857="موظف",VLOOKUP(C857,الموظفين!$B:$C,2,FALSE),VLOOKUP(C857,المستفيدين!$B:$C,2,FALSE))),"")</f>
        <v/>
      </c>
      <c r="F857" s="1"/>
      <c r="G857" s="1"/>
      <c r="H857" s="1"/>
      <c r="I857" s="1"/>
    </row>
    <row r="858" spans="1:9" x14ac:dyDescent="0.2">
      <c r="A858" s="1"/>
      <c r="B858" s="1"/>
      <c r="C858" s="1"/>
      <c r="D858" t="str">
        <f>IFERROR(IF(C858="","",IF(B858="موظف",VLOOKUP(C858,الموظفين!$B:$C,2,FALSE),VLOOKUP(C858,المستفيدين!$B:$C,2,FALSE))),"")</f>
        <v/>
      </c>
      <c r="F858" s="1"/>
      <c r="G858" s="1"/>
      <c r="H858" s="1"/>
      <c r="I858" s="1"/>
    </row>
    <row r="859" spans="1:9" x14ac:dyDescent="0.2">
      <c r="A859" s="1"/>
      <c r="B859" s="1"/>
      <c r="C859" s="1"/>
      <c r="D859" t="str">
        <f>IFERROR(IF(C859="","",IF(B859="موظف",VLOOKUP(C859,الموظفين!$B:$C,2,FALSE),VLOOKUP(C859,المستفيدين!$B:$C,2,FALSE))),"")</f>
        <v/>
      </c>
      <c r="F859" s="1"/>
      <c r="G859" s="1"/>
      <c r="H859" s="1"/>
      <c r="I859" s="1"/>
    </row>
    <row r="860" spans="1:9" x14ac:dyDescent="0.2">
      <c r="A860" s="1"/>
      <c r="B860" s="1"/>
      <c r="C860" s="1"/>
      <c r="D860" t="str">
        <f>IFERROR(IF(C860="","",IF(B860="موظف",VLOOKUP(C860,الموظفين!$B:$C,2,FALSE),VLOOKUP(C860,المستفيدين!$B:$C,2,FALSE))),"")</f>
        <v/>
      </c>
      <c r="F860" s="1"/>
      <c r="G860" s="1"/>
      <c r="H860" s="1"/>
      <c r="I860" s="1"/>
    </row>
    <row r="861" spans="1:9" x14ac:dyDescent="0.2">
      <c r="A861" s="1"/>
      <c r="B861" s="1"/>
      <c r="C861" s="1"/>
      <c r="D861" t="str">
        <f>IFERROR(IF(C861="","",IF(B861="موظف",VLOOKUP(C861,الموظفين!$B:$C,2,FALSE),VLOOKUP(C861,المستفيدين!$B:$C,2,FALSE))),"")</f>
        <v/>
      </c>
      <c r="F861" s="1"/>
      <c r="G861" s="1"/>
      <c r="H861" s="1"/>
      <c r="I861" s="1"/>
    </row>
    <row r="862" spans="1:9" x14ac:dyDescent="0.2">
      <c r="A862" s="1"/>
      <c r="B862" s="1"/>
      <c r="C862" s="1"/>
      <c r="D862" t="str">
        <f>IFERROR(IF(C862="","",IF(B862="موظف",VLOOKUP(C862,الموظفين!$B:$C,2,FALSE),VLOOKUP(C862,المستفيدين!$B:$C,2,FALSE))),"")</f>
        <v/>
      </c>
      <c r="F862" s="1"/>
      <c r="G862" s="1"/>
      <c r="H862" s="1"/>
      <c r="I862" s="1"/>
    </row>
    <row r="863" spans="1:9" x14ac:dyDescent="0.2">
      <c r="A863" s="1"/>
      <c r="B863" s="1"/>
      <c r="C863" s="1"/>
      <c r="D863" t="str">
        <f>IFERROR(IF(C863="","",IF(B863="موظف",VLOOKUP(C863,الموظفين!$B:$C,2,FALSE),VLOOKUP(C863,المستفيدين!$B:$C,2,FALSE))),"")</f>
        <v/>
      </c>
      <c r="F863" s="1"/>
      <c r="G863" s="1"/>
      <c r="H863" s="1"/>
      <c r="I863" s="1"/>
    </row>
    <row r="864" spans="1:9" x14ac:dyDescent="0.2">
      <c r="A864" s="1"/>
      <c r="B864" s="1"/>
      <c r="C864" s="1"/>
      <c r="D864" t="str">
        <f>IFERROR(IF(C864="","",IF(B864="موظف",VLOOKUP(C864,الموظفين!$B:$C,2,FALSE),VLOOKUP(C864,المستفيدين!$B:$C,2,FALSE))),"")</f>
        <v/>
      </c>
      <c r="F864" s="1"/>
      <c r="G864" s="1"/>
      <c r="H864" s="1"/>
      <c r="I864" s="1"/>
    </row>
    <row r="865" spans="1:9" x14ac:dyDescent="0.2">
      <c r="A865" s="1"/>
      <c r="B865" s="1"/>
      <c r="C865" s="1"/>
      <c r="D865" t="str">
        <f>IFERROR(IF(C865="","",IF(B865="موظف",VLOOKUP(C865,الموظفين!$B:$C,2,FALSE),VLOOKUP(C865,المستفيدين!$B:$C,2,FALSE))),"")</f>
        <v/>
      </c>
      <c r="F865" s="1"/>
      <c r="G865" s="1"/>
      <c r="H865" s="1"/>
      <c r="I865" s="1"/>
    </row>
    <row r="866" spans="1:9" x14ac:dyDescent="0.2">
      <c r="A866" s="1"/>
      <c r="B866" s="1"/>
      <c r="C866" s="1"/>
      <c r="D866" t="str">
        <f>IFERROR(IF(C866="","",IF(B866="موظف",VLOOKUP(C866,الموظفين!$B:$C,2,FALSE),VLOOKUP(C866,المستفيدين!$B:$C,2,FALSE))),"")</f>
        <v/>
      </c>
      <c r="F866" s="1"/>
      <c r="G866" s="1"/>
      <c r="H866" s="1"/>
      <c r="I866" s="1"/>
    </row>
    <row r="867" spans="1:9" x14ac:dyDescent="0.2">
      <c r="A867" s="1"/>
      <c r="B867" s="1"/>
      <c r="C867" s="1"/>
      <c r="D867" t="str">
        <f>IFERROR(IF(C867="","",IF(B867="موظف",VLOOKUP(C867,الموظفين!$B:$C,2,FALSE),VLOOKUP(C867,المستفيدين!$B:$C,2,FALSE))),"")</f>
        <v/>
      </c>
      <c r="F867" s="1"/>
      <c r="G867" s="1"/>
      <c r="H867" s="1"/>
      <c r="I867" s="1"/>
    </row>
    <row r="868" spans="1:9" x14ac:dyDescent="0.2">
      <c r="A868" s="1"/>
      <c r="B868" s="1"/>
      <c r="C868" s="1"/>
      <c r="D868" t="str">
        <f>IFERROR(IF(C868="","",IF(B868="موظف",VLOOKUP(C868,الموظفين!$B:$C,2,FALSE),VLOOKUP(C868,المستفيدين!$B:$C,2,FALSE))),"")</f>
        <v/>
      </c>
      <c r="F868" s="1"/>
      <c r="G868" s="1"/>
      <c r="H868" s="1"/>
      <c r="I868" s="1"/>
    </row>
    <row r="869" spans="1:9" x14ac:dyDescent="0.2">
      <c r="A869" s="1"/>
      <c r="B869" s="1"/>
      <c r="C869" s="1"/>
      <c r="D869" t="str">
        <f>IFERROR(IF(C869="","",IF(B869="موظف",VLOOKUP(C869,الموظفين!$B:$C,2,FALSE),VLOOKUP(C869,المستفيدين!$B:$C,2,FALSE))),"")</f>
        <v/>
      </c>
      <c r="F869" s="1"/>
      <c r="G869" s="1"/>
      <c r="H869" s="1"/>
      <c r="I869" s="1"/>
    </row>
    <row r="870" spans="1:9" x14ac:dyDescent="0.2">
      <c r="A870" s="1"/>
      <c r="B870" s="1"/>
      <c r="C870" s="1"/>
      <c r="D870" t="str">
        <f>IFERROR(IF(C870="","",IF(B870="موظف",VLOOKUP(C870,الموظفين!$B:$C,2,FALSE),VLOOKUP(C870,المستفيدين!$B:$C,2,FALSE))),"")</f>
        <v/>
      </c>
      <c r="F870" s="1"/>
      <c r="G870" s="1"/>
      <c r="H870" s="1"/>
      <c r="I870" s="1"/>
    </row>
    <row r="871" spans="1:9" x14ac:dyDescent="0.2">
      <c r="A871" s="1"/>
      <c r="B871" s="1"/>
      <c r="C871" s="1"/>
      <c r="D871" t="str">
        <f>IFERROR(IF(C871="","",IF(B871="موظف",VLOOKUP(C871,الموظفين!$B:$C,2,FALSE),VLOOKUP(C871,المستفيدين!$B:$C,2,FALSE))),"")</f>
        <v/>
      </c>
      <c r="F871" s="1"/>
      <c r="G871" s="1"/>
      <c r="H871" s="1"/>
      <c r="I871" s="1"/>
    </row>
    <row r="872" spans="1:9" x14ac:dyDescent="0.2">
      <c r="A872" s="1"/>
      <c r="B872" s="1"/>
      <c r="C872" s="1"/>
      <c r="D872" t="str">
        <f>IFERROR(IF(C872="","",IF(B872="موظف",VLOOKUP(C872,الموظفين!$B:$C,2,FALSE),VLOOKUP(C872,المستفيدين!$B:$C,2,FALSE))),"")</f>
        <v/>
      </c>
      <c r="F872" s="1"/>
      <c r="G872" s="1"/>
      <c r="H872" s="1"/>
      <c r="I872" s="1"/>
    </row>
    <row r="873" spans="1:9" x14ac:dyDescent="0.2">
      <c r="A873" s="1"/>
      <c r="B873" s="1"/>
      <c r="C873" s="1"/>
      <c r="D873" t="str">
        <f>IFERROR(IF(C873="","",IF(B873="موظف",VLOOKUP(C873,الموظفين!$B:$C,2,FALSE),VLOOKUP(C873,المستفيدين!$B:$C,2,FALSE))),"")</f>
        <v/>
      </c>
      <c r="F873" s="1"/>
      <c r="G873" s="1"/>
      <c r="H873" s="1"/>
      <c r="I873" s="1"/>
    </row>
    <row r="874" spans="1:9" x14ac:dyDescent="0.2">
      <c r="A874" s="1"/>
      <c r="B874" s="1"/>
      <c r="C874" s="1"/>
      <c r="D874" t="str">
        <f>IFERROR(IF(C874="","",IF(B874="موظف",VLOOKUP(C874,الموظفين!$B:$C,2,FALSE),VLOOKUP(C874,المستفيدين!$B:$C,2,FALSE))),"")</f>
        <v/>
      </c>
      <c r="F874" s="1"/>
      <c r="G874" s="1"/>
      <c r="H874" s="1"/>
      <c r="I874" s="1"/>
    </row>
    <row r="875" spans="1:9" x14ac:dyDescent="0.2">
      <c r="A875" s="1"/>
      <c r="B875" s="1"/>
      <c r="C875" s="1"/>
      <c r="D875" t="str">
        <f>IFERROR(IF(C875="","",IF(B875="موظف",VLOOKUP(C875,الموظفين!$B:$C,2,FALSE),VLOOKUP(C875,المستفيدين!$B:$C,2,FALSE))),"")</f>
        <v/>
      </c>
      <c r="F875" s="1"/>
      <c r="G875" s="1"/>
      <c r="H875" s="1"/>
      <c r="I875" s="1"/>
    </row>
    <row r="876" spans="1:9" x14ac:dyDescent="0.2">
      <c r="A876" s="1"/>
      <c r="B876" s="1"/>
      <c r="C876" s="1"/>
      <c r="D876" t="str">
        <f>IFERROR(IF(C876="","",IF(B876="موظف",VLOOKUP(C876,الموظفين!$B:$C,2,FALSE),VLOOKUP(C876,المستفيدين!$B:$C,2,FALSE))),"")</f>
        <v/>
      </c>
      <c r="F876" s="1"/>
      <c r="G876" s="1"/>
      <c r="H876" s="1"/>
      <c r="I876" s="1"/>
    </row>
    <row r="877" spans="1:9" x14ac:dyDescent="0.2">
      <c r="A877" s="1"/>
      <c r="B877" s="1"/>
      <c r="C877" s="1"/>
      <c r="D877" t="str">
        <f>IFERROR(IF(C877="","",IF(B877="موظف",VLOOKUP(C877,الموظفين!$B:$C,2,FALSE),VLOOKUP(C877,المستفيدين!$B:$C,2,FALSE))),"")</f>
        <v/>
      </c>
      <c r="F877" s="1"/>
      <c r="G877" s="1"/>
      <c r="H877" s="1"/>
      <c r="I877" s="1"/>
    </row>
    <row r="878" spans="1:9" x14ac:dyDescent="0.2">
      <c r="A878" s="1"/>
      <c r="B878" s="1"/>
      <c r="C878" s="1"/>
      <c r="D878" t="str">
        <f>IFERROR(IF(C878="","",IF(B878="موظف",VLOOKUP(C878,الموظفين!$B:$C,2,FALSE),VLOOKUP(C878,المستفيدين!$B:$C,2,FALSE))),"")</f>
        <v/>
      </c>
      <c r="F878" s="1"/>
      <c r="G878" s="1"/>
      <c r="H878" s="1"/>
      <c r="I878" s="1"/>
    </row>
    <row r="879" spans="1:9" x14ac:dyDescent="0.2">
      <c r="A879" s="1"/>
      <c r="B879" s="1"/>
      <c r="C879" s="1"/>
      <c r="D879" t="str">
        <f>IFERROR(IF(C879="","",IF(B879="موظف",VLOOKUP(C879,الموظفين!$B:$C,2,FALSE),VLOOKUP(C879,المستفيدين!$B:$C,2,FALSE))),"")</f>
        <v/>
      </c>
      <c r="F879" s="1"/>
      <c r="G879" s="1"/>
      <c r="H879" s="1"/>
      <c r="I879" s="1"/>
    </row>
    <row r="880" spans="1:9" x14ac:dyDescent="0.2">
      <c r="A880" s="1"/>
      <c r="B880" s="1"/>
      <c r="C880" s="1"/>
      <c r="D880" t="str">
        <f>IFERROR(IF(C880="","",IF(B880="موظف",VLOOKUP(C880,الموظفين!$B:$C,2,FALSE),VLOOKUP(C880,المستفيدين!$B:$C,2,FALSE))),"")</f>
        <v/>
      </c>
      <c r="F880" s="1"/>
      <c r="G880" s="1"/>
      <c r="H880" s="1"/>
      <c r="I880" s="1"/>
    </row>
    <row r="881" spans="1:9" x14ac:dyDescent="0.2">
      <c r="A881" s="1"/>
      <c r="B881" s="1"/>
      <c r="C881" s="1"/>
      <c r="D881" t="str">
        <f>IFERROR(IF(C881="","",IF(B881="موظف",VLOOKUP(C881,الموظفين!$B:$C,2,FALSE),VLOOKUP(C881,المستفيدين!$B:$C,2,FALSE))),"")</f>
        <v/>
      </c>
      <c r="F881" s="1"/>
      <c r="G881" s="1"/>
      <c r="H881" s="1"/>
      <c r="I881" s="1"/>
    </row>
    <row r="882" spans="1:9" x14ac:dyDescent="0.2">
      <c r="A882" s="1"/>
      <c r="B882" s="1"/>
      <c r="C882" s="1"/>
      <c r="D882" t="str">
        <f>IFERROR(IF(C882="","",IF(B882="موظف",VLOOKUP(C882,الموظفين!$B:$C,2,FALSE),VLOOKUP(C882,المستفيدين!$B:$C,2,FALSE))),"")</f>
        <v/>
      </c>
      <c r="F882" s="1"/>
      <c r="G882" s="1"/>
      <c r="H882" s="1"/>
      <c r="I882" s="1"/>
    </row>
    <row r="883" spans="1:9" x14ac:dyDescent="0.2">
      <c r="A883" s="1"/>
      <c r="B883" s="1"/>
      <c r="C883" s="1"/>
      <c r="D883" t="str">
        <f>IFERROR(IF(C883="","",IF(B883="موظف",VLOOKUP(C883,الموظفين!$B:$C,2,FALSE),VLOOKUP(C883,المستفيدين!$B:$C,2,FALSE))),"")</f>
        <v/>
      </c>
      <c r="F883" s="1"/>
      <c r="G883" s="1"/>
      <c r="H883" s="1"/>
      <c r="I883" s="1"/>
    </row>
    <row r="884" spans="1:9" x14ac:dyDescent="0.2">
      <c r="A884" s="1"/>
      <c r="B884" s="1"/>
      <c r="C884" s="1"/>
      <c r="D884" t="str">
        <f>IFERROR(IF(C884="","",IF(B884="موظف",VLOOKUP(C884,الموظفين!$B:$C,2,FALSE),VLOOKUP(C884,المستفيدين!$B:$C,2,FALSE))),"")</f>
        <v/>
      </c>
      <c r="F884" s="1"/>
      <c r="G884" s="1"/>
      <c r="H884" s="1"/>
      <c r="I884" s="1"/>
    </row>
    <row r="885" spans="1:9" x14ac:dyDescent="0.2">
      <c r="A885" s="1"/>
      <c r="B885" s="1"/>
      <c r="C885" s="1"/>
      <c r="D885" t="str">
        <f>IFERROR(IF(C885="","",IF(B885="موظف",VLOOKUP(C885,الموظفين!$B:$C,2,FALSE),VLOOKUP(C885,المستفيدين!$B:$C,2,FALSE))),"")</f>
        <v/>
      </c>
      <c r="F885" s="1"/>
      <c r="G885" s="1"/>
      <c r="H885" s="1"/>
      <c r="I885" s="1"/>
    </row>
    <row r="886" spans="1:9" x14ac:dyDescent="0.2">
      <c r="A886" s="1"/>
      <c r="B886" s="1"/>
      <c r="C886" s="1"/>
      <c r="D886" t="str">
        <f>IFERROR(IF(C886="","",IF(B886="موظف",VLOOKUP(C886,الموظفين!$B:$C,2,FALSE),VLOOKUP(C886,المستفيدين!$B:$C,2,FALSE))),"")</f>
        <v/>
      </c>
      <c r="F886" s="1"/>
      <c r="G886" s="1"/>
      <c r="H886" s="1"/>
      <c r="I886" s="1"/>
    </row>
    <row r="887" spans="1:9" x14ac:dyDescent="0.2">
      <c r="A887" s="1"/>
      <c r="B887" s="1"/>
      <c r="C887" s="1"/>
      <c r="D887" t="str">
        <f>IFERROR(IF(C887="","",IF(B887="موظف",VLOOKUP(C887,الموظفين!$B:$C,2,FALSE),VLOOKUP(C887,المستفيدين!$B:$C,2,FALSE))),"")</f>
        <v/>
      </c>
      <c r="F887" s="1"/>
      <c r="G887" s="1"/>
      <c r="H887" s="1"/>
      <c r="I887" s="1"/>
    </row>
    <row r="888" spans="1:9" x14ac:dyDescent="0.2">
      <c r="A888" s="1"/>
      <c r="B888" s="1"/>
      <c r="C888" s="1"/>
      <c r="D888" t="str">
        <f>IFERROR(IF(C888="","",IF(B888="موظف",VLOOKUP(C888,الموظفين!$B:$C,2,FALSE),VLOOKUP(C888,المستفيدين!$B:$C,2,FALSE))),"")</f>
        <v/>
      </c>
      <c r="F888" s="1"/>
      <c r="G888" s="1"/>
      <c r="H888" s="1"/>
      <c r="I888" s="1"/>
    </row>
    <row r="889" spans="1:9" x14ac:dyDescent="0.2">
      <c r="A889" s="1"/>
      <c r="B889" s="1"/>
      <c r="C889" s="1"/>
      <c r="D889" t="str">
        <f>IFERROR(IF(C889="","",IF(B889="موظف",VLOOKUP(C889,الموظفين!$B:$C,2,FALSE),VLOOKUP(C889,المستفيدين!$B:$C,2,FALSE))),"")</f>
        <v/>
      </c>
      <c r="F889" s="1"/>
      <c r="G889" s="1"/>
      <c r="H889" s="1"/>
      <c r="I889" s="1"/>
    </row>
    <row r="890" spans="1:9" x14ac:dyDescent="0.2">
      <c r="A890" s="1"/>
      <c r="B890" s="1"/>
      <c r="C890" s="1"/>
      <c r="D890" t="str">
        <f>IFERROR(IF(C890="","",IF(B890="موظف",VLOOKUP(C890,الموظفين!$B:$C,2,FALSE),VLOOKUP(C890,المستفيدين!$B:$C,2,FALSE))),"")</f>
        <v/>
      </c>
      <c r="F890" s="1"/>
      <c r="G890" s="1"/>
      <c r="H890" s="1"/>
      <c r="I890" s="1"/>
    </row>
    <row r="891" spans="1:9" x14ac:dyDescent="0.2">
      <c r="A891" s="1"/>
      <c r="B891" s="1"/>
      <c r="C891" s="1"/>
      <c r="D891" t="str">
        <f>IFERROR(IF(C891="","",IF(B891="موظف",VLOOKUP(C891,الموظفين!$B:$C,2,FALSE),VLOOKUP(C891,المستفيدين!$B:$C,2,FALSE))),"")</f>
        <v/>
      </c>
      <c r="F891" s="1"/>
      <c r="G891" s="1"/>
      <c r="H891" s="1"/>
      <c r="I891" s="1"/>
    </row>
    <row r="892" spans="1:9" x14ac:dyDescent="0.2">
      <c r="A892" s="1"/>
      <c r="B892" s="1"/>
      <c r="C892" s="1"/>
      <c r="D892" t="str">
        <f>IFERROR(IF(C892="","",IF(B892="موظف",VLOOKUP(C892,الموظفين!$B:$C,2,FALSE),VLOOKUP(C892,المستفيدين!$B:$C,2,FALSE))),"")</f>
        <v/>
      </c>
      <c r="F892" s="1"/>
      <c r="G892" s="1"/>
      <c r="H892" s="1"/>
      <c r="I892" s="1"/>
    </row>
    <row r="893" spans="1:9" x14ac:dyDescent="0.2">
      <c r="A893" s="1"/>
      <c r="B893" s="1"/>
      <c r="C893" s="1"/>
      <c r="D893" t="str">
        <f>IFERROR(IF(C893="","",IF(B893="موظف",VLOOKUP(C893,الموظفين!$B:$C,2,FALSE),VLOOKUP(C893,المستفيدين!$B:$C,2,FALSE))),"")</f>
        <v/>
      </c>
      <c r="F893" s="1"/>
      <c r="G893" s="1"/>
      <c r="H893" s="1"/>
      <c r="I893" s="1"/>
    </row>
    <row r="894" spans="1:9" x14ac:dyDescent="0.2">
      <c r="A894" s="1"/>
      <c r="B894" s="1"/>
      <c r="C894" s="1"/>
      <c r="D894" t="str">
        <f>IFERROR(IF(C894="","",IF(B894="موظف",VLOOKUP(C894,الموظفين!$B:$C,2,FALSE),VLOOKUP(C894,المستفيدين!$B:$C,2,FALSE))),"")</f>
        <v/>
      </c>
      <c r="F894" s="1"/>
      <c r="G894" s="1"/>
      <c r="H894" s="1"/>
      <c r="I894" s="1"/>
    </row>
    <row r="895" spans="1:9" x14ac:dyDescent="0.2">
      <c r="A895" s="1"/>
      <c r="B895" s="1"/>
      <c r="C895" s="1"/>
      <c r="D895" t="str">
        <f>IFERROR(IF(C895="","",IF(B895="موظف",VLOOKUP(C895,الموظفين!$B:$C,2,FALSE),VLOOKUP(C895,المستفيدين!$B:$C,2,FALSE))),"")</f>
        <v/>
      </c>
      <c r="F895" s="1"/>
      <c r="G895" s="1"/>
      <c r="H895" s="1"/>
      <c r="I895" s="1"/>
    </row>
    <row r="896" spans="1:9" x14ac:dyDescent="0.2">
      <c r="A896" s="1"/>
      <c r="B896" s="1"/>
      <c r="C896" s="1"/>
      <c r="D896" t="str">
        <f>IFERROR(IF(C896="","",IF(B896="موظف",VLOOKUP(C896,الموظفين!$B:$C,2,FALSE),VLOOKUP(C896,المستفيدين!$B:$C,2,FALSE))),"")</f>
        <v/>
      </c>
      <c r="F896" s="1"/>
      <c r="G896" s="1"/>
      <c r="H896" s="1"/>
      <c r="I896" s="1"/>
    </row>
    <row r="897" spans="1:9" x14ac:dyDescent="0.2">
      <c r="A897" s="1"/>
      <c r="B897" s="1"/>
      <c r="C897" s="1"/>
      <c r="D897" t="str">
        <f>IFERROR(IF(C897="","",IF(B897="موظف",VLOOKUP(C897,الموظفين!$B:$C,2,FALSE),VLOOKUP(C897,المستفيدين!$B:$C,2,FALSE))),"")</f>
        <v/>
      </c>
      <c r="F897" s="1"/>
      <c r="G897" s="1"/>
      <c r="H897" s="1"/>
      <c r="I897" s="1"/>
    </row>
    <row r="898" spans="1:9" x14ac:dyDescent="0.2">
      <c r="A898" s="1"/>
      <c r="B898" s="1"/>
      <c r="C898" s="1"/>
      <c r="D898" t="str">
        <f>IFERROR(IF(C898="","",IF(B898="موظف",VLOOKUP(C898,الموظفين!$B:$C,2,FALSE),VLOOKUP(C898,المستفيدين!$B:$C,2,FALSE))),"")</f>
        <v/>
      </c>
      <c r="F898" s="1"/>
      <c r="G898" s="1"/>
      <c r="H898" s="1"/>
      <c r="I898" s="1"/>
    </row>
    <row r="899" spans="1:9" x14ac:dyDescent="0.2">
      <c r="A899" s="1"/>
      <c r="B899" s="1"/>
      <c r="C899" s="1"/>
      <c r="D899" t="str">
        <f>IFERROR(IF(C899="","",IF(B899="موظف",VLOOKUP(C899,الموظفين!$B:$C,2,FALSE),VLOOKUP(C899,المستفيدين!$B:$C,2,FALSE))),"")</f>
        <v/>
      </c>
      <c r="F899" s="1"/>
      <c r="G899" s="1"/>
      <c r="H899" s="1"/>
      <c r="I899" s="1"/>
    </row>
    <row r="900" spans="1:9" x14ac:dyDescent="0.2">
      <c r="A900" s="1"/>
      <c r="B900" s="1"/>
      <c r="C900" s="1"/>
      <c r="D900" t="str">
        <f>IFERROR(IF(C900="","",IF(B900="موظف",VLOOKUP(C900,الموظفين!$B:$C,2,FALSE),VLOOKUP(C900,المستفيدين!$B:$C,2,FALSE))),"")</f>
        <v/>
      </c>
      <c r="F900" s="1"/>
      <c r="G900" s="1"/>
      <c r="H900" s="1"/>
      <c r="I900" s="1"/>
    </row>
    <row r="901" spans="1:9" x14ac:dyDescent="0.2">
      <c r="A901" s="1"/>
      <c r="B901" s="1"/>
      <c r="C901" s="1"/>
      <c r="D901" t="str">
        <f>IFERROR(IF(C901="","",IF(B901="موظف",VLOOKUP(C901,الموظفين!$B:$C,2,FALSE),VLOOKUP(C901,المستفيدين!$B:$C,2,FALSE))),"")</f>
        <v/>
      </c>
      <c r="F901" s="1"/>
      <c r="G901" s="1"/>
      <c r="H901" s="1"/>
      <c r="I901" s="1"/>
    </row>
    <row r="902" spans="1:9" x14ac:dyDescent="0.2">
      <c r="A902" s="1"/>
      <c r="B902" s="1"/>
      <c r="C902" s="1"/>
      <c r="D902" t="str">
        <f>IFERROR(IF(C902="","",IF(B902="موظف",VLOOKUP(C902,الموظفين!$B:$C,2,FALSE),VLOOKUP(C902,المستفيدين!$B:$C,2,FALSE))),"")</f>
        <v/>
      </c>
      <c r="F902" s="1"/>
      <c r="G902" s="1"/>
      <c r="H902" s="1"/>
      <c r="I902" s="1"/>
    </row>
    <row r="903" spans="1:9" x14ac:dyDescent="0.2">
      <c r="A903" s="1"/>
      <c r="B903" s="1"/>
      <c r="C903" s="1"/>
      <c r="D903" t="str">
        <f>IFERROR(IF(C903="","",IF(B903="موظف",VLOOKUP(C903,الموظفين!$B:$C,2,FALSE),VLOOKUP(C903,المستفيدين!$B:$C,2,FALSE))),"")</f>
        <v/>
      </c>
      <c r="F903" s="1"/>
      <c r="G903" s="1"/>
      <c r="H903" s="1"/>
      <c r="I903" s="1"/>
    </row>
    <row r="904" spans="1:9" x14ac:dyDescent="0.2">
      <c r="A904" s="1"/>
      <c r="B904" s="1"/>
      <c r="C904" s="1"/>
      <c r="D904" t="str">
        <f>IFERROR(IF(C904="","",IF(B904="موظف",VLOOKUP(C904,الموظفين!$B:$C,2,FALSE),VLOOKUP(C904,المستفيدين!$B:$C,2,FALSE))),"")</f>
        <v/>
      </c>
      <c r="F904" s="1"/>
      <c r="G904" s="1"/>
      <c r="H904" s="1"/>
      <c r="I904" s="1"/>
    </row>
    <row r="905" spans="1:9" x14ac:dyDescent="0.2">
      <c r="A905" s="1"/>
      <c r="B905" s="1"/>
      <c r="C905" s="1"/>
      <c r="D905" t="str">
        <f>IFERROR(IF(C905="","",IF(B905="موظف",VLOOKUP(C905,الموظفين!$B:$C,2,FALSE),VLOOKUP(C905,المستفيدين!$B:$C,2,FALSE))),"")</f>
        <v/>
      </c>
      <c r="F905" s="1"/>
      <c r="G905" s="1"/>
      <c r="H905" s="1"/>
      <c r="I905" s="1"/>
    </row>
    <row r="906" spans="1:9" x14ac:dyDescent="0.2">
      <c r="A906" s="1"/>
      <c r="B906" s="1"/>
      <c r="C906" s="1"/>
      <c r="D906" t="str">
        <f>IFERROR(IF(C906="","",IF(B906="موظف",VLOOKUP(C906,الموظفين!$B:$C,2,FALSE),VLOOKUP(C906,المستفيدين!$B:$C,2,FALSE))),"")</f>
        <v/>
      </c>
      <c r="F906" s="1"/>
      <c r="G906" s="1"/>
      <c r="H906" s="1"/>
      <c r="I906" s="1"/>
    </row>
    <row r="907" spans="1:9" x14ac:dyDescent="0.2">
      <c r="A907" s="1"/>
      <c r="B907" s="1"/>
      <c r="C907" s="1"/>
      <c r="D907" t="str">
        <f>IFERROR(IF(C907="","",IF(B907="موظف",VLOOKUP(C907,الموظفين!$B:$C,2,FALSE),VLOOKUP(C907,المستفيدين!$B:$C,2,FALSE))),"")</f>
        <v/>
      </c>
      <c r="F907" s="1"/>
      <c r="G907" s="1"/>
      <c r="H907" s="1"/>
      <c r="I907" s="1"/>
    </row>
    <row r="908" spans="1:9" x14ac:dyDescent="0.2">
      <c r="A908" s="1"/>
      <c r="B908" s="1"/>
      <c r="C908" s="1"/>
      <c r="D908" t="str">
        <f>IFERROR(IF(C908="","",IF(B908="موظف",VLOOKUP(C908,الموظفين!$B:$C,2,FALSE),VLOOKUP(C908,المستفيدين!$B:$C,2,FALSE))),"")</f>
        <v/>
      </c>
      <c r="F908" s="1"/>
      <c r="G908" s="1"/>
      <c r="H908" s="1"/>
      <c r="I908" s="1"/>
    </row>
    <row r="909" spans="1:9" x14ac:dyDescent="0.2">
      <c r="A909" s="1"/>
      <c r="B909" s="1"/>
      <c r="C909" s="1"/>
      <c r="D909" t="str">
        <f>IFERROR(IF(C909="","",IF(B909="موظف",VLOOKUP(C909,الموظفين!$B:$C,2,FALSE),VLOOKUP(C909,المستفيدين!$B:$C,2,FALSE))),"")</f>
        <v/>
      </c>
      <c r="F909" s="1"/>
      <c r="G909" s="1"/>
      <c r="H909" s="1"/>
      <c r="I909" s="1"/>
    </row>
    <row r="910" spans="1:9" x14ac:dyDescent="0.2">
      <c r="A910" s="1"/>
      <c r="B910" s="1"/>
      <c r="C910" s="1"/>
      <c r="D910" t="str">
        <f>IFERROR(IF(C910="","",IF(B910="موظف",VLOOKUP(C910,الموظفين!$B:$C,2,FALSE),VLOOKUP(C910,المستفيدين!$B:$C,2,FALSE))),"")</f>
        <v/>
      </c>
      <c r="F910" s="1"/>
      <c r="G910" s="1"/>
      <c r="H910" s="1"/>
      <c r="I910" s="1"/>
    </row>
    <row r="911" spans="1:9" x14ac:dyDescent="0.2">
      <c r="A911" s="1"/>
      <c r="B911" s="1"/>
      <c r="C911" s="1"/>
      <c r="D911" t="str">
        <f>IFERROR(IF(C911="","",IF(B911="موظف",VLOOKUP(C911,الموظفين!$B:$C,2,FALSE),VLOOKUP(C911,المستفيدين!$B:$C,2,FALSE))),"")</f>
        <v/>
      </c>
      <c r="F911" s="1"/>
      <c r="G911" s="1"/>
      <c r="H911" s="1"/>
      <c r="I911" s="1"/>
    </row>
    <row r="912" spans="1:9" x14ac:dyDescent="0.2">
      <c r="A912" s="1"/>
      <c r="B912" s="1"/>
      <c r="C912" s="1"/>
      <c r="D912" t="str">
        <f>IFERROR(IF(C912="","",IF(B912="موظف",VLOOKUP(C912,الموظفين!$B:$C,2,FALSE),VLOOKUP(C912,المستفيدين!$B:$C,2,FALSE))),"")</f>
        <v/>
      </c>
      <c r="F912" s="1"/>
      <c r="G912" s="1"/>
      <c r="H912" s="1"/>
      <c r="I912" s="1"/>
    </row>
    <row r="913" spans="1:9" x14ac:dyDescent="0.2">
      <c r="A913" s="1"/>
      <c r="B913" s="1"/>
      <c r="C913" s="1"/>
      <c r="D913" t="str">
        <f>IFERROR(IF(C913="","",IF(B913="موظف",VLOOKUP(C913,الموظفين!$B:$C,2,FALSE),VLOOKUP(C913,المستفيدين!$B:$C,2,FALSE))),"")</f>
        <v/>
      </c>
      <c r="F913" s="1"/>
      <c r="G913" s="1"/>
      <c r="H913" s="1"/>
      <c r="I913" s="1"/>
    </row>
    <row r="914" spans="1:9" x14ac:dyDescent="0.2">
      <c r="A914" s="1"/>
      <c r="B914" s="1"/>
      <c r="C914" s="1"/>
      <c r="D914" t="str">
        <f>IFERROR(IF(C914="","",IF(B914="موظف",VLOOKUP(C914,الموظفين!$B:$C,2,FALSE),VLOOKUP(C914,المستفيدين!$B:$C,2,FALSE))),"")</f>
        <v/>
      </c>
      <c r="F914" s="1"/>
      <c r="G914" s="1"/>
      <c r="H914" s="1"/>
      <c r="I914" s="1"/>
    </row>
    <row r="915" spans="1:9" x14ac:dyDescent="0.2">
      <c r="A915" s="1"/>
      <c r="B915" s="1"/>
      <c r="C915" s="1"/>
      <c r="D915" t="str">
        <f>IFERROR(IF(C915="","",IF(B915="موظف",VLOOKUP(C915,الموظفين!$B:$C,2,FALSE),VLOOKUP(C915,المستفيدين!$B:$C,2,FALSE))),"")</f>
        <v/>
      </c>
      <c r="F915" s="1"/>
      <c r="G915" s="1"/>
      <c r="H915" s="1"/>
      <c r="I915" s="1"/>
    </row>
    <row r="916" spans="1:9" x14ac:dyDescent="0.2">
      <c r="A916" s="1"/>
      <c r="B916" s="1"/>
      <c r="C916" s="1"/>
      <c r="D916" t="str">
        <f>IFERROR(IF(C916="","",IF(B916="موظف",VLOOKUP(C916,الموظفين!$B:$C,2,FALSE),VLOOKUP(C916,المستفيدين!$B:$C,2,FALSE))),"")</f>
        <v/>
      </c>
      <c r="F916" s="1"/>
      <c r="G916" s="1"/>
      <c r="H916" s="1"/>
      <c r="I916" s="1"/>
    </row>
    <row r="917" spans="1:9" x14ac:dyDescent="0.2">
      <c r="A917" s="1"/>
      <c r="B917" s="1"/>
      <c r="C917" s="1"/>
      <c r="D917" t="str">
        <f>IFERROR(IF(C917="","",IF(B917="موظف",VLOOKUP(C917,الموظفين!$B:$C,2,FALSE),VLOOKUP(C917,المستفيدين!$B:$C,2,FALSE))),"")</f>
        <v/>
      </c>
      <c r="F917" s="1"/>
      <c r="G917" s="1"/>
      <c r="H917" s="1"/>
      <c r="I917" s="1"/>
    </row>
    <row r="918" spans="1:9" x14ac:dyDescent="0.2">
      <c r="A918" s="1"/>
      <c r="B918" s="1"/>
      <c r="C918" s="1"/>
      <c r="D918" t="str">
        <f>IFERROR(IF(C918="","",IF(B918="موظف",VLOOKUP(C918,الموظفين!$B:$C,2,FALSE),VLOOKUP(C918,المستفيدين!$B:$C,2,FALSE))),"")</f>
        <v/>
      </c>
      <c r="F918" s="1"/>
      <c r="G918" s="1"/>
      <c r="H918" s="1"/>
      <c r="I918" s="1"/>
    </row>
    <row r="919" spans="1:9" x14ac:dyDescent="0.2">
      <c r="A919" s="1"/>
      <c r="B919" s="1"/>
      <c r="C919" s="1"/>
      <c r="D919" t="str">
        <f>IFERROR(IF(C919="","",IF(B919="موظف",VLOOKUP(C919,الموظفين!$B:$C,2,FALSE),VLOOKUP(C919,المستفيدين!$B:$C,2,FALSE))),"")</f>
        <v/>
      </c>
      <c r="F919" s="1"/>
      <c r="G919" s="1"/>
      <c r="H919" s="1"/>
      <c r="I919" s="1"/>
    </row>
    <row r="920" spans="1:9" x14ac:dyDescent="0.2">
      <c r="A920" s="1"/>
      <c r="B920" s="1"/>
      <c r="C920" s="1"/>
      <c r="D920" t="str">
        <f>IFERROR(IF(C920="","",IF(B920="موظف",VLOOKUP(C920,الموظفين!$B:$C,2,FALSE),VLOOKUP(C920,المستفيدين!$B:$C,2,FALSE))),"")</f>
        <v/>
      </c>
      <c r="F920" s="1"/>
      <c r="G920" s="1"/>
      <c r="H920" s="1"/>
      <c r="I920" s="1"/>
    </row>
    <row r="921" spans="1:9" x14ac:dyDescent="0.2">
      <c r="A921" s="1"/>
      <c r="B921" s="1"/>
      <c r="C921" s="1"/>
      <c r="D921" t="str">
        <f>IFERROR(IF(C921="","",IF(B921="موظف",VLOOKUP(C921,الموظفين!$B:$C,2,FALSE),VLOOKUP(C921,المستفيدين!$B:$C,2,FALSE))),"")</f>
        <v/>
      </c>
      <c r="F921" s="1"/>
      <c r="G921" s="1"/>
      <c r="H921" s="1"/>
      <c r="I921" s="1"/>
    </row>
    <row r="922" spans="1:9" x14ac:dyDescent="0.2">
      <c r="A922" s="1"/>
      <c r="B922" s="1"/>
      <c r="C922" s="1"/>
      <c r="D922" t="str">
        <f>IFERROR(IF(C922="","",IF(B922="موظف",VLOOKUP(C922,الموظفين!$B:$C,2,FALSE),VLOOKUP(C922,المستفيدين!$B:$C,2,FALSE))),"")</f>
        <v/>
      </c>
      <c r="F922" s="1"/>
      <c r="G922" s="1"/>
      <c r="H922" s="1"/>
      <c r="I922" s="1"/>
    </row>
    <row r="923" spans="1:9" x14ac:dyDescent="0.2">
      <c r="A923" s="1"/>
      <c r="B923" s="1"/>
      <c r="C923" s="1"/>
      <c r="D923" t="str">
        <f>IFERROR(IF(C923="","",IF(B923="موظف",VLOOKUP(C923,الموظفين!$B:$C,2,FALSE),VLOOKUP(C923,المستفيدين!$B:$C,2,FALSE))),"")</f>
        <v/>
      </c>
      <c r="F923" s="1"/>
      <c r="G923" s="1"/>
      <c r="H923" s="1"/>
      <c r="I923" s="1"/>
    </row>
    <row r="924" spans="1:9" x14ac:dyDescent="0.2">
      <c r="A924" s="1"/>
      <c r="B924" s="1"/>
      <c r="C924" s="1"/>
      <c r="D924" t="str">
        <f>IFERROR(IF(C924="","",IF(B924="موظف",VLOOKUP(C924,الموظفين!$B:$C,2,FALSE),VLOOKUP(C924,المستفيدين!$B:$C,2,FALSE))),"")</f>
        <v/>
      </c>
      <c r="F924" s="1"/>
      <c r="G924" s="1"/>
      <c r="H924" s="1"/>
      <c r="I924" s="1"/>
    </row>
    <row r="925" spans="1:9" x14ac:dyDescent="0.2">
      <c r="A925" s="1"/>
      <c r="B925" s="1"/>
      <c r="C925" s="1"/>
      <c r="D925" t="str">
        <f>IFERROR(IF(C925="","",IF(B925="موظف",VLOOKUP(C925,الموظفين!$B:$C,2,FALSE),VLOOKUP(C925,المستفيدين!$B:$C,2,FALSE))),"")</f>
        <v/>
      </c>
      <c r="F925" s="1"/>
      <c r="G925" s="1"/>
      <c r="H925" s="1"/>
      <c r="I925" s="1"/>
    </row>
    <row r="926" spans="1:9" x14ac:dyDescent="0.2">
      <c r="A926" s="1"/>
      <c r="B926" s="1"/>
      <c r="C926" s="1"/>
      <c r="D926" t="str">
        <f>IFERROR(IF(C926="","",IF(B926="موظف",VLOOKUP(C926,الموظفين!$B:$C,2,FALSE),VLOOKUP(C926,المستفيدين!$B:$C,2,FALSE))),"")</f>
        <v/>
      </c>
      <c r="F926" s="1"/>
      <c r="G926" s="1"/>
      <c r="H926" s="1"/>
      <c r="I926" s="1"/>
    </row>
    <row r="927" spans="1:9" x14ac:dyDescent="0.2">
      <c r="A927" s="1"/>
      <c r="B927" s="1"/>
      <c r="C927" s="1"/>
      <c r="D927" t="str">
        <f>IFERROR(IF(C927="","",IF(B927="موظف",VLOOKUP(C927,الموظفين!$B:$C,2,FALSE),VLOOKUP(C927,المستفيدين!$B:$C,2,FALSE))),"")</f>
        <v/>
      </c>
      <c r="F927" s="1"/>
      <c r="G927" s="1"/>
      <c r="H927" s="1"/>
      <c r="I927" s="1"/>
    </row>
    <row r="928" spans="1:9" x14ac:dyDescent="0.2">
      <c r="A928" s="1"/>
      <c r="B928" s="1"/>
      <c r="C928" s="1"/>
      <c r="D928" t="str">
        <f>IFERROR(IF(C928="","",IF(B928="موظف",VLOOKUP(C928,الموظفين!$B:$C,2,FALSE),VLOOKUP(C928,المستفيدين!$B:$C,2,FALSE))),"")</f>
        <v/>
      </c>
      <c r="F928" s="1"/>
      <c r="G928" s="1"/>
      <c r="H928" s="1"/>
      <c r="I928" s="1"/>
    </row>
    <row r="929" spans="1:9" x14ac:dyDescent="0.2">
      <c r="A929" s="1"/>
      <c r="B929" s="1"/>
      <c r="C929" s="1"/>
      <c r="D929" t="str">
        <f>IFERROR(IF(C929="","",IF(B929="موظف",VLOOKUP(C929,الموظفين!$B:$C,2,FALSE),VLOOKUP(C929,المستفيدين!$B:$C,2,FALSE))),"")</f>
        <v/>
      </c>
      <c r="F929" s="1"/>
      <c r="G929" s="1"/>
      <c r="H929" s="1"/>
      <c r="I929" s="1"/>
    </row>
    <row r="930" spans="1:9" x14ac:dyDescent="0.2">
      <c r="A930" s="1"/>
      <c r="B930" s="1"/>
      <c r="C930" s="1"/>
      <c r="D930" t="str">
        <f>IFERROR(IF(C930="","",IF(B930="موظف",VLOOKUP(C930,الموظفين!$B:$C,2,FALSE),VLOOKUP(C930,المستفيدين!$B:$C,2,FALSE))),"")</f>
        <v/>
      </c>
      <c r="F930" s="1"/>
      <c r="G930" s="1"/>
      <c r="H930" s="1"/>
      <c r="I930" s="1"/>
    </row>
    <row r="931" spans="1:9" x14ac:dyDescent="0.2">
      <c r="A931" s="1"/>
      <c r="B931" s="1"/>
      <c r="C931" s="1"/>
      <c r="D931" t="str">
        <f>IFERROR(IF(C931="","",IF(B931="موظف",VLOOKUP(C931,الموظفين!$B:$C,2,FALSE),VLOOKUP(C931,المستفيدين!$B:$C,2,FALSE))),"")</f>
        <v/>
      </c>
      <c r="F931" s="1"/>
      <c r="G931" s="1"/>
      <c r="H931" s="1"/>
      <c r="I931" s="1"/>
    </row>
    <row r="932" spans="1:9" x14ac:dyDescent="0.2">
      <c r="A932" s="1"/>
      <c r="B932" s="1"/>
      <c r="C932" s="1"/>
      <c r="D932" t="str">
        <f>IFERROR(IF(C932="","",IF(B932="موظف",VLOOKUP(C932,الموظفين!$B:$C,2,FALSE),VLOOKUP(C932,المستفيدين!$B:$C,2,FALSE))),"")</f>
        <v/>
      </c>
      <c r="F932" s="1"/>
      <c r="G932" s="1"/>
      <c r="H932" s="1"/>
      <c r="I932" s="1"/>
    </row>
    <row r="933" spans="1:9" x14ac:dyDescent="0.2">
      <c r="A933" s="1"/>
      <c r="B933" s="1"/>
      <c r="C933" s="1"/>
      <c r="D933" t="str">
        <f>IFERROR(IF(C933="","",IF(B933="موظف",VLOOKUP(C933,الموظفين!$B:$C,2,FALSE),VLOOKUP(C933,المستفيدين!$B:$C,2,FALSE))),"")</f>
        <v/>
      </c>
      <c r="F933" s="1"/>
      <c r="G933" s="1"/>
      <c r="H933" s="1"/>
      <c r="I933" s="1"/>
    </row>
    <row r="934" spans="1:9" x14ac:dyDescent="0.2">
      <c r="A934" s="1"/>
      <c r="B934" s="1"/>
      <c r="C934" s="1"/>
      <c r="D934" t="str">
        <f>IFERROR(IF(C934="","",IF(B934="موظف",VLOOKUP(C934,الموظفين!$B:$C,2,FALSE),VLOOKUP(C934,المستفيدين!$B:$C,2,FALSE))),"")</f>
        <v/>
      </c>
      <c r="F934" s="1"/>
      <c r="G934" s="1"/>
      <c r="H934" s="1"/>
      <c r="I934" s="1"/>
    </row>
    <row r="935" spans="1:9" x14ac:dyDescent="0.2">
      <c r="A935" s="1"/>
      <c r="B935" s="1"/>
      <c r="C935" s="1"/>
      <c r="D935" t="str">
        <f>IFERROR(IF(C935="","",IF(B935="موظف",VLOOKUP(C935,الموظفين!$B:$C,2,FALSE),VLOOKUP(C935,المستفيدين!$B:$C,2,FALSE))),"")</f>
        <v/>
      </c>
      <c r="F935" s="1"/>
      <c r="G935" s="1"/>
      <c r="H935" s="1"/>
      <c r="I935" s="1"/>
    </row>
    <row r="936" spans="1:9" x14ac:dyDescent="0.2">
      <c r="A936" s="1"/>
      <c r="B936" s="1"/>
      <c r="C936" s="1"/>
      <c r="D936" t="str">
        <f>IFERROR(IF(C936="","",IF(B936="موظف",VLOOKUP(C936,الموظفين!$B:$C,2,FALSE),VLOOKUP(C936,المستفيدين!$B:$C,2,FALSE))),"")</f>
        <v/>
      </c>
      <c r="F936" s="1"/>
      <c r="G936" s="1"/>
      <c r="H936" s="1"/>
      <c r="I936" s="1"/>
    </row>
    <row r="937" spans="1:9" x14ac:dyDescent="0.2">
      <c r="A937" s="1"/>
      <c r="B937" s="1"/>
      <c r="C937" s="1"/>
      <c r="D937" t="str">
        <f>IFERROR(IF(C937="","",IF(B937="موظف",VLOOKUP(C937,الموظفين!$B:$C,2,FALSE),VLOOKUP(C937,المستفيدين!$B:$C,2,FALSE))),"")</f>
        <v/>
      </c>
      <c r="F937" s="1"/>
      <c r="G937" s="1"/>
      <c r="H937" s="1"/>
      <c r="I937" s="1"/>
    </row>
    <row r="938" spans="1:9" x14ac:dyDescent="0.2">
      <c r="A938" s="1"/>
      <c r="B938" s="1"/>
      <c r="C938" s="1"/>
      <c r="D938" t="str">
        <f>IFERROR(IF(C938="","",IF(B938="موظف",VLOOKUP(C938,الموظفين!$B:$C,2,FALSE),VLOOKUP(C938,المستفيدين!$B:$C,2,FALSE))),"")</f>
        <v/>
      </c>
      <c r="F938" s="1"/>
      <c r="G938" s="1"/>
      <c r="H938" s="1"/>
      <c r="I938" s="1"/>
    </row>
    <row r="939" spans="1:9" x14ac:dyDescent="0.2">
      <c r="A939" s="1"/>
      <c r="B939" s="1"/>
      <c r="C939" s="1"/>
      <c r="D939" t="str">
        <f>IFERROR(IF(C939="","",IF(B939="موظف",VLOOKUP(C939,الموظفين!$B:$C,2,FALSE),VLOOKUP(C939,المستفيدين!$B:$C,2,FALSE))),"")</f>
        <v/>
      </c>
      <c r="F939" s="1"/>
      <c r="G939" s="1"/>
      <c r="H939" s="1"/>
      <c r="I939" s="1"/>
    </row>
    <row r="940" spans="1:9" x14ac:dyDescent="0.2">
      <c r="A940" s="1"/>
      <c r="B940" s="1"/>
      <c r="C940" s="1"/>
      <c r="D940" t="str">
        <f>IFERROR(IF(C940="","",IF(B940="موظف",VLOOKUP(C940,الموظفين!$B:$C,2,FALSE),VLOOKUP(C940,المستفيدين!$B:$C,2,FALSE))),"")</f>
        <v/>
      </c>
      <c r="F940" s="1"/>
      <c r="G940" s="1"/>
      <c r="H940" s="1"/>
      <c r="I940" s="1"/>
    </row>
    <row r="941" spans="1:9" x14ac:dyDescent="0.2">
      <c r="A941" s="1"/>
      <c r="B941" s="1"/>
      <c r="C941" s="1"/>
      <c r="D941" t="str">
        <f>IFERROR(IF(C941="","",IF(B941="موظف",VLOOKUP(C941,الموظفين!$B:$C,2,FALSE),VLOOKUP(C941,المستفيدين!$B:$C,2,FALSE))),"")</f>
        <v/>
      </c>
      <c r="F941" s="1"/>
      <c r="G941" s="1"/>
      <c r="H941" s="1"/>
      <c r="I941" s="1"/>
    </row>
    <row r="942" spans="1:9" x14ac:dyDescent="0.2">
      <c r="A942" s="1"/>
      <c r="B942" s="1"/>
      <c r="C942" s="1"/>
      <c r="D942" t="str">
        <f>IFERROR(IF(C942="","",IF(B942="موظف",VLOOKUP(C942,الموظفين!$B:$C,2,FALSE),VLOOKUP(C942,المستفيدين!$B:$C,2,FALSE))),"")</f>
        <v/>
      </c>
      <c r="F942" s="1"/>
      <c r="G942" s="1"/>
      <c r="H942" s="1"/>
      <c r="I942" s="1"/>
    </row>
    <row r="943" spans="1:9" x14ac:dyDescent="0.2">
      <c r="A943" s="1"/>
      <c r="B943" s="1"/>
      <c r="C943" s="1"/>
      <c r="D943" t="str">
        <f>IFERROR(IF(C943="","",IF(B943="موظف",VLOOKUP(C943,الموظفين!$B:$C,2,FALSE),VLOOKUP(C943,المستفيدين!$B:$C,2,FALSE))),"")</f>
        <v/>
      </c>
      <c r="F943" s="1"/>
      <c r="G943" s="1"/>
      <c r="H943" s="1"/>
      <c r="I943" s="1"/>
    </row>
    <row r="944" spans="1:9" x14ac:dyDescent="0.2">
      <c r="A944" s="1"/>
      <c r="B944" s="1"/>
      <c r="C944" s="1"/>
      <c r="D944" t="str">
        <f>IFERROR(IF(C944="","",IF(B944="موظف",VLOOKUP(C944,الموظفين!$B:$C,2,FALSE),VLOOKUP(C944,المستفيدين!$B:$C,2,FALSE))),"")</f>
        <v/>
      </c>
      <c r="F944" s="1"/>
      <c r="G944" s="1"/>
      <c r="H944" s="1"/>
      <c r="I944" s="1"/>
    </row>
    <row r="945" spans="1:9" x14ac:dyDescent="0.2">
      <c r="A945" s="1"/>
      <c r="B945" s="1"/>
      <c r="C945" s="1"/>
      <c r="D945" t="str">
        <f>IFERROR(IF(C945="","",IF(B945="موظف",VLOOKUP(C945,الموظفين!$B:$C,2,FALSE),VLOOKUP(C945,المستفيدين!$B:$C,2,FALSE))),"")</f>
        <v/>
      </c>
      <c r="F945" s="1"/>
      <c r="G945" s="1"/>
      <c r="H945" s="1"/>
      <c r="I945" s="1"/>
    </row>
    <row r="946" spans="1:9" x14ac:dyDescent="0.2">
      <c r="A946" s="1"/>
      <c r="B946" s="1"/>
      <c r="C946" s="1"/>
      <c r="D946" t="str">
        <f>IFERROR(IF(C946="","",IF(B946="موظف",VLOOKUP(C946,الموظفين!$B:$C,2,FALSE),VLOOKUP(C946,المستفيدين!$B:$C,2,FALSE))),"")</f>
        <v/>
      </c>
      <c r="F946" s="1"/>
      <c r="G946" s="1"/>
      <c r="H946" s="1"/>
      <c r="I946" s="1"/>
    </row>
    <row r="947" spans="1:9" x14ac:dyDescent="0.2">
      <c r="A947" s="1"/>
      <c r="B947" s="1"/>
      <c r="C947" s="1"/>
      <c r="D947" t="str">
        <f>IFERROR(IF(C947="","",IF(B947="موظف",VLOOKUP(C947,الموظفين!$B:$C,2,FALSE),VLOOKUP(C947,المستفيدين!$B:$C,2,FALSE))),"")</f>
        <v/>
      </c>
      <c r="F947" s="1"/>
      <c r="G947" s="1"/>
      <c r="H947" s="1"/>
      <c r="I947" s="1"/>
    </row>
    <row r="948" spans="1:9" x14ac:dyDescent="0.2">
      <c r="A948" s="1"/>
      <c r="B948" s="1"/>
      <c r="C948" s="1"/>
      <c r="D948" t="str">
        <f>IFERROR(IF(C948="","",IF(B948="موظف",VLOOKUP(C948,الموظفين!$B:$C,2,FALSE),VLOOKUP(C948,المستفيدين!$B:$C,2,FALSE))),"")</f>
        <v/>
      </c>
      <c r="F948" s="1"/>
      <c r="G948" s="1"/>
      <c r="H948" s="1"/>
      <c r="I948" s="1"/>
    </row>
    <row r="949" spans="1:9" x14ac:dyDescent="0.2">
      <c r="A949" s="1"/>
      <c r="B949" s="1"/>
      <c r="C949" s="1"/>
      <c r="D949" t="str">
        <f>IFERROR(IF(C949="","",IF(B949="موظف",VLOOKUP(C949,الموظفين!$B:$C,2,FALSE),VLOOKUP(C949,المستفيدين!$B:$C,2,FALSE))),"")</f>
        <v/>
      </c>
      <c r="F949" s="1"/>
      <c r="G949" s="1"/>
      <c r="H949" s="1"/>
      <c r="I949" s="1"/>
    </row>
    <row r="950" spans="1:9" x14ac:dyDescent="0.2">
      <c r="A950" s="1"/>
      <c r="B950" s="1"/>
      <c r="C950" s="1"/>
      <c r="D950" t="str">
        <f>IFERROR(IF(C950="","",IF(B950="موظف",VLOOKUP(C950,الموظفين!$B:$C,2,FALSE),VLOOKUP(C950,المستفيدين!$B:$C,2,FALSE))),"")</f>
        <v/>
      </c>
      <c r="F950" s="1"/>
      <c r="G950" s="1"/>
      <c r="H950" s="1"/>
      <c r="I950" s="1"/>
    </row>
    <row r="951" spans="1:9" x14ac:dyDescent="0.2">
      <c r="A951" s="1"/>
      <c r="B951" s="1"/>
      <c r="C951" s="1"/>
      <c r="D951" t="str">
        <f>IFERROR(IF(C951="","",IF(B951="موظف",VLOOKUP(C951,الموظفين!$B:$C,2,FALSE),VLOOKUP(C951,المستفيدين!$B:$C,2,FALSE))),"")</f>
        <v/>
      </c>
      <c r="F951" s="1"/>
      <c r="G951" s="1"/>
      <c r="H951" s="1"/>
      <c r="I951" s="1"/>
    </row>
    <row r="952" spans="1:9" x14ac:dyDescent="0.2">
      <c r="A952" s="1"/>
      <c r="B952" s="1"/>
      <c r="C952" s="1"/>
      <c r="D952" t="str">
        <f>IFERROR(IF(C952="","",IF(B952="موظف",VLOOKUP(C952,الموظفين!$B:$C,2,FALSE),VLOOKUP(C952,المستفيدين!$B:$C,2,FALSE))),"")</f>
        <v/>
      </c>
      <c r="F952" s="1"/>
      <c r="G952" s="1"/>
      <c r="H952" s="1"/>
      <c r="I952" s="1"/>
    </row>
    <row r="953" spans="1:9" x14ac:dyDescent="0.2">
      <c r="A953" s="1"/>
      <c r="B953" s="1"/>
      <c r="C953" s="1"/>
      <c r="D953" t="str">
        <f>IFERROR(IF(C953="","",IF(B953="موظف",VLOOKUP(C953,الموظفين!$B:$C,2,FALSE),VLOOKUP(C953,المستفيدين!$B:$C,2,FALSE))),"")</f>
        <v/>
      </c>
      <c r="F953" s="1"/>
      <c r="G953" s="1"/>
      <c r="H953" s="1"/>
      <c r="I953" s="1"/>
    </row>
    <row r="954" spans="1:9" x14ac:dyDescent="0.2">
      <c r="A954" s="1"/>
      <c r="B954" s="1"/>
      <c r="C954" s="1"/>
      <c r="D954" t="str">
        <f>IFERROR(IF(C954="","",IF(B954="موظف",VLOOKUP(C954,الموظفين!$B:$C,2,FALSE),VLOOKUP(C954,المستفيدين!$B:$C,2,FALSE))),"")</f>
        <v/>
      </c>
      <c r="F954" s="1"/>
      <c r="G954" s="1"/>
      <c r="H954" s="1"/>
      <c r="I954" s="1"/>
    </row>
    <row r="955" spans="1:9" x14ac:dyDescent="0.2">
      <c r="A955" s="1"/>
      <c r="B955" s="1"/>
      <c r="C955" s="1"/>
      <c r="D955" t="str">
        <f>IFERROR(IF(C955="","",IF(B955="موظف",VLOOKUP(C955,الموظفين!$B:$C,2,FALSE),VLOOKUP(C955,المستفيدين!$B:$C,2,FALSE))),"")</f>
        <v/>
      </c>
      <c r="F955" s="1"/>
      <c r="G955" s="1"/>
      <c r="H955" s="1"/>
      <c r="I955" s="1"/>
    </row>
    <row r="956" spans="1:9" x14ac:dyDescent="0.2">
      <c r="A956" s="1"/>
      <c r="B956" s="1"/>
      <c r="C956" s="1"/>
      <c r="D956" t="str">
        <f>IFERROR(IF(C956="","",IF(B956="موظف",VLOOKUP(C956,الموظفين!$B:$C,2,FALSE),VLOOKUP(C956,المستفيدين!$B:$C,2,FALSE))),"")</f>
        <v/>
      </c>
      <c r="F956" s="1"/>
      <c r="G956" s="1"/>
      <c r="H956" s="1"/>
      <c r="I956" s="1"/>
    </row>
    <row r="957" spans="1:9" x14ac:dyDescent="0.2">
      <c r="A957" s="1"/>
      <c r="B957" s="1"/>
      <c r="C957" s="1"/>
      <c r="D957" t="str">
        <f>IFERROR(IF(C957="","",IF(B957="موظف",VLOOKUP(C957,الموظفين!$B:$C,2,FALSE),VLOOKUP(C957,المستفيدين!$B:$C,2,FALSE))),"")</f>
        <v/>
      </c>
      <c r="F957" s="1"/>
      <c r="G957" s="1"/>
      <c r="H957" s="1"/>
      <c r="I957" s="1"/>
    </row>
    <row r="958" spans="1:9" x14ac:dyDescent="0.2">
      <c r="A958" s="1"/>
      <c r="B958" s="1"/>
      <c r="C958" s="1"/>
      <c r="D958" t="str">
        <f>IFERROR(IF(C958="","",IF(B958="موظف",VLOOKUP(C958,الموظفين!$B:$C,2,FALSE),VLOOKUP(C958,المستفيدين!$B:$C,2,FALSE))),"")</f>
        <v/>
      </c>
      <c r="F958" s="1"/>
      <c r="G958" s="1"/>
      <c r="H958" s="1"/>
      <c r="I958" s="1"/>
    </row>
    <row r="959" spans="1:9" x14ac:dyDescent="0.2">
      <c r="A959" s="1"/>
      <c r="B959" s="1"/>
      <c r="C959" s="1"/>
      <c r="D959" t="str">
        <f>IFERROR(IF(C959="","",IF(B959="موظف",VLOOKUP(C959,الموظفين!$B:$C,2,FALSE),VLOOKUP(C959,المستفيدين!$B:$C,2,FALSE))),"")</f>
        <v/>
      </c>
      <c r="F959" s="1"/>
      <c r="G959" s="1"/>
      <c r="H959" s="1"/>
      <c r="I959" s="1"/>
    </row>
    <row r="960" spans="1:9" x14ac:dyDescent="0.2">
      <c r="A960" s="1"/>
      <c r="B960" s="1"/>
      <c r="C960" s="1"/>
      <c r="D960" t="str">
        <f>IFERROR(IF(C960="","",IF(B960="موظف",VLOOKUP(C960,الموظفين!$B:$C,2,FALSE),VLOOKUP(C960,المستفيدين!$B:$C,2,FALSE))),"")</f>
        <v/>
      </c>
      <c r="F960" s="1"/>
      <c r="G960" s="1"/>
      <c r="H960" s="1"/>
      <c r="I960" s="1"/>
    </row>
    <row r="961" spans="1:9" x14ac:dyDescent="0.2">
      <c r="A961" s="1"/>
      <c r="B961" s="1"/>
      <c r="C961" s="1"/>
      <c r="D961" t="str">
        <f>IFERROR(IF(C961="","",IF(B961="موظف",VLOOKUP(C961,الموظفين!$B:$C,2,FALSE),VLOOKUP(C961,المستفيدين!$B:$C,2,FALSE))),"")</f>
        <v/>
      </c>
      <c r="F961" s="1"/>
      <c r="G961" s="1"/>
      <c r="H961" s="1"/>
      <c r="I961" s="1"/>
    </row>
    <row r="962" spans="1:9" x14ac:dyDescent="0.2">
      <c r="A962" s="1"/>
      <c r="B962" s="1"/>
      <c r="C962" s="1"/>
      <c r="D962" t="str">
        <f>IFERROR(IF(C962="","",IF(B962="موظف",VLOOKUP(C962,الموظفين!$B:$C,2,FALSE),VLOOKUP(C962,المستفيدين!$B:$C,2,FALSE))),"")</f>
        <v/>
      </c>
      <c r="F962" s="1"/>
      <c r="G962" s="1"/>
      <c r="H962" s="1"/>
      <c r="I962" s="1"/>
    </row>
    <row r="963" spans="1:9" x14ac:dyDescent="0.2">
      <c r="A963" s="1"/>
      <c r="B963" s="1"/>
      <c r="C963" s="1"/>
      <c r="D963" t="str">
        <f>IFERROR(IF(C963="","",IF(B963="موظف",VLOOKUP(C963,الموظفين!$B:$C,2,FALSE),VLOOKUP(C963,المستفيدين!$B:$C,2,FALSE))),"")</f>
        <v/>
      </c>
      <c r="F963" s="1"/>
      <c r="G963" s="1"/>
      <c r="H963" s="1"/>
      <c r="I963" s="1"/>
    </row>
    <row r="964" spans="1:9" x14ac:dyDescent="0.2">
      <c r="A964" s="1"/>
      <c r="B964" s="1"/>
      <c r="C964" s="1"/>
      <c r="D964" t="str">
        <f>IFERROR(IF(C964="","",IF(B964="موظف",VLOOKUP(C964,الموظفين!$B:$C,2,FALSE),VLOOKUP(C964,المستفيدين!$B:$C,2,FALSE))),"")</f>
        <v/>
      </c>
      <c r="F964" s="1"/>
      <c r="G964" s="1"/>
      <c r="H964" s="1"/>
      <c r="I964" s="1"/>
    </row>
    <row r="965" spans="1:9" x14ac:dyDescent="0.2">
      <c r="A965" s="1"/>
      <c r="B965" s="1"/>
      <c r="C965" s="1"/>
      <c r="D965" t="str">
        <f>IFERROR(IF(C965="","",IF(B965="موظف",VLOOKUP(C965,الموظفين!$B:$C,2,FALSE),VLOOKUP(C965,المستفيدين!$B:$C,2,FALSE))),"")</f>
        <v/>
      </c>
      <c r="F965" s="1"/>
      <c r="G965" s="1"/>
      <c r="H965" s="1"/>
      <c r="I965" s="1"/>
    </row>
    <row r="966" spans="1:9" x14ac:dyDescent="0.2">
      <c r="A966" s="1"/>
      <c r="B966" s="1"/>
      <c r="C966" s="1"/>
      <c r="D966" t="str">
        <f>IFERROR(IF(C966="","",IF(B966="موظف",VLOOKUP(C966,الموظفين!$B:$C,2,FALSE),VLOOKUP(C966,المستفيدين!$B:$C,2,FALSE))),"")</f>
        <v/>
      </c>
      <c r="F966" s="1"/>
      <c r="G966" s="1"/>
      <c r="H966" s="1"/>
      <c r="I966" s="1"/>
    </row>
    <row r="967" spans="1:9" x14ac:dyDescent="0.2">
      <c r="A967" s="1"/>
      <c r="B967" s="1"/>
      <c r="C967" s="1"/>
      <c r="D967" t="str">
        <f>IFERROR(IF(C967="","",IF(B967="موظف",VLOOKUP(C967,الموظفين!$B:$C,2,FALSE),VLOOKUP(C967,المستفيدين!$B:$C,2,FALSE))),"")</f>
        <v/>
      </c>
      <c r="F967" s="1"/>
      <c r="G967" s="1"/>
      <c r="H967" s="1"/>
      <c r="I967" s="1"/>
    </row>
    <row r="968" spans="1:9" x14ac:dyDescent="0.2">
      <c r="A968" s="1"/>
      <c r="B968" s="1"/>
      <c r="C968" s="1"/>
      <c r="D968" t="str">
        <f>IFERROR(IF(C968="","",IF(B968="موظف",VLOOKUP(C968,الموظفين!$B:$C,2,FALSE),VLOOKUP(C968,المستفيدين!$B:$C,2,FALSE))),"")</f>
        <v/>
      </c>
      <c r="F968" s="1"/>
      <c r="G968" s="1"/>
      <c r="H968" s="1"/>
      <c r="I968" s="1"/>
    </row>
    <row r="969" spans="1:9" x14ac:dyDescent="0.2">
      <c r="A969" s="1"/>
      <c r="B969" s="1"/>
      <c r="C969" s="1"/>
      <c r="D969" t="str">
        <f>IFERROR(IF(C969="","",IF(B969="موظف",VLOOKUP(C969,الموظفين!$B:$C,2,FALSE),VLOOKUP(C969,المستفيدين!$B:$C,2,FALSE))),"")</f>
        <v/>
      </c>
      <c r="F969" s="1"/>
      <c r="G969" s="1"/>
      <c r="H969" s="1"/>
      <c r="I969" s="1"/>
    </row>
    <row r="970" spans="1:9" x14ac:dyDescent="0.2">
      <c r="A970" s="1"/>
      <c r="B970" s="1"/>
      <c r="C970" s="1"/>
      <c r="D970" t="str">
        <f>IFERROR(IF(C970="","",IF(B970="موظف",VLOOKUP(C970,الموظفين!$B:$C,2,FALSE),VLOOKUP(C970,المستفيدين!$B:$C,2,FALSE))),"")</f>
        <v/>
      </c>
      <c r="F970" s="1"/>
      <c r="G970" s="1"/>
      <c r="H970" s="1"/>
      <c r="I970" s="1"/>
    </row>
    <row r="971" spans="1:9" x14ac:dyDescent="0.2">
      <c r="A971" s="1"/>
      <c r="B971" s="1"/>
      <c r="C971" s="1"/>
      <c r="D971" t="str">
        <f>IFERROR(IF(C971="","",IF(B971="موظف",VLOOKUP(C971,الموظفين!$B:$C,2,FALSE),VLOOKUP(C971,المستفيدين!$B:$C,2,FALSE))),"")</f>
        <v/>
      </c>
      <c r="F971" s="1"/>
      <c r="G971" s="1"/>
      <c r="H971" s="1"/>
      <c r="I971" s="1"/>
    </row>
    <row r="972" spans="1:9" x14ac:dyDescent="0.2">
      <c r="A972" s="1"/>
      <c r="B972" s="1"/>
      <c r="C972" s="1"/>
      <c r="D972" t="str">
        <f>IFERROR(IF(C972="","",IF(B972="موظف",VLOOKUP(C972,الموظفين!$B:$C,2,FALSE),VLOOKUP(C972,المستفيدين!$B:$C,2,FALSE))),"")</f>
        <v/>
      </c>
      <c r="F972" s="1"/>
      <c r="G972" s="1"/>
      <c r="H972" s="1"/>
      <c r="I972" s="1"/>
    </row>
    <row r="973" spans="1:9" x14ac:dyDescent="0.2">
      <c r="A973" s="1"/>
      <c r="B973" s="1"/>
      <c r="C973" s="1"/>
      <c r="D973" t="str">
        <f>IFERROR(IF(C973="","",IF(B973="موظف",VLOOKUP(C973,الموظفين!$B:$C,2,FALSE),VLOOKUP(C973,المستفيدين!$B:$C,2,FALSE))),"")</f>
        <v/>
      </c>
      <c r="F973" s="1"/>
      <c r="G973" s="1"/>
      <c r="H973" s="1"/>
      <c r="I973" s="1"/>
    </row>
    <row r="974" spans="1:9" x14ac:dyDescent="0.2">
      <c r="A974" s="1"/>
      <c r="B974" s="1"/>
      <c r="C974" s="1"/>
      <c r="D974" t="str">
        <f>IFERROR(IF(C974="","",IF(B974="موظف",VLOOKUP(C974,الموظفين!$B:$C,2,FALSE),VLOOKUP(C974,المستفيدين!$B:$C,2,FALSE))),"")</f>
        <v/>
      </c>
      <c r="F974" s="1"/>
      <c r="G974" s="1"/>
      <c r="H974" s="1"/>
      <c r="I974" s="1"/>
    </row>
    <row r="975" spans="1:9" x14ac:dyDescent="0.2">
      <c r="A975" s="1"/>
      <c r="B975" s="1"/>
      <c r="C975" s="1"/>
      <c r="D975" t="str">
        <f>IFERROR(IF(C975="","",IF(B975="موظف",VLOOKUP(C975,الموظفين!$B:$C,2,FALSE),VLOOKUP(C975,المستفيدين!$B:$C,2,FALSE))),"")</f>
        <v/>
      </c>
      <c r="F975" s="1"/>
      <c r="G975" s="1"/>
      <c r="H975" s="1"/>
      <c r="I975" s="1"/>
    </row>
    <row r="976" spans="1:9" x14ac:dyDescent="0.2">
      <c r="A976" s="1"/>
      <c r="B976" s="1"/>
      <c r="C976" s="1"/>
      <c r="D976" t="str">
        <f>IFERROR(IF(C976="","",IF(B976="موظف",VLOOKUP(C976,الموظفين!$B:$C,2,FALSE),VLOOKUP(C976,المستفيدين!$B:$C,2,FALSE))),"")</f>
        <v/>
      </c>
      <c r="F976" s="1"/>
      <c r="G976" s="1"/>
      <c r="H976" s="1"/>
      <c r="I976" s="1"/>
    </row>
    <row r="977" spans="1:9" x14ac:dyDescent="0.2">
      <c r="A977" s="1"/>
      <c r="B977" s="1"/>
      <c r="C977" s="1"/>
      <c r="D977" t="str">
        <f>IFERROR(IF(C977="","",IF(B977="موظف",VLOOKUP(C977,الموظفين!$B:$C,2,FALSE),VLOOKUP(C977,المستفيدين!$B:$C,2,FALSE))),"")</f>
        <v/>
      </c>
      <c r="F977" s="1"/>
      <c r="G977" s="1"/>
      <c r="H977" s="1"/>
      <c r="I977" s="1"/>
    </row>
    <row r="978" spans="1:9" x14ac:dyDescent="0.2">
      <c r="A978" s="1"/>
      <c r="B978" s="1"/>
      <c r="C978" s="1"/>
      <c r="D978" t="str">
        <f>IFERROR(IF(C978="","",IF(B978="موظف",VLOOKUP(C978,الموظفين!$B:$C,2,FALSE),VLOOKUP(C978,المستفيدين!$B:$C,2,FALSE))),"")</f>
        <v/>
      </c>
      <c r="F978" s="1"/>
      <c r="G978" s="1"/>
      <c r="H978" s="1"/>
      <c r="I978" s="1"/>
    </row>
    <row r="979" spans="1:9" x14ac:dyDescent="0.2">
      <c r="A979" s="1"/>
      <c r="B979" s="1"/>
      <c r="C979" s="1"/>
      <c r="D979" t="str">
        <f>IFERROR(IF(C979="","",IF(B979="موظف",VLOOKUP(C979,الموظفين!$B:$C,2,FALSE),VLOOKUP(C979,المستفيدين!$B:$C,2,FALSE))),"")</f>
        <v/>
      </c>
      <c r="F979" s="1"/>
      <c r="G979" s="1"/>
      <c r="H979" s="1"/>
      <c r="I979" s="1"/>
    </row>
    <row r="980" spans="1:9" x14ac:dyDescent="0.2">
      <c r="A980" s="1"/>
      <c r="B980" s="1"/>
      <c r="C980" s="1"/>
      <c r="D980" t="str">
        <f>IFERROR(IF(C980="","",IF(B980="موظف",VLOOKUP(C980,الموظفين!$B:$C,2,FALSE),VLOOKUP(C980,المستفيدين!$B:$C,2,FALSE))),"")</f>
        <v/>
      </c>
      <c r="F980" s="1"/>
      <c r="G980" s="1"/>
      <c r="H980" s="1"/>
      <c r="I980" s="1"/>
    </row>
    <row r="981" spans="1:9" x14ac:dyDescent="0.2">
      <c r="A981" s="1"/>
      <c r="B981" s="1"/>
      <c r="C981" s="1"/>
      <c r="D981" t="str">
        <f>IFERROR(IF(C981="","",IF(B981="موظف",VLOOKUP(C981,الموظفين!$B:$C,2,FALSE),VLOOKUP(C981,المستفيدين!$B:$C,2,FALSE))),"")</f>
        <v/>
      </c>
      <c r="F981" s="1"/>
      <c r="G981" s="1"/>
      <c r="H981" s="1"/>
      <c r="I981" s="1"/>
    </row>
    <row r="982" spans="1:9" x14ac:dyDescent="0.2">
      <c r="A982" s="1"/>
      <c r="B982" s="1"/>
      <c r="C982" s="1"/>
      <c r="D982" t="str">
        <f>IFERROR(IF(C982="","",IF(B982="موظف",VLOOKUP(C982,الموظفين!$B:$C,2,FALSE),VLOOKUP(C982,المستفيدين!$B:$C,2,FALSE))),"")</f>
        <v/>
      </c>
      <c r="F982" s="1"/>
      <c r="G982" s="1"/>
      <c r="H982" s="1"/>
      <c r="I982" s="1"/>
    </row>
    <row r="983" spans="1:9" x14ac:dyDescent="0.2">
      <c r="A983" s="1"/>
      <c r="B983" s="1"/>
      <c r="C983" s="1"/>
      <c r="D983" t="str">
        <f>IFERROR(IF(C983="","",IF(B983="موظف",VLOOKUP(C983,الموظفين!$B:$C,2,FALSE),VLOOKUP(C983,المستفيدين!$B:$C,2,FALSE))),"")</f>
        <v/>
      </c>
      <c r="F983" s="1"/>
      <c r="G983" s="1"/>
      <c r="H983" s="1"/>
      <c r="I983" s="1"/>
    </row>
    <row r="984" spans="1:9" x14ac:dyDescent="0.2">
      <c r="A984" s="1"/>
      <c r="B984" s="1"/>
      <c r="C984" s="1"/>
      <c r="D984" t="str">
        <f>IFERROR(IF(C984="","",IF(B984="موظف",VLOOKUP(C984,الموظفين!$B:$C,2,FALSE),VLOOKUP(C984,المستفيدين!$B:$C,2,FALSE))),"")</f>
        <v/>
      </c>
      <c r="F984" s="1"/>
      <c r="G984" s="1"/>
      <c r="H984" s="1"/>
      <c r="I984" s="1"/>
    </row>
    <row r="985" spans="1:9" x14ac:dyDescent="0.2">
      <c r="A985" s="1"/>
      <c r="B985" s="1"/>
      <c r="C985" s="1"/>
      <c r="D985" t="str">
        <f>IFERROR(IF(C985="","",IF(B985="موظف",VLOOKUP(C985,الموظفين!$B:$C,2,FALSE),VLOOKUP(C985,المستفيدين!$B:$C,2,FALSE))),"")</f>
        <v/>
      </c>
      <c r="F985" s="1"/>
      <c r="G985" s="1"/>
      <c r="H985" s="1"/>
      <c r="I985" s="1"/>
    </row>
    <row r="986" spans="1:9" x14ac:dyDescent="0.2">
      <c r="A986" s="1"/>
      <c r="B986" s="1"/>
      <c r="C986" s="1"/>
      <c r="D986" t="str">
        <f>IFERROR(IF(C986="","",IF(B986="موظف",VLOOKUP(C986,الموظفين!$B:$C,2,FALSE),VLOOKUP(C986,المستفيدين!$B:$C,2,FALSE))),"")</f>
        <v/>
      </c>
      <c r="F986" s="1"/>
      <c r="G986" s="1"/>
      <c r="H986" s="1"/>
      <c r="I986" s="1"/>
    </row>
    <row r="987" spans="1:9" x14ac:dyDescent="0.2">
      <c r="A987" s="1"/>
      <c r="B987" s="1"/>
      <c r="C987" s="1"/>
      <c r="D987" t="str">
        <f>IFERROR(IF(C987="","",IF(B987="موظف",VLOOKUP(C987,الموظفين!$B:$C,2,FALSE),VLOOKUP(C987,المستفيدين!$B:$C,2,FALSE))),"")</f>
        <v/>
      </c>
      <c r="F987" s="1"/>
      <c r="G987" s="1"/>
      <c r="H987" s="1"/>
      <c r="I987" s="1"/>
    </row>
    <row r="988" spans="1:9" x14ac:dyDescent="0.2">
      <c r="A988" s="1"/>
      <c r="B988" s="1"/>
      <c r="C988" s="1"/>
      <c r="D988" t="str">
        <f>IFERROR(IF(C988="","",IF(B988="موظف",VLOOKUP(C988,الموظفين!$B:$C,2,FALSE),VLOOKUP(C988,المستفيدين!$B:$C,2,FALSE))),"")</f>
        <v/>
      </c>
      <c r="F988" s="1"/>
      <c r="G988" s="1"/>
      <c r="H988" s="1"/>
      <c r="I988" s="1"/>
    </row>
    <row r="989" spans="1:9" x14ac:dyDescent="0.2">
      <c r="A989" s="1"/>
      <c r="B989" s="1"/>
      <c r="C989" s="1"/>
      <c r="D989" t="str">
        <f>IFERROR(IF(C989="","",IF(B989="موظف",VLOOKUP(C989,الموظفين!$B:$C,2,FALSE),VLOOKUP(C989,المستفيدين!$B:$C,2,FALSE))),"")</f>
        <v/>
      </c>
      <c r="F989" s="1"/>
      <c r="G989" s="1"/>
      <c r="H989" s="1"/>
      <c r="I989" s="1"/>
    </row>
    <row r="990" spans="1:9" x14ac:dyDescent="0.2">
      <c r="A990" s="1"/>
      <c r="B990" s="1"/>
      <c r="C990" s="1"/>
      <c r="D990" t="str">
        <f>IFERROR(IF(C990="","",IF(B990="موظف",VLOOKUP(C990,الموظفين!$B:$C,2,FALSE),VLOOKUP(C990,المستفيدين!$B:$C,2,FALSE))),"")</f>
        <v/>
      </c>
      <c r="F990" s="1"/>
      <c r="G990" s="1"/>
      <c r="H990" s="1"/>
      <c r="I990" s="1"/>
    </row>
    <row r="991" spans="1:9" x14ac:dyDescent="0.2">
      <c r="A991" s="1"/>
      <c r="B991" s="1"/>
      <c r="C991" s="1"/>
      <c r="D991" t="str">
        <f>IFERROR(IF(C991="","",IF(B991="موظف",VLOOKUP(C991,الموظفين!$B:$C,2,FALSE),VLOOKUP(C991,المستفيدين!$B:$C,2,FALSE))),"")</f>
        <v/>
      </c>
      <c r="F991" s="1"/>
      <c r="G991" s="1"/>
      <c r="H991" s="1"/>
      <c r="I991" s="1"/>
    </row>
    <row r="992" spans="1:9" x14ac:dyDescent="0.2">
      <c r="A992" s="1"/>
      <c r="B992" s="1"/>
      <c r="C992" s="1"/>
      <c r="D992" t="str">
        <f>IFERROR(IF(C992="","",IF(B992="موظف",VLOOKUP(C992,الموظفين!$B:$C,2,FALSE),VLOOKUP(C992,المستفيدين!$B:$C,2,FALSE))),"")</f>
        <v/>
      </c>
      <c r="F992" s="1"/>
      <c r="G992" s="1"/>
      <c r="H992" s="1"/>
      <c r="I992" s="1"/>
    </row>
    <row r="993" spans="1:9" x14ac:dyDescent="0.2">
      <c r="A993" s="1"/>
      <c r="B993" s="1"/>
      <c r="C993" s="1"/>
      <c r="D993" t="str">
        <f>IFERROR(IF(C993="","",IF(B993="موظف",VLOOKUP(C993,الموظفين!$B:$C,2,FALSE),VLOOKUP(C993,المستفيدين!$B:$C,2,FALSE))),"")</f>
        <v/>
      </c>
      <c r="F993" s="1"/>
      <c r="G993" s="1"/>
      <c r="H993" s="1"/>
      <c r="I993" s="1"/>
    </row>
    <row r="994" spans="1:9" x14ac:dyDescent="0.2">
      <c r="A994" s="1"/>
      <c r="B994" s="1"/>
      <c r="C994" s="1"/>
      <c r="D994" t="str">
        <f>IFERROR(IF(C994="","",IF(B994="موظف",VLOOKUP(C994,الموظفين!$B:$C,2,FALSE),VLOOKUP(C994,المستفيدين!$B:$C,2,FALSE))),"")</f>
        <v/>
      </c>
      <c r="F994" s="1"/>
      <c r="G994" s="1"/>
      <c r="H994" s="1"/>
      <c r="I994" s="1"/>
    </row>
    <row r="995" spans="1:9" x14ac:dyDescent="0.2">
      <c r="A995" s="1"/>
      <c r="B995" s="1"/>
      <c r="C995" s="1"/>
      <c r="D995" t="str">
        <f>IFERROR(IF(C995="","",IF(B995="موظف",VLOOKUP(C995,الموظفين!$B:$C,2,FALSE),VLOOKUP(C995,المستفيدين!$B:$C,2,FALSE))),"")</f>
        <v/>
      </c>
      <c r="F995" s="1"/>
      <c r="G995" s="1"/>
      <c r="H995" s="1"/>
      <c r="I995" s="1"/>
    </row>
    <row r="996" spans="1:9" x14ac:dyDescent="0.2">
      <c r="A996" s="1"/>
      <c r="B996" s="1"/>
      <c r="C996" s="1"/>
      <c r="D996" t="str">
        <f>IFERROR(IF(C996="","",IF(B996="موظف",VLOOKUP(C996,الموظفين!$B:$C,2,FALSE),VLOOKUP(C996,المستفيدين!$B:$C,2,FALSE))),"")</f>
        <v/>
      </c>
      <c r="F996" s="1"/>
      <c r="G996" s="1"/>
      <c r="H996" s="1"/>
      <c r="I996" s="1"/>
    </row>
    <row r="997" spans="1:9" x14ac:dyDescent="0.2">
      <c r="A997" s="1"/>
      <c r="B997" s="1"/>
      <c r="C997" s="1"/>
      <c r="D997" t="str">
        <f>IFERROR(IF(C997="","",IF(B997="موظف",VLOOKUP(C997,الموظفين!$B:$C,2,FALSE),VLOOKUP(C997,المستفيدين!$B:$C,2,FALSE))),"")</f>
        <v/>
      </c>
      <c r="F997" s="1"/>
      <c r="G997" s="1"/>
      <c r="H997" s="1"/>
      <c r="I997" s="1"/>
    </row>
    <row r="998" spans="1:9" x14ac:dyDescent="0.2">
      <c r="A998" s="1"/>
      <c r="B998" s="1"/>
      <c r="C998" s="1"/>
      <c r="D998" t="str">
        <f>IFERROR(IF(C998="","",IF(B998="موظف",VLOOKUP(C998,الموظفين!$B:$C,2,FALSE),VLOOKUP(C998,المستفيدين!$B:$C,2,FALSE))),"")</f>
        <v/>
      </c>
      <c r="F998" s="1"/>
      <c r="G998" s="1"/>
      <c r="H998" s="1"/>
      <c r="I998" s="1"/>
    </row>
    <row r="999" spans="1:9" x14ac:dyDescent="0.2">
      <c r="A999" s="1"/>
      <c r="B999" s="1"/>
      <c r="C999" s="1"/>
      <c r="D999" t="str">
        <f>IFERROR(IF(C999="","",IF(B999="موظف",VLOOKUP(C999,الموظفين!$B:$C,2,FALSE),VLOOKUP(C999,المستفيدين!$B:$C,2,FALSE))),"")</f>
        <v/>
      </c>
      <c r="F999" s="1"/>
      <c r="G999" s="1"/>
      <c r="H999" s="1"/>
      <c r="I999" s="1"/>
    </row>
    <row r="1000" spans="1:9" x14ac:dyDescent="0.2">
      <c r="A1000" s="1"/>
      <c r="B1000" s="1"/>
      <c r="C1000" s="1"/>
      <c r="D1000" t="str">
        <f>IFERROR(IF(C1000="","",IF(B1000="موظف",VLOOKUP(C1000,الموظفين!$B:$C,2,FALSE),VLOOKUP(C1000,المستفيدين!$B:$C,2,FALSE))),"")</f>
        <v/>
      </c>
      <c r="F1000" s="1"/>
      <c r="G1000" s="1"/>
      <c r="H1000" s="1"/>
      <c r="I1000" s="1"/>
    </row>
    <row r="1001" spans="1:9" x14ac:dyDescent="0.2">
      <c r="A1001" s="1"/>
      <c r="B1001" s="1"/>
      <c r="C1001" s="1"/>
      <c r="D1001" t="str">
        <f>IFERROR(IF(C1001="","",IF(B1001="موظف",VLOOKUP(C1001,الموظفين!$B:$C,2,FALSE),VLOOKUP(C1001,المستفيدين!$B:$C,2,FALSE))),"")</f>
        <v/>
      </c>
      <c r="F1001" s="1"/>
      <c r="G1001" s="1"/>
      <c r="H1001" s="1"/>
      <c r="I1001" s="1"/>
    </row>
  </sheetData>
  <sheetProtection sort="0" autoFilter="0"/>
  <dataValidations disablePrompts="1" count="1">
    <dataValidation type="list" allowBlank="1" showInputMessage="1" showErrorMessage="1" sqref="B2:B1001" xr:uid="{00000000-0002-0000-0400-000000000000}">
      <formula1>"موظف,مستفيد"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errorStyle="warning" allowBlank="1" showInputMessage="1" showErrorMessage="1" errorTitle="قيمة غير صالحة" error="القيمة غير موجودة في القائمة المرجعية." xr:uid="{00000000-0002-0000-0400-000001000000}">
          <x14:formula1>
            <xm:f>'القوائم المرجعية'!$G$5:$G$7</xm:f>
          </x14:formula1>
          <xm:sqref>H1002:H1035</xm:sqref>
        </x14:dataValidation>
        <x14:dataValidation type="list" allowBlank="1" showInputMessage="1" showErrorMessage="1" xr:uid="{00000000-0002-0000-0400-000002000000}">
          <x14:formula1>
            <xm:f>'القوائم المرجعية'!$G$5:$G$7</xm:f>
          </x14:formula1>
          <xm:sqref>H2:H1001</xm:sqref>
        </x14:dataValidation>
        <x14:dataValidation type="list" allowBlank="1" showInputMessage="1" showErrorMessage="1" xr:uid="{00000000-0002-0000-0400-000003000000}">
          <x14:formula1>
            <xm:f>'القوائم المرجعية'!$Q$5:$Q$24</xm:f>
          </x14:formula1>
          <xm:sqref>G2:G1048576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1"/>
  <sheetViews>
    <sheetView rightToLeft="1" tabSelected="1" workbookViewId="0">
      <selection activeCell="E15" sqref="E15"/>
    </sheetView>
  </sheetViews>
  <sheetFormatPr defaultRowHeight="14.25" x14ac:dyDescent="0.2"/>
  <cols>
    <col min="1" max="1" width="3.5" style="27" bestFit="1" customWidth="1"/>
    <col min="2" max="2" width="12.5" style="27" bestFit="1" customWidth="1"/>
    <col min="3" max="3" width="21.875" style="27" bestFit="1" customWidth="1"/>
    <col min="4" max="4" width="13.625" style="27" customWidth="1"/>
    <col min="5" max="5" width="38.25" style="27" bestFit="1" customWidth="1"/>
    <col min="6" max="6" width="10.125" style="27" bestFit="1" customWidth="1"/>
    <col min="7" max="7" width="7.25" style="27" bestFit="1" customWidth="1"/>
    <col min="8" max="8" width="18.875" style="27" bestFit="1" customWidth="1"/>
    <col min="9" max="16384" width="9" style="27"/>
  </cols>
  <sheetData>
    <row r="1" spans="1:8" x14ac:dyDescent="0.2">
      <c r="A1" s="27" t="s">
        <v>356</v>
      </c>
      <c r="B1" s="27" t="s">
        <v>364</v>
      </c>
      <c r="C1" s="27" t="s">
        <v>367</v>
      </c>
      <c r="D1" s="27" t="s">
        <v>365</v>
      </c>
      <c r="E1" s="27" t="s">
        <v>568</v>
      </c>
      <c r="F1" s="27" t="s">
        <v>70</v>
      </c>
      <c r="G1" s="27" t="s">
        <v>59</v>
      </c>
      <c r="H1" s="27" t="s">
        <v>53</v>
      </c>
    </row>
    <row r="2" spans="1:8" x14ac:dyDescent="0.2">
      <c r="A2" s="29">
        <v>1</v>
      </c>
      <c r="B2" s="29" t="s">
        <v>353</v>
      </c>
      <c r="C2" s="29">
        <v>1688005726</v>
      </c>
      <c r="D2" s="28" t="str">
        <f>IFERROR(IF(C2="","",IF(B2="موظف",VLOOKUP(C2,الموظفين!$B:$C,2,FALSE),VLOOKUP(C2,المستفيدين!$B:$C,2,FALSE))),"")</f>
        <v>مستفيد16</v>
      </c>
      <c r="E2" s="28" t="str">
        <f>IFERROR(IF(C2="","",IF(B2="موظف",VLOOKUP(C2,الموظفين!$B:$H,7,FALSE),VLOOKUP(C2,المستفيدين!$B:$F,5,FALSE))),"")</f>
        <v>مركز إرادة وتمكين لرعاية ذوي الاحتياجات الخاصة (جلمودة)</v>
      </c>
      <c r="F2" s="31">
        <v>45831</v>
      </c>
      <c r="G2" s="29" t="s">
        <v>346</v>
      </c>
      <c r="H2" s="29" t="s">
        <v>542</v>
      </c>
    </row>
    <row r="3" spans="1:8" x14ac:dyDescent="0.2">
      <c r="A3" s="29">
        <v>2</v>
      </c>
      <c r="B3" s="29" t="s">
        <v>353</v>
      </c>
      <c r="C3" s="29">
        <v>1065397512</v>
      </c>
      <c r="D3" s="28" t="str">
        <f>IFERROR(IF(C3="","",IF(B3="موظف",VLOOKUP(C3,الموظفين!$B:$C,2,FALSE),VLOOKUP(C3,المستفيدين!$B:$C,2,FALSE))),"")</f>
        <v>مستفيد2</v>
      </c>
      <c r="E3" s="28" t="str">
        <f>IFERROR(IF(C3="","",IF(B3="موظف",VLOOKUP(C3,الموظفين!$B:$H,7,FALSE),VLOOKUP(C3,المستفيدين!$B:$F,5,FALSE))),"")</f>
        <v>مدرسة إرادة وتمكين لمتلازمة داون (نجد)</v>
      </c>
      <c r="F3" s="31">
        <v>45839</v>
      </c>
      <c r="G3" s="29" t="s">
        <v>344</v>
      </c>
      <c r="H3" s="29" t="s">
        <v>543</v>
      </c>
    </row>
    <row r="4" spans="1:8" x14ac:dyDescent="0.2">
      <c r="A4" s="29">
        <v>3</v>
      </c>
      <c r="B4" s="29" t="s">
        <v>353</v>
      </c>
      <c r="C4" s="29">
        <v>1284752099</v>
      </c>
      <c r="D4" s="28" t="str">
        <f>IFERROR(IF(C4="","",IF(B4="موظف",VLOOKUP(C4,الموظفين!$B:$C,2,FALSE),VLOOKUP(C4,المستفيدين!$B:$C,2,FALSE))),"")</f>
        <v>مستفيد19</v>
      </c>
      <c r="E4" s="28" t="str">
        <f>IFERROR(IF(C4="","",IF(B4="موظف",VLOOKUP(C4,الموظفين!$B:$H,7,FALSE),VLOOKUP(C4,المستفيدين!$B:$F,5,FALSE))),"")</f>
        <v>مركز إرادة وتمكين لمتلازمة داون (نجد)</v>
      </c>
      <c r="F4" s="31">
        <v>45918</v>
      </c>
      <c r="G4" s="29" t="s">
        <v>346</v>
      </c>
      <c r="H4" s="29"/>
    </row>
    <row r="5" spans="1:8" x14ac:dyDescent="0.2">
      <c r="A5" s="29">
        <v>4</v>
      </c>
      <c r="B5" s="29" t="s">
        <v>353</v>
      </c>
      <c r="C5" s="29">
        <v>1688005726</v>
      </c>
      <c r="D5" s="28" t="str">
        <f>IFERROR(IF(C5="","",IF(B5="موظف",VLOOKUP(C5,الموظفين!$B:$C,2,FALSE),VLOOKUP(C5,المستفيدين!$B:$C,2,FALSE))),"")</f>
        <v>مستفيد16</v>
      </c>
      <c r="E5" s="28" t="str">
        <f>IFERROR(IF(C5="","",IF(B5="موظف",VLOOKUP(C5,الموظفين!$B:$H,7,FALSE),VLOOKUP(C5,المستفيدين!$B:$F,5,FALSE))),"")</f>
        <v>مركز إرادة وتمكين لرعاية ذوي الاحتياجات الخاصة (جلمودة)</v>
      </c>
      <c r="F5" s="31">
        <v>45601</v>
      </c>
      <c r="G5" s="29" t="s">
        <v>46</v>
      </c>
      <c r="H5" s="29" t="s">
        <v>544</v>
      </c>
    </row>
    <row r="6" spans="1:8" x14ac:dyDescent="0.2">
      <c r="A6" s="29">
        <v>5</v>
      </c>
      <c r="B6" s="29" t="s">
        <v>353</v>
      </c>
      <c r="C6" s="29">
        <v>1025469854</v>
      </c>
      <c r="D6" s="28" t="str">
        <f>IFERROR(IF(C6="","",IF(B6="موظف",VLOOKUP(C6,الموظفين!$B:$C,2,FALSE),VLOOKUP(C6,المستفيدين!$B:$C,2,FALSE))),"")</f>
        <v>مستفيد1</v>
      </c>
      <c r="E6" s="28" t="str">
        <f>IFERROR(IF(C6="","",IF(B6="موظف",VLOOKUP(C6,الموظفين!$B:$H,7,FALSE),VLOOKUP(C6,المستفيدين!$B:$F,5,FALSE))),"")</f>
        <v>مركز إرادة وتمكين للرعاية النهارية (القدس)</v>
      </c>
      <c r="F6" s="31">
        <v>45823</v>
      </c>
      <c r="G6" s="29" t="s">
        <v>45</v>
      </c>
      <c r="H6" s="29" t="s">
        <v>542</v>
      </c>
    </row>
    <row r="7" spans="1:8" x14ac:dyDescent="0.2">
      <c r="A7" s="29">
        <v>6</v>
      </c>
      <c r="B7" s="29" t="s">
        <v>354</v>
      </c>
      <c r="C7" s="29" t="s">
        <v>198</v>
      </c>
      <c r="D7" s="28" t="str">
        <f>IFERROR(IF(C7="","",IF(B7="موظف",VLOOKUP(C7,الموظفين!$B:$C,2,FALSE),VLOOKUP(C7,المستفيدين!$B:$C,2,FALSE))),"")</f>
        <v>موظف28</v>
      </c>
      <c r="E7" s="28" t="str">
        <f>IFERROR(IF(C7="","",IF(B7="موظف",VLOOKUP(C7,الموظفين!$B:$H,7,FALSE),VLOOKUP(C7,المستفيدين!$B:$F,5,FALSE))),"")</f>
        <v>مركز إرادة وتمكين لرعاية ذوي الاحتياجات الخاصة (جلمودة)</v>
      </c>
      <c r="F7" s="31">
        <v>45415</v>
      </c>
      <c r="G7" s="29" t="s">
        <v>47</v>
      </c>
      <c r="H7" s="29"/>
    </row>
    <row r="8" spans="1:8" x14ac:dyDescent="0.2">
      <c r="A8" s="29">
        <v>7</v>
      </c>
      <c r="B8" s="29" t="s">
        <v>354</v>
      </c>
      <c r="C8" s="29" t="s">
        <v>188</v>
      </c>
      <c r="D8" s="28" t="str">
        <f>IFERROR(IF(C8="","",IF(B8="موظف",VLOOKUP(C8,الموظفين!$B:$C,2,FALSE),VLOOKUP(C8,المستفيدين!$B:$C,2,FALSE))),"")</f>
        <v>موظف23</v>
      </c>
      <c r="E8" s="28" t="str">
        <f>IFERROR(IF(C8="","",IF(B8="موظف",VLOOKUP(C8,الموظفين!$B:$H,7,FALSE),VLOOKUP(C8,المستفيدين!$B:$F,5,FALSE))),"")</f>
        <v>مدرسة إرادة للتعليم (مكة)</v>
      </c>
      <c r="F8" s="31">
        <v>45313</v>
      </c>
      <c r="G8" s="29" t="s">
        <v>345</v>
      </c>
      <c r="H8" s="29"/>
    </row>
    <row r="9" spans="1:8" x14ac:dyDescent="0.2">
      <c r="A9" s="29">
        <v>8</v>
      </c>
      <c r="B9" s="29" t="s">
        <v>353</v>
      </c>
      <c r="C9" s="29">
        <v>1215214714</v>
      </c>
      <c r="D9" s="28" t="str">
        <f>IFERROR(IF(C9="","",IF(B9="موظف",VLOOKUP(C9,الموظفين!$B:$C,2,FALSE),VLOOKUP(C9,المستفيدين!$B:$C,2,FALSE))),"")</f>
        <v>مستفيد18</v>
      </c>
      <c r="E9" s="28" t="str">
        <f>IFERROR(IF(C9="","",IF(B9="موظف",VLOOKUP(C9,الموظفين!$B:$H,7,FALSE),VLOOKUP(C9,المستفيدين!$B:$F,5,FALSE))),"")</f>
        <v>مركز إرادة وتمكين لرعاية ذوي الاحتياجات الخاصة (جلمودة)</v>
      </c>
      <c r="F9" s="31">
        <v>45749</v>
      </c>
      <c r="G9" s="29" t="s">
        <v>47</v>
      </c>
      <c r="H9" s="29"/>
    </row>
    <row r="10" spans="1:8" x14ac:dyDescent="0.2">
      <c r="A10" s="29">
        <v>9</v>
      </c>
      <c r="B10" s="29" t="s">
        <v>353</v>
      </c>
      <c r="C10" s="29">
        <v>1617014847</v>
      </c>
      <c r="D10" s="28" t="str">
        <f>IFERROR(IF(C10="","",IF(B10="موظف",VLOOKUP(C10,الموظفين!$B:$C,2,FALSE),VLOOKUP(C10,المستفيدين!$B:$C,2,FALSE))),"")</f>
        <v>مستفيد15</v>
      </c>
      <c r="E10" s="28" t="str">
        <f>IFERROR(IF(C10="","",IF(B10="موظف",VLOOKUP(C10,الموظفين!$B:$H,7,FALSE),VLOOKUP(C10,المستفيدين!$B:$F,5,FALSE))),"")</f>
        <v>مدرسة إرادة للتعليم (مكة)</v>
      </c>
      <c r="F10" s="31">
        <v>45555</v>
      </c>
      <c r="G10" s="29" t="s">
        <v>346</v>
      </c>
      <c r="H10" s="29"/>
    </row>
    <row r="11" spans="1:8" x14ac:dyDescent="0.2">
      <c r="A11" s="29">
        <v>10</v>
      </c>
      <c r="B11" s="29" t="s">
        <v>353</v>
      </c>
      <c r="C11" s="29">
        <v>1777789161</v>
      </c>
      <c r="D11" s="28" t="str">
        <f>IFERROR(IF(C11="","",IF(B11="موظف",VLOOKUP(C11,الموظفين!$B:$C,2,FALSE),VLOOKUP(C11,المستفيدين!$B:$C,2,FALSE))),"")</f>
        <v>مستفيد12</v>
      </c>
      <c r="E11" s="28" t="str">
        <f>IFERROR(IF(C11="","",IF(B11="موظف",VLOOKUP(C11,الموظفين!$B:$H,7,FALSE),VLOOKUP(C11,المستفيدين!$B:$F,5,FALSE))),"")</f>
        <v>مدرسة إرادة للتعليم (مكة)</v>
      </c>
      <c r="F11" s="31">
        <v>45667</v>
      </c>
      <c r="G11" s="29" t="s">
        <v>47</v>
      </c>
      <c r="H11" s="29" t="s">
        <v>545</v>
      </c>
    </row>
    <row r="12" spans="1:8" x14ac:dyDescent="0.2">
      <c r="A12" s="29">
        <v>11</v>
      </c>
      <c r="B12" s="29" t="s">
        <v>353</v>
      </c>
      <c r="C12" s="29">
        <v>1617014847</v>
      </c>
      <c r="D12" s="28" t="str">
        <f>IFERROR(IF(C12="","",IF(B12="موظف",VLOOKUP(C12,الموظفين!$B:$C,2,FALSE),VLOOKUP(C12,المستفيدين!$B:$C,2,FALSE))),"")</f>
        <v>مستفيد15</v>
      </c>
      <c r="E12" s="28" t="str">
        <f>IFERROR(IF(C12="","",IF(B12="موظف",VLOOKUP(C12,الموظفين!$B:$H,7,FALSE),VLOOKUP(C12,المستفيدين!$B:$F,5,FALSE))),"")</f>
        <v>مدرسة إرادة للتعليم (مكة)</v>
      </c>
      <c r="F12" s="31">
        <v>45616</v>
      </c>
      <c r="G12" s="29" t="s">
        <v>346</v>
      </c>
      <c r="H12" s="29" t="s">
        <v>543</v>
      </c>
    </row>
    <row r="13" spans="1:8" x14ac:dyDescent="0.2">
      <c r="A13" s="29">
        <v>12</v>
      </c>
      <c r="B13" s="29" t="s">
        <v>353</v>
      </c>
      <c r="C13" s="29">
        <v>1231607400</v>
      </c>
      <c r="D13" s="28" t="str">
        <f>IFERROR(IF(C13="","",IF(B13="موظف",VLOOKUP(C13,الموظفين!$B:$C,2,FALSE),VLOOKUP(C13,المستفيدين!$B:$C,2,FALSE))),"")</f>
        <v>مستفيد11</v>
      </c>
      <c r="E13" s="28" t="str">
        <f>IFERROR(IF(C13="","",IF(B13="موظف",VLOOKUP(C13,الموظفين!$B:$H,7,FALSE),VLOOKUP(C13,المستفيدين!$B:$F,5,FALSE))),"")</f>
        <v>مركز إرادة وتمكين لمتلازمة داون (نجد)</v>
      </c>
      <c r="F13" s="31">
        <v>45637</v>
      </c>
      <c r="G13" s="29" t="s">
        <v>46</v>
      </c>
      <c r="H13" s="29"/>
    </row>
    <row r="14" spans="1:8" x14ac:dyDescent="0.2">
      <c r="A14" s="29">
        <v>13</v>
      </c>
      <c r="B14" s="29" t="s">
        <v>353</v>
      </c>
      <c r="C14" s="29">
        <v>1911743491</v>
      </c>
      <c r="D14" s="28" t="str">
        <f>IFERROR(IF(C14="","",IF(B14="موظف",VLOOKUP(C14,الموظفين!$B:$C,2,FALSE),VLOOKUP(C14,المستفيدين!$B:$C,2,FALSE))),"")</f>
        <v>مستفيد8</v>
      </c>
      <c r="E14" s="28" t="str">
        <f>IFERROR(IF(C14="","",IF(B14="موظف",VLOOKUP(C14,الموظفين!$B:$H,7,FALSE),VLOOKUP(C14,المستفيدين!$B:$F,5,FALSE))),"")</f>
        <v>مركز إرادة وتمكين لمتلازمة داون (نجد)</v>
      </c>
      <c r="F14" s="31">
        <v>45962</v>
      </c>
      <c r="G14" s="29" t="s">
        <v>47</v>
      </c>
      <c r="H14" s="29" t="s">
        <v>543</v>
      </c>
    </row>
    <row r="15" spans="1:8" x14ac:dyDescent="0.2">
      <c r="A15" s="29">
        <v>14</v>
      </c>
      <c r="B15" s="29" t="s">
        <v>354</v>
      </c>
      <c r="C15" s="29" t="s">
        <v>174</v>
      </c>
      <c r="D15" s="28" t="str">
        <f>IFERROR(IF(C15="","",IF(B15="موظف",VLOOKUP(C15,الموظفين!$B:$C,2,FALSE),VLOOKUP(C15,المستفيدين!$B:$C,2,FALSE))),"")</f>
        <v>موظف16</v>
      </c>
      <c r="E15" s="28" t="str">
        <f>IFERROR(IF(C15="","",IF(B15="موظف",VLOOKUP(C15,الموظفين!$B:$H,7,FALSE),VLOOKUP(C15,المستفيدين!$B:$F,5,FALSE))),"")</f>
        <v>مدرسة إرادة للتعليم (مكة)</v>
      </c>
      <c r="F15" s="31">
        <v>45425</v>
      </c>
      <c r="G15" s="29" t="s">
        <v>47</v>
      </c>
      <c r="H15" s="29" t="s">
        <v>544</v>
      </c>
    </row>
    <row r="16" spans="1:8" x14ac:dyDescent="0.2">
      <c r="A16" s="29">
        <v>15</v>
      </c>
      <c r="B16" s="29" t="s">
        <v>353</v>
      </c>
      <c r="C16" s="29">
        <v>1889143921</v>
      </c>
      <c r="D16" s="28" t="str">
        <f>IFERROR(IF(C16="","",IF(B16="موظف",VLOOKUP(C16,الموظفين!$B:$C,2,FALSE),VLOOKUP(C16,المستفيدين!$B:$C,2,FALSE))),"")</f>
        <v>مستفيد6</v>
      </c>
      <c r="E16" s="28" t="str">
        <f>IFERROR(IF(C16="","",IF(B16="موظف",VLOOKUP(C16,الموظفين!$B:$H,7,FALSE),VLOOKUP(C16,المستفيدين!$B:$F,5,FALSE))),"")</f>
        <v>مركز إرادة وتمكين لرعاية ذوي الاحتياجات الخاصة (جلمودة)</v>
      </c>
      <c r="F16" s="31">
        <v>45660</v>
      </c>
      <c r="G16" s="29" t="s">
        <v>45</v>
      </c>
      <c r="H16" s="29" t="s">
        <v>545</v>
      </c>
    </row>
    <row r="17" spans="1:8" x14ac:dyDescent="0.2">
      <c r="A17" s="29">
        <v>16</v>
      </c>
      <c r="B17" s="29" t="s">
        <v>353</v>
      </c>
      <c r="C17" s="29">
        <v>1065397512</v>
      </c>
      <c r="D17" s="28" t="str">
        <f>IFERROR(IF(C17="","",IF(B17="موظف",VLOOKUP(C17,الموظفين!$B:$C,2,FALSE),VLOOKUP(C17,المستفيدين!$B:$C,2,FALSE))),"")</f>
        <v>مستفيد2</v>
      </c>
      <c r="E17" s="28" t="str">
        <f>IFERROR(IF(C17="","",IF(B17="موظف",VLOOKUP(C17,الموظفين!$B:$H,7,FALSE),VLOOKUP(C17,المستفيدين!$B:$F,5,FALSE))),"")</f>
        <v>مدرسة إرادة وتمكين لمتلازمة داون (نجد)</v>
      </c>
      <c r="F17" s="31">
        <v>45499</v>
      </c>
      <c r="G17" s="29" t="s">
        <v>46</v>
      </c>
      <c r="H17" s="29" t="s">
        <v>545</v>
      </c>
    </row>
    <row r="18" spans="1:8" x14ac:dyDescent="0.2">
      <c r="A18" s="29">
        <v>17</v>
      </c>
      <c r="B18" s="29" t="s">
        <v>354</v>
      </c>
      <c r="C18" s="29" t="s">
        <v>152</v>
      </c>
      <c r="D18" s="28" t="str">
        <f>IFERROR(IF(C18="","",IF(B18="موظف",VLOOKUP(C18,الموظفين!$B:$C,2,FALSE),VLOOKUP(C18,المستفيدين!$B:$C,2,FALSE))),"")</f>
        <v>موظف5</v>
      </c>
      <c r="E18" s="28" t="str">
        <f>IFERROR(IF(C18="","",IF(B18="موظف",VLOOKUP(C18,الموظفين!$B:$H,7,FALSE),VLOOKUP(C18,المستفيدين!$B:$F,5,FALSE))),"")</f>
        <v>مركز إرادة وتمكين للرعاية النهارية (القدس)</v>
      </c>
      <c r="F18" s="31">
        <v>45876</v>
      </c>
      <c r="G18" s="29" t="s">
        <v>345</v>
      </c>
      <c r="H18" s="29" t="s">
        <v>546</v>
      </c>
    </row>
    <row r="19" spans="1:8" x14ac:dyDescent="0.2">
      <c r="A19" s="29">
        <v>18</v>
      </c>
      <c r="B19" s="29" t="s">
        <v>353</v>
      </c>
      <c r="C19" s="29">
        <v>1215214714</v>
      </c>
      <c r="D19" s="28" t="str">
        <f>IFERROR(IF(C19="","",IF(B19="موظف",VLOOKUP(C19,الموظفين!$B:$C,2,FALSE),VLOOKUP(C19,المستفيدين!$B:$C,2,FALSE))),"")</f>
        <v>مستفيد18</v>
      </c>
      <c r="E19" s="28" t="str">
        <f>IFERROR(IF(C19="","",IF(B19="موظف",VLOOKUP(C19,الموظفين!$B:$H,7,FALSE),VLOOKUP(C19,المستفيدين!$B:$F,5,FALSE))),"")</f>
        <v>مركز إرادة وتمكين لرعاية ذوي الاحتياجات الخاصة (جلمودة)</v>
      </c>
      <c r="F19" s="31">
        <v>45625</v>
      </c>
      <c r="G19" s="29" t="s">
        <v>45</v>
      </c>
      <c r="H19" s="29" t="s">
        <v>546</v>
      </c>
    </row>
    <row r="20" spans="1:8" x14ac:dyDescent="0.2">
      <c r="A20" s="29">
        <v>19</v>
      </c>
      <c r="B20" s="29" t="s">
        <v>354</v>
      </c>
      <c r="C20" s="29" t="s">
        <v>182</v>
      </c>
      <c r="D20" s="28" t="str">
        <f>IFERROR(IF(C20="","",IF(B20="موظف",VLOOKUP(C20,الموظفين!$B:$C,2,FALSE),VLOOKUP(C20,المستفيدين!$B:$C,2,FALSE))),"")</f>
        <v>موظف20</v>
      </c>
      <c r="E20" s="28" t="str">
        <f>IFERROR(IF(C20="","",IF(B20="موظف",VLOOKUP(C20,الموظفين!$B:$H,7,FALSE),VLOOKUP(C20,المستفيدين!$B:$F,5,FALSE))),"")</f>
        <v>مركز إرادة وتمكين لمتلازمة داون (نجد)</v>
      </c>
      <c r="F20" s="31">
        <v>45678</v>
      </c>
      <c r="G20" s="29" t="s">
        <v>46</v>
      </c>
      <c r="H20" s="29"/>
    </row>
    <row r="21" spans="1:8" x14ac:dyDescent="0.2">
      <c r="A21" s="29">
        <v>20</v>
      </c>
      <c r="B21" s="29" t="s">
        <v>353</v>
      </c>
      <c r="C21" s="29">
        <v>1839924869</v>
      </c>
      <c r="D21" s="28" t="str">
        <f>IFERROR(IF(C21="","",IF(B21="موظف",VLOOKUP(C21,الموظفين!$B:$C,2,FALSE),VLOOKUP(C21,المستفيدين!$B:$C,2,FALSE))),"")</f>
        <v>مستفيد14</v>
      </c>
      <c r="E21" s="28" t="str">
        <f>IFERROR(IF(C21="","",IF(B21="موظف",VLOOKUP(C21,الموظفين!$B:$H,7,FALSE),VLOOKUP(C21,المستفيدين!$B:$F,5,FALSE))),"")</f>
        <v>مدرسة إرادة وتمكين لمتلازمة داون (نجد)</v>
      </c>
      <c r="F21" s="31">
        <v>45569</v>
      </c>
      <c r="G21" s="29" t="s">
        <v>45</v>
      </c>
      <c r="H21" s="29" t="s">
        <v>546</v>
      </c>
    </row>
    <row r="22" spans="1:8" x14ac:dyDescent="0.2">
      <c r="A22" s="29">
        <v>21</v>
      </c>
      <c r="B22" s="29" t="s">
        <v>353</v>
      </c>
      <c r="C22" s="29">
        <v>1347584820</v>
      </c>
      <c r="D22" s="28" t="str">
        <f>IFERROR(IF(C22="","",IF(B22="موظف",VLOOKUP(C22,الموظفين!$B:$C,2,FALSE),VLOOKUP(C22,المستفيدين!$B:$C,2,FALSE))),"")</f>
        <v>مستفيد9</v>
      </c>
      <c r="E22" s="28" t="str">
        <f>IFERROR(IF(C22="","",IF(B22="موظف",VLOOKUP(C22,الموظفين!$B:$H,7,FALSE),VLOOKUP(C22,المستفيدين!$B:$F,5,FALSE))),"")</f>
        <v>مركز إرادة وتمكين للرعاية النهارية (القدس)</v>
      </c>
      <c r="F22" s="31">
        <v>45531</v>
      </c>
      <c r="G22" s="29" t="s">
        <v>344</v>
      </c>
      <c r="H22" s="29"/>
    </row>
    <row r="23" spans="1:8" x14ac:dyDescent="0.2">
      <c r="A23" s="29">
        <v>22</v>
      </c>
      <c r="B23" s="29" t="s">
        <v>353</v>
      </c>
      <c r="C23" s="29">
        <v>1096348523</v>
      </c>
      <c r="D23" s="28" t="str">
        <f>IFERROR(IF(C23="","",IF(B23="موظف",VLOOKUP(C23,الموظفين!$B:$C,2,FALSE),VLOOKUP(C23,المستفيدين!$B:$C,2,FALSE))),"")</f>
        <v>مستفيد4</v>
      </c>
      <c r="E23" s="28" t="str">
        <f>IFERROR(IF(C23="","",IF(B23="موظف",VLOOKUP(C23,الموظفين!$B:$H,7,FALSE),VLOOKUP(C23,المستفيدين!$B:$F,5,FALSE))),"")</f>
        <v>مدرسة إرادة للتعليم (مكة)</v>
      </c>
      <c r="F23" s="31">
        <v>45798</v>
      </c>
      <c r="G23" s="29" t="s">
        <v>344</v>
      </c>
      <c r="H23" s="29" t="s">
        <v>544</v>
      </c>
    </row>
    <row r="24" spans="1:8" x14ac:dyDescent="0.2">
      <c r="A24" s="29">
        <v>23</v>
      </c>
      <c r="B24" s="29" t="s">
        <v>354</v>
      </c>
      <c r="C24" s="29" t="s">
        <v>156</v>
      </c>
      <c r="D24" s="28" t="str">
        <f>IFERROR(IF(C24="","",IF(B24="موظف",VLOOKUP(C24,الموظفين!$B:$C,2,FALSE),VLOOKUP(C24,المستفيدين!$B:$C,2,FALSE))),"")</f>
        <v>موظف7</v>
      </c>
      <c r="E24" s="28" t="str">
        <f>IFERROR(IF(C24="","",IF(B24="موظف",VLOOKUP(C24,الموظفين!$B:$H,7,FALSE),VLOOKUP(C24,المستفيدين!$B:$F,5,FALSE))),"")</f>
        <v>مدرسة إرادة للتعليم (مكة)</v>
      </c>
      <c r="F24" s="31">
        <v>45903</v>
      </c>
      <c r="G24" s="29" t="s">
        <v>46</v>
      </c>
      <c r="H24" s="29" t="s">
        <v>544</v>
      </c>
    </row>
    <row r="25" spans="1:8" x14ac:dyDescent="0.2">
      <c r="A25" s="29">
        <v>24</v>
      </c>
      <c r="B25" s="29" t="s">
        <v>353</v>
      </c>
      <c r="C25" s="29">
        <v>1215214714</v>
      </c>
      <c r="D25" s="28" t="str">
        <f>IFERROR(IF(C25="","",IF(B25="موظف",VLOOKUP(C25,الموظفين!$B:$C,2,FALSE),VLOOKUP(C25,المستفيدين!$B:$C,2,FALSE))),"")</f>
        <v>مستفيد18</v>
      </c>
      <c r="E25" s="28" t="str">
        <f>IFERROR(IF(C25="","",IF(B25="موظف",VLOOKUP(C25,الموظفين!$B:$H,7,FALSE),VLOOKUP(C25,المستفيدين!$B:$F,5,FALSE))),"")</f>
        <v>مركز إرادة وتمكين لرعاية ذوي الاحتياجات الخاصة (جلمودة)</v>
      </c>
      <c r="F25" s="31">
        <v>45379</v>
      </c>
      <c r="G25" s="29" t="s">
        <v>344</v>
      </c>
      <c r="H25" s="29" t="s">
        <v>542</v>
      </c>
    </row>
    <row r="26" spans="1:8" x14ac:dyDescent="0.2">
      <c r="A26" s="29">
        <v>25</v>
      </c>
      <c r="B26" s="29" t="s">
        <v>353</v>
      </c>
      <c r="C26" s="29">
        <v>1777789161</v>
      </c>
      <c r="D26" s="28" t="str">
        <f>IFERROR(IF(C26="","",IF(B26="موظف",VLOOKUP(C26,الموظفين!$B:$C,2,FALSE),VLOOKUP(C26,المستفيدين!$B:$C,2,FALSE))),"")</f>
        <v>مستفيد12</v>
      </c>
      <c r="E26" s="28" t="str">
        <f>IFERROR(IF(C26="","",IF(B26="موظف",VLOOKUP(C26,الموظفين!$B:$H,7,FALSE),VLOOKUP(C26,المستفيدين!$B:$F,5,FALSE))),"")</f>
        <v>مدرسة إرادة للتعليم (مكة)</v>
      </c>
      <c r="F26" s="31">
        <v>45860</v>
      </c>
      <c r="G26" s="29" t="s">
        <v>47</v>
      </c>
      <c r="H26" s="29" t="s">
        <v>546</v>
      </c>
    </row>
    <row r="27" spans="1:8" x14ac:dyDescent="0.2">
      <c r="A27" s="29">
        <v>26</v>
      </c>
      <c r="B27" s="29" t="s">
        <v>353</v>
      </c>
      <c r="C27" s="29">
        <v>1777789161</v>
      </c>
      <c r="D27" s="28" t="str">
        <f>IFERROR(IF(C27="","",IF(B27="موظف",VLOOKUP(C27,الموظفين!$B:$C,2,FALSE),VLOOKUP(C27,المستفيدين!$B:$C,2,FALSE))),"")</f>
        <v>مستفيد12</v>
      </c>
      <c r="E27" s="28" t="str">
        <f>IFERROR(IF(C27="","",IF(B27="موظف",VLOOKUP(C27,الموظفين!$B:$H,7,FALSE),VLOOKUP(C27,المستفيدين!$B:$F,5,FALSE))),"")</f>
        <v>مدرسة إرادة للتعليم (مكة)</v>
      </c>
      <c r="F27" s="31">
        <v>45478</v>
      </c>
      <c r="G27" s="29" t="s">
        <v>46</v>
      </c>
      <c r="H27" s="29" t="s">
        <v>543</v>
      </c>
    </row>
    <row r="28" spans="1:8" x14ac:dyDescent="0.2">
      <c r="A28" s="29">
        <v>27</v>
      </c>
      <c r="B28" s="29" t="s">
        <v>353</v>
      </c>
      <c r="C28" s="29">
        <v>1889143921</v>
      </c>
      <c r="D28" s="28" t="str">
        <f>IFERROR(IF(C28="","",IF(B28="موظف",VLOOKUP(C28,الموظفين!$B:$C,2,FALSE),VLOOKUP(C28,المستفيدين!$B:$C,2,FALSE))),"")</f>
        <v>مستفيد6</v>
      </c>
      <c r="E28" s="28" t="str">
        <f>IFERROR(IF(C28="","",IF(B28="موظف",VLOOKUP(C28,الموظفين!$B:$H,7,FALSE),VLOOKUP(C28,المستفيدين!$B:$F,5,FALSE))),"")</f>
        <v>مركز إرادة وتمكين لرعاية ذوي الاحتياجات الخاصة (جلمودة)</v>
      </c>
      <c r="F28" s="31">
        <v>45869</v>
      </c>
      <c r="G28" s="29" t="s">
        <v>45</v>
      </c>
      <c r="H28" s="29"/>
    </row>
    <row r="29" spans="1:8" x14ac:dyDescent="0.2">
      <c r="A29" s="29">
        <v>28</v>
      </c>
      <c r="B29" s="29" t="s">
        <v>353</v>
      </c>
      <c r="C29" s="29">
        <v>1284752099</v>
      </c>
      <c r="D29" s="28" t="str">
        <f>IFERROR(IF(C29="","",IF(B29="موظف",VLOOKUP(C29,الموظفين!$B:$C,2,FALSE),VLOOKUP(C29,المستفيدين!$B:$C,2,FALSE))),"")</f>
        <v>مستفيد19</v>
      </c>
      <c r="E29" s="28" t="str">
        <f>IFERROR(IF(C29="","",IF(B29="موظف",VLOOKUP(C29,الموظفين!$B:$H,7,FALSE),VLOOKUP(C29,المستفيدين!$B:$F,5,FALSE))),"")</f>
        <v>مركز إرادة وتمكين لمتلازمة داون (نجد)</v>
      </c>
      <c r="F29" s="31">
        <v>45864</v>
      </c>
      <c r="G29" s="29" t="s">
        <v>344</v>
      </c>
      <c r="H29" s="29" t="s">
        <v>542</v>
      </c>
    </row>
    <row r="30" spans="1:8" x14ac:dyDescent="0.2">
      <c r="A30" s="29">
        <v>29</v>
      </c>
      <c r="B30" s="29" t="s">
        <v>354</v>
      </c>
      <c r="C30" s="29" t="s">
        <v>200</v>
      </c>
      <c r="D30" s="28" t="str">
        <f>IFERROR(IF(C30="","",IF(B30="موظف",VLOOKUP(C30,الموظفين!$B:$C,2,FALSE),VLOOKUP(C30,المستفيدين!$B:$C,2,FALSE))),"")</f>
        <v>موظف29</v>
      </c>
      <c r="E30" s="28" t="str">
        <f>IFERROR(IF(C30="","",IF(B30="موظف",VLOOKUP(C30,الموظفين!$B:$H,7,FALSE),VLOOKUP(C30,المستفيدين!$B:$F,5,FALSE))),"")</f>
        <v>مركز إرادة وتمكين لرعاية ذوي الاحتياجات الخاصة (جلمودة)</v>
      </c>
      <c r="F30" s="31">
        <v>45696</v>
      </c>
      <c r="G30" s="29" t="s">
        <v>345</v>
      </c>
      <c r="H30" s="29"/>
    </row>
    <row r="31" spans="1:8" x14ac:dyDescent="0.2">
      <c r="A31" s="29">
        <v>30</v>
      </c>
      <c r="B31" s="29" t="s">
        <v>354</v>
      </c>
      <c r="C31" s="29" t="s">
        <v>178</v>
      </c>
      <c r="D31" s="28" t="str">
        <f>IFERROR(IF(C31="","",IF(B31="موظف",VLOOKUP(C31,الموظفين!$B:$C,2,FALSE),VLOOKUP(C31,المستفيدين!$B:$C,2,FALSE))),"")</f>
        <v>موظف18</v>
      </c>
      <c r="E31" s="28" t="str">
        <f>IFERROR(IF(C31="","",IF(B31="موظف",VLOOKUP(C31,الموظفين!$B:$H,7,FALSE),VLOOKUP(C31,المستفيدين!$B:$F,5,FALSE))),"")</f>
        <v>مركز إرادة وتمكين للرعاية النهارية (القدس)</v>
      </c>
      <c r="F31" s="31">
        <v>45600</v>
      </c>
      <c r="G31" s="29" t="s">
        <v>345</v>
      </c>
      <c r="H31" s="29" t="s">
        <v>546</v>
      </c>
    </row>
    <row r="32" spans="1:8" x14ac:dyDescent="0.2">
      <c r="A32" s="29">
        <v>31</v>
      </c>
      <c r="B32" s="29" t="s">
        <v>353</v>
      </c>
      <c r="C32" s="29">
        <v>1124422216</v>
      </c>
      <c r="D32" s="28" t="str">
        <f>IFERROR(IF(C32="","",IF(B32="موظف",VLOOKUP(C32,الموظفين!$B:$C,2,FALSE),VLOOKUP(C32,المستفيدين!$B:$C,2,FALSE))),"")</f>
        <v>مستفيد5</v>
      </c>
      <c r="E32" s="28" t="str">
        <f>IFERROR(IF(C32="","",IF(B32="موظف",VLOOKUP(C32,الموظفين!$B:$H,7,FALSE),VLOOKUP(C32,المستفيدين!$B:$F,5,FALSE))),"")</f>
        <v>مركز إرادة وتمكين لمتلازمة داون (نجد)</v>
      </c>
      <c r="F32" s="31">
        <v>45809</v>
      </c>
      <c r="G32" s="29" t="s">
        <v>47</v>
      </c>
      <c r="H32" s="29" t="s">
        <v>542</v>
      </c>
    </row>
    <row r="33" spans="1:8" x14ac:dyDescent="0.2">
      <c r="A33" s="29">
        <v>32</v>
      </c>
      <c r="B33" s="29" t="s">
        <v>353</v>
      </c>
      <c r="C33" s="29">
        <v>1096348523</v>
      </c>
      <c r="D33" s="28" t="str">
        <f>IFERROR(IF(C33="","",IF(B33="موظف",VLOOKUP(C33,الموظفين!$B:$C,2,FALSE),VLOOKUP(C33,المستفيدين!$B:$C,2,FALSE))),"")</f>
        <v>مستفيد4</v>
      </c>
      <c r="E33" s="28" t="str">
        <f>IFERROR(IF(C33="","",IF(B33="موظف",VLOOKUP(C33,الموظفين!$B:$H,7,FALSE),VLOOKUP(C33,المستفيدين!$B:$F,5,FALSE))),"")</f>
        <v>مدرسة إرادة للتعليم (مكة)</v>
      </c>
      <c r="F33" s="31">
        <v>45856</v>
      </c>
      <c r="G33" s="29" t="s">
        <v>47</v>
      </c>
      <c r="H33" s="29" t="s">
        <v>542</v>
      </c>
    </row>
    <row r="34" spans="1:8" x14ac:dyDescent="0.2">
      <c r="A34" s="29">
        <v>33</v>
      </c>
      <c r="B34" s="29" t="s">
        <v>353</v>
      </c>
      <c r="C34" s="29">
        <v>1617014847</v>
      </c>
      <c r="D34" s="28" t="str">
        <f>IFERROR(IF(C34="","",IF(B34="موظف",VLOOKUP(C34,الموظفين!$B:$C,2,FALSE),VLOOKUP(C34,المستفيدين!$B:$C,2,FALSE))),"")</f>
        <v>مستفيد15</v>
      </c>
      <c r="E34" s="28" t="str">
        <f>IFERROR(IF(C34="","",IF(B34="موظف",VLOOKUP(C34,الموظفين!$B:$H,7,FALSE),VLOOKUP(C34,المستفيدين!$B:$F,5,FALSE))),"")</f>
        <v>مدرسة إرادة للتعليم (مكة)</v>
      </c>
      <c r="F34" s="31">
        <v>45974</v>
      </c>
      <c r="G34" s="29" t="s">
        <v>46</v>
      </c>
      <c r="H34" s="29"/>
    </row>
    <row r="35" spans="1:8" x14ac:dyDescent="0.2">
      <c r="A35" s="29">
        <v>34</v>
      </c>
      <c r="B35" s="29" t="s">
        <v>353</v>
      </c>
      <c r="C35" s="29">
        <v>1911743491</v>
      </c>
      <c r="D35" s="28" t="str">
        <f>IFERROR(IF(C35="","",IF(B35="موظف",VLOOKUP(C35,الموظفين!$B:$C,2,FALSE),VLOOKUP(C35,المستفيدين!$B:$C,2,FALSE))),"")</f>
        <v>مستفيد8</v>
      </c>
      <c r="E35" s="28" t="str">
        <f>IFERROR(IF(C35="","",IF(B35="موظف",VLOOKUP(C35,الموظفين!$B:$H,7,FALSE),VLOOKUP(C35,المستفيدين!$B:$F,5,FALSE))),"")</f>
        <v>مركز إرادة وتمكين لمتلازمة داون (نجد)</v>
      </c>
      <c r="F35" s="31">
        <v>45696</v>
      </c>
      <c r="G35" s="29" t="s">
        <v>344</v>
      </c>
      <c r="H35" s="29" t="s">
        <v>542</v>
      </c>
    </row>
    <row r="36" spans="1:8" x14ac:dyDescent="0.2">
      <c r="A36" s="29">
        <v>35</v>
      </c>
      <c r="B36" s="29" t="s">
        <v>353</v>
      </c>
      <c r="C36" s="29">
        <v>1854312995</v>
      </c>
      <c r="D36" s="28" t="str">
        <f>IFERROR(IF(C36="","",IF(B36="موظف",VLOOKUP(C36,الموظفين!$B:$C,2,FALSE),VLOOKUP(C36,المستفيدين!$B:$C,2,FALSE))),"")</f>
        <v>مستفيد7</v>
      </c>
      <c r="E36" s="28" t="str">
        <f>IFERROR(IF(C36="","",IF(B36="موظف",VLOOKUP(C36,الموظفين!$B:$H,7,FALSE),VLOOKUP(C36,المستفيدين!$B:$F,5,FALSE))),"")</f>
        <v>مدرسة إرادة وتمكين لمتلازمة داون (نجد)</v>
      </c>
      <c r="F36" s="31">
        <v>45957</v>
      </c>
      <c r="G36" s="29" t="s">
        <v>47</v>
      </c>
      <c r="H36" s="29" t="s">
        <v>543</v>
      </c>
    </row>
    <row r="37" spans="1:8" x14ac:dyDescent="0.2">
      <c r="A37" s="29">
        <v>36</v>
      </c>
      <c r="B37" s="29" t="s">
        <v>354</v>
      </c>
      <c r="C37" s="29" t="s">
        <v>198</v>
      </c>
      <c r="D37" s="28" t="str">
        <f>IFERROR(IF(C37="","",IF(B37="موظف",VLOOKUP(C37,الموظفين!$B:$C,2,FALSE),VLOOKUP(C37,المستفيدين!$B:$C,2,FALSE))),"")</f>
        <v>موظف28</v>
      </c>
      <c r="E37" s="28" t="str">
        <f>IFERROR(IF(C37="","",IF(B37="موظف",VLOOKUP(C37,الموظفين!$B:$H,7,FALSE),VLOOKUP(C37,المستفيدين!$B:$F,5,FALSE))),"")</f>
        <v>مركز إرادة وتمكين لرعاية ذوي الاحتياجات الخاصة (جلمودة)</v>
      </c>
      <c r="F37" s="31">
        <v>45588</v>
      </c>
      <c r="G37" s="29" t="s">
        <v>46</v>
      </c>
      <c r="H37" s="29"/>
    </row>
    <row r="38" spans="1:8" x14ac:dyDescent="0.2">
      <c r="A38" s="29">
        <v>37</v>
      </c>
      <c r="B38" s="29" t="s">
        <v>353</v>
      </c>
      <c r="C38" s="29">
        <v>1763354093</v>
      </c>
      <c r="D38" s="28" t="str">
        <f>IFERROR(IF(C38="","",IF(B38="موظف",VLOOKUP(C38,الموظفين!$B:$C,2,FALSE),VLOOKUP(C38,المستفيدين!$B:$C,2,FALSE))),"")</f>
        <v>مستفيد10</v>
      </c>
      <c r="E38" s="28" t="str">
        <f>IFERROR(IF(C38="","",IF(B38="موظف",VLOOKUP(C38,الموظفين!$B:$H,7,FALSE),VLOOKUP(C38,المستفيدين!$B:$F,5,FALSE))),"")</f>
        <v>مركز إرادة وتمكين للرعاية النهارية (القدس)</v>
      </c>
      <c r="F38" s="31">
        <v>45524</v>
      </c>
      <c r="G38" s="29" t="s">
        <v>346</v>
      </c>
      <c r="H38" s="29" t="s">
        <v>546</v>
      </c>
    </row>
    <row r="39" spans="1:8" x14ac:dyDescent="0.2">
      <c r="A39" s="29">
        <v>38</v>
      </c>
      <c r="B39" s="29" t="s">
        <v>353</v>
      </c>
      <c r="C39" s="29">
        <v>1911743491</v>
      </c>
      <c r="D39" s="28" t="str">
        <f>IFERROR(IF(C39="","",IF(B39="موظف",VLOOKUP(C39,الموظفين!$B:$C,2,FALSE),VLOOKUP(C39,المستفيدين!$B:$C,2,FALSE))),"")</f>
        <v>مستفيد8</v>
      </c>
      <c r="E39" s="28" t="str">
        <f>IFERROR(IF(C39="","",IF(B39="موظف",VLOOKUP(C39,الموظفين!$B:$H,7,FALSE),VLOOKUP(C39,المستفيدين!$B:$F,5,FALSE))),"")</f>
        <v>مركز إرادة وتمكين لمتلازمة داون (نجد)</v>
      </c>
      <c r="F39" s="31">
        <v>45298</v>
      </c>
      <c r="G39" s="29" t="s">
        <v>47</v>
      </c>
      <c r="H39" s="29" t="s">
        <v>545</v>
      </c>
    </row>
    <row r="40" spans="1:8" x14ac:dyDescent="0.2">
      <c r="A40" s="29">
        <v>39</v>
      </c>
      <c r="B40" s="29" t="s">
        <v>353</v>
      </c>
      <c r="C40" s="29">
        <v>1284752099</v>
      </c>
      <c r="D40" s="28" t="str">
        <f>IFERROR(IF(C40="","",IF(B40="موظف",VLOOKUP(C40,الموظفين!$B:$C,2,FALSE),VLOOKUP(C40,المستفيدين!$B:$C,2,FALSE))),"")</f>
        <v>مستفيد19</v>
      </c>
      <c r="E40" s="28" t="str">
        <f>IFERROR(IF(C40="","",IF(B40="موظف",VLOOKUP(C40,الموظفين!$B:$H,7,FALSE),VLOOKUP(C40,المستفيدين!$B:$F,5,FALSE))),"")</f>
        <v>مركز إرادة وتمكين لمتلازمة داون (نجد)</v>
      </c>
      <c r="F40" s="31">
        <v>45845</v>
      </c>
      <c r="G40" s="29" t="s">
        <v>47</v>
      </c>
      <c r="H40" s="29" t="s">
        <v>543</v>
      </c>
    </row>
    <row r="41" spans="1:8" x14ac:dyDescent="0.2">
      <c r="A41" s="29">
        <v>40</v>
      </c>
      <c r="B41" s="29" t="s">
        <v>354</v>
      </c>
      <c r="C41" s="29" t="s">
        <v>174</v>
      </c>
      <c r="D41" s="28" t="str">
        <f>IFERROR(IF(C41="","",IF(B41="موظف",VLOOKUP(C41,الموظفين!$B:$C,2,FALSE),VLOOKUP(C41,المستفيدين!$B:$C,2,FALSE))),"")</f>
        <v>موظف16</v>
      </c>
      <c r="E41" s="28" t="str">
        <f>IFERROR(IF(C41="","",IF(B41="موظف",VLOOKUP(C41,الموظفين!$B:$H,7,FALSE),VLOOKUP(C41,المستفيدين!$B:$F,5,FALSE))),"")</f>
        <v>مدرسة إرادة للتعليم (مكة)</v>
      </c>
      <c r="F41" s="31">
        <v>45294</v>
      </c>
      <c r="G41" s="29" t="s">
        <v>345</v>
      </c>
      <c r="H41" s="29" t="s">
        <v>543</v>
      </c>
    </row>
    <row r="42" spans="1:8" x14ac:dyDescent="0.2">
      <c r="A42" s="30"/>
      <c r="B42" s="30"/>
      <c r="C42" s="30"/>
      <c r="D42" s="28" t="str">
        <f>IFERROR(IF(C42="","",IF(B42="موظف",VLOOKUP(C42,الموظفين!$B:$C,2,FALSE),VLOOKUP(C42,المستفيدين!$B:$C,2,FALSE))),"")</f>
        <v/>
      </c>
      <c r="E42" s="28" t="str">
        <f>IFERROR(IF(C42="","",IF(B42="موظف",VLOOKUP(C42,الموظفين!$B:$H,7,FALSE),VLOOKUP(C42,المستفيدين!$B:$F,5,FALSE))),"")</f>
        <v/>
      </c>
      <c r="F42" s="32"/>
      <c r="G42" s="30"/>
      <c r="H42" s="30"/>
    </row>
    <row r="43" spans="1:8" x14ac:dyDescent="0.2">
      <c r="A43" s="30"/>
      <c r="B43" s="30"/>
      <c r="C43" s="30"/>
      <c r="D43" s="28" t="str">
        <f>IFERROR(IF(C43="","",IF(B43="موظف",VLOOKUP(C43,الموظفين!$B:$C,2,FALSE),VLOOKUP(C43,المستفيدين!$B:$C,2,FALSE))),"")</f>
        <v/>
      </c>
      <c r="E43" s="28" t="str">
        <f>IFERROR(IF(C43="","",IF(B43="موظف",VLOOKUP(C43,الموظفين!$B:$H,7,FALSE),VLOOKUP(C43,المستفيدين!$B:$F,5,FALSE))),"")</f>
        <v/>
      </c>
      <c r="F43" s="32"/>
      <c r="G43" s="30"/>
      <c r="H43" s="30"/>
    </row>
    <row r="44" spans="1:8" x14ac:dyDescent="0.2">
      <c r="A44" s="30"/>
      <c r="B44" s="30"/>
      <c r="C44" s="30"/>
      <c r="D44" s="28" t="str">
        <f>IFERROR(IF(C44="","",IF(B44="موظف",VLOOKUP(C44,الموظفين!$B:$C,2,FALSE),VLOOKUP(C44,المستفيدين!$B:$C,2,FALSE))),"")</f>
        <v/>
      </c>
      <c r="E44" s="28" t="str">
        <f>IFERROR(IF(C44="","",IF(B44="موظف",VLOOKUP(C44,الموظفين!$B:$H,7,FALSE),VLOOKUP(C44,المستفيدين!$B:$F,5,FALSE))),"")</f>
        <v/>
      </c>
      <c r="F44" s="32"/>
      <c r="G44" s="30"/>
      <c r="H44" s="30"/>
    </row>
    <row r="45" spans="1:8" x14ac:dyDescent="0.2">
      <c r="A45" s="30"/>
      <c r="B45" s="30"/>
      <c r="C45" s="30"/>
      <c r="D45" s="28" t="str">
        <f>IFERROR(IF(C45="","",IF(B45="موظف",VLOOKUP(C45,الموظفين!$B:$C,2,FALSE),VLOOKUP(C45,المستفيدين!$B:$C,2,FALSE))),"")</f>
        <v/>
      </c>
      <c r="E45" s="28" t="str">
        <f>IFERROR(IF(C45="","",IF(B45="موظف",VLOOKUP(C45,الموظفين!$B:$H,7,FALSE),VLOOKUP(C45,المستفيدين!$B:$F,5,FALSE))),"")</f>
        <v/>
      </c>
      <c r="F45" s="32"/>
      <c r="G45" s="30"/>
      <c r="H45" s="30"/>
    </row>
    <row r="46" spans="1:8" x14ac:dyDescent="0.2">
      <c r="A46" s="30"/>
      <c r="B46" s="30"/>
      <c r="C46" s="30"/>
      <c r="D46" s="28" t="str">
        <f>IFERROR(IF(C46="","",IF(B46="موظف",VLOOKUP(C46,الموظفين!$B:$C,2,FALSE),VLOOKUP(C46,المستفيدين!$B:$C,2,FALSE))),"")</f>
        <v/>
      </c>
      <c r="E46" s="28" t="str">
        <f>IFERROR(IF(C46="","",IF(B46="موظف",VLOOKUP(C46,الموظفين!$B:$H,7,FALSE),VLOOKUP(C46,المستفيدين!$B:$F,5,FALSE))),"")</f>
        <v/>
      </c>
      <c r="F46" s="32"/>
      <c r="G46" s="30"/>
      <c r="H46" s="30"/>
    </row>
    <row r="47" spans="1:8" x14ac:dyDescent="0.2">
      <c r="A47" s="30"/>
      <c r="B47" s="30"/>
      <c r="C47" s="30"/>
      <c r="D47" s="28" t="str">
        <f>IFERROR(IF(C47="","",IF(B47="موظف",VLOOKUP(C47,الموظفين!$B:$C,2,FALSE),VLOOKUP(C47,المستفيدين!$B:$C,2,FALSE))),"")</f>
        <v/>
      </c>
      <c r="E47" s="28" t="str">
        <f>IFERROR(IF(C47="","",IF(B47="موظف",VLOOKUP(C47,الموظفين!$B:$H,7,FALSE),VLOOKUP(C47,المستفيدين!$B:$F,5,FALSE))),"")</f>
        <v/>
      </c>
      <c r="F47" s="32"/>
      <c r="G47" s="30"/>
      <c r="H47" s="30"/>
    </row>
    <row r="48" spans="1:8" x14ac:dyDescent="0.2">
      <c r="A48" s="30"/>
      <c r="B48" s="30"/>
      <c r="C48" s="30"/>
      <c r="D48" s="28" t="str">
        <f>IFERROR(IF(C48="","",IF(B48="موظف",VLOOKUP(C48,الموظفين!$B:$C,2,FALSE),VLOOKUP(C48,المستفيدين!$B:$C,2,FALSE))),"")</f>
        <v/>
      </c>
      <c r="E48" s="28" t="str">
        <f>IFERROR(IF(C48="","",IF(B48="موظف",VLOOKUP(C48,الموظفين!$B:$H,7,FALSE),VLOOKUP(C48,المستفيدين!$B:$F,5,FALSE))),"")</f>
        <v/>
      </c>
      <c r="F48" s="32"/>
      <c r="G48" s="30"/>
      <c r="H48" s="30"/>
    </row>
    <row r="49" spans="1:8" x14ac:dyDescent="0.2">
      <c r="A49" s="30"/>
      <c r="B49" s="30"/>
      <c r="C49" s="30"/>
      <c r="D49" s="28" t="str">
        <f>IFERROR(IF(C49="","",IF(B49="موظف",VLOOKUP(C49,الموظفين!$B:$C,2,FALSE),VLOOKUP(C49,المستفيدين!$B:$C,2,FALSE))),"")</f>
        <v/>
      </c>
      <c r="E49" s="28" t="str">
        <f>IFERROR(IF(C49="","",IF(B49="موظف",VLOOKUP(C49,الموظفين!$B:$H,7,FALSE),VLOOKUP(C49,المستفيدين!$B:$F,5,FALSE))),"")</f>
        <v/>
      </c>
      <c r="F49" s="32"/>
      <c r="G49" s="30"/>
      <c r="H49" s="30"/>
    </row>
    <row r="50" spans="1:8" x14ac:dyDescent="0.2">
      <c r="A50" s="30"/>
      <c r="B50" s="30"/>
      <c r="C50" s="30"/>
      <c r="D50" s="28" t="str">
        <f>IFERROR(IF(C50="","",IF(B50="موظف",VLOOKUP(C50,الموظفين!$B:$C,2,FALSE),VLOOKUP(C50,المستفيدين!$B:$C,2,FALSE))),"")</f>
        <v/>
      </c>
      <c r="E50" s="28" t="str">
        <f>IFERROR(IF(C50="","",IF(B50="موظف",VLOOKUP(C50,الموظفين!$B:$H,7,FALSE),VLOOKUP(C50,المستفيدين!$B:$F,5,FALSE))),"")</f>
        <v/>
      </c>
      <c r="F50" s="32"/>
      <c r="G50" s="30"/>
      <c r="H50" s="30"/>
    </row>
    <row r="51" spans="1:8" x14ac:dyDescent="0.2">
      <c r="A51" s="30"/>
      <c r="B51" s="30"/>
      <c r="C51" s="30"/>
      <c r="D51" s="28" t="str">
        <f>IFERROR(IF(C51="","",IF(B51="موظف",VLOOKUP(C51,الموظفين!$B:$C,2,FALSE),VLOOKUP(C51,المستفيدين!$B:$C,2,FALSE))),"")</f>
        <v/>
      </c>
      <c r="E51" s="28" t="str">
        <f>IFERROR(IF(C51="","",IF(B51="موظف",VLOOKUP(C51,الموظفين!$B:$H,7,FALSE),VLOOKUP(C51,المستفيدين!$B:$F,5,FALSE))),"")</f>
        <v/>
      </c>
      <c r="F51" s="32"/>
      <c r="G51" s="30"/>
      <c r="H51" s="30"/>
    </row>
    <row r="52" spans="1:8" x14ac:dyDescent="0.2">
      <c r="A52" s="30"/>
      <c r="B52" s="30"/>
      <c r="C52" s="30"/>
      <c r="D52" s="28" t="str">
        <f>IFERROR(IF(C52="","",IF(B52="موظف",VLOOKUP(C52,الموظفين!$B:$C,2,FALSE),VLOOKUP(C52,المستفيدين!$B:$C,2,FALSE))),"")</f>
        <v/>
      </c>
      <c r="E52" s="28" t="str">
        <f>IFERROR(IF(C52="","",IF(B52="موظف",VLOOKUP(C52,الموظفين!$B:$H,7,FALSE),VLOOKUP(C52,المستفيدين!$B:$F,5,FALSE))),"")</f>
        <v/>
      </c>
      <c r="F52" s="32"/>
      <c r="G52" s="30"/>
      <c r="H52" s="30"/>
    </row>
    <row r="53" spans="1:8" x14ac:dyDescent="0.2">
      <c r="A53" s="30"/>
      <c r="B53" s="30"/>
      <c r="C53" s="30"/>
      <c r="D53" s="28" t="str">
        <f>IFERROR(IF(C53="","",IF(B53="موظف",VLOOKUP(C53,الموظفين!$B:$C,2,FALSE),VLOOKUP(C53,المستفيدين!$B:$C,2,FALSE))),"")</f>
        <v/>
      </c>
      <c r="E53" s="28" t="str">
        <f>IFERROR(IF(C53="","",IF(B53="موظف",VLOOKUP(C53,الموظفين!$B:$H,7,FALSE),VLOOKUP(C53,المستفيدين!$B:$F,5,FALSE))),"")</f>
        <v/>
      </c>
      <c r="F53" s="32"/>
      <c r="G53" s="30"/>
      <c r="H53" s="30"/>
    </row>
    <row r="54" spans="1:8" x14ac:dyDescent="0.2">
      <c r="A54" s="30"/>
      <c r="B54" s="30"/>
      <c r="C54" s="30"/>
      <c r="D54" s="28" t="str">
        <f>IFERROR(IF(C54="","",IF(B54="موظف",VLOOKUP(C54,الموظفين!$B:$C,2,FALSE),VLOOKUP(C54,المستفيدين!$B:$C,2,FALSE))),"")</f>
        <v/>
      </c>
      <c r="E54" s="28" t="str">
        <f>IFERROR(IF(C54="","",IF(B54="موظف",VLOOKUP(C54,الموظفين!$B:$H,7,FALSE),VLOOKUP(C54,المستفيدين!$B:$F,5,FALSE))),"")</f>
        <v/>
      </c>
      <c r="F54" s="32"/>
      <c r="G54" s="30"/>
      <c r="H54" s="30"/>
    </row>
    <row r="55" spans="1:8" x14ac:dyDescent="0.2">
      <c r="A55" s="30"/>
      <c r="B55" s="30"/>
      <c r="C55" s="30"/>
      <c r="D55" s="28" t="str">
        <f>IFERROR(IF(C55="","",IF(B55="موظف",VLOOKUP(C55,الموظفين!$B:$C,2,FALSE),VLOOKUP(C55,المستفيدين!$B:$C,2,FALSE))),"")</f>
        <v/>
      </c>
      <c r="E55" s="28" t="str">
        <f>IFERROR(IF(C55="","",IF(B55="موظف",VLOOKUP(C55,الموظفين!$B:$H,7,FALSE),VLOOKUP(C55,المستفيدين!$B:$F,5,FALSE))),"")</f>
        <v/>
      </c>
      <c r="F55" s="32"/>
      <c r="G55" s="30"/>
      <c r="H55" s="30"/>
    </row>
    <row r="56" spans="1:8" x14ac:dyDescent="0.2">
      <c r="A56" s="30"/>
      <c r="B56" s="30"/>
      <c r="C56" s="30"/>
      <c r="D56" s="28" t="str">
        <f>IFERROR(IF(C56="","",IF(B56="موظف",VLOOKUP(C56,الموظفين!$B:$C,2,FALSE),VLOOKUP(C56,المستفيدين!$B:$C,2,FALSE))),"")</f>
        <v/>
      </c>
      <c r="E56" s="28" t="str">
        <f>IFERROR(IF(C56="","",IF(B56="موظف",VLOOKUP(C56,الموظفين!$B:$H,7,FALSE),VLOOKUP(C56,المستفيدين!$B:$F,5,FALSE))),"")</f>
        <v/>
      </c>
      <c r="F56" s="32"/>
      <c r="G56" s="30"/>
      <c r="H56" s="30"/>
    </row>
    <row r="57" spans="1:8" x14ac:dyDescent="0.2">
      <c r="A57" s="30"/>
      <c r="B57" s="30"/>
      <c r="C57" s="30"/>
      <c r="D57" s="28" t="str">
        <f>IFERROR(IF(C57="","",IF(B57="موظف",VLOOKUP(C57,الموظفين!$B:$C,2,FALSE),VLOOKUP(C57,المستفيدين!$B:$C,2,FALSE))),"")</f>
        <v/>
      </c>
      <c r="E57" s="28" t="str">
        <f>IFERROR(IF(C57="","",IF(B57="موظف",VLOOKUP(C57,الموظفين!$B:$H,7,FALSE),VLOOKUP(C57,المستفيدين!$B:$F,5,FALSE))),"")</f>
        <v/>
      </c>
      <c r="F57" s="32"/>
      <c r="G57" s="30"/>
      <c r="H57" s="30"/>
    </row>
    <row r="58" spans="1:8" x14ac:dyDescent="0.2">
      <c r="A58" s="30"/>
      <c r="B58" s="30"/>
      <c r="C58" s="30"/>
      <c r="D58" s="28" t="str">
        <f>IFERROR(IF(C58="","",IF(B58="موظف",VLOOKUP(C58,الموظفين!$B:$C,2,FALSE),VLOOKUP(C58,المستفيدين!$B:$C,2,FALSE))),"")</f>
        <v/>
      </c>
      <c r="E58" s="28" t="str">
        <f>IFERROR(IF(C58="","",IF(B58="موظف",VLOOKUP(C58,الموظفين!$B:$H,7,FALSE),VLOOKUP(C58,المستفيدين!$B:$F,5,FALSE))),"")</f>
        <v/>
      </c>
      <c r="F58" s="32"/>
      <c r="G58" s="30"/>
      <c r="H58" s="30"/>
    </row>
    <row r="59" spans="1:8" x14ac:dyDescent="0.2">
      <c r="A59" s="30"/>
      <c r="B59" s="30"/>
      <c r="C59" s="30"/>
      <c r="D59" s="28" t="str">
        <f>IFERROR(IF(C59="","",IF(B59="موظف",VLOOKUP(C59,الموظفين!$B:$C,2,FALSE),VLOOKUP(C59,المستفيدين!$B:$C,2,FALSE))),"")</f>
        <v/>
      </c>
      <c r="E59" s="28"/>
      <c r="F59" s="30"/>
      <c r="G59" s="30"/>
      <c r="H59" s="30"/>
    </row>
    <row r="60" spans="1:8" x14ac:dyDescent="0.2">
      <c r="A60" s="30"/>
      <c r="B60" s="30"/>
      <c r="C60" s="30"/>
      <c r="D60" s="28" t="str">
        <f>IFERROR(IF(C60="","",IF(B60="موظف",VLOOKUP(C60,الموظفين!$B:$C,2,FALSE),VLOOKUP(C60,المستفيدين!$B:$C,2,FALSE))),"")</f>
        <v/>
      </c>
      <c r="E60" s="28"/>
      <c r="F60" s="30"/>
      <c r="G60" s="30"/>
      <c r="H60" s="30"/>
    </row>
    <row r="61" spans="1:8" x14ac:dyDescent="0.2">
      <c r="A61" s="30"/>
      <c r="B61" s="30"/>
      <c r="C61" s="30"/>
      <c r="D61" s="28" t="str">
        <f>IFERROR(IF(C61="","",IF(B61="موظف",VLOOKUP(C61,الموظفين!$B:$C,2,FALSE),VLOOKUP(C61,المستفيدين!$B:$C,2,FALSE))),"")</f>
        <v/>
      </c>
      <c r="E61" s="28"/>
      <c r="F61" s="30"/>
      <c r="G61" s="30"/>
      <c r="H61" s="30"/>
    </row>
    <row r="62" spans="1:8" x14ac:dyDescent="0.2">
      <c r="A62" s="30"/>
      <c r="B62" s="30"/>
      <c r="C62" s="30"/>
      <c r="D62" s="28" t="str">
        <f>IFERROR(IF(C62="","",IF(B62="موظف",VLOOKUP(C62,الموظفين!$B:$C,2,FALSE),VLOOKUP(C62,المستفيدين!$B:$C,2,FALSE))),"")</f>
        <v/>
      </c>
      <c r="E62" s="28"/>
      <c r="F62" s="30"/>
      <c r="G62" s="30"/>
      <c r="H62" s="30"/>
    </row>
    <row r="63" spans="1:8" x14ac:dyDescent="0.2">
      <c r="A63" s="30"/>
      <c r="B63" s="30"/>
      <c r="C63" s="30"/>
      <c r="D63" s="28" t="str">
        <f>IFERROR(IF(C63="","",IF(B63="موظف",VLOOKUP(C63,الموظفين!$B:$C,2,FALSE),VLOOKUP(C63,المستفيدين!$B:$C,2,FALSE))),"")</f>
        <v/>
      </c>
      <c r="E63" s="28"/>
      <c r="F63" s="30"/>
      <c r="G63" s="30"/>
      <c r="H63" s="30"/>
    </row>
    <row r="64" spans="1:8" x14ac:dyDescent="0.2">
      <c r="A64" s="30"/>
      <c r="B64" s="30"/>
      <c r="C64" s="30"/>
      <c r="D64" s="28" t="str">
        <f>IFERROR(IF(C64="","",IF(B64="موظف",VLOOKUP(C64,الموظفين!$B:$C,2,FALSE),VLOOKUP(C64,المستفيدين!$B:$C,2,FALSE))),"")</f>
        <v/>
      </c>
      <c r="E64" s="28"/>
      <c r="F64" s="30"/>
      <c r="G64" s="30"/>
      <c r="H64" s="30"/>
    </row>
    <row r="65" spans="1:8" x14ac:dyDescent="0.2">
      <c r="A65" s="30"/>
      <c r="B65" s="30"/>
      <c r="C65" s="30"/>
      <c r="D65" s="28" t="str">
        <f>IFERROR(IF(C65="","",IF(B65="موظف",VLOOKUP(C65,الموظفين!$B:$C,2,FALSE),VLOOKUP(C65,المستفيدين!$B:$C,2,FALSE))),"")</f>
        <v/>
      </c>
      <c r="E65" s="28"/>
      <c r="F65" s="30"/>
      <c r="G65" s="30"/>
      <c r="H65" s="30"/>
    </row>
    <row r="66" spans="1:8" x14ac:dyDescent="0.2">
      <c r="A66" s="30"/>
      <c r="B66" s="30"/>
      <c r="C66" s="30"/>
      <c r="D66" s="28" t="str">
        <f>IFERROR(IF(C66="","",IF(B66="موظف",VLOOKUP(C66,الموظفين!$B:$C,2,FALSE),VLOOKUP(C66,المستفيدين!$B:$C,2,FALSE))),"")</f>
        <v/>
      </c>
      <c r="E66" s="28"/>
      <c r="F66" s="30"/>
      <c r="G66" s="30"/>
      <c r="H66" s="30"/>
    </row>
    <row r="67" spans="1:8" x14ac:dyDescent="0.2">
      <c r="A67" s="30"/>
      <c r="B67" s="30"/>
      <c r="C67" s="30"/>
      <c r="D67" s="28" t="str">
        <f>IFERROR(IF(C67="","",IF(B67="موظف",VLOOKUP(C67,الموظفين!$B:$C,2,FALSE),VLOOKUP(C67,المستفيدين!$B:$C,2,FALSE))),"")</f>
        <v/>
      </c>
      <c r="E67" s="28"/>
      <c r="F67" s="30"/>
      <c r="G67" s="30"/>
      <c r="H67" s="30"/>
    </row>
    <row r="68" spans="1:8" x14ac:dyDescent="0.2">
      <c r="A68" s="30"/>
      <c r="B68" s="30"/>
      <c r="C68" s="30"/>
      <c r="D68" s="28" t="str">
        <f>IFERROR(IF(C68="","",IF(B68="موظف",VLOOKUP(C68,الموظفين!$B:$C,2,FALSE),VLOOKUP(C68,المستفيدين!$B:$C,2,FALSE))),"")</f>
        <v/>
      </c>
      <c r="E68" s="28"/>
      <c r="F68" s="30"/>
      <c r="G68" s="30"/>
      <c r="H68" s="30"/>
    </row>
    <row r="69" spans="1:8" x14ac:dyDescent="0.2">
      <c r="A69" s="30"/>
      <c r="B69" s="30"/>
      <c r="C69" s="30"/>
      <c r="D69" s="28" t="str">
        <f>IFERROR(IF(C69="","",IF(B69="موظف",VLOOKUP(C69,الموظفين!$B:$C,2,FALSE),VLOOKUP(C69,المستفيدين!$B:$C,2,FALSE))),"")</f>
        <v/>
      </c>
      <c r="E69" s="28"/>
      <c r="F69" s="30"/>
      <c r="G69" s="30"/>
      <c r="H69" s="30"/>
    </row>
    <row r="70" spans="1:8" x14ac:dyDescent="0.2">
      <c r="A70" s="30"/>
      <c r="B70" s="30"/>
      <c r="C70" s="30"/>
      <c r="D70" s="28" t="str">
        <f>IFERROR(IF(C70="","",IF(B70="موظف",VLOOKUP(C70,الموظفين!$B:$C,2,FALSE),VLOOKUP(C70,المستفيدين!$B:$C,2,FALSE))),"")</f>
        <v/>
      </c>
      <c r="E70" s="28"/>
      <c r="F70" s="30"/>
      <c r="G70" s="30"/>
      <c r="H70" s="30"/>
    </row>
    <row r="71" spans="1:8" x14ac:dyDescent="0.2">
      <c r="A71" s="30"/>
      <c r="B71" s="30"/>
      <c r="C71" s="30"/>
      <c r="D71" s="28" t="str">
        <f>IFERROR(IF(C71="","",IF(B71="موظف",VLOOKUP(C71,الموظفين!$B:$C,2,FALSE),VLOOKUP(C71,المستفيدين!$B:$C,2,FALSE))),"")</f>
        <v/>
      </c>
      <c r="E71" s="28"/>
      <c r="F71" s="30"/>
      <c r="G71" s="30"/>
      <c r="H71" s="30"/>
    </row>
    <row r="72" spans="1:8" x14ac:dyDescent="0.2">
      <c r="A72" s="30"/>
      <c r="B72" s="30"/>
      <c r="C72" s="30"/>
      <c r="D72" s="28" t="str">
        <f>IFERROR(IF(C72="","",IF(B72="موظف",VLOOKUP(C72,الموظفين!$B:$C,2,FALSE),VLOOKUP(C72,المستفيدين!$B:$C,2,FALSE))),"")</f>
        <v/>
      </c>
      <c r="E72" s="28"/>
      <c r="F72" s="30"/>
      <c r="G72" s="30"/>
      <c r="H72" s="30"/>
    </row>
    <row r="73" spans="1:8" x14ac:dyDescent="0.2">
      <c r="A73" s="30"/>
      <c r="B73" s="30"/>
      <c r="C73" s="30"/>
      <c r="D73" s="28" t="str">
        <f>IFERROR(IF(C73="","",IF(B73="موظف",VLOOKUP(C73,الموظفين!$B:$C,2,FALSE),VLOOKUP(C73,المستفيدين!$B:$C,2,FALSE))),"")</f>
        <v/>
      </c>
      <c r="E73" s="28"/>
      <c r="F73" s="30"/>
      <c r="G73" s="30"/>
      <c r="H73" s="30"/>
    </row>
    <row r="74" spans="1:8" x14ac:dyDescent="0.2">
      <c r="A74" s="30"/>
      <c r="B74" s="30"/>
      <c r="C74" s="30"/>
      <c r="D74" s="28" t="str">
        <f>IFERROR(IF(C74="","",IF(B74="موظف",VLOOKUP(C74,الموظفين!$B:$C,2,FALSE),VLOOKUP(C74,المستفيدين!$B:$C,2,FALSE))),"")</f>
        <v/>
      </c>
      <c r="E74" s="28"/>
      <c r="F74" s="30"/>
      <c r="G74" s="30"/>
      <c r="H74" s="30"/>
    </row>
    <row r="75" spans="1:8" x14ac:dyDescent="0.2">
      <c r="A75" s="30"/>
      <c r="B75" s="30"/>
      <c r="C75" s="30"/>
      <c r="D75" s="28" t="str">
        <f>IFERROR(IF(C75="","",IF(B75="موظف",VLOOKUP(C75,الموظفين!$B:$C,2,FALSE),VLOOKUP(C75,المستفيدين!$B:$C,2,FALSE))),"")</f>
        <v/>
      </c>
      <c r="E75" s="28"/>
      <c r="F75" s="30"/>
      <c r="G75" s="30"/>
      <c r="H75" s="30"/>
    </row>
    <row r="76" spans="1:8" x14ac:dyDescent="0.2">
      <c r="A76" s="30"/>
      <c r="B76" s="30"/>
      <c r="C76" s="30"/>
      <c r="D76" s="28" t="str">
        <f>IFERROR(IF(C76="","",IF(B76="موظف",VLOOKUP(C76,الموظفين!$B:$C,2,FALSE),VLOOKUP(C76,المستفيدين!$B:$C,2,FALSE))),"")</f>
        <v/>
      </c>
      <c r="E76" s="28"/>
      <c r="F76" s="30"/>
      <c r="G76" s="30"/>
      <c r="H76" s="30"/>
    </row>
    <row r="77" spans="1:8" x14ac:dyDescent="0.2">
      <c r="A77" s="30"/>
      <c r="B77" s="30"/>
      <c r="C77" s="30"/>
      <c r="D77" s="28" t="str">
        <f>IFERROR(IF(C77="","",IF(B77="موظف",VLOOKUP(C77,الموظفين!$B:$C,2,FALSE),VLOOKUP(C77,المستفيدين!$B:$C,2,FALSE))),"")</f>
        <v/>
      </c>
      <c r="E77" s="28"/>
      <c r="F77" s="30"/>
      <c r="G77" s="30"/>
      <c r="H77" s="30"/>
    </row>
    <row r="78" spans="1:8" x14ac:dyDescent="0.2">
      <c r="A78" s="30"/>
      <c r="B78" s="30"/>
      <c r="C78" s="30"/>
      <c r="D78" s="28" t="str">
        <f>IFERROR(IF(C78="","",IF(B78="موظف",VLOOKUP(C78,الموظفين!$B:$C,2,FALSE),VLOOKUP(C78,المستفيدين!$B:$C,2,FALSE))),"")</f>
        <v/>
      </c>
      <c r="E78" s="28"/>
      <c r="F78" s="30"/>
      <c r="G78" s="30"/>
      <c r="H78" s="30"/>
    </row>
    <row r="79" spans="1:8" x14ac:dyDescent="0.2">
      <c r="A79" s="30"/>
      <c r="B79" s="30"/>
      <c r="C79" s="30"/>
      <c r="D79" s="28" t="str">
        <f>IFERROR(IF(C79="","",IF(B79="موظف",VLOOKUP(C79,الموظفين!$B:$C,2,FALSE),VLOOKUP(C79,المستفيدين!$B:$C,2,FALSE))),"")</f>
        <v/>
      </c>
      <c r="E79" s="28"/>
      <c r="F79" s="30"/>
      <c r="G79" s="30"/>
      <c r="H79" s="30"/>
    </row>
    <row r="80" spans="1:8" x14ac:dyDescent="0.2">
      <c r="A80" s="30"/>
      <c r="B80" s="30"/>
      <c r="C80" s="30"/>
      <c r="D80" s="28" t="str">
        <f>IFERROR(IF(C80="","",IF(B80="موظف",VLOOKUP(C80,الموظفين!$B:$C,2,FALSE),VLOOKUP(C80,المستفيدين!$B:$C,2,FALSE))),"")</f>
        <v/>
      </c>
      <c r="E80" s="28"/>
      <c r="F80" s="30"/>
      <c r="G80" s="30"/>
      <c r="H80" s="30"/>
    </row>
    <row r="81" spans="1:8" x14ac:dyDescent="0.2">
      <c r="A81" s="30"/>
      <c r="B81" s="30"/>
      <c r="C81" s="30"/>
      <c r="D81" s="28" t="str">
        <f>IFERROR(IF(C81="","",IF(B81="موظف",VLOOKUP(C81,الموظفين!$B:$C,2,FALSE),VLOOKUP(C81,المستفيدين!$B:$C,2,FALSE))),"")</f>
        <v/>
      </c>
      <c r="E81" s="28"/>
      <c r="F81" s="30"/>
      <c r="G81" s="30"/>
      <c r="H81" s="30"/>
    </row>
    <row r="82" spans="1:8" x14ac:dyDescent="0.2">
      <c r="A82" s="30"/>
      <c r="B82" s="30"/>
      <c r="C82" s="30"/>
      <c r="D82" s="28" t="str">
        <f>IFERROR(IF(C82="","",IF(B82="موظف",VLOOKUP(C82,الموظفين!$B:$C,2,FALSE),VLOOKUP(C82,المستفيدين!$B:$C,2,FALSE))),"")</f>
        <v/>
      </c>
      <c r="E82" s="28"/>
      <c r="F82" s="30"/>
      <c r="G82" s="30"/>
      <c r="H82" s="30"/>
    </row>
    <row r="83" spans="1:8" x14ac:dyDescent="0.2">
      <c r="A83" s="30"/>
      <c r="B83" s="30"/>
      <c r="C83" s="30"/>
      <c r="D83" s="28" t="str">
        <f>IFERROR(IF(C83="","",IF(B83="موظف",VLOOKUP(C83,الموظفين!$B:$C,2,FALSE),VLOOKUP(C83,المستفيدين!$B:$C,2,FALSE))),"")</f>
        <v/>
      </c>
      <c r="E83" s="28"/>
      <c r="F83" s="30"/>
      <c r="G83" s="30"/>
      <c r="H83" s="30"/>
    </row>
    <row r="84" spans="1:8" x14ac:dyDescent="0.2">
      <c r="A84" s="30"/>
      <c r="B84" s="30"/>
      <c r="C84" s="30"/>
      <c r="D84" s="28" t="str">
        <f>IFERROR(IF(C84="","",IF(B84="موظف",VLOOKUP(C84,الموظفين!$B:$C,2,FALSE),VLOOKUP(C84,المستفيدين!$B:$C,2,FALSE))),"")</f>
        <v/>
      </c>
      <c r="E84" s="28"/>
      <c r="F84" s="30"/>
      <c r="G84" s="30"/>
      <c r="H84" s="30"/>
    </row>
    <row r="85" spans="1:8" x14ac:dyDescent="0.2">
      <c r="A85" s="30"/>
      <c r="B85" s="30"/>
      <c r="C85" s="30"/>
      <c r="D85" s="28" t="str">
        <f>IFERROR(IF(C85="","",IF(B85="موظف",VLOOKUP(C85,الموظفين!$B:$C,2,FALSE),VLOOKUP(C85,المستفيدين!$B:$C,2,FALSE))),"")</f>
        <v/>
      </c>
      <c r="E85" s="28"/>
      <c r="F85" s="30"/>
      <c r="G85" s="30"/>
      <c r="H85" s="30"/>
    </row>
    <row r="86" spans="1:8" x14ac:dyDescent="0.2">
      <c r="A86" s="30"/>
      <c r="B86" s="30"/>
      <c r="C86" s="30"/>
      <c r="D86" s="28" t="str">
        <f>IFERROR(IF(C86="","",IF(B86="موظف",VLOOKUP(C86,الموظفين!$B:$C,2,FALSE),VLOOKUP(C86,المستفيدين!$B:$C,2,FALSE))),"")</f>
        <v/>
      </c>
      <c r="E86" s="28"/>
      <c r="F86" s="30"/>
      <c r="G86" s="30"/>
      <c r="H86" s="30"/>
    </row>
    <row r="87" spans="1:8" x14ac:dyDescent="0.2">
      <c r="A87" s="30"/>
      <c r="B87" s="30"/>
      <c r="C87" s="30"/>
      <c r="D87" s="28" t="str">
        <f>IFERROR(IF(C87="","",IF(B87="موظف",VLOOKUP(C87,الموظفين!$B:$C,2,FALSE),VLOOKUP(C87,المستفيدين!$B:$C,2,FALSE))),"")</f>
        <v/>
      </c>
      <c r="E87" s="28"/>
      <c r="F87" s="30"/>
      <c r="G87" s="30"/>
      <c r="H87" s="30"/>
    </row>
    <row r="88" spans="1:8" x14ac:dyDescent="0.2">
      <c r="A88" s="30"/>
      <c r="B88" s="30"/>
      <c r="C88" s="30"/>
      <c r="D88" s="28" t="str">
        <f>IFERROR(IF(C88="","",IF(B88="موظف",VLOOKUP(C88,الموظفين!$B:$C,2,FALSE),VLOOKUP(C88,المستفيدين!$B:$C,2,FALSE))),"")</f>
        <v/>
      </c>
      <c r="E88" s="28"/>
      <c r="F88" s="30"/>
      <c r="G88" s="30"/>
      <c r="H88" s="30"/>
    </row>
    <row r="89" spans="1:8" x14ac:dyDescent="0.2">
      <c r="A89" s="30"/>
      <c r="B89" s="30"/>
      <c r="C89" s="30"/>
      <c r="D89" s="28" t="str">
        <f>IFERROR(IF(C89="","",IF(B89="موظف",VLOOKUP(C89,الموظفين!$B:$C,2,FALSE),VLOOKUP(C89,المستفيدين!$B:$C,2,FALSE))),"")</f>
        <v/>
      </c>
      <c r="E89" s="28"/>
      <c r="F89" s="30"/>
      <c r="G89" s="30"/>
      <c r="H89" s="30"/>
    </row>
    <row r="90" spans="1:8" x14ac:dyDescent="0.2">
      <c r="A90" s="30"/>
      <c r="B90" s="30"/>
      <c r="C90" s="30"/>
      <c r="D90" s="28" t="str">
        <f>IFERROR(IF(C90="","",IF(B90="موظف",VLOOKUP(C90,الموظفين!$B:$C,2,FALSE),VLOOKUP(C90,المستفيدين!$B:$C,2,FALSE))),"")</f>
        <v/>
      </c>
      <c r="E90" s="28"/>
      <c r="F90" s="30"/>
      <c r="G90" s="30"/>
      <c r="H90" s="30"/>
    </row>
    <row r="91" spans="1:8" x14ac:dyDescent="0.2">
      <c r="A91" s="30"/>
      <c r="B91" s="30"/>
      <c r="C91" s="30"/>
      <c r="D91" s="28" t="str">
        <f>IFERROR(IF(C91="","",IF(B91="موظف",VLOOKUP(C91,الموظفين!$B:$C,2,FALSE),VLOOKUP(C91,المستفيدين!$B:$C,2,FALSE))),"")</f>
        <v/>
      </c>
      <c r="E91" s="28"/>
      <c r="F91" s="30"/>
      <c r="G91" s="30"/>
      <c r="H91" s="30"/>
    </row>
    <row r="92" spans="1:8" x14ac:dyDescent="0.2">
      <c r="A92" s="30"/>
      <c r="B92" s="30"/>
      <c r="C92" s="30"/>
      <c r="D92" s="28" t="str">
        <f>IFERROR(IF(C92="","",IF(B92="موظف",VLOOKUP(C92,الموظفين!$B:$C,2,FALSE),VLOOKUP(C92,المستفيدين!$B:$C,2,FALSE))),"")</f>
        <v/>
      </c>
      <c r="E92" s="28"/>
      <c r="F92" s="30"/>
      <c r="G92" s="30"/>
      <c r="H92" s="30"/>
    </row>
    <row r="93" spans="1:8" x14ac:dyDescent="0.2">
      <c r="A93" s="30"/>
      <c r="B93" s="30"/>
      <c r="C93" s="30"/>
      <c r="D93" s="28" t="str">
        <f>IFERROR(IF(C93="","",IF(B93="موظف",VLOOKUP(C93,الموظفين!$B:$C,2,FALSE),VLOOKUP(C93,المستفيدين!$B:$C,2,FALSE))),"")</f>
        <v/>
      </c>
      <c r="E93" s="28"/>
      <c r="F93" s="30"/>
      <c r="G93" s="30"/>
      <c r="H93" s="30"/>
    </row>
    <row r="94" spans="1:8" x14ac:dyDescent="0.2">
      <c r="A94" s="30"/>
      <c r="B94" s="30"/>
      <c r="C94" s="30"/>
      <c r="D94" s="28" t="str">
        <f>IFERROR(IF(C94="","",IF(B94="موظف",VLOOKUP(C94,الموظفين!$B:$C,2,FALSE),VLOOKUP(C94,المستفيدين!$B:$C,2,FALSE))),"")</f>
        <v/>
      </c>
      <c r="E94" s="28"/>
      <c r="F94" s="30"/>
      <c r="G94" s="30"/>
      <c r="H94" s="30"/>
    </row>
    <row r="95" spans="1:8" x14ac:dyDescent="0.2">
      <c r="A95" s="30"/>
      <c r="B95" s="30"/>
      <c r="C95" s="30"/>
      <c r="D95" s="28" t="str">
        <f>IFERROR(IF(C95="","",IF(B95="موظف",VLOOKUP(C95,الموظفين!$B:$C,2,FALSE),VLOOKUP(C95,المستفيدين!$B:$C,2,FALSE))),"")</f>
        <v/>
      </c>
      <c r="E95" s="28"/>
      <c r="F95" s="30"/>
      <c r="G95" s="30"/>
      <c r="H95" s="30"/>
    </row>
    <row r="96" spans="1:8" x14ac:dyDescent="0.2">
      <c r="A96" s="30"/>
      <c r="B96" s="30"/>
      <c r="C96" s="30"/>
      <c r="D96" s="28" t="str">
        <f>IFERROR(IF(C96="","",IF(B96="موظف",VLOOKUP(C96,الموظفين!$B:$C,2,FALSE),VLOOKUP(C96,المستفيدين!$B:$C,2,FALSE))),"")</f>
        <v/>
      </c>
      <c r="E96" s="28"/>
      <c r="F96" s="30"/>
      <c r="G96" s="30"/>
      <c r="H96" s="30"/>
    </row>
    <row r="97" spans="1:8" x14ac:dyDescent="0.2">
      <c r="A97" s="30"/>
      <c r="B97" s="30"/>
      <c r="C97" s="30"/>
      <c r="D97" s="28" t="str">
        <f>IFERROR(IF(C97="","",IF(B97="موظف",VLOOKUP(C97,الموظفين!$B:$C,2,FALSE),VLOOKUP(C97,المستفيدين!$B:$C,2,FALSE))),"")</f>
        <v/>
      </c>
      <c r="E97" s="28"/>
      <c r="F97" s="30"/>
      <c r="G97" s="30"/>
      <c r="H97" s="30"/>
    </row>
    <row r="98" spans="1:8" x14ac:dyDescent="0.2">
      <c r="A98" s="30"/>
      <c r="B98" s="30"/>
      <c r="C98" s="30"/>
      <c r="D98" s="28" t="str">
        <f>IFERROR(IF(C98="","",IF(B98="موظف",VLOOKUP(C98,الموظفين!$B:$C,2,FALSE),VLOOKUP(C98,المستفيدين!$B:$C,2,FALSE))),"")</f>
        <v/>
      </c>
      <c r="E98" s="28"/>
      <c r="F98" s="30"/>
      <c r="G98" s="30"/>
      <c r="H98" s="30"/>
    </row>
    <row r="99" spans="1:8" x14ac:dyDescent="0.2">
      <c r="A99" s="30"/>
      <c r="B99" s="30"/>
      <c r="C99" s="30"/>
      <c r="D99" s="28" t="str">
        <f>IFERROR(IF(C99="","",IF(B99="موظف",VLOOKUP(C99,الموظفين!$B:$C,2,FALSE),VLOOKUP(C99,المستفيدين!$B:$C,2,FALSE))),"")</f>
        <v/>
      </c>
      <c r="E99" s="28"/>
      <c r="F99" s="30"/>
      <c r="G99" s="30"/>
      <c r="H99" s="30"/>
    </row>
    <row r="100" spans="1:8" x14ac:dyDescent="0.2">
      <c r="A100" s="30"/>
      <c r="B100" s="30"/>
      <c r="C100" s="30"/>
      <c r="D100" s="28" t="str">
        <f>IFERROR(IF(C100="","",IF(B100="موظف",VLOOKUP(C100,الموظفين!$B:$C,2,FALSE),VLOOKUP(C100,المستفيدين!$B:$C,2,FALSE))),"")</f>
        <v/>
      </c>
      <c r="E100" s="28"/>
      <c r="F100" s="30"/>
      <c r="G100" s="30"/>
      <c r="H100" s="30"/>
    </row>
    <row r="101" spans="1:8" x14ac:dyDescent="0.2">
      <c r="A101" s="30"/>
      <c r="B101" s="30"/>
      <c r="C101" s="30"/>
      <c r="D101" s="28" t="str">
        <f>IFERROR(IF(C101="","",IF(B101="موظف",VLOOKUP(C101,الموظفين!$B:$C,2,FALSE),VLOOKUP(C101,المستفيدين!$B:$C,2,FALSE))),"")</f>
        <v/>
      </c>
      <c r="E101" s="28"/>
      <c r="F101" s="30"/>
      <c r="G101" s="30"/>
      <c r="H101" s="30"/>
    </row>
    <row r="102" spans="1:8" x14ac:dyDescent="0.2">
      <c r="A102" s="30"/>
      <c r="B102" s="30"/>
      <c r="C102" s="30"/>
      <c r="D102" s="28" t="str">
        <f>IFERROR(IF(C102="","",IF(B102="موظف",VLOOKUP(C102,الموظفين!$B:$C,2,FALSE),VLOOKUP(C102,المستفيدين!$B:$C,2,FALSE))),"")</f>
        <v/>
      </c>
      <c r="E102" s="28"/>
      <c r="F102" s="30"/>
      <c r="G102" s="30"/>
      <c r="H102" s="30"/>
    </row>
    <row r="103" spans="1:8" x14ac:dyDescent="0.2">
      <c r="A103" s="30"/>
      <c r="B103" s="30"/>
      <c r="C103" s="30"/>
      <c r="D103" s="28" t="str">
        <f>IFERROR(IF(C103="","",IF(B103="موظف",VLOOKUP(C103,الموظفين!$B:$C,2,FALSE),VLOOKUP(C103,المستفيدين!$B:$C,2,FALSE))),"")</f>
        <v/>
      </c>
      <c r="E103" s="28"/>
      <c r="F103" s="30"/>
      <c r="G103" s="30"/>
      <c r="H103" s="30"/>
    </row>
    <row r="104" spans="1:8" x14ac:dyDescent="0.2">
      <c r="A104" s="30"/>
      <c r="B104" s="30"/>
      <c r="C104" s="30"/>
      <c r="D104" s="28" t="str">
        <f>IFERROR(IF(C104="","",IF(B104="موظف",VLOOKUP(C104,الموظفين!$B:$C,2,FALSE),VLOOKUP(C104,المستفيدين!$B:$C,2,FALSE))),"")</f>
        <v/>
      </c>
      <c r="E104" s="28"/>
      <c r="F104" s="30"/>
      <c r="G104" s="30"/>
      <c r="H104" s="30"/>
    </row>
    <row r="105" spans="1:8" x14ac:dyDescent="0.2">
      <c r="A105" s="30"/>
      <c r="B105" s="30"/>
      <c r="C105" s="30"/>
      <c r="D105" s="28" t="str">
        <f>IFERROR(IF(C105="","",IF(B105="موظف",VLOOKUP(C105,الموظفين!$B:$C,2,FALSE),VLOOKUP(C105,المستفيدين!$B:$C,2,FALSE))),"")</f>
        <v/>
      </c>
      <c r="E105" s="28"/>
      <c r="F105" s="30"/>
      <c r="G105" s="30"/>
      <c r="H105" s="30"/>
    </row>
    <row r="106" spans="1:8" x14ac:dyDescent="0.2">
      <c r="A106" s="30"/>
      <c r="B106" s="30"/>
      <c r="C106" s="30"/>
      <c r="D106" s="28" t="str">
        <f>IFERROR(IF(C106="","",IF(B106="موظف",VLOOKUP(C106,الموظفين!$B:$C,2,FALSE),VLOOKUP(C106,المستفيدين!$B:$C,2,FALSE))),"")</f>
        <v/>
      </c>
      <c r="E106" s="28"/>
      <c r="F106" s="30"/>
      <c r="G106" s="30"/>
      <c r="H106" s="30"/>
    </row>
    <row r="107" spans="1:8" x14ac:dyDescent="0.2">
      <c r="A107" s="30"/>
      <c r="B107" s="30"/>
      <c r="C107" s="30"/>
      <c r="D107" s="28" t="str">
        <f>IFERROR(IF(C107="","",IF(B107="موظف",VLOOKUP(C107,الموظفين!$B:$C,2,FALSE),VLOOKUP(C107,المستفيدين!$B:$C,2,FALSE))),"")</f>
        <v/>
      </c>
      <c r="E107" s="28"/>
      <c r="F107" s="30"/>
      <c r="G107" s="30"/>
      <c r="H107" s="30"/>
    </row>
    <row r="108" spans="1:8" x14ac:dyDescent="0.2">
      <c r="A108" s="30"/>
      <c r="B108" s="30"/>
      <c r="C108" s="30"/>
      <c r="D108" s="28" t="str">
        <f>IFERROR(IF(C108="","",IF(B108="موظف",VLOOKUP(C108,الموظفين!$B:$C,2,FALSE),VLOOKUP(C108,المستفيدين!$B:$C,2,FALSE))),"")</f>
        <v/>
      </c>
      <c r="E108" s="28"/>
      <c r="F108" s="30"/>
      <c r="G108" s="30"/>
      <c r="H108" s="30"/>
    </row>
    <row r="109" spans="1:8" x14ac:dyDescent="0.2">
      <c r="A109" s="30"/>
      <c r="B109" s="30"/>
      <c r="C109" s="30"/>
      <c r="D109" s="28" t="str">
        <f>IFERROR(IF(C109="","",IF(B109="موظف",VLOOKUP(C109,الموظفين!$B:$C,2,FALSE),VLOOKUP(C109,المستفيدين!$B:$C,2,FALSE))),"")</f>
        <v/>
      </c>
      <c r="E109" s="28"/>
      <c r="F109" s="30"/>
      <c r="G109" s="30"/>
      <c r="H109" s="30"/>
    </row>
    <row r="110" spans="1:8" x14ac:dyDescent="0.2">
      <c r="A110" s="30"/>
      <c r="B110" s="30"/>
      <c r="C110" s="30"/>
      <c r="D110" s="28" t="str">
        <f>IFERROR(IF(C110="","",IF(B110="موظف",VLOOKUP(C110,الموظفين!$B:$C,2,FALSE),VLOOKUP(C110,المستفيدين!$B:$C,2,FALSE))),"")</f>
        <v/>
      </c>
      <c r="E110" s="28"/>
      <c r="F110" s="30"/>
      <c r="G110" s="30"/>
      <c r="H110" s="30"/>
    </row>
    <row r="111" spans="1:8" x14ac:dyDescent="0.2">
      <c r="A111" s="30"/>
      <c r="B111" s="30"/>
      <c r="C111" s="30"/>
      <c r="D111" s="28" t="str">
        <f>IFERROR(IF(C111="","",IF(B111="موظف",VLOOKUP(C111,الموظفين!$B:$C,2,FALSE),VLOOKUP(C111,المستفيدين!$B:$C,2,FALSE))),"")</f>
        <v/>
      </c>
      <c r="E111" s="28"/>
      <c r="F111" s="30"/>
      <c r="G111" s="30"/>
      <c r="H111" s="30"/>
    </row>
    <row r="112" spans="1:8" x14ac:dyDescent="0.2">
      <c r="A112" s="30"/>
      <c r="B112" s="30"/>
      <c r="C112" s="30"/>
      <c r="D112" s="28" t="str">
        <f>IFERROR(IF(C112="","",IF(B112="موظف",VLOOKUP(C112,الموظفين!$B:$C,2,FALSE),VLOOKUP(C112,المستفيدين!$B:$C,2,FALSE))),"")</f>
        <v/>
      </c>
      <c r="E112" s="28"/>
      <c r="F112" s="30"/>
      <c r="G112" s="30"/>
      <c r="H112" s="30"/>
    </row>
    <row r="113" spans="1:8" x14ac:dyDescent="0.2">
      <c r="A113" s="30"/>
      <c r="B113" s="30"/>
      <c r="C113" s="30"/>
      <c r="D113" s="28" t="str">
        <f>IFERROR(IF(C113="","",IF(B113="موظف",VLOOKUP(C113,الموظفين!$B:$C,2,FALSE),VLOOKUP(C113,المستفيدين!$B:$C,2,FALSE))),"")</f>
        <v/>
      </c>
      <c r="E113" s="28"/>
      <c r="F113" s="30"/>
      <c r="G113" s="30"/>
      <c r="H113" s="30"/>
    </row>
    <row r="114" spans="1:8" x14ac:dyDescent="0.2">
      <c r="A114" s="30"/>
      <c r="B114" s="30"/>
      <c r="C114" s="30"/>
      <c r="D114" s="28" t="str">
        <f>IFERROR(IF(C114="","",IF(B114="موظف",VLOOKUP(C114,الموظفين!$B:$C,2,FALSE),VLOOKUP(C114,المستفيدين!$B:$C,2,FALSE))),"")</f>
        <v/>
      </c>
      <c r="E114" s="28"/>
      <c r="F114" s="30"/>
      <c r="G114" s="30"/>
      <c r="H114" s="30"/>
    </row>
    <row r="115" spans="1:8" x14ac:dyDescent="0.2">
      <c r="A115" s="30"/>
      <c r="B115" s="30"/>
      <c r="C115" s="30"/>
      <c r="D115" s="28" t="str">
        <f>IFERROR(IF(C115="","",IF(B115="موظف",VLOOKUP(C115,الموظفين!$B:$C,2,FALSE),VLOOKUP(C115,المستفيدين!$B:$C,2,FALSE))),"")</f>
        <v/>
      </c>
      <c r="E115" s="28"/>
      <c r="F115" s="30"/>
      <c r="G115" s="30"/>
      <c r="H115" s="30"/>
    </row>
    <row r="116" spans="1:8" x14ac:dyDescent="0.2">
      <c r="A116" s="30"/>
      <c r="B116" s="30"/>
      <c r="C116" s="30"/>
      <c r="D116" s="28" t="str">
        <f>IFERROR(IF(C116="","",IF(B116="موظف",VLOOKUP(C116,الموظفين!$B:$C,2,FALSE),VLOOKUP(C116,المستفيدين!$B:$C,2,FALSE))),"")</f>
        <v/>
      </c>
      <c r="E116" s="28"/>
      <c r="F116" s="30"/>
      <c r="G116" s="30"/>
      <c r="H116" s="30"/>
    </row>
    <row r="117" spans="1:8" x14ac:dyDescent="0.2">
      <c r="A117" s="30"/>
      <c r="B117" s="30"/>
      <c r="C117" s="30"/>
      <c r="D117" s="28" t="str">
        <f>IFERROR(IF(C117="","",IF(B117="موظف",VLOOKUP(C117,الموظفين!$B:$C,2,FALSE),VLOOKUP(C117,المستفيدين!$B:$C,2,FALSE))),"")</f>
        <v/>
      </c>
      <c r="E117" s="28"/>
      <c r="F117" s="30"/>
      <c r="G117" s="30"/>
      <c r="H117" s="30"/>
    </row>
    <row r="118" spans="1:8" x14ac:dyDescent="0.2">
      <c r="A118" s="30"/>
      <c r="B118" s="30"/>
      <c r="C118" s="30"/>
      <c r="D118" s="28" t="str">
        <f>IFERROR(IF(C118="","",IF(B118="موظف",VLOOKUP(C118,الموظفين!$B:$C,2,FALSE),VLOOKUP(C118,المستفيدين!$B:$C,2,FALSE))),"")</f>
        <v/>
      </c>
      <c r="E118" s="28"/>
      <c r="F118" s="30"/>
      <c r="G118" s="30"/>
      <c r="H118" s="30"/>
    </row>
    <row r="119" spans="1:8" x14ac:dyDescent="0.2">
      <c r="A119" s="30"/>
      <c r="B119" s="30"/>
      <c r="C119" s="30"/>
      <c r="D119" s="28" t="str">
        <f>IFERROR(IF(C119="","",IF(B119="موظف",VLOOKUP(C119,الموظفين!$B:$C,2,FALSE),VLOOKUP(C119,المستفيدين!$B:$C,2,FALSE))),"")</f>
        <v/>
      </c>
      <c r="E119" s="28"/>
      <c r="F119" s="30"/>
      <c r="G119" s="30"/>
      <c r="H119" s="30"/>
    </row>
    <row r="120" spans="1:8" x14ac:dyDescent="0.2">
      <c r="A120" s="30"/>
      <c r="B120" s="30"/>
      <c r="C120" s="30"/>
      <c r="D120" s="28" t="str">
        <f>IFERROR(IF(C120="","",IF(B120="موظف",VLOOKUP(C120,الموظفين!$B:$C,2,FALSE),VLOOKUP(C120,المستفيدين!$B:$C,2,FALSE))),"")</f>
        <v/>
      </c>
      <c r="E120" s="28"/>
      <c r="F120" s="30"/>
      <c r="G120" s="30"/>
      <c r="H120" s="30"/>
    </row>
    <row r="121" spans="1:8" x14ac:dyDescent="0.2">
      <c r="A121" s="30"/>
      <c r="B121" s="30"/>
      <c r="C121" s="30"/>
      <c r="D121" s="28" t="str">
        <f>IFERROR(IF(C121="","",IF(B121="موظف",VLOOKUP(C121,الموظفين!$B:$C,2,FALSE),VLOOKUP(C121,المستفيدين!$B:$C,2,FALSE))),"")</f>
        <v/>
      </c>
      <c r="E121" s="28"/>
      <c r="F121" s="30"/>
      <c r="G121" s="30"/>
      <c r="H121" s="30"/>
    </row>
    <row r="122" spans="1:8" x14ac:dyDescent="0.2">
      <c r="A122" s="30"/>
      <c r="B122" s="30"/>
      <c r="C122" s="30"/>
      <c r="D122" s="28" t="str">
        <f>IFERROR(IF(C122="","",IF(B122="موظف",VLOOKUP(C122,الموظفين!$B:$C,2,FALSE),VLOOKUP(C122,المستفيدين!$B:$C,2,FALSE))),"")</f>
        <v/>
      </c>
      <c r="E122" s="28"/>
      <c r="F122" s="30"/>
      <c r="G122" s="30"/>
      <c r="H122" s="30"/>
    </row>
    <row r="123" spans="1:8" x14ac:dyDescent="0.2">
      <c r="A123" s="30"/>
      <c r="B123" s="30"/>
      <c r="C123" s="30"/>
      <c r="D123" s="28" t="str">
        <f>IFERROR(IF(C123="","",IF(B123="موظف",VLOOKUP(C123,الموظفين!$B:$C,2,FALSE),VLOOKUP(C123,المستفيدين!$B:$C,2,FALSE))),"")</f>
        <v/>
      </c>
      <c r="E123" s="28"/>
      <c r="F123" s="30"/>
      <c r="G123" s="30"/>
      <c r="H123" s="30"/>
    </row>
    <row r="124" spans="1:8" x14ac:dyDescent="0.2">
      <c r="A124" s="30"/>
      <c r="B124" s="30"/>
      <c r="C124" s="30"/>
      <c r="D124" s="28" t="str">
        <f>IFERROR(IF(C124="","",IF(B124="موظف",VLOOKUP(C124,الموظفين!$B:$C,2,FALSE),VLOOKUP(C124,المستفيدين!$B:$C,2,FALSE))),"")</f>
        <v/>
      </c>
      <c r="E124" s="28"/>
      <c r="F124" s="30"/>
      <c r="G124" s="30"/>
      <c r="H124" s="30"/>
    </row>
    <row r="125" spans="1:8" x14ac:dyDescent="0.2">
      <c r="A125" s="30"/>
      <c r="B125" s="30"/>
      <c r="C125" s="30"/>
      <c r="D125" s="28" t="str">
        <f>IFERROR(IF(C125="","",IF(B125="موظف",VLOOKUP(C125,الموظفين!$B:$C,2,FALSE),VLOOKUP(C125,المستفيدين!$B:$C,2,FALSE))),"")</f>
        <v/>
      </c>
      <c r="E125" s="28"/>
      <c r="F125" s="30"/>
      <c r="G125" s="30"/>
      <c r="H125" s="30"/>
    </row>
    <row r="126" spans="1:8" x14ac:dyDescent="0.2">
      <c r="A126" s="30"/>
      <c r="B126" s="30"/>
      <c r="C126" s="30"/>
      <c r="D126" s="28" t="str">
        <f>IFERROR(IF(C126="","",IF(B126="موظف",VLOOKUP(C126,الموظفين!$B:$C,2,FALSE),VLOOKUP(C126,المستفيدين!$B:$C,2,FALSE))),"")</f>
        <v/>
      </c>
      <c r="E126" s="28"/>
      <c r="F126" s="30"/>
      <c r="G126" s="30"/>
      <c r="H126" s="30"/>
    </row>
    <row r="127" spans="1:8" x14ac:dyDescent="0.2">
      <c r="A127" s="30"/>
      <c r="B127" s="30"/>
      <c r="C127" s="30"/>
      <c r="D127" s="28" t="str">
        <f>IFERROR(IF(C127="","",IF(B127="موظف",VLOOKUP(C127,الموظفين!$B:$C,2,FALSE),VLOOKUP(C127,المستفيدين!$B:$C,2,FALSE))),"")</f>
        <v/>
      </c>
      <c r="E127" s="28"/>
      <c r="F127" s="30"/>
      <c r="G127" s="30"/>
      <c r="H127" s="30"/>
    </row>
    <row r="128" spans="1:8" x14ac:dyDescent="0.2">
      <c r="A128" s="30"/>
      <c r="B128" s="30"/>
      <c r="C128" s="30"/>
      <c r="D128" s="28" t="str">
        <f>IFERROR(IF(C128="","",IF(B128="موظف",VLOOKUP(C128,الموظفين!$B:$C,2,FALSE),VLOOKUP(C128,المستفيدين!$B:$C,2,FALSE))),"")</f>
        <v/>
      </c>
      <c r="E128" s="28"/>
      <c r="F128" s="30"/>
      <c r="G128" s="30"/>
      <c r="H128" s="30"/>
    </row>
    <row r="129" spans="1:8" x14ac:dyDescent="0.2">
      <c r="A129" s="30"/>
      <c r="B129" s="30"/>
      <c r="C129" s="30"/>
      <c r="D129" s="28" t="str">
        <f>IFERROR(IF(C129="","",IF(B129="موظف",VLOOKUP(C129,الموظفين!$B:$C,2,FALSE),VLOOKUP(C129,المستفيدين!$B:$C,2,FALSE))),"")</f>
        <v/>
      </c>
      <c r="E129" s="28"/>
      <c r="F129" s="30"/>
      <c r="G129" s="30"/>
      <c r="H129" s="30"/>
    </row>
    <row r="130" spans="1:8" x14ac:dyDescent="0.2">
      <c r="A130" s="30"/>
      <c r="B130" s="30"/>
      <c r="C130" s="30"/>
      <c r="D130" s="28" t="str">
        <f>IFERROR(IF(C130="","",IF(B130="موظف",VLOOKUP(C130,الموظفين!$B:$C,2,FALSE),VLOOKUP(C130,المستفيدين!$B:$C,2,FALSE))),"")</f>
        <v/>
      </c>
      <c r="E130" s="28"/>
      <c r="F130" s="30"/>
      <c r="G130" s="30"/>
      <c r="H130" s="30"/>
    </row>
    <row r="131" spans="1:8" x14ac:dyDescent="0.2">
      <c r="A131" s="30"/>
      <c r="B131" s="30"/>
      <c r="C131" s="30"/>
      <c r="D131" s="28" t="str">
        <f>IFERROR(IF(C131="","",IF(B131="موظف",VLOOKUP(C131,الموظفين!$B:$C,2,FALSE),VLOOKUP(C131,المستفيدين!$B:$C,2,FALSE))),"")</f>
        <v/>
      </c>
      <c r="E131" s="28"/>
      <c r="F131" s="30"/>
      <c r="G131" s="30"/>
      <c r="H131" s="30"/>
    </row>
    <row r="132" spans="1:8" x14ac:dyDescent="0.2">
      <c r="A132" s="30"/>
      <c r="B132" s="30"/>
      <c r="C132" s="30"/>
      <c r="D132" s="28" t="str">
        <f>IFERROR(IF(C132="","",IF(B132="موظف",VLOOKUP(C132,الموظفين!$B:$C,2,FALSE),VLOOKUP(C132,المستفيدين!$B:$C,2,FALSE))),"")</f>
        <v/>
      </c>
      <c r="E132" s="28"/>
      <c r="F132" s="30"/>
      <c r="G132" s="30"/>
      <c r="H132" s="30"/>
    </row>
    <row r="133" spans="1:8" x14ac:dyDescent="0.2">
      <c r="A133" s="30"/>
      <c r="B133" s="30"/>
      <c r="C133" s="30"/>
      <c r="D133" s="28" t="str">
        <f>IFERROR(IF(C133="","",IF(B133="موظف",VLOOKUP(C133,الموظفين!$B:$C,2,FALSE),VLOOKUP(C133,المستفيدين!$B:$C,2,FALSE))),"")</f>
        <v/>
      </c>
      <c r="E133" s="28"/>
      <c r="F133" s="30"/>
      <c r="G133" s="30"/>
      <c r="H133" s="30"/>
    </row>
    <row r="134" spans="1:8" x14ac:dyDescent="0.2">
      <c r="A134" s="30"/>
      <c r="B134" s="30"/>
      <c r="C134" s="30"/>
      <c r="D134" s="28" t="str">
        <f>IFERROR(IF(C134="","",IF(B134="موظف",VLOOKUP(C134,الموظفين!$B:$C,2,FALSE),VLOOKUP(C134,المستفيدين!$B:$C,2,FALSE))),"")</f>
        <v/>
      </c>
      <c r="E134" s="28"/>
      <c r="F134" s="30"/>
      <c r="G134" s="30"/>
      <c r="H134" s="30"/>
    </row>
    <row r="135" spans="1:8" x14ac:dyDescent="0.2">
      <c r="A135" s="30"/>
      <c r="B135" s="30"/>
      <c r="C135" s="30"/>
      <c r="D135" s="28" t="str">
        <f>IFERROR(IF(C135="","",IF(B135="موظف",VLOOKUP(C135,الموظفين!$B:$C,2,FALSE),VLOOKUP(C135,المستفيدين!$B:$C,2,FALSE))),"")</f>
        <v/>
      </c>
      <c r="E135" s="28"/>
      <c r="F135" s="30"/>
      <c r="G135" s="30"/>
      <c r="H135" s="30"/>
    </row>
    <row r="136" spans="1:8" x14ac:dyDescent="0.2">
      <c r="A136" s="30"/>
      <c r="B136" s="30"/>
      <c r="C136" s="30"/>
      <c r="D136" s="28" t="str">
        <f>IFERROR(IF(C136="","",IF(B136="موظف",VLOOKUP(C136,الموظفين!$B:$C,2,FALSE),VLOOKUP(C136,المستفيدين!$B:$C,2,FALSE))),"")</f>
        <v/>
      </c>
      <c r="E136" s="28"/>
      <c r="F136" s="30"/>
      <c r="G136" s="30"/>
      <c r="H136" s="30"/>
    </row>
    <row r="137" spans="1:8" x14ac:dyDescent="0.2">
      <c r="A137" s="30"/>
      <c r="B137" s="30"/>
      <c r="C137" s="30"/>
      <c r="D137" s="28" t="str">
        <f>IFERROR(IF(C137="","",IF(B137="موظف",VLOOKUP(C137,الموظفين!$B:$C,2,FALSE),VLOOKUP(C137,المستفيدين!$B:$C,2,FALSE))),"")</f>
        <v/>
      </c>
      <c r="E137" s="28"/>
      <c r="F137" s="30"/>
      <c r="G137" s="30"/>
      <c r="H137" s="30"/>
    </row>
    <row r="138" spans="1:8" x14ac:dyDescent="0.2">
      <c r="A138" s="30"/>
      <c r="B138" s="30"/>
      <c r="C138" s="30"/>
      <c r="D138" s="28" t="str">
        <f>IFERROR(IF(C138="","",IF(B138="موظف",VLOOKUP(C138,الموظفين!$B:$C,2,FALSE),VLOOKUP(C138,المستفيدين!$B:$C,2,FALSE))),"")</f>
        <v/>
      </c>
      <c r="E138" s="28"/>
      <c r="F138" s="30"/>
      <c r="G138" s="30"/>
      <c r="H138" s="30"/>
    </row>
    <row r="139" spans="1:8" x14ac:dyDescent="0.2">
      <c r="A139" s="30"/>
      <c r="B139" s="30"/>
      <c r="C139" s="30"/>
      <c r="D139" s="28" t="str">
        <f>IFERROR(IF(C139="","",IF(B139="موظف",VLOOKUP(C139,الموظفين!$B:$C,2,FALSE),VLOOKUP(C139,المستفيدين!$B:$C,2,FALSE))),"")</f>
        <v/>
      </c>
      <c r="E139" s="28"/>
      <c r="F139" s="30"/>
      <c r="G139" s="30"/>
      <c r="H139" s="30"/>
    </row>
    <row r="140" spans="1:8" x14ac:dyDescent="0.2">
      <c r="A140" s="30"/>
      <c r="B140" s="30"/>
      <c r="C140" s="30"/>
      <c r="D140" s="28" t="str">
        <f>IFERROR(IF(C140="","",IF(B140="موظف",VLOOKUP(C140,الموظفين!$B:$C,2,FALSE),VLOOKUP(C140,المستفيدين!$B:$C,2,FALSE))),"")</f>
        <v/>
      </c>
      <c r="E140" s="28"/>
      <c r="F140" s="30"/>
      <c r="G140" s="30"/>
      <c r="H140" s="30"/>
    </row>
    <row r="141" spans="1:8" x14ac:dyDescent="0.2">
      <c r="A141" s="30"/>
      <c r="B141" s="30"/>
      <c r="C141" s="30"/>
      <c r="D141" s="28" t="str">
        <f>IFERROR(IF(C141="","",IF(B141="موظف",VLOOKUP(C141,الموظفين!$B:$C,2,FALSE),VLOOKUP(C141,المستفيدين!$B:$C,2,FALSE))),"")</f>
        <v/>
      </c>
      <c r="E141" s="28"/>
      <c r="F141" s="30"/>
      <c r="G141" s="30"/>
      <c r="H141" s="30"/>
    </row>
    <row r="142" spans="1:8" x14ac:dyDescent="0.2">
      <c r="A142" s="30"/>
      <c r="B142" s="30"/>
      <c r="C142" s="30"/>
      <c r="D142" s="28" t="str">
        <f>IFERROR(IF(C142="","",IF(B142="موظف",VLOOKUP(C142,الموظفين!$B:$C,2,FALSE),VLOOKUP(C142,المستفيدين!$B:$C,2,FALSE))),"")</f>
        <v/>
      </c>
      <c r="E142" s="28"/>
      <c r="F142" s="30"/>
      <c r="G142" s="30"/>
      <c r="H142" s="30"/>
    </row>
    <row r="143" spans="1:8" x14ac:dyDescent="0.2">
      <c r="A143" s="30"/>
      <c r="B143" s="30"/>
      <c r="C143" s="30"/>
      <c r="D143" s="28" t="str">
        <f>IFERROR(IF(C143="","",IF(B143="موظف",VLOOKUP(C143,الموظفين!$B:$C,2,FALSE),VLOOKUP(C143,المستفيدين!$B:$C,2,FALSE))),"")</f>
        <v/>
      </c>
      <c r="E143" s="28"/>
      <c r="F143" s="30"/>
      <c r="G143" s="30"/>
      <c r="H143" s="30"/>
    </row>
    <row r="144" spans="1:8" x14ac:dyDescent="0.2">
      <c r="A144" s="30"/>
      <c r="B144" s="30"/>
      <c r="C144" s="30"/>
      <c r="D144" s="28" t="str">
        <f>IFERROR(IF(C144="","",IF(B144="موظف",VLOOKUP(C144,الموظفين!$B:$C,2,FALSE),VLOOKUP(C144,المستفيدين!$B:$C,2,FALSE))),"")</f>
        <v/>
      </c>
      <c r="E144" s="28"/>
      <c r="F144" s="30"/>
      <c r="G144" s="30"/>
      <c r="H144" s="30"/>
    </row>
    <row r="145" spans="1:8" x14ac:dyDescent="0.2">
      <c r="A145" s="30"/>
      <c r="B145" s="30"/>
      <c r="C145" s="30"/>
      <c r="D145" s="28" t="str">
        <f>IFERROR(IF(C145="","",IF(B145="موظف",VLOOKUP(C145,الموظفين!$B:$C,2,FALSE),VLOOKUP(C145,المستفيدين!$B:$C,2,FALSE))),"")</f>
        <v/>
      </c>
      <c r="E145" s="28"/>
      <c r="F145" s="30"/>
      <c r="G145" s="30"/>
      <c r="H145" s="30"/>
    </row>
    <row r="146" spans="1:8" x14ac:dyDescent="0.2">
      <c r="A146" s="30"/>
      <c r="B146" s="30"/>
      <c r="C146" s="30"/>
      <c r="D146" s="28" t="str">
        <f>IFERROR(IF(C146="","",IF(B146="موظف",VLOOKUP(C146,الموظفين!$B:$C,2,FALSE),VLOOKUP(C146,المستفيدين!$B:$C,2,FALSE))),"")</f>
        <v/>
      </c>
      <c r="E146" s="28"/>
      <c r="F146" s="30"/>
      <c r="G146" s="30"/>
      <c r="H146" s="30"/>
    </row>
    <row r="147" spans="1:8" x14ac:dyDescent="0.2">
      <c r="A147" s="30"/>
      <c r="B147" s="30"/>
      <c r="C147" s="30"/>
      <c r="D147" s="28" t="str">
        <f>IFERROR(IF(C147="","",IF(B147="موظف",VLOOKUP(C147,الموظفين!$B:$C,2,FALSE),VLOOKUP(C147,المستفيدين!$B:$C,2,FALSE))),"")</f>
        <v/>
      </c>
      <c r="E147" s="28"/>
      <c r="F147" s="30"/>
      <c r="G147" s="30"/>
      <c r="H147" s="30"/>
    </row>
    <row r="148" spans="1:8" x14ac:dyDescent="0.2">
      <c r="A148" s="30"/>
      <c r="B148" s="30"/>
      <c r="C148" s="30"/>
      <c r="D148" s="28" t="str">
        <f>IFERROR(IF(C148="","",IF(B148="موظف",VLOOKUP(C148,الموظفين!$B:$C,2,FALSE),VLOOKUP(C148,المستفيدين!$B:$C,2,FALSE))),"")</f>
        <v/>
      </c>
      <c r="E148" s="28"/>
      <c r="F148" s="30"/>
      <c r="G148" s="30"/>
      <c r="H148" s="30"/>
    </row>
    <row r="149" spans="1:8" x14ac:dyDescent="0.2">
      <c r="A149" s="30"/>
      <c r="B149" s="30"/>
      <c r="C149" s="30"/>
      <c r="D149" s="28" t="str">
        <f>IFERROR(IF(C149="","",IF(B149="موظف",VLOOKUP(C149,الموظفين!$B:$C,2,FALSE),VLOOKUP(C149,المستفيدين!$B:$C,2,FALSE))),"")</f>
        <v/>
      </c>
      <c r="E149" s="28"/>
      <c r="F149" s="30"/>
      <c r="G149" s="30"/>
      <c r="H149" s="30"/>
    </row>
    <row r="150" spans="1:8" x14ac:dyDescent="0.2">
      <c r="A150" s="30"/>
      <c r="B150" s="30"/>
      <c r="C150" s="30"/>
      <c r="D150" s="28" t="str">
        <f>IFERROR(IF(C150="","",IF(B150="موظف",VLOOKUP(C150,الموظفين!$B:$C,2,FALSE),VLOOKUP(C150,المستفيدين!$B:$C,2,FALSE))),"")</f>
        <v/>
      </c>
      <c r="E150" s="28"/>
      <c r="F150" s="30"/>
      <c r="G150" s="30"/>
      <c r="H150" s="30"/>
    </row>
    <row r="151" spans="1:8" x14ac:dyDescent="0.2">
      <c r="A151" s="30"/>
      <c r="B151" s="30"/>
      <c r="C151" s="30"/>
      <c r="D151" s="28" t="str">
        <f>IFERROR(IF(C151="","",IF(B151="موظف",VLOOKUP(C151,الموظفين!$B:$C,2,FALSE),VLOOKUP(C151,المستفيدين!$B:$C,2,FALSE))),"")</f>
        <v/>
      </c>
      <c r="E151" s="28"/>
      <c r="F151" s="30"/>
      <c r="G151" s="30"/>
      <c r="H151" s="30"/>
    </row>
    <row r="152" spans="1:8" x14ac:dyDescent="0.2">
      <c r="A152" s="30"/>
      <c r="B152" s="30"/>
      <c r="C152" s="30"/>
      <c r="D152" s="28" t="str">
        <f>IFERROR(IF(C152="","",IF(B152="موظف",VLOOKUP(C152,الموظفين!$B:$C,2,FALSE),VLOOKUP(C152,المستفيدين!$B:$C,2,FALSE))),"")</f>
        <v/>
      </c>
      <c r="E152" s="28"/>
      <c r="F152" s="30"/>
      <c r="G152" s="30"/>
      <c r="H152" s="30"/>
    </row>
    <row r="153" spans="1:8" x14ac:dyDescent="0.2">
      <c r="A153" s="30"/>
      <c r="B153" s="30"/>
      <c r="C153" s="30"/>
      <c r="D153" s="28" t="str">
        <f>IFERROR(IF(C153="","",IF(B153="موظف",VLOOKUP(C153,الموظفين!$B:$C,2,FALSE),VLOOKUP(C153,المستفيدين!$B:$C,2,FALSE))),"")</f>
        <v/>
      </c>
      <c r="E153" s="28"/>
      <c r="F153" s="30"/>
      <c r="G153" s="30"/>
      <c r="H153" s="30"/>
    </row>
    <row r="154" spans="1:8" x14ac:dyDescent="0.2">
      <c r="A154" s="30"/>
      <c r="B154" s="30"/>
      <c r="C154" s="30"/>
      <c r="D154" s="28" t="str">
        <f>IFERROR(IF(C154="","",IF(B154="موظف",VLOOKUP(C154,الموظفين!$B:$C,2,FALSE),VLOOKUP(C154,المستفيدين!$B:$C,2,FALSE))),"")</f>
        <v/>
      </c>
      <c r="E154" s="28"/>
      <c r="F154" s="30"/>
      <c r="G154" s="30"/>
      <c r="H154" s="30"/>
    </row>
    <row r="155" spans="1:8" x14ac:dyDescent="0.2">
      <c r="A155" s="30"/>
      <c r="B155" s="30"/>
      <c r="C155" s="30"/>
      <c r="D155" s="28" t="str">
        <f>IFERROR(IF(C155="","",IF(B155="موظف",VLOOKUP(C155,الموظفين!$B:$C,2,FALSE),VLOOKUP(C155,المستفيدين!$B:$C,2,FALSE))),"")</f>
        <v/>
      </c>
      <c r="E155" s="28"/>
      <c r="F155" s="30"/>
      <c r="G155" s="30"/>
      <c r="H155" s="30"/>
    </row>
    <row r="156" spans="1:8" x14ac:dyDescent="0.2">
      <c r="A156" s="30"/>
      <c r="B156" s="30"/>
      <c r="C156" s="30"/>
      <c r="D156" s="28" t="str">
        <f>IFERROR(IF(C156="","",IF(B156="موظف",VLOOKUP(C156,الموظفين!$B:$C,2,FALSE),VLOOKUP(C156,المستفيدين!$B:$C,2,FALSE))),"")</f>
        <v/>
      </c>
      <c r="E156" s="28"/>
      <c r="F156" s="30"/>
      <c r="G156" s="30"/>
      <c r="H156" s="30"/>
    </row>
    <row r="157" spans="1:8" x14ac:dyDescent="0.2">
      <c r="A157" s="30"/>
      <c r="B157" s="30"/>
      <c r="C157" s="30"/>
      <c r="D157" s="28" t="str">
        <f>IFERROR(IF(C157="","",IF(B157="موظف",VLOOKUP(C157,الموظفين!$B:$C,2,FALSE),VLOOKUP(C157,المستفيدين!$B:$C,2,FALSE))),"")</f>
        <v/>
      </c>
      <c r="E157" s="28"/>
      <c r="F157" s="30"/>
      <c r="G157" s="30"/>
      <c r="H157" s="30"/>
    </row>
    <row r="158" spans="1:8" x14ac:dyDescent="0.2">
      <c r="A158" s="30"/>
      <c r="B158" s="30"/>
      <c r="C158" s="30"/>
      <c r="D158" s="28" t="str">
        <f>IFERROR(IF(C158="","",IF(B158="موظف",VLOOKUP(C158,الموظفين!$B:$C,2,FALSE),VLOOKUP(C158,المستفيدين!$B:$C,2,FALSE))),"")</f>
        <v/>
      </c>
      <c r="E158" s="28"/>
      <c r="F158" s="30"/>
      <c r="G158" s="30"/>
      <c r="H158" s="30"/>
    </row>
    <row r="159" spans="1:8" x14ac:dyDescent="0.2">
      <c r="A159" s="30"/>
      <c r="B159" s="30"/>
      <c r="C159" s="30"/>
      <c r="D159" s="28" t="str">
        <f>IFERROR(IF(C159="","",IF(B159="موظف",VLOOKUP(C159,الموظفين!$B:$C,2,FALSE),VLOOKUP(C159,المستفيدين!$B:$C,2,FALSE))),"")</f>
        <v/>
      </c>
      <c r="E159" s="28"/>
      <c r="F159" s="30"/>
      <c r="G159" s="30"/>
      <c r="H159" s="30"/>
    </row>
    <row r="160" spans="1:8" x14ac:dyDescent="0.2">
      <c r="A160" s="30"/>
      <c r="B160" s="30"/>
      <c r="C160" s="30"/>
      <c r="D160" s="28" t="str">
        <f>IFERROR(IF(C160="","",IF(B160="موظف",VLOOKUP(C160,الموظفين!$B:$C,2,FALSE),VLOOKUP(C160,المستفيدين!$B:$C,2,FALSE))),"")</f>
        <v/>
      </c>
      <c r="E160" s="28"/>
      <c r="F160" s="30"/>
      <c r="G160" s="30"/>
      <c r="H160" s="30"/>
    </row>
    <row r="161" spans="1:8" x14ac:dyDescent="0.2">
      <c r="A161" s="30"/>
      <c r="B161" s="30"/>
      <c r="C161" s="30"/>
      <c r="D161" s="28" t="str">
        <f>IFERROR(IF(C161="","",IF(B161="موظف",VLOOKUP(C161,الموظفين!$B:$C,2,FALSE),VLOOKUP(C161,المستفيدين!$B:$C,2,FALSE))),"")</f>
        <v/>
      </c>
      <c r="E161" s="28"/>
      <c r="F161" s="30"/>
      <c r="G161" s="30"/>
      <c r="H161" s="30"/>
    </row>
    <row r="162" spans="1:8" x14ac:dyDescent="0.2">
      <c r="A162" s="30"/>
      <c r="B162" s="30"/>
      <c r="C162" s="30"/>
      <c r="D162" s="28" t="str">
        <f>IFERROR(IF(C162="","",IF(B162="موظف",VLOOKUP(C162,الموظفين!$B:$C,2,FALSE),VLOOKUP(C162,المستفيدين!$B:$C,2,FALSE))),"")</f>
        <v/>
      </c>
      <c r="E162" s="28"/>
      <c r="F162" s="30"/>
      <c r="G162" s="30"/>
      <c r="H162" s="30"/>
    </row>
    <row r="163" spans="1:8" x14ac:dyDescent="0.2">
      <c r="A163" s="30"/>
      <c r="B163" s="30"/>
      <c r="C163" s="30"/>
      <c r="D163" s="28" t="str">
        <f>IFERROR(IF(C163="","",IF(B163="موظف",VLOOKUP(C163,الموظفين!$B:$C,2,FALSE),VLOOKUP(C163,المستفيدين!$B:$C,2,FALSE))),"")</f>
        <v/>
      </c>
      <c r="E163" s="28"/>
      <c r="F163" s="30"/>
      <c r="G163" s="30"/>
      <c r="H163" s="30"/>
    </row>
    <row r="164" spans="1:8" x14ac:dyDescent="0.2">
      <c r="A164" s="30"/>
      <c r="B164" s="30"/>
      <c r="C164" s="30"/>
      <c r="D164" s="28" t="str">
        <f>IFERROR(IF(C164="","",IF(B164="موظف",VLOOKUP(C164,الموظفين!$B:$C,2,FALSE),VLOOKUP(C164,المستفيدين!$B:$C,2,FALSE))),"")</f>
        <v/>
      </c>
      <c r="E164" s="28"/>
      <c r="F164" s="30"/>
      <c r="G164" s="30"/>
      <c r="H164" s="30"/>
    </row>
    <row r="165" spans="1:8" x14ac:dyDescent="0.2">
      <c r="A165" s="30"/>
      <c r="B165" s="30"/>
      <c r="C165" s="30"/>
      <c r="D165" s="28" t="str">
        <f>IFERROR(IF(C165="","",IF(B165="موظف",VLOOKUP(C165,الموظفين!$B:$C,2,FALSE),VLOOKUP(C165,المستفيدين!$B:$C,2,FALSE))),"")</f>
        <v/>
      </c>
      <c r="E165" s="28"/>
      <c r="F165" s="30"/>
      <c r="G165" s="30"/>
      <c r="H165" s="30"/>
    </row>
    <row r="166" spans="1:8" x14ac:dyDescent="0.2">
      <c r="A166" s="30"/>
      <c r="B166" s="30"/>
      <c r="C166" s="30"/>
      <c r="D166" s="28" t="str">
        <f>IFERROR(IF(C166="","",IF(B166="موظف",VLOOKUP(C166,الموظفين!$B:$C,2,FALSE),VLOOKUP(C166,المستفيدين!$B:$C,2,FALSE))),"")</f>
        <v/>
      </c>
      <c r="E166" s="28"/>
      <c r="F166" s="30"/>
      <c r="G166" s="30"/>
      <c r="H166" s="30"/>
    </row>
    <row r="167" spans="1:8" x14ac:dyDescent="0.2">
      <c r="A167" s="30"/>
      <c r="B167" s="30"/>
      <c r="C167" s="30"/>
      <c r="D167" s="28" t="str">
        <f>IFERROR(IF(C167="","",IF(B167="موظف",VLOOKUP(C167,الموظفين!$B:$C,2,FALSE),VLOOKUP(C167,المستفيدين!$B:$C,2,FALSE))),"")</f>
        <v/>
      </c>
      <c r="E167" s="28"/>
      <c r="F167" s="30"/>
      <c r="G167" s="30"/>
      <c r="H167" s="30"/>
    </row>
    <row r="168" spans="1:8" x14ac:dyDescent="0.2">
      <c r="A168" s="30"/>
      <c r="B168" s="30"/>
      <c r="C168" s="30"/>
      <c r="D168" s="28" t="str">
        <f>IFERROR(IF(C168="","",IF(B168="موظف",VLOOKUP(C168,الموظفين!$B:$C,2,FALSE),VLOOKUP(C168,المستفيدين!$B:$C,2,FALSE))),"")</f>
        <v/>
      </c>
      <c r="E168" s="28"/>
      <c r="F168" s="30"/>
      <c r="G168" s="30"/>
      <c r="H168" s="30"/>
    </row>
    <row r="169" spans="1:8" x14ac:dyDescent="0.2">
      <c r="A169" s="30"/>
      <c r="B169" s="30"/>
      <c r="C169" s="30"/>
      <c r="D169" s="28" t="str">
        <f>IFERROR(IF(C169="","",IF(B169="موظف",VLOOKUP(C169,الموظفين!$B:$C,2,FALSE),VLOOKUP(C169,المستفيدين!$B:$C,2,FALSE))),"")</f>
        <v/>
      </c>
      <c r="E169" s="28"/>
      <c r="F169" s="30"/>
      <c r="G169" s="30"/>
      <c r="H169" s="30"/>
    </row>
    <row r="170" spans="1:8" x14ac:dyDescent="0.2">
      <c r="A170" s="30"/>
      <c r="B170" s="30"/>
      <c r="C170" s="30"/>
      <c r="D170" s="28" t="str">
        <f>IFERROR(IF(C170="","",IF(B170="موظف",VLOOKUP(C170,الموظفين!$B:$C,2,FALSE),VLOOKUP(C170,المستفيدين!$B:$C,2,FALSE))),"")</f>
        <v/>
      </c>
      <c r="E170" s="28"/>
      <c r="F170" s="30"/>
      <c r="G170" s="30"/>
      <c r="H170" s="30"/>
    </row>
    <row r="171" spans="1:8" x14ac:dyDescent="0.2">
      <c r="A171" s="30"/>
      <c r="B171" s="30"/>
      <c r="C171" s="30"/>
      <c r="D171" s="28" t="str">
        <f>IFERROR(IF(C171="","",IF(B171="موظف",VLOOKUP(C171,الموظفين!$B:$C,2,FALSE),VLOOKUP(C171,المستفيدين!$B:$C,2,FALSE))),"")</f>
        <v/>
      </c>
      <c r="E171" s="28"/>
      <c r="F171" s="30"/>
      <c r="G171" s="30"/>
      <c r="H171" s="30"/>
    </row>
    <row r="172" spans="1:8" x14ac:dyDescent="0.2">
      <c r="A172" s="30"/>
      <c r="B172" s="30"/>
      <c r="C172" s="30"/>
      <c r="D172" s="28" t="str">
        <f>IFERROR(IF(C172="","",IF(B172="موظف",VLOOKUP(C172,الموظفين!$B:$C,2,FALSE),VLOOKUP(C172,المستفيدين!$B:$C,2,FALSE))),"")</f>
        <v/>
      </c>
      <c r="E172" s="28"/>
      <c r="F172" s="30"/>
      <c r="G172" s="30"/>
      <c r="H172" s="30"/>
    </row>
    <row r="173" spans="1:8" x14ac:dyDescent="0.2">
      <c r="A173" s="30"/>
      <c r="B173" s="30"/>
      <c r="C173" s="30"/>
      <c r="D173" s="28" t="str">
        <f>IFERROR(IF(C173="","",IF(B173="موظف",VLOOKUP(C173,الموظفين!$B:$C,2,FALSE),VLOOKUP(C173,المستفيدين!$B:$C,2,FALSE))),"")</f>
        <v/>
      </c>
      <c r="E173" s="28"/>
      <c r="F173" s="30"/>
      <c r="G173" s="30"/>
      <c r="H173" s="30"/>
    </row>
    <row r="174" spans="1:8" x14ac:dyDescent="0.2">
      <c r="A174" s="30"/>
      <c r="B174" s="30"/>
      <c r="C174" s="30"/>
      <c r="D174" s="28" t="str">
        <f>IFERROR(IF(C174="","",IF(B174="موظف",VLOOKUP(C174,الموظفين!$B:$C,2,FALSE),VLOOKUP(C174,المستفيدين!$B:$C,2,FALSE))),"")</f>
        <v/>
      </c>
      <c r="E174" s="28"/>
      <c r="F174" s="30"/>
      <c r="G174" s="30"/>
      <c r="H174" s="30"/>
    </row>
    <row r="175" spans="1:8" x14ac:dyDescent="0.2">
      <c r="A175" s="30"/>
      <c r="B175" s="30"/>
      <c r="C175" s="30"/>
      <c r="D175" s="28" t="str">
        <f>IFERROR(IF(C175="","",IF(B175="موظف",VLOOKUP(C175,الموظفين!$B:$C,2,FALSE),VLOOKUP(C175,المستفيدين!$B:$C,2,FALSE))),"")</f>
        <v/>
      </c>
      <c r="E175" s="28"/>
      <c r="F175" s="30"/>
      <c r="G175" s="30"/>
      <c r="H175" s="30"/>
    </row>
    <row r="176" spans="1:8" x14ac:dyDescent="0.2">
      <c r="A176" s="30"/>
      <c r="B176" s="30"/>
      <c r="C176" s="30"/>
      <c r="D176" s="28" t="str">
        <f>IFERROR(IF(C176="","",IF(B176="موظف",VLOOKUP(C176,الموظفين!$B:$C,2,FALSE),VLOOKUP(C176,المستفيدين!$B:$C,2,FALSE))),"")</f>
        <v/>
      </c>
      <c r="E176" s="28"/>
      <c r="F176" s="30"/>
      <c r="G176" s="30"/>
      <c r="H176" s="30"/>
    </row>
    <row r="177" spans="1:8" x14ac:dyDescent="0.2">
      <c r="A177" s="30"/>
      <c r="B177" s="30"/>
      <c r="C177" s="30"/>
      <c r="D177" s="28" t="str">
        <f>IFERROR(IF(C177="","",IF(B177="موظف",VLOOKUP(C177,الموظفين!$B:$C,2,FALSE),VLOOKUP(C177,المستفيدين!$B:$C,2,FALSE))),"")</f>
        <v/>
      </c>
      <c r="E177" s="28"/>
      <c r="F177" s="30"/>
      <c r="G177" s="30"/>
      <c r="H177" s="30"/>
    </row>
    <row r="178" spans="1:8" x14ac:dyDescent="0.2">
      <c r="A178" s="30"/>
      <c r="B178" s="30"/>
      <c r="C178" s="30"/>
      <c r="D178" s="28" t="str">
        <f>IFERROR(IF(C178="","",IF(B178="موظف",VLOOKUP(C178,الموظفين!$B:$C,2,FALSE),VLOOKUP(C178,المستفيدين!$B:$C,2,FALSE))),"")</f>
        <v/>
      </c>
      <c r="E178" s="28"/>
      <c r="F178" s="30"/>
      <c r="G178" s="30"/>
      <c r="H178" s="30"/>
    </row>
    <row r="179" spans="1:8" x14ac:dyDescent="0.2">
      <c r="A179" s="30"/>
      <c r="B179" s="30"/>
      <c r="C179" s="30"/>
      <c r="D179" s="28" t="str">
        <f>IFERROR(IF(C179="","",IF(B179="موظف",VLOOKUP(C179,الموظفين!$B:$C,2,FALSE),VLOOKUP(C179,المستفيدين!$B:$C,2,FALSE))),"")</f>
        <v/>
      </c>
      <c r="E179" s="28"/>
      <c r="F179" s="30"/>
      <c r="G179" s="30"/>
      <c r="H179" s="30"/>
    </row>
    <row r="180" spans="1:8" x14ac:dyDescent="0.2">
      <c r="A180" s="30"/>
      <c r="B180" s="30"/>
      <c r="C180" s="30"/>
      <c r="D180" s="28" t="str">
        <f>IFERROR(IF(C180="","",IF(B180="موظف",VLOOKUP(C180,الموظفين!$B:$C,2,FALSE),VLOOKUP(C180,المستفيدين!$B:$C,2,FALSE))),"")</f>
        <v/>
      </c>
      <c r="E180" s="28"/>
      <c r="F180" s="30"/>
      <c r="G180" s="30"/>
      <c r="H180" s="30"/>
    </row>
    <row r="181" spans="1:8" x14ac:dyDescent="0.2">
      <c r="A181" s="30"/>
      <c r="B181" s="30"/>
      <c r="C181" s="30"/>
      <c r="D181" s="28" t="str">
        <f>IFERROR(IF(C181="","",IF(B181="موظف",VLOOKUP(C181,الموظفين!$B:$C,2,FALSE),VLOOKUP(C181,المستفيدين!$B:$C,2,FALSE))),"")</f>
        <v/>
      </c>
      <c r="E181" s="28"/>
      <c r="F181" s="30"/>
      <c r="G181" s="30"/>
      <c r="H181" s="30"/>
    </row>
    <row r="182" spans="1:8" x14ac:dyDescent="0.2">
      <c r="A182" s="30"/>
      <c r="B182" s="30"/>
      <c r="C182" s="30"/>
      <c r="D182" s="28" t="str">
        <f>IFERROR(IF(C182="","",IF(B182="موظف",VLOOKUP(C182,الموظفين!$B:$C,2,FALSE),VLOOKUP(C182,المستفيدين!$B:$C,2,FALSE))),"")</f>
        <v/>
      </c>
      <c r="E182" s="28"/>
      <c r="F182" s="30"/>
      <c r="G182" s="30"/>
      <c r="H182" s="30"/>
    </row>
    <row r="183" spans="1:8" x14ac:dyDescent="0.2">
      <c r="A183" s="30"/>
      <c r="B183" s="30"/>
      <c r="C183" s="30"/>
      <c r="D183" s="28" t="str">
        <f>IFERROR(IF(C183="","",IF(B183="موظف",VLOOKUP(C183,الموظفين!$B:$C,2,FALSE),VLOOKUP(C183,المستفيدين!$B:$C,2,FALSE))),"")</f>
        <v/>
      </c>
      <c r="E183" s="28"/>
      <c r="F183" s="30"/>
      <c r="G183" s="30"/>
      <c r="H183" s="30"/>
    </row>
    <row r="184" spans="1:8" x14ac:dyDescent="0.2">
      <c r="A184" s="30"/>
      <c r="B184" s="30"/>
      <c r="C184" s="30"/>
      <c r="D184" s="28" t="str">
        <f>IFERROR(IF(C184="","",IF(B184="موظف",VLOOKUP(C184,الموظفين!$B:$C,2,FALSE),VLOOKUP(C184,المستفيدين!$B:$C,2,FALSE))),"")</f>
        <v/>
      </c>
      <c r="E184" s="28"/>
      <c r="F184" s="30"/>
      <c r="G184" s="30"/>
      <c r="H184" s="30"/>
    </row>
    <row r="185" spans="1:8" x14ac:dyDescent="0.2">
      <c r="A185" s="30"/>
      <c r="B185" s="30"/>
      <c r="C185" s="30"/>
      <c r="D185" s="28" t="str">
        <f>IFERROR(IF(C185="","",IF(B185="موظف",VLOOKUP(C185,الموظفين!$B:$C,2,FALSE),VLOOKUP(C185,المستفيدين!$B:$C,2,FALSE))),"")</f>
        <v/>
      </c>
      <c r="E185" s="28"/>
      <c r="F185" s="30"/>
      <c r="G185" s="30"/>
      <c r="H185" s="30"/>
    </row>
    <row r="186" spans="1:8" x14ac:dyDescent="0.2">
      <c r="A186" s="30"/>
      <c r="B186" s="30"/>
      <c r="C186" s="30"/>
      <c r="D186" s="28" t="str">
        <f>IFERROR(IF(C186="","",IF(B186="موظف",VLOOKUP(C186,الموظفين!$B:$C,2,FALSE),VLOOKUP(C186,المستفيدين!$B:$C,2,FALSE))),"")</f>
        <v/>
      </c>
      <c r="E186" s="28"/>
      <c r="F186" s="30"/>
      <c r="G186" s="30"/>
      <c r="H186" s="30"/>
    </row>
    <row r="187" spans="1:8" x14ac:dyDescent="0.2">
      <c r="A187" s="30"/>
      <c r="B187" s="30"/>
      <c r="C187" s="30"/>
      <c r="D187" s="28" t="str">
        <f>IFERROR(IF(C187="","",IF(B187="موظف",VLOOKUP(C187,الموظفين!$B:$C,2,FALSE),VLOOKUP(C187,المستفيدين!$B:$C,2,FALSE))),"")</f>
        <v/>
      </c>
      <c r="E187" s="28"/>
      <c r="F187" s="30"/>
      <c r="G187" s="30"/>
      <c r="H187" s="30"/>
    </row>
    <row r="188" spans="1:8" x14ac:dyDescent="0.2">
      <c r="A188" s="30"/>
      <c r="B188" s="30"/>
      <c r="C188" s="30"/>
      <c r="D188" s="28" t="str">
        <f>IFERROR(IF(C188="","",IF(B188="موظف",VLOOKUP(C188,الموظفين!$B:$C,2,FALSE),VLOOKUP(C188,المستفيدين!$B:$C,2,FALSE))),"")</f>
        <v/>
      </c>
      <c r="E188" s="28"/>
      <c r="F188" s="30"/>
      <c r="G188" s="30"/>
      <c r="H188" s="30"/>
    </row>
    <row r="189" spans="1:8" x14ac:dyDescent="0.2">
      <c r="A189" s="30"/>
      <c r="B189" s="30"/>
      <c r="C189" s="30"/>
      <c r="D189" s="28" t="str">
        <f>IFERROR(IF(C189="","",IF(B189="موظف",VLOOKUP(C189,الموظفين!$B:$C,2,FALSE),VLOOKUP(C189,المستفيدين!$B:$C,2,FALSE))),"")</f>
        <v/>
      </c>
      <c r="E189" s="28"/>
      <c r="F189" s="30"/>
      <c r="G189" s="30"/>
      <c r="H189" s="30"/>
    </row>
    <row r="190" spans="1:8" x14ac:dyDescent="0.2">
      <c r="A190" s="30"/>
      <c r="B190" s="30"/>
      <c r="C190" s="30"/>
      <c r="D190" s="28" t="str">
        <f>IFERROR(IF(C190="","",IF(B190="موظف",VLOOKUP(C190,الموظفين!$B:$C,2,FALSE),VLOOKUP(C190,المستفيدين!$B:$C,2,FALSE))),"")</f>
        <v/>
      </c>
      <c r="E190" s="28"/>
      <c r="F190" s="30"/>
      <c r="G190" s="30"/>
      <c r="H190" s="30"/>
    </row>
    <row r="191" spans="1:8" x14ac:dyDescent="0.2">
      <c r="A191" s="30"/>
      <c r="B191" s="30"/>
      <c r="C191" s="30"/>
      <c r="D191" s="28" t="str">
        <f>IFERROR(IF(C191="","",IF(B191="موظف",VLOOKUP(C191,الموظفين!$B:$C,2,FALSE),VLOOKUP(C191,المستفيدين!$B:$C,2,FALSE))),"")</f>
        <v/>
      </c>
      <c r="E191" s="28"/>
      <c r="F191" s="30"/>
      <c r="G191" s="30"/>
      <c r="H191" s="30"/>
    </row>
    <row r="192" spans="1:8" x14ac:dyDescent="0.2">
      <c r="A192" s="30"/>
      <c r="B192" s="30"/>
      <c r="C192" s="30"/>
      <c r="D192" s="28" t="str">
        <f>IFERROR(IF(C192="","",IF(B192="موظف",VLOOKUP(C192,الموظفين!$B:$C,2,FALSE),VLOOKUP(C192,المستفيدين!$B:$C,2,FALSE))),"")</f>
        <v/>
      </c>
      <c r="E192" s="28"/>
      <c r="F192" s="30"/>
      <c r="G192" s="30"/>
      <c r="H192" s="30"/>
    </row>
    <row r="193" spans="1:8" x14ac:dyDescent="0.2">
      <c r="A193" s="30"/>
      <c r="B193" s="30"/>
      <c r="C193" s="30"/>
      <c r="D193" s="28" t="str">
        <f>IFERROR(IF(C193="","",IF(B193="موظف",VLOOKUP(C193,الموظفين!$B:$C,2,FALSE),VLOOKUP(C193,المستفيدين!$B:$C,2,FALSE))),"")</f>
        <v/>
      </c>
      <c r="E193" s="28"/>
      <c r="F193" s="30"/>
      <c r="G193" s="30"/>
      <c r="H193" s="30"/>
    </row>
    <row r="194" spans="1:8" x14ac:dyDescent="0.2">
      <c r="A194" s="30"/>
      <c r="B194" s="30"/>
      <c r="C194" s="30"/>
      <c r="D194" s="28" t="str">
        <f>IFERROR(IF(C194="","",IF(B194="موظف",VLOOKUP(C194,الموظفين!$B:$C,2,FALSE),VLOOKUP(C194,المستفيدين!$B:$C,2,FALSE))),"")</f>
        <v/>
      </c>
      <c r="E194" s="28"/>
      <c r="F194" s="30"/>
      <c r="G194" s="30"/>
      <c r="H194" s="30"/>
    </row>
    <row r="195" spans="1:8" x14ac:dyDescent="0.2">
      <c r="A195" s="30"/>
      <c r="B195" s="30"/>
      <c r="C195" s="30"/>
      <c r="D195" s="28" t="str">
        <f>IFERROR(IF(C195="","",IF(B195="موظف",VLOOKUP(C195,الموظفين!$B:$C,2,FALSE),VLOOKUP(C195,المستفيدين!$B:$C,2,FALSE))),"")</f>
        <v/>
      </c>
      <c r="E195" s="28"/>
      <c r="F195" s="30"/>
      <c r="G195" s="30"/>
      <c r="H195" s="30"/>
    </row>
    <row r="196" spans="1:8" x14ac:dyDescent="0.2">
      <c r="A196" s="30"/>
      <c r="B196" s="30"/>
      <c r="C196" s="30"/>
      <c r="D196" s="28" t="str">
        <f>IFERROR(IF(C196="","",IF(B196="موظف",VLOOKUP(C196,الموظفين!$B:$C,2,FALSE),VLOOKUP(C196,المستفيدين!$B:$C,2,FALSE))),"")</f>
        <v/>
      </c>
      <c r="E196" s="28"/>
      <c r="F196" s="30"/>
      <c r="G196" s="30"/>
      <c r="H196" s="30"/>
    </row>
    <row r="197" spans="1:8" x14ac:dyDescent="0.2">
      <c r="A197" s="30"/>
      <c r="B197" s="30"/>
      <c r="C197" s="30"/>
      <c r="D197" s="28" t="str">
        <f>IFERROR(IF(C197="","",IF(B197="موظف",VLOOKUP(C197,الموظفين!$B:$C,2,FALSE),VLOOKUP(C197,المستفيدين!$B:$C,2,FALSE))),"")</f>
        <v/>
      </c>
      <c r="E197" s="28"/>
      <c r="F197" s="30"/>
      <c r="G197" s="30"/>
      <c r="H197" s="30"/>
    </row>
    <row r="198" spans="1:8" x14ac:dyDescent="0.2">
      <c r="A198" s="30"/>
      <c r="B198" s="30"/>
      <c r="C198" s="30"/>
      <c r="D198" s="28" t="str">
        <f>IFERROR(IF(C198="","",IF(B198="موظف",VLOOKUP(C198,الموظفين!$B:$C,2,FALSE),VLOOKUP(C198,المستفيدين!$B:$C,2,FALSE))),"")</f>
        <v/>
      </c>
      <c r="E198" s="28"/>
      <c r="F198" s="30"/>
      <c r="G198" s="30"/>
      <c r="H198" s="30"/>
    </row>
    <row r="199" spans="1:8" x14ac:dyDescent="0.2">
      <c r="A199" s="30"/>
      <c r="B199" s="30"/>
      <c r="C199" s="30"/>
      <c r="D199" s="28" t="str">
        <f>IFERROR(IF(C199="","",IF(B199="موظف",VLOOKUP(C199,الموظفين!$B:$C,2,FALSE),VLOOKUP(C199,المستفيدين!$B:$C,2,FALSE))),"")</f>
        <v/>
      </c>
      <c r="E199" s="28"/>
      <c r="F199" s="30"/>
      <c r="G199" s="30"/>
      <c r="H199" s="30"/>
    </row>
    <row r="200" spans="1:8" x14ac:dyDescent="0.2">
      <c r="A200" s="30"/>
      <c r="B200" s="30"/>
      <c r="C200" s="30"/>
      <c r="D200" s="28" t="str">
        <f>IFERROR(IF(C200="","",IF(B200="موظف",VLOOKUP(C200,الموظفين!$B:$C,2,FALSE),VLOOKUP(C200,المستفيدين!$B:$C,2,FALSE))),"")</f>
        <v/>
      </c>
      <c r="E200" s="28"/>
      <c r="F200" s="30"/>
      <c r="G200" s="30"/>
      <c r="H200" s="30"/>
    </row>
    <row r="201" spans="1:8" x14ac:dyDescent="0.2">
      <c r="A201" s="30"/>
      <c r="B201" s="30"/>
      <c r="C201" s="30"/>
      <c r="D201" s="28" t="str">
        <f>IFERROR(IF(C201="","",IF(B201="موظف",VLOOKUP(C201,الموظفين!$B:$C,2,FALSE),VLOOKUP(C201,المستفيدين!$B:$C,2,FALSE))),"")</f>
        <v/>
      </c>
      <c r="E201" s="28"/>
      <c r="F201" s="30"/>
      <c r="G201" s="30"/>
      <c r="H201" s="30"/>
    </row>
    <row r="202" spans="1:8" x14ac:dyDescent="0.2">
      <c r="A202" s="30"/>
      <c r="B202" s="30"/>
      <c r="C202" s="30"/>
      <c r="D202" s="28" t="str">
        <f>IFERROR(IF(C202="","",IF(B202="موظف",VLOOKUP(C202,الموظفين!$B:$C,2,FALSE),VLOOKUP(C202,المستفيدين!$B:$C,2,FALSE))),"")</f>
        <v/>
      </c>
      <c r="E202" s="28"/>
      <c r="F202" s="30"/>
      <c r="G202" s="30"/>
      <c r="H202" s="30"/>
    </row>
    <row r="203" spans="1:8" x14ac:dyDescent="0.2">
      <c r="A203" s="30"/>
      <c r="B203" s="30"/>
      <c r="C203" s="30"/>
      <c r="D203" s="28" t="str">
        <f>IFERROR(IF(C203="","",IF(B203="موظف",VLOOKUP(C203,الموظفين!$B:$C,2,FALSE),VLOOKUP(C203,المستفيدين!$B:$C,2,FALSE))),"")</f>
        <v/>
      </c>
      <c r="E203" s="28"/>
      <c r="F203" s="30"/>
      <c r="G203" s="30"/>
      <c r="H203" s="30"/>
    </row>
    <row r="204" spans="1:8" x14ac:dyDescent="0.2">
      <c r="A204" s="30"/>
      <c r="B204" s="30"/>
      <c r="C204" s="30"/>
      <c r="D204" s="28" t="str">
        <f>IFERROR(IF(C204="","",IF(B204="موظف",VLOOKUP(C204,الموظفين!$B:$C,2,FALSE),VLOOKUP(C204,المستفيدين!$B:$C,2,FALSE))),"")</f>
        <v/>
      </c>
      <c r="E204" s="28"/>
      <c r="F204" s="30"/>
      <c r="G204" s="30"/>
      <c r="H204" s="30"/>
    </row>
    <row r="205" spans="1:8" x14ac:dyDescent="0.2">
      <c r="A205" s="30"/>
      <c r="B205" s="30"/>
      <c r="C205" s="30"/>
      <c r="D205" s="28" t="str">
        <f>IFERROR(IF(C205="","",IF(B205="موظف",VLOOKUP(C205,الموظفين!$B:$C,2,FALSE),VLOOKUP(C205,المستفيدين!$B:$C,2,FALSE))),"")</f>
        <v/>
      </c>
      <c r="E205" s="28"/>
      <c r="F205" s="30"/>
      <c r="G205" s="30"/>
      <c r="H205" s="30"/>
    </row>
    <row r="206" spans="1:8" x14ac:dyDescent="0.2">
      <c r="A206" s="30"/>
      <c r="B206" s="30"/>
      <c r="C206" s="30"/>
      <c r="D206" s="28" t="str">
        <f>IFERROR(IF(C206="","",IF(B206="موظف",VLOOKUP(C206,الموظفين!$B:$C,2,FALSE),VLOOKUP(C206,المستفيدين!$B:$C,2,FALSE))),"")</f>
        <v/>
      </c>
      <c r="E206" s="28"/>
      <c r="F206" s="30"/>
      <c r="G206" s="30"/>
      <c r="H206" s="30"/>
    </row>
    <row r="207" spans="1:8" x14ac:dyDescent="0.2">
      <c r="A207" s="30"/>
      <c r="B207" s="30"/>
      <c r="C207" s="30"/>
      <c r="D207" s="28" t="str">
        <f>IFERROR(IF(C207="","",IF(B207="موظف",VLOOKUP(C207,الموظفين!$B:$C,2,FALSE),VLOOKUP(C207,المستفيدين!$B:$C,2,FALSE))),"")</f>
        <v/>
      </c>
      <c r="E207" s="28"/>
      <c r="F207" s="30"/>
      <c r="G207" s="30"/>
      <c r="H207" s="30"/>
    </row>
    <row r="208" spans="1:8" x14ac:dyDescent="0.2">
      <c r="A208" s="30"/>
      <c r="B208" s="30"/>
      <c r="C208" s="30"/>
      <c r="D208" s="28" t="str">
        <f>IFERROR(IF(C208="","",IF(B208="موظف",VLOOKUP(C208,الموظفين!$B:$C,2,FALSE),VLOOKUP(C208,المستفيدين!$B:$C,2,FALSE))),"")</f>
        <v/>
      </c>
      <c r="E208" s="28"/>
      <c r="F208" s="30"/>
      <c r="G208" s="30"/>
      <c r="H208" s="30"/>
    </row>
    <row r="209" spans="1:8" x14ac:dyDescent="0.2">
      <c r="A209" s="30"/>
      <c r="B209" s="30"/>
      <c r="C209" s="30"/>
      <c r="D209" s="28" t="str">
        <f>IFERROR(IF(C209="","",IF(B209="موظف",VLOOKUP(C209,الموظفين!$B:$C,2,FALSE),VLOOKUP(C209,المستفيدين!$B:$C,2,FALSE))),"")</f>
        <v/>
      </c>
      <c r="E209" s="28"/>
      <c r="F209" s="30"/>
      <c r="G209" s="30"/>
      <c r="H209" s="30"/>
    </row>
    <row r="210" spans="1:8" x14ac:dyDescent="0.2">
      <c r="A210" s="30"/>
      <c r="B210" s="30"/>
      <c r="C210" s="30"/>
      <c r="D210" s="28" t="str">
        <f>IFERROR(IF(C210="","",IF(B210="موظف",VLOOKUP(C210,الموظفين!$B:$C,2,FALSE),VLOOKUP(C210,المستفيدين!$B:$C,2,FALSE))),"")</f>
        <v/>
      </c>
      <c r="E210" s="28"/>
      <c r="F210" s="30"/>
      <c r="G210" s="30"/>
      <c r="H210" s="30"/>
    </row>
    <row r="211" spans="1:8" x14ac:dyDescent="0.2">
      <c r="A211" s="30"/>
      <c r="B211" s="30"/>
      <c r="C211" s="30"/>
      <c r="D211" s="28" t="str">
        <f>IFERROR(IF(C211="","",IF(B211="موظف",VLOOKUP(C211,الموظفين!$B:$C,2,FALSE),VLOOKUP(C211,المستفيدين!$B:$C,2,FALSE))),"")</f>
        <v/>
      </c>
      <c r="E211" s="28"/>
      <c r="F211" s="30"/>
      <c r="G211" s="30"/>
      <c r="H211" s="30"/>
    </row>
    <row r="212" spans="1:8" x14ac:dyDescent="0.2">
      <c r="A212" s="30"/>
      <c r="B212" s="30"/>
      <c r="C212" s="30"/>
      <c r="D212" s="28" t="str">
        <f>IFERROR(IF(C212="","",IF(B212="موظف",VLOOKUP(C212,الموظفين!$B:$C,2,FALSE),VLOOKUP(C212,المستفيدين!$B:$C,2,FALSE))),"")</f>
        <v/>
      </c>
      <c r="E212" s="28"/>
      <c r="F212" s="30"/>
      <c r="G212" s="30"/>
      <c r="H212" s="30"/>
    </row>
    <row r="213" spans="1:8" x14ac:dyDescent="0.2">
      <c r="A213" s="30"/>
      <c r="B213" s="30"/>
      <c r="C213" s="30"/>
      <c r="D213" s="28" t="str">
        <f>IFERROR(IF(C213="","",IF(B213="موظف",VLOOKUP(C213,الموظفين!$B:$C,2,FALSE),VLOOKUP(C213,المستفيدين!$B:$C,2,FALSE))),"")</f>
        <v/>
      </c>
      <c r="E213" s="28"/>
      <c r="F213" s="30"/>
      <c r="G213" s="30"/>
      <c r="H213" s="30"/>
    </row>
    <row r="214" spans="1:8" x14ac:dyDescent="0.2">
      <c r="A214" s="30"/>
      <c r="B214" s="30"/>
      <c r="C214" s="30"/>
      <c r="D214" s="28" t="str">
        <f>IFERROR(IF(C214="","",IF(B214="موظف",VLOOKUP(C214,الموظفين!$B:$C,2,FALSE),VLOOKUP(C214,المستفيدين!$B:$C,2,FALSE))),"")</f>
        <v/>
      </c>
      <c r="E214" s="28"/>
      <c r="F214" s="30"/>
      <c r="G214" s="30"/>
      <c r="H214" s="30"/>
    </row>
    <row r="215" spans="1:8" x14ac:dyDescent="0.2">
      <c r="A215" s="30"/>
      <c r="B215" s="30"/>
      <c r="C215" s="30"/>
      <c r="D215" s="28" t="str">
        <f>IFERROR(IF(C215="","",IF(B215="موظف",VLOOKUP(C215,الموظفين!$B:$C,2,FALSE),VLOOKUP(C215,المستفيدين!$B:$C,2,FALSE))),"")</f>
        <v/>
      </c>
      <c r="E215" s="28"/>
      <c r="F215" s="30"/>
      <c r="G215" s="30"/>
      <c r="H215" s="30"/>
    </row>
    <row r="216" spans="1:8" x14ac:dyDescent="0.2">
      <c r="A216" s="30"/>
      <c r="B216" s="30"/>
      <c r="C216" s="30"/>
      <c r="D216" s="28" t="str">
        <f>IFERROR(IF(C216="","",IF(B216="موظف",VLOOKUP(C216,الموظفين!$B:$C,2,FALSE),VLOOKUP(C216,المستفيدين!$B:$C,2,FALSE))),"")</f>
        <v/>
      </c>
      <c r="E216" s="28"/>
      <c r="F216" s="30"/>
      <c r="G216" s="30"/>
      <c r="H216" s="30"/>
    </row>
    <row r="217" spans="1:8" x14ac:dyDescent="0.2">
      <c r="A217" s="30"/>
      <c r="B217" s="30"/>
      <c r="C217" s="30"/>
      <c r="D217" s="28" t="str">
        <f>IFERROR(IF(C217="","",IF(B217="موظف",VLOOKUP(C217,الموظفين!$B:$C,2,FALSE),VLOOKUP(C217,المستفيدين!$B:$C,2,FALSE))),"")</f>
        <v/>
      </c>
      <c r="E217" s="28"/>
      <c r="F217" s="30"/>
      <c r="G217" s="30"/>
      <c r="H217" s="30"/>
    </row>
    <row r="218" spans="1:8" x14ac:dyDescent="0.2">
      <c r="A218" s="30"/>
      <c r="B218" s="30"/>
      <c r="C218" s="30"/>
      <c r="D218" s="28" t="str">
        <f>IFERROR(IF(C218="","",IF(B218="موظف",VLOOKUP(C218,الموظفين!$B:$C,2,FALSE),VLOOKUP(C218,المستفيدين!$B:$C,2,FALSE))),"")</f>
        <v/>
      </c>
      <c r="E218" s="28"/>
      <c r="F218" s="30"/>
      <c r="G218" s="30"/>
      <c r="H218" s="30"/>
    </row>
    <row r="219" spans="1:8" x14ac:dyDescent="0.2">
      <c r="A219" s="30"/>
      <c r="B219" s="30"/>
      <c r="C219" s="30"/>
      <c r="D219" s="28" t="str">
        <f>IFERROR(IF(C219="","",IF(B219="موظف",VLOOKUP(C219,الموظفين!$B:$C,2,FALSE),VLOOKUP(C219,المستفيدين!$B:$C,2,FALSE))),"")</f>
        <v/>
      </c>
      <c r="E219" s="28"/>
      <c r="F219" s="30"/>
      <c r="G219" s="30"/>
      <c r="H219" s="30"/>
    </row>
    <row r="220" spans="1:8" x14ac:dyDescent="0.2">
      <c r="A220" s="30"/>
      <c r="B220" s="30"/>
      <c r="C220" s="30"/>
      <c r="D220" s="28" t="str">
        <f>IFERROR(IF(C220="","",IF(B220="موظف",VLOOKUP(C220,الموظفين!$B:$C,2,FALSE),VLOOKUP(C220,المستفيدين!$B:$C,2,FALSE))),"")</f>
        <v/>
      </c>
      <c r="E220" s="28"/>
      <c r="F220" s="30"/>
      <c r="G220" s="30"/>
      <c r="H220" s="30"/>
    </row>
    <row r="221" spans="1:8" x14ac:dyDescent="0.2">
      <c r="A221" s="30"/>
      <c r="B221" s="30"/>
      <c r="C221" s="30"/>
      <c r="D221" s="28" t="str">
        <f>IFERROR(IF(C221="","",IF(B221="موظف",VLOOKUP(C221,الموظفين!$B:$C,2,FALSE),VLOOKUP(C221,المستفيدين!$B:$C,2,FALSE))),"")</f>
        <v/>
      </c>
      <c r="E221" s="28"/>
      <c r="F221" s="30"/>
      <c r="G221" s="30"/>
      <c r="H221" s="30"/>
    </row>
    <row r="222" spans="1:8" x14ac:dyDescent="0.2">
      <c r="A222" s="30"/>
      <c r="B222" s="30"/>
      <c r="C222" s="30"/>
      <c r="D222" s="28" t="str">
        <f>IFERROR(IF(C222="","",IF(B222="موظف",VLOOKUP(C222,الموظفين!$B:$C,2,FALSE),VLOOKUP(C222,المستفيدين!$B:$C,2,FALSE))),"")</f>
        <v/>
      </c>
      <c r="E222" s="28"/>
      <c r="F222" s="30"/>
      <c r="G222" s="30"/>
      <c r="H222" s="30"/>
    </row>
    <row r="223" spans="1:8" x14ac:dyDescent="0.2">
      <c r="A223" s="30"/>
      <c r="B223" s="30"/>
      <c r="C223" s="30"/>
      <c r="D223" s="28" t="str">
        <f>IFERROR(IF(C223="","",IF(B223="موظف",VLOOKUP(C223,الموظفين!$B:$C,2,FALSE),VLOOKUP(C223,المستفيدين!$B:$C,2,FALSE))),"")</f>
        <v/>
      </c>
      <c r="E223" s="28"/>
      <c r="F223" s="30"/>
      <c r="G223" s="30"/>
      <c r="H223" s="30"/>
    </row>
    <row r="224" spans="1:8" x14ac:dyDescent="0.2">
      <c r="A224" s="30"/>
      <c r="B224" s="30"/>
      <c r="C224" s="30"/>
      <c r="D224" s="28" t="str">
        <f>IFERROR(IF(C224="","",IF(B224="موظف",VLOOKUP(C224,الموظفين!$B:$C,2,FALSE),VLOOKUP(C224,المستفيدين!$B:$C,2,FALSE))),"")</f>
        <v/>
      </c>
      <c r="E224" s="28"/>
      <c r="F224" s="30"/>
      <c r="G224" s="30"/>
      <c r="H224" s="30"/>
    </row>
    <row r="225" spans="1:8" x14ac:dyDescent="0.2">
      <c r="A225" s="30"/>
      <c r="B225" s="30"/>
      <c r="C225" s="30"/>
      <c r="D225" s="28" t="str">
        <f>IFERROR(IF(C225="","",IF(B225="موظف",VLOOKUP(C225,الموظفين!$B:$C,2,FALSE),VLOOKUP(C225,المستفيدين!$B:$C,2,FALSE))),"")</f>
        <v/>
      </c>
      <c r="E225" s="28"/>
      <c r="F225" s="30"/>
      <c r="G225" s="30"/>
      <c r="H225" s="30"/>
    </row>
    <row r="226" spans="1:8" x14ac:dyDescent="0.2">
      <c r="A226" s="30"/>
      <c r="B226" s="30"/>
      <c r="C226" s="30"/>
      <c r="D226" s="28" t="str">
        <f>IFERROR(IF(C226="","",IF(B226="موظف",VLOOKUP(C226,الموظفين!$B:$C,2,FALSE),VLOOKUP(C226,المستفيدين!$B:$C,2,FALSE))),"")</f>
        <v/>
      </c>
      <c r="E226" s="28"/>
      <c r="F226" s="30"/>
      <c r="G226" s="30"/>
      <c r="H226" s="30"/>
    </row>
    <row r="227" spans="1:8" x14ac:dyDescent="0.2">
      <c r="A227" s="30"/>
      <c r="B227" s="30"/>
      <c r="C227" s="30"/>
      <c r="D227" s="28" t="str">
        <f>IFERROR(IF(C227="","",IF(B227="موظف",VLOOKUP(C227,الموظفين!$B:$C,2,FALSE),VLOOKUP(C227,المستفيدين!$B:$C,2,FALSE))),"")</f>
        <v/>
      </c>
      <c r="E227" s="28"/>
      <c r="F227" s="30"/>
      <c r="G227" s="30"/>
      <c r="H227" s="30"/>
    </row>
    <row r="228" spans="1:8" x14ac:dyDescent="0.2">
      <c r="A228" s="30"/>
      <c r="B228" s="30"/>
      <c r="C228" s="30"/>
      <c r="D228" s="28" t="str">
        <f>IFERROR(IF(C228="","",IF(B228="موظف",VLOOKUP(C228,الموظفين!$B:$C,2,FALSE),VLOOKUP(C228,المستفيدين!$B:$C,2,FALSE))),"")</f>
        <v/>
      </c>
      <c r="E228" s="28"/>
      <c r="F228" s="30"/>
      <c r="G228" s="30"/>
      <c r="H228" s="30"/>
    </row>
    <row r="229" spans="1:8" x14ac:dyDescent="0.2">
      <c r="A229" s="30"/>
      <c r="B229" s="30"/>
      <c r="C229" s="30"/>
      <c r="D229" s="28" t="str">
        <f>IFERROR(IF(C229="","",IF(B229="موظف",VLOOKUP(C229,الموظفين!$B:$C,2,FALSE),VLOOKUP(C229,المستفيدين!$B:$C,2,FALSE))),"")</f>
        <v/>
      </c>
      <c r="E229" s="28"/>
      <c r="F229" s="30"/>
      <c r="G229" s="30"/>
      <c r="H229" s="30"/>
    </row>
    <row r="230" spans="1:8" x14ac:dyDescent="0.2">
      <c r="A230" s="30"/>
      <c r="B230" s="30"/>
      <c r="C230" s="30"/>
      <c r="D230" s="28" t="str">
        <f>IFERROR(IF(C230="","",IF(B230="موظف",VLOOKUP(C230,الموظفين!$B:$C,2,FALSE),VLOOKUP(C230,المستفيدين!$B:$C,2,FALSE))),"")</f>
        <v/>
      </c>
      <c r="E230" s="28"/>
      <c r="F230" s="30"/>
      <c r="G230" s="30"/>
      <c r="H230" s="30"/>
    </row>
    <row r="231" spans="1:8" x14ac:dyDescent="0.2">
      <c r="A231" s="30"/>
      <c r="B231" s="30"/>
      <c r="C231" s="30"/>
      <c r="D231" s="28" t="str">
        <f>IFERROR(IF(C231="","",IF(B231="موظف",VLOOKUP(C231,الموظفين!$B:$C,2,FALSE),VLOOKUP(C231,المستفيدين!$B:$C,2,FALSE))),"")</f>
        <v/>
      </c>
      <c r="E231" s="28"/>
      <c r="F231" s="30"/>
      <c r="G231" s="30"/>
      <c r="H231" s="30"/>
    </row>
    <row r="232" spans="1:8" x14ac:dyDescent="0.2">
      <c r="A232" s="30"/>
      <c r="B232" s="30"/>
      <c r="C232" s="30"/>
      <c r="D232" s="28" t="str">
        <f>IFERROR(IF(C232="","",IF(B232="موظف",VLOOKUP(C232,الموظفين!$B:$C,2,FALSE),VLOOKUP(C232,المستفيدين!$B:$C,2,FALSE))),"")</f>
        <v/>
      </c>
      <c r="E232" s="28"/>
      <c r="F232" s="30"/>
      <c r="G232" s="30"/>
      <c r="H232" s="30"/>
    </row>
    <row r="233" spans="1:8" x14ac:dyDescent="0.2">
      <c r="A233" s="30"/>
      <c r="B233" s="30"/>
      <c r="C233" s="30"/>
      <c r="D233" s="28" t="str">
        <f>IFERROR(IF(C233="","",IF(B233="موظف",VLOOKUP(C233,الموظفين!$B:$C,2,FALSE),VLOOKUP(C233,المستفيدين!$B:$C,2,FALSE))),"")</f>
        <v/>
      </c>
      <c r="E233" s="28"/>
      <c r="F233" s="30"/>
      <c r="G233" s="30"/>
      <c r="H233" s="30"/>
    </row>
    <row r="234" spans="1:8" x14ac:dyDescent="0.2">
      <c r="A234" s="30"/>
      <c r="B234" s="30"/>
      <c r="C234" s="30"/>
      <c r="D234" s="28" t="str">
        <f>IFERROR(IF(C234="","",IF(B234="موظف",VLOOKUP(C234,الموظفين!$B:$C,2,FALSE),VLOOKUP(C234,المستفيدين!$B:$C,2,FALSE))),"")</f>
        <v/>
      </c>
      <c r="E234" s="28"/>
      <c r="F234" s="30"/>
      <c r="G234" s="30"/>
      <c r="H234" s="30"/>
    </row>
    <row r="235" spans="1:8" x14ac:dyDescent="0.2">
      <c r="A235" s="30"/>
      <c r="B235" s="30"/>
      <c r="C235" s="30"/>
      <c r="D235" s="28" t="str">
        <f>IFERROR(IF(C235="","",IF(B235="موظف",VLOOKUP(C235,الموظفين!$B:$C,2,FALSE),VLOOKUP(C235,المستفيدين!$B:$C,2,FALSE))),"")</f>
        <v/>
      </c>
      <c r="E235" s="28"/>
      <c r="F235" s="30"/>
      <c r="G235" s="30"/>
      <c r="H235" s="30"/>
    </row>
    <row r="236" spans="1:8" x14ac:dyDescent="0.2">
      <c r="A236" s="30"/>
      <c r="B236" s="30"/>
      <c r="C236" s="30"/>
      <c r="D236" s="28" t="str">
        <f>IFERROR(IF(C236="","",IF(B236="موظف",VLOOKUP(C236,الموظفين!$B:$C,2,FALSE),VLOOKUP(C236,المستفيدين!$B:$C,2,FALSE))),"")</f>
        <v/>
      </c>
      <c r="E236" s="28"/>
      <c r="F236" s="30"/>
      <c r="G236" s="30"/>
      <c r="H236" s="30"/>
    </row>
    <row r="237" spans="1:8" x14ac:dyDescent="0.2">
      <c r="A237" s="30"/>
      <c r="B237" s="30"/>
      <c r="C237" s="30"/>
      <c r="D237" s="28" t="str">
        <f>IFERROR(IF(C237="","",IF(B237="موظف",VLOOKUP(C237,الموظفين!$B:$C,2,FALSE),VLOOKUP(C237,المستفيدين!$B:$C,2,FALSE))),"")</f>
        <v/>
      </c>
      <c r="E237" s="28"/>
      <c r="F237" s="30"/>
      <c r="G237" s="30"/>
      <c r="H237" s="30"/>
    </row>
    <row r="238" spans="1:8" x14ac:dyDescent="0.2">
      <c r="A238" s="30"/>
      <c r="B238" s="30"/>
      <c r="C238" s="30"/>
      <c r="D238" s="28" t="str">
        <f>IFERROR(IF(C238="","",IF(B238="موظف",VLOOKUP(C238,الموظفين!$B:$C,2,FALSE),VLOOKUP(C238,المستفيدين!$B:$C,2,FALSE))),"")</f>
        <v/>
      </c>
      <c r="E238" s="28"/>
      <c r="F238" s="30"/>
      <c r="G238" s="30"/>
      <c r="H238" s="30"/>
    </row>
    <row r="239" spans="1:8" x14ac:dyDescent="0.2">
      <c r="A239" s="30"/>
      <c r="B239" s="30"/>
      <c r="C239" s="30"/>
      <c r="D239" s="28" t="str">
        <f>IFERROR(IF(C239="","",IF(B239="موظف",VLOOKUP(C239,الموظفين!$B:$C,2,FALSE),VLOOKUP(C239,المستفيدين!$B:$C,2,FALSE))),"")</f>
        <v/>
      </c>
      <c r="E239" s="28"/>
      <c r="F239" s="30"/>
      <c r="G239" s="30"/>
      <c r="H239" s="30"/>
    </row>
    <row r="240" spans="1:8" x14ac:dyDescent="0.2">
      <c r="A240" s="30"/>
      <c r="B240" s="30"/>
      <c r="C240" s="30"/>
      <c r="D240" s="28" t="str">
        <f>IFERROR(IF(C240="","",IF(B240="موظف",VLOOKUP(C240,الموظفين!$B:$C,2,FALSE),VLOOKUP(C240,المستفيدين!$B:$C,2,FALSE))),"")</f>
        <v/>
      </c>
      <c r="E240" s="28"/>
      <c r="F240" s="30"/>
      <c r="G240" s="30"/>
      <c r="H240" s="30"/>
    </row>
    <row r="241" spans="1:8" x14ac:dyDescent="0.2">
      <c r="A241" s="30"/>
      <c r="B241" s="30"/>
      <c r="C241" s="30"/>
      <c r="D241" s="28" t="str">
        <f>IFERROR(IF(C241="","",IF(B241="موظف",VLOOKUP(C241,الموظفين!$B:$C,2,FALSE),VLOOKUP(C241,المستفيدين!$B:$C,2,FALSE))),"")</f>
        <v/>
      </c>
      <c r="E241" s="28"/>
      <c r="F241" s="30"/>
      <c r="G241" s="30"/>
      <c r="H241" s="30"/>
    </row>
    <row r="242" spans="1:8" x14ac:dyDescent="0.2">
      <c r="A242" s="30"/>
      <c r="B242" s="30"/>
      <c r="C242" s="30"/>
      <c r="D242" s="28" t="str">
        <f>IFERROR(IF(C242="","",IF(B242="موظف",VLOOKUP(C242,الموظفين!$B:$C,2,FALSE),VLOOKUP(C242,المستفيدين!$B:$C,2,FALSE))),"")</f>
        <v/>
      </c>
      <c r="E242" s="28"/>
      <c r="F242" s="30"/>
      <c r="G242" s="30"/>
      <c r="H242" s="30"/>
    </row>
    <row r="243" spans="1:8" x14ac:dyDescent="0.2">
      <c r="A243" s="30"/>
      <c r="B243" s="30"/>
      <c r="C243" s="30"/>
      <c r="D243" s="28" t="str">
        <f>IFERROR(IF(C243="","",IF(B243="موظف",VLOOKUP(C243,الموظفين!$B:$C,2,FALSE),VLOOKUP(C243,المستفيدين!$B:$C,2,FALSE))),"")</f>
        <v/>
      </c>
      <c r="E243" s="28"/>
      <c r="F243" s="30"/>
      <c r="G243" s="30"/>
      <c r="H243" s="30"/>
    </row>
    <row r="244" spans="1:8" x14ac:dyDescent="0.2">
      <c r="A244" s="30"/>
      <c r="B244" s="30"/>
      <c r="C244" s="30"/>
      <c r="D244" s="28" t="str">
        <f>IFERROR(IF(C244="","",IF(B244="موظف",VLOOKUP(C244,الموظفين!$B:$C,2,FALSE),VLOOKUP(C244,المستفيدين!$B:$C,2,FALSE))),"")</f>
        <v/>
      </c>
      <c r="E244" s="28"/>
      <c r="F244" s="30"/>
      <c r="G244" s="30"/>
      <c r="H244" s="30"/>
    </row>
    <row r="245" spans="1:8" x14ac:dyDescent="0.2">
      <c r="A245" s="30"/>
      <c r="B245" s="30"/>
      <c r="C245" s="30"/>
      <c r="D245" s="28" t="str">
        <f>IFERROR(IF(C245="","",IF(B245="موظف",VLOOKUP(C245,الموظفين!$B:$C,2,FALSE),VLOOKUP(C245,المستفيدين!$B:$C,2,FALSE))),"")</f>
        <v/>
      </c>
      <c r="E245" s="28"/>
      <c r="F245" s="30"/>
      <c r="G245" s="30"/>
      <c r="H245" s="30"/>
    </row>
    <row r="246" spans="1:8" x14ac:dyDescent="0.2">
      <c r="A246" s="30"/>
      <c r="B246" s="30"/>
      <c r="C246" s="30"/>
      <c r="D246" s="28" t="str">
        <f>IFERROR(IF(C246="","",IF(B246="موظف",VLOOKUP(C246,الموظفين!$B:$C,2,FALSE),VLOOKUP(C246,المستفيدين!$B:$C,2,FALSE))),"")</f>
        <v/>
      </c>
      <c r="E246" s="28"/>
      <c r="F246" s="30"/>
      <c r="G246" s="30"/>
      <c r="H246" s="30"/>
    </row>
    <row r="247" spans="1:8" x14ac:dyDescent="0.2">
      <c r="A247" s="30"/>
      <c r="B247" s="30"/>
      <c r="C247" s="30"/>
      <c r="D247" s="28" t="str">
        <f>IFERROR(IF(C247="","",IF(B247="موظف",VLOOKUP(C247,الموظفين!$B:$C,2,FALSE),VLOOKUP(C247,المستفيدين!$B:$C,2,FALSE))),"")</f>
        <v/>
      </c>
      <c r="E247" s="28"/>
      <c r="F247" s="30"/>
      <c r="G247" s="30"/>
      <c r="H247" s="30"/>
    </row>
    <row r="248" spans="1:8" x14ac:dyDescent="0.2">
      <c r="A248" s="30"/>
      <c r="B248" s="30"/>
      <c r="C248" s="30"/>
      <c r="D248" s="28" t="str">
        <f>IFERROR(IF(C248="","",IF(B248="موظف",VLOOKUP(C248,الموظفين!$B:$C,2,FALSE),VLOOKUP(C248,المستفيدين!$B:$C,2,FALSE))),"")</f>
        <v/>
      </c>
      <c r="E248" s="28"/>
      <c r="F248" s="30"/>
      <c r="G248" s="30"/>
      <c r="H248" s="30"/>
    </row>
    <row r="249" spans="1:8" x14ac:dyDescent="0.2">
      <c r="A249" s="30"/>
      <c r="B249" s="30"/>
      <c r="C249" s="30"/>
      <c r="D249" s="28" t="str">
        <f>IFERROR(IF(C249="","",IF(B249="موظف",VLOOKUP(C249,الموظفين!$B:$C,2,FALSE),VLOOKUP(C249,المستفيدين!$B:$C,2,FALSE))),"")</f>
        <v/>
      </c>
      <c r="E249" s="28"/>
      <c r="F249" s="30"/>
      <c r="G249" s="30"/>
      <c r="H249" s="30"/>
    </row>
    <row r="250" spans="1:8" x14ac:dyDescent="0.2">
      <c r="A250" s="30"/>
      <c r="B250" s="30"/>
      <c r="C250" s="30"/>
      <c r="D250" s="28" t="str">
        <f>IFERROR(IF(C250="","",IF(B250="موظف",VLOOKUP(C250,الموظفين!$B:$C,2,FALSE),VLOOKUP(C250,المستفيدين!$B:$C,2,FALSE))),"")</f>
        <v/>
      </c>
      <c r="E250" s="28"/>
      <c r="F250" s="30"/>
      <c r="G250" s="30"/>
      <c r="H250" s="30"/>
    </row>
    <row r="251" spans="1:8" x14ac:dyDescent="0.2">
      <c r="A251" s="30"/>
      <c r="B251" s="30"/>
      <c r="C251" s="30"/>
      <c r="D251" s="28" t="str">
        <f>IFERROR(IF(C251="","",IF(B251="موظف",VLOOKUP(C251,الموظفين!$B:$C,2,FALSE),VLOOKUP(C251,المستفيدين!$B:$C,2,FALSE))),"")</f>
        <v/>
      </c>
      <c r="E251" s="28"/>
      <c r="F251" s="30"/>
      <c r="G251" s="30"/>
      <c r="H251" s="30"/>
    </row>
    <row r="252" spans="1:8" x14ac:dyDescent="0.2">
      <c r="A252" s="30"/>
      <c r="B252" s="30"/>
      <c r="C252" s="30"/>
      <c r="D252" s="28" t="str">
        <f>IFERROR(IF(C252="","",IF(B252="موظف",VLOOKUP(C252,الموظفين!$B:$C,2,FALSE),VLOOKUP(C252,المستفيدين!$B:$C,2,FALSE))),"")</f>
        <v/>
      </c>
      <c r="E252" s="28"/>
      <c r="F252" s="30"/>
      <c r="G252" s="30"/>
      <c r="H252" s="30"/>
    </row>
    <row r="253" spans="1:8" x14ac:dyDescent="0.2">
      <c r="A253" s="30"/>
      <c r="B253" s="30"/>
      <c r="C253" s="30"/>
      <c r="D253" s="28" t="str">
        <f>IFERROR(IF(C253="","",IF(B253="موظف",VLOOKUP(C253,الموظفين!$B:$C,2,FALSE),VLOOKUP(C253,المستفيدين!$B:$C,2,FALSE))),"")</f>
        <v/>
      </c>
      <c r="E253" s="28"/>
      <c r="F253" s="30"/>
      <c r="G253" s="30"/>
      <c r="H253" s="30"/>
    </row>
    <row r="254" spans="1:8" x14ac:dyDescent="0.2">
      <c r="A254" s="30"/>
      <c r="B254" s="30"/>
      <c r="C254" s="30"/>
      <c r="D254" s="28" t="str">
        <f>IFERROR(IF(C254="","",IF(B254="موظف",VLOOKUP(C254,الموظفين!$B:$C,2,FALSE),VLOOKUP(C254,المستفيدين!$B:$C,2,FALSE))),"")</f>
        <v/>
      </c>
      <c r="E254" s="28"/>
      <c r="F254" s="30"/>
      <c r="G254" s="30"/>
      <c r="H254" s="30"/>
    </row>
    <row r="255" spans="1:8" x14ac:dyDescent="0.2">
      <c r="A255" s="30"/>
      <c r="B255" s="30"/>
      <c r="C255" s="30"/>
      <c r="D255" s="28" t="str">
        <f>IFERROR(IF(C255="","",IF(B255="موظف",VLOOKUP(C255,الموظفين!$B:$C,2,FALSE),VLOOKUP(C255,المستفيدين!$B:$C,2,FALSE))),"")</f>
        <v/>
      </c>
      <c r="E255" s="28"/>
      <c r="F255" s="30"/>
      <c r="G255" s="30"/>
      <c r="H255" s="30"/>
    </row>
    <row r="256" spans="1:8" x14ac:dyDescent="0.2">
      <c r="A256" s="30"/>
      <c r="B256" s="30"/>
      <c r="C256" s="30"/>
      <c r="D256" s="28" t="str">
        <f>IFERROR(IF(C256="","",IF(B256="موظف",VLOOKUP(C256,الموظفين!$B:$C,2,FALSE),VLOOKUP(C256,المستفيدين!$B:$C,2,FALSE))),"")</f>
        <v/>
      </c>
      <c r="E256" s="28"/>
      <c r="F256" s="30"/>
      <c r="G256" s="30"/>
      <c r="H256" s="30"/>
    </row>
    <row r="257" spans="1:8" x14ac:dyDescent="0.2">
      <c r="A257" s="30"/>
      <c r="B257" s="30"/>
      <c r="C257" s="30"/>
      <c r="D257" s="28" t="str">
        <f>IFERROR(IF(C257="","",IF(B257="موظف",VLOOKUP(C257,الموظفين!$B:$C,2,FALSE),VLOOKUP(C257,المستفيدين!$B:$C,2,FALSE))),"")</f>
        <v/>
      </c>
      <c r="E257" s="28"/>
      <c r="F257" s="30"/>
      <c r="G257" s="30"/>
      <c r="H257" s="30"/>
    </row>
    <row r="258" spans="1:8" x14ac:dyDescent="0.2">
      <c r="A258" s="30"/>
      <c r="B258" s="30"/>
      <c r="C258" s="30"/>
      <c r="D258" s="28" t="str">
        <f>IFERROR(IF(C258="","",IF(B258="موظف",VLOOKUP(C258,الموظفين!$B:$C,2,FALSE),VLOOKUP(C258,المستفيدين!$B:$C,2,FALSE))),"")</f>
        <v/>
      </c>
      <c r="E258" s="28"/>
      <c r="F258" s="30"/>
      <c r="G258" s="30"/>
      <c r="H258" s="30"/>
    </row>
    <row r="259" spans="1:8" x14ac:dyDescent="0.2">
      <c r="A259" s="30"/>
      <c r="B259" s="30"/>
      <c r="C259" s="30"/>
      <c r="D259" s="28" t="str">
        <f>IFERROR(IF(C259="","",IF(B259="موظف",VLOOKUP(C259,الموظفين!$B:$C,2,FALSE),VLOOKUP(C259,المستفيدين!$B:$C,2,FALSE))),"")</f>
        <v/>
      </c>
      <c r="E259" s="28"/>
      <c r="F259" s="30"/>
      <c r="G259" s="30"/>
      <c r="H259" s="30"/>
    </row>
    <row r="260" spans="1:8" x14ac:dyDescent="0.2">
      <c r="A260" s="30"/>
      <c r="B260" s="30"/>
      <c r="C260" s="30"/>
      <c r="D260" s="28" t="str">
        <f>IFERROR(IF(C260="","",IF(B260="موظف",VLOOKUP(C260,الموظفين!$B:$C,2,FALSE),VLOOKUP(C260,المستفيدين!$B:$C,2,FALSE))),"")</f>
        <v/>
      </c>
      <c r="E260" s="28"/>
      <c r="F260" s="30"/>
      <c r="G260" s="30"/>
      <c r="H260" s="30"/>
    </row>
    <row r="261" spans="1:8" x14ac:dyDescent="0.2">
      <c r="A261" s="30"/>
      <c r="B261" s="30"/>
      <c r="C261" s="30"/>
      <c r="D261" s="28" t="str">
        <f>IFERROR(IF(C261="","",IF(B261="موظف",VLOOKUP(C261,الموظفين!$B:$C,2,FALSE),VLOOKUP(C261,المستفيدين!$B:$C,2,FALSE))),"")</f>
        <v/>
      </c>
      <c r="E261" s="28"/>
      <c r="F261" s="30"/>
      <c r="G261" s="30"/>
      <c r="H261" s="30"/>
    </row>
    <row r="262" spans="1:8" x14ac:dyDescent="0.2">
      <c r="A262" s="30"/>
      <c r="B262" s="30"/>
      <c r="C262" s="30"/>
      <c r="D262" s="28" t="str">
        <f>IFERROR(IF(C262="","",IF(B262="موظف",VLOOKUP(C262,الموظفين!$B:$C,2,FALSE),VLOOKUP(C262,المستفيدين!$B:$C,2,FALSE))),"")</f>
        <v/>
      </c>
      <c r="E262" s="28"/>
      <c r="F262" s="30"/>
      <c r="G262" s="30"/>
      <c r="H262" s="30"/>
    </row>
    <row r="263" spans="1:8" x14ac:dyDescent="0.2">
      <c r="A263" s="30"/>
      <c r="B263" s="30"/>
      <c r="C263" s="30"/>
      <c r="D263" s="28" t="str">
        <f>IFERROR(IF(C263="","",IF(B263="موظف",VLOOKUP(C263,الموظفين!$B:$C,2,FALSE),VLOOKUP(C263,المستفيدين!$B:$C,2,FALSE))),"")</f>
        <v/>
      </c>
      <c r="E263" s="28"/>
      <c r="F263" s="30"/>
      <c r="G263" s="30"/>
      <c r="H263" s="30"/>
    </row>
    <row r="264" spans="1:8" x14ac:dyDescent="0.2">
      <c r="A264" s="30"/>
      <c r="B264" s="30"/>
      <c r="C264" s="30"/>
      <c r="D264" s="28" t="str">
        <f>IFERROR(IF(C264="","",IF(B264="موظف",VLOOKUP(C264,الموظفين!$B:$C,2,FALSE),VLOOKUP(C264,المستفيدين!$B:$C,2,FALSE))),"")</f>
        <v/>
      </c>
      <c r="E264" s="28"/>
      <c r="F264" s="30"/>
      <c r="G264" s="30"/>
      <c r="H264" s="30"/>
    </row>
    <row r="265" spans="1:8" x14ac:dyDescent="0.2">
      <c r="A265" s="30"/>
      <c r="B265" s="30"/>
      <c r="C265" s="30"/>
      <c r="D265" s="28" t="str">
        <f>IFERROR(IF(C265="","",IF(B265="موظف",VLOOKUP(C265,الموظفين!$B:$C,2,FALSE),VLOOKUP(C265,المستفيدين!$B:$C,2,FALSE))),"")</f>
        <v/>
      </c>
      <c r="E265" s="28"/>
      <c r="F265" s="30"/>
      <c r="G265" s="30"/>
      <c r="H265" s="30"/>
    </row>
    <row r="266" spans="1:8" x14ac:dyDescent="0.2">
      <c r="A266" s="30"/>
      <c r="B266" s="30"/>
      <c r="C266" s="30"/>
      <c r="D266" s="28" t="str">
        <f>IFERROR(IF(C266="","",IF(B266="موظف",VLOOKUP(C266,الموظفين!$B:$C,2,FALSE),VLOOKUP(C266,المستفيدين!$B:$C,2,FALSE))),"")</f>
        <v/>
      </c>
      <c r="E266" s="28"/>
      <c r="F266" s="30"/>
      <c r="G266" s="30"/>
      <c r="H266" s="30"/>
    </row>
    <row r="267" spans="1:8" x14ac:dyDescent="0.2">
      <c r="A267" s="30"/>
      <c r="B267" s="30"/>
      <c r="C267" s="30"/>
      <c r="D267" s="28" t="str">
        <f>IFERROR(IF(C267="","",IF(B267="موظف",VLOOKUP(C267,الموظفين!$B:$C,2,FALSE),VLOOKUP(C267,المستفيدين!$B:$C,2,FALSE))),"")</f>
        <v/>
      </c>
      <c r="E267" s="28"/>
      <c r="F267" s="30"/>
      <c r="G267" s="30"/>
      <c r="H267" s="30"/>
    </row>
    <row r="268" spans="1:8" x14ac:dyDescent="0.2">
      <c r="A268" s="30"/>
      <c r="B268" s="30"/>
      <c r="C268" s="30"/>
      <c r="D268" s="28" t="str">
        <f>IFERROR(IF(C268="","",IF(B268="موظف",VLOOKUP(C268,الموظفين!$B:$C,2,FALSE),VLOOKUP(C268,المستفيدين!$B:$C,2,FALSE))),"")</f>
        <v/>
      </c>
      <c r="E268" s="28"/>
      <c r="F268" s="30"/>
      <c r="G268" s="30"/>
      <c r="H268" s="30"/>
    </row>
    <row r="269" spans="1:8" x14ac:dyDescent="0.2">
      <c r="A269" s="30"/>
      <c r="B269" s="30"/>
      <c r="C269" s="30"/>
      <c r="D269" s="28" t="str">
        <f>IFERROR(IF(C269="","",IF(B269="موظف",VLOOKUP(C269,الموظفين!$B:$C,2,FALSE),VLOOKUP(C269,المستفيدين!$B:$C,2,FALSE))),"")</f>
        <v/>
      </c>
      <c r="E269" s="28"/>
      <c r="F269" s="30"/>
      <c r="G269" s="30"/>
      <c r="H269" s="30"/>
    </row>
    <row r="270" spans="1:8" x14ac:dyDescent="0.2">
      <c r="A270" s="30"/>
      <c r="B270" s="30"/>
      <c r="C270" s="30"/>
      <c r="D270" s="28" t="str">
        <f>IFERROR(IF(C270="","",IF(B270="موظف",VLOOKUP(C270,الموظفين!$B:$C,2,FALSE),VLOOKUP(C270,المستفيدين!$B:$C,2,FALSE))),"")</f>
        <v/>
      </c>
      <c r="E270" s="28"/>
      <c r="F270" s="30"/>
      <c r="G270" s="30"/>
      <c r="H270" s="30"/>
    </row>
    <row r="271" spans="1:8" x14ac:dyDescent="0.2">
      <c r="A271" s="30"/>
      <c r="B271" s="30"/>
      <c r="C271" s="30"/>
      <c r="D271" s="28" t="str">
        <f>IFERROR(IF(C271="","",IF(B271="موظف",VLOOKUP(C271,الموظفين!$B:$C,2,FALSE),VLOOKUP(C271,المستفيدين!$B:$C,2,FALSE))),"")</f>
        <v/>
      </c>
      <c r="E271" s="28"/>
      <c r="F271" s="30"/>
      <c r="G271" s="30"/>
      <c r="H271" s="30"/>
    </row>
    <row r="272" spans="1:8" x14ac:dyDescent="0.2">
      <c r="A272" s="30"/>
      <c r="B272" s="30"/>
      <c r="C272" s="30"/>
      <c r="D272" s="28" t="str">
        <f>IFERROR(IF(C272="","",IF(B272="موظف",VLOOKUP(C272,الموظفين!$B:$C,2,FALSE),VLOOKUP(C272,المستفيدين!$B:$C,2,FALSE))),"")</f>
        <v/>
      </c>
      <c r="E272" s="28"/>
      <c r="F272" s="30"/>
      <c r="G272" s="30"/>
      <c r="H272" s="30"/>
    </row>
    <row r="273" spans="1:8" x14ac:dyDescent="0.2">
      <c r="A273" s="30"/>
      <c r="B273" s="30"/>
      <c r="C273" s="30"/>
      <c r="D273" s="28" t="str">
        <f>IFERROR(IF(C273="","",IF(B273="موظف",VLOOKUP(C273,الموظفين!$B:$C,2,FALSE),VLOOKUP(C273,المستفيدين!$B:$C,2,FALSE))),"")</f>
        <v/>
      </c>
      <c r="E273" s="28"/>
      <c r="F273" s="30"/>
      <c r="G273" s="30"/>
      <c r="H273" s="30"/>
    </row>
    <row r="274" spans="1:8" x14ac:dyDescent="0.2">
      <c r="A274" s="30"/>
      <c r="B274" s="30"/>
      <c r="C274" s="30"/>
      <c r="D274" s="28" t="str">
        <f>IFERROR(IF(C274="","",IF(B274="موظف",VLOOKUP(C274,الموظفين!$B:$C,2,FALSE),VLOOKUP(C274,المستفيدين!$B:$C,2,FALSE))),"")</f>
        <v/>
      </c>
      <c r="E274" s="28"/>
      <c r="F274" s="30"/>
      <c r="G274" s="30"/>
      <c r="H274" s="30"/>
    </row>
    <row r="275" spans="1:8" x14ac:dyDescent="0.2">
      <c r="A275" s="30"/>
      <c r="B275" s="30"/>
      <c r="C275" s="30"/>
      <c r="D275" s="28" t="str">
        <f>IFERROR(IF(C275="","",IF(B275="موظف",VLOOKUP(C275,الموظفين!$B:$C,2,FALSE),VLOOKUP(C275,المستفيدين!$B:$C,2,FALSE))),"")</f>
        <v/>
      </c>
      <c r="E275" s="28"/>
      <c r="F275" s="30"/>
      <c r="G275" s="30"/>
      <c r="H275" s="30"/>
    </row>
    <row r="276" spans="1:8" x14ac:dyDescent="0.2">
      <c r="A276" s="30"/>
      <c r="B276" s="30"/>
      <c r="C276" s="30"/>
      <c r="D276" s="28" t="str">
        <f>IFERROR(IF(C276="","",IF(B276="موظف",VLOOKUP(C276,الموظفين!$B:$C,2,FALSE),VLOOKUP(C276,المستفيدين!$B:$C,2,FALSE))),"")</f>
        <v/>
      </c>
      <c r="E276" s="28"/>
      <c r="F276" s="30"/>
      <c r="G276" s="30"/>
      <c r="H276" s="30"/>
    </row>
    <row r="277" spans="1:8" x14ac:dyDescent="0.2">
      <c r="A277" s="30"/>
      <c r="B277" s="30"/>
      <c r="C277" s="30"/>
      <c r="D277" s="28" t="str">
        <f>IFERROR(IF(C277="","",IF(B277="موظف",VLOOKUP(C277,الموظفين!$B:$C,2,FALSE),VLOOKUP(C277,المستفيدين!$B:$C,2,FALSE))),"")</f>
        <v/>
      </c>
      <c r="E277" s="28"/>
      <c r="F277" s="30"/>
      <c r="G277" s="30"/>
      <c r="H277" s="30"/>
    </row>
    <row r="278" spans="1:8" x14ac:dyDescent="0.2">
      <c r="A278" s="30"/>
      <c r="B278" s="30"/>
      <c r="C278" s="30"/>
      <c r="D278" s="28" t="str">
        <f>IFERROR(IF(C278="","",IF(B278="موظف",VLOOKUP(C278,الموظفين!$B:$C,2,FALSE),VLOOKUP(C278,المستفيدين!$B:$C,2,FALSE))),"")</f>
        <v/>
      </c>
      <c r="E278" s="28"/>
      <c r="F278" s="30"/>
      <c r="G278" s="30"/>
      <c r="H278" s="30"/>
    </row>
    <row r="279" spans="1:8" x14ac:dyDescent="0.2">
      <c r="A279" s="30"/>
      <c r="B279" s="30"/>
      <c r="C279" s="30"/>
      <c r="D279" s="28" t="str">
        <f>IFERROR(IF(C279="","",IF(B279="موظف",VLOOKUP(C279,الموظفين!$B:$C,2,FALSE),VLOOKUP(C279,المستفيدين!$B:$C,2,FALSE))),"")</f>
        <v/>
      </c>
      <c r="E279" s="28"/>
      <c r="F279" s="30"/>
      <c r="G279" s="30"/>
      <c r="H279" s="30"/>
    </row>
    <row r="280" spans="1:8" x14ac:dyDescent="0.2">
      <c r="A280" s="30"/>
      <c r="B280" s="30"/>
      <c r="C280" s="30"/>
      <c r="D280" s="28" t="str">
        <f>IFERROR(IF(C280="","",IF(B280="موظف",VLOOKUP(C280,الموظفين!$B:$C,2,FALSE),VLOOKUP(C280,المستفيدين!$B:$C,2,FALSE))),"")</f>
        <v/>
      </c>
      <c r="E280" s="28"/>
      <c r="F280" s="30"/>
      <c r="G280" s="30"/>
      <c r="H280" s="30"/>
    </row>
    <row r="281" spans="1:8" x14ac:dyDescent="0.2">
      <c r="A281" s="30"/>
      <c r="B281" s="30"/>
      <c r="C281" s="30"/>
      <c r="D281" s="28" t="str">
        <f>IFERROR(IF(C281="","",IF(B281="موظف",VLOOKUP(C281,الموظفين!$B:$C,2,FALSE),VLOOKUP(C281,المستفيدين!$B:$C,2,FALSE))),"")</f>
        <v/>
      </c>
      <c r="E281" s="28"/>
      <c r="F281" s="30"/>
      <c r="G281" s="30"/>
      <c r="H281" s="30"/>
    </row>
    <row r="282" spans="1:8" x14ac:dyDescent="0.2">
      <c r="A282" s="30"/>
      <c r="B282" s="30"/>
      <c r="C282" s="30"/>
      <c r="D282" s="28" t="str">
        <f>IFERROR(IF(C282="","",IF(B282="موظف",VLOOKUP(C282,الموظفين!$B:$C,2,FALSE),VLOOKUP(C282,المستفيدين!$B:$C,2,FALSE))),"")</f>
        <v/>
      </c>
      <c r="E282" s="28"/>
      <c r="F282" s="30"/>
      <c r="G282" s="30"/>
      <c r="H282" s="30"/>
    </row>
    <row r="283" spans="1:8" x14ac:dyDescent="0.2">
      <c r="A283" s="30"/>
      <c r="B283" s="30"/>
      <c r="C283" s="30"/>
      <c r="D283" s="28" t="str">
        <f>IFERROR(IF(C283="","",IF(B283="موظف",VLOOKUP(C283,الموظفين!$B:$C,2,FALSE),VLOOKUP(C283,المستفيدين!$B:$C,2,FALSE))),"")</f>
        <v/>
      </c>
      <c r="E283" s="28"/>
      <c r="F283" s="30"/>
      <c r="G283" s="30"/>
      <c r="H283" s="30"/>
    </row>
    <row r="284" spans="1:8" x14ac:dyDescent="0.2">
      <c r="A284" s="30"/>
      <c r="B284" s="30"/>
      <c r="C284" s="30"/>
      <c r="D284" s="28" t="str">
        <f>IFERROR(IF(C284="","",IF(B284="موظف",VLOOKUP(C284,الموظفين!$B:$C,2,FALSE),VLOOKUP(C284,المستفيدين!$B:$C,2,FALSE))),"")</f>
        <v/>
      </c>
      <c r="E284" s="28"/>
      <c r="F284" s="30"/>
      <c r="G284" s="30"/>
      <c r="H284" s="30"/>
    </row>
    <row r="285" spans="1:8" x14ac:dyDescent="0.2">
      <c r="A285" s="30"/>
      <c r="B285" s="30"/>
      <c r="C285" s="30"/>
      <c r="D285" s="28" t="str">
        <f>IFERROR(IF(C285="","",IF(B285="موظف",VLOOKUP(C285,الموظفين!$B:$C,2,FALSE),VLOOKUP(C285,المستفيدين!$B:$C,2,FALSE))),"")</f>
        <v/>
      </c>
      <c r="E285" s="28"/>
      <c r="F285" s="30"/>
      <c r="G285" s="30"/>
      <c r="H285" s="30"/>
    </row>
    <row r="286" spans="1:8" x14ac:dyDescent="0.2">
      <c r="A286" s="30"/>
      <c r="B286" s="30"/>
      <c r="C286" s="30"/>
      <c r="D286" s="28" t="str">
        <f>IFERROR(IF(C286="","",IF(B286="موظف",VLOOKUP(C286,الموظفين!$B:$C,2,FALSE),VLOOKUP(C286,المستفيدين!$B:$C,2,FALSE))),"")</f>
        <v/>
      </c>
      <c r="E286" s="28"/>
      <c r="F286" s="30"/>
      <c r="G286" s="30"/>
      <c r="H286" s="30"/>
    </row>
    <row r="287" spans="1:8" x14ac:dyDescent="0.2">
      <c r="A287" s="30"/>
      <c r="B287" s="30"/>
      <c r="C287" s="30"/>
      <c r="D287" s="28" t="str">
        <f>IFERROR(IF(C287="","",IF(B287="موظف",VLOOKUP(C287,الموظفين!$B:$C,2,FALSE),VLOOKUP(C287,المستفيدين!$B:$C,2,FALSE))),"")</f>
        <v/>
      </c>
      <c r="E287" s="28"/>
      <c r="F287" s="30"/>
      <c r="G287" s="30"/>
      <c r="H287" s="30"/>
    </row>
    <row r="288" spans="1:8" x14ac:dyDescent="0.2">
      <c r="A288" s="30"/>
      <c r="B288" s="30"/>
      <c r="C288" s="30"/>
      <c r="D288" s="28" t="str">
        <f>IFERROR(IF(C288="","",IF(B288="موظف",VLOOKUP(C288,الموظفين!$B:$C,2,FALSE),VLOOKUP(C288,المستفيدين!$B:$C,2,FALSE))),"")</f>
        <v/>
      </c>
      <c r="E288" s="28"/>
      <c r="F288" s="30"/>
      <c r="G288" s="30"/>
      <c r="H288" s="30"/>
    </row>
    <row r="289" spans="1:8" x14ac:dyDescent="0.2">
      <c r="A289" s="30"/>
      <c r="B289" s="30"/>
      <c r="C289" s="30"/>
      <c r="D289" s="28" t="str">
        <f>IFERROR(IF(C289="","",IF(B289="موظف",VLOOKUP(C289,الموظفين!$B:$C,2,FALSE),VLOOKUP(C289,المستفيدين!$B:$C,2,FALSE))),"")</f>
        <v/>
      </c>
      <c r="E289" s="28"/>
      <c r="F289" s="30"/>
      <c r="G289" s="30"/>
      <c r="H289" s="30"/>
    </row>
    <row r="290" spans="1:8" x14ac:dyDescent="0.2">
      <c r="A290" s="30"/>
      <c r="B290" s="30"/>
      <c r="C290" s="30"/>
      <c r="D290" s="28" t="str">
        <f>IFERROR(IF(C290="","",IF(B290="موظف",VLOOKUP(C290,الموظفين!$B:$C,2,FALSE),VLOOKUP(C290,المستفيدين!$B:$C,2,FALSE))),"")</f>
        <v/>
      </c>
      <c r="E290" s="28"/>
      <c r="F290" s="30"/>
      <c r="G290" s="30"/>
      <c r="H290" s="30"/>
    </row>
    <row r="291" spans="1:8" x14ac:dyDescent="0.2">
      <c r="A291" s="30"/>
      <c r="B291" s="30"/>
      <c r="C291" s="30"/>
      <c r="D291" s="28" t="str">
        <f>IFERROR(IF(C291="","",IF(B291="موظف",VLOOKUP(C291,الموظفين!$B:$C,2,FALSE),VLOOKUP(C291,المستفيدين!$B:$C,2,FALSE))),"")</f>
        <v/>
      </c>
      <c r="E291" s="28"/>
      <c r="F291" s="30"/>
      <c r="G291" s="30"/>
      <c r="H291" s="30"/>
    </row>
    <row r="292" spans="1:8" x14ac:dyDescent="0.2">
      <c r="A292" s="30"/>
      <c r="B292" s="30"/>
      <c r="C292" s="30"/>
      <c r="D292" s="28" t="str">
        <f>IFERROR(IF(C292="","",IF(B292="موظف",VLOOKUP(C292,الموظفين!$B:$C,2,FALSE),VLOOKUP(C292,المستفيدين!$B:$C,2,FALSE))),"")</f>
        <v/>
      </c>
      <c r="E292" s="28"/>
      <c r="F292" s="30"/>
      <c r="G292" s="30"/>
      <c r="H292" s="30"/>
    </row>
    <row r="293" spans="1:8" x14ac:dyDescent="0.2">
      <c r="A293" s="30"/>
      <c r="B293" s="30"/>
      <c r="C293" s="30"/>
      <c r="D293" s="28" t="str">
        <f>IFERROR(IF(C293="","",IF(B293="موظف",VLOOKUP(C293,الموظفين!$B:$C,2,FALSE),VLOOKUP(C293,المستفيدين!$B:$C,2,FALSE))),"")</f>
        <v/>
      </c>
      <c r="E293" s="28"/>
      <c r="F293" s="30"/>
      <c r="G293" s="30"/>
      <c r="H293" s="30"/>
    </row>
    <row r="294" spans="1:8" x14ac:dyDescent="0.2">
      <c r="A294" s="30"/>
      <c r="B294" s="30"/>
      <c r="C294" s="30"/>
      <c r="D294" s="28" t="str">
        <f>IFERROR(IF(C294="","",IF(B294="موظف",VLOOKUP(C294,الموظفين!$B:$C,2,FALSE),VLOOKUP(C294,المستفيدين!$B:$C,2,FALSE))),"")</f>
        <v/>
      </c>
      <c r="E294" s="28"/>
      <c r="F294" s="30"/>
      <c r="G294" s="30"/>
      <c r="H294" s="30"/>
    </row>
    <row r="295" spans="1:8" x14ac:dyDescent="0.2">
      <c r="A295" s="30"/>
      <c r="B295" s="30"/>
      <c r="C295" s="30"/>
      <c r="D295" s="28" t="str">
        <f>IFERROR(IF(C295="","",IF(B295="موظف",VLOOKUP(C295,الموظفين!$B:$C,2,FALSE),VLOOKUP(C295,المستفيدين!$B:$C,2,FALSE))),"")</f>
        <v/>
      </c>
      <c r="E295" s="28"/>
      <c r="F295" s="30"/>
      <c r="G295" s="30"/>
      <c r="H295" s="30"/>
    </row>
    <row r="296" spans="1:8" x14ac:dyDescent="0.2">
      <c r="A296" s="30"/>
      <c r="B296" s="30"/>
      <c r="C296" s="30"/>
      <c r="D296" s="28" t="str">
        <f>IFERROR(IF(C296="","",IF(B296="موظف",VLOOKUP(C296,الموظفين!$B:$C,2,FALSE),VLOOKUP(C296,المستفيدين!$B:$C,2,FALSE))),"")</f>
        <v/>
      </c>
      <c r="E296" s="28"/>
      <c r="F296" s="30"/>
      <c r="G296" s="30"/>
      <c r="H296" s="30"/>
    </row>
    <row r="297" spans="1:8" x14ac:dyDescent="0.2">
      <c r="A297" s="30"/>
      <c r="B297" s="30"/>
      <c r="C297" s="30"/>
      <c r="D297" s="28" t="str">
        <f>IFERROR(IF(C297="","",IF(B297="موظف",VLOOKUP(C297,الموظفين!$B:$C,2,FALSE),VLOOKUP(C297,المستفيدين!$B:$C,2,FALSE))),"")</f>
        <v/>
      </c>
      <c r="E297" s="28"/>
      <c r="F297" s="30"/>
      <c r="G297" s="30"/>
      <c r="H297" s="30"/>
    </row>
    <row r="298" spans="1:8" x14ac:dyDescent="0.2">
      <c r="A298" s="30"/>
      <c r="B298" s="30"/>
      <c r="C298" s="30"/>
      <c r="D298" s="28" t="str">
        <f>IFERROR(IF(C298="","",IF(B298="موظف",VLOOKUP(C298,الموظفين!$B:$C,2,FALSE),VLOOKUP(C298,المستفيدين!$B:$C,2,FALSE))),"")</f>
        <v/>
      </c>
      <c r="E298" s="28"/>
      <c r="F298" s="30"/>
      <c r="G298" s="30"/>
      <c r="H298" s="30"/>
    </row>
    <row r="299" spans="1:8" x14ac:dyDescent="0.2">
      <c r="A299" s="30"/>
      <c r="B299" s="30"/>
      <c r="C299" s="30"/>
      <c r="D299" s="28" t="str">
        <f>IFERROR(IF(C299="","",IF(B299="موظف",VLOOKUP(C299,الموظفين!$B:$C,2,FALSE),VLOOKUP(C299,المستفيدين!$B:$C,2,FALSE))),"")</f>
        <v/>
      </c>
      <c r="E299" s="28"/>
      <c r="F299" s="30"/>
      <c r="G299" s="30"/>
      <c r="H299" s="30"/>
    </row>
    <row r="300" spans="1:8" x14ac:dyDescent="0.2">
      <c r="A300" s="30"/>
      <c r="B300" s="30"/>
      <c r="C300" s="30"/>
      <c r="D300" s="28" t="str">
        <f>IFERROR(IF(C300="","",IF(B300="موظف",VLOOKUP(C300,الموظفين!$B:$C,2,FALSE),VLOOKUP(C300,المستفيدين!$B:$C,2,FALSE))),"")</f>
        <v/>
      </c>
      <c r="E300" s="28"/>
      <c r="F300" s="30"/>
      <c r="G300" s="30"/>
      <c r="H300" s="30"/>
    </row>
    <row r="301" spans="1:8" x14ac:dyDescent="0.2">
      <c r="A301" s="30"/>
      <c r="B301" s="30"/>
      <c r="C301" s="30"/>
      <c r="D301" s="28" t="str">
        <f>IFERROR(IF(C301="","",IF(B301="موظف",VLOOKUP(C301,الموظفين!$B:$C,2,FALSE),VLOOKUP(C301,المستفيدين!$B:$C,2,FALSE))),"")</f>
        <v/>
      </c>
      <c r="E301" s="28"/>
      <c r="F301" s="30"/>
      <c r="G301" s="30"/>
      <c r="H301" s="30"/>
    </row>
    <row r="302" spans="1:8" x14ac:dyDescent="0.2">
      <c r="A302" s="30"/>
      <c r="B302" s="30"/>
      <c r="C302" s="30"/>
      <c r="D302" s="28" t="str">
        <f>IFERROR(IF(C302="","",IF(B302="موظف",VLOOKUP(C302,الموظفين!$B:$C,2,FALSE),VLOOKUP(C302,المستفيدين!$B:$C,2,FALSE))),"")</f>
        <v/>
      </c>
      <c r="E302" s="28"/>
      <c r="F302" s="30"/>
      <c r="G302" s="30"/>
      <c r="H302" s="30"/>
    </row>
    <row r="303" spans="1:8" x14ac:dyDescent="0.2">
      <c r="A303" s="30"/>
      <c r="B303" s="30"/>
      <c r="C303" s="30"/>
      <c r="D303" s="28" t="str">
        <f>IFERROR(IF(C303="","",IF(B303="موظف",VLOOKUP(C303,الموظفين!$B:$C,2,FALSE),VLOOKUP(C303,المستفيدين!$B:$C,2,FALSE))),"")</f>
        <v/>
      </c>
      <c r="E303" s="28"/>
      <c r="F303" s="30"/>
      <c r="G303" s="30"/>
      <c r="H303" s="30"/>
    </row>
    <row r="304" spans="1:8" x14ac:dyDescent="0.2">
      <c r="A304" s="30"/>
      <c r="B304" s="30"/>
      <c r="C304" s="30"/>
      <c r="D304" s="28" t="str">
        <f>IFERROR(IF(C304="","",IF(B304="موظف",VLOOKUP(C304,الموظفين!$B:$C,2,FALSE),VLOOKUP(C304,المستفيدين!$B:$C,2,FALSE))),"")</f>
        <v/>
      </c>
      <c r="E304" s="28"/>
      <c r="F304" s="30"/>
      <c r="G304" s="30"/>
      <c r="H304" s="30"/>
    </row>
    <row r="305" spans="1:8" x14ac:dyDescent="0.2">
      <c r="A305" s="30"/>
      <c r="B305" s="30"/>
      <c r="C305" s="30"/>
      <c r="D305" s="28" t="str">
        <f>IFERROR(IF(C305="","",IF(B305="موظف",VLOOKUP(C305,الموظفين!$B:$C,2,FALSE),VLOOKUP(C305,المستفيدين!$B:$C,2,FALSE))),"")</f>
        <v/>
      </c>
      <c r="E305" s="28"/>
      <c r="F305" s="30"/>
      <c r="G305" s="30"/>
      <c r="H305" s="30"/>
    </row>
    <row r="306" spans="1:8" x14ac:dyDescent="0.2">
      <c r="A306" s="30"/>
      <c r="B306" s="30"/>
      <c r="C306" s="30"/>
      <c r="D306" s="28" t="str">
        <f>IFERROR(IF(C306="","",IF(B306="موظف",VLOOKUP(C306,الموظفين!$B:$C,2,FALSE),VLOOKUP(C306,المستفيدين!$B:$C,2,FALSE))),"")</f>
        <v/>
      </c>
      <c r="E306" s="28"/>
      <c r="F306" s="30"/>
      <c r="G306" s="30"/>
      <c r="H306" s="30"/>
    </row>
    <row r="307" spans="1:8" x14ac:dyDescent="0.2">
      <c r="A307" s="30"/>
      <c r="B307" s="30"/>
      <c r="C307" s="30"/>
      <c r="D307" s="28" t="str">
        <f>IFERROR(IF(C307="","",IF(B307="موظف",VLOOKUP(C307,الموظفين!$B:$C,2,FALSE),VLOOKUP(C307,المستفيدين!$B:$C,2,FALSE))),"")</f>
        <v/>
      </c>
      <c r="E307" s="28"/>
      <c r="F307" s="30"/>
      <c r="G307" s="30"/>
      <c r="H307" s="30"/>
    </row>
    <row r="308" spans="1:8" x14ac:dyDescent="0.2">
      <c r="A308" s="30"/>
      <c r="B308" s="30"/>
      <c r="C308" s="30"/>
      <c r="D308" s="28" t="str">
        <f>IFERROR(IF(C308="","",IF(B308="موظف",VLOOKUP(C308,الموظفين!$B:$C,2,FALSE),VLOOKUP(C308,المستفيدين!$B:$C,2,FALSE))),"")</f>
        <v/>
      </c>
      <c r="E308" s="28"/>
      <c r="F308" s="30"/>
      <c r="G308" s="30"/>
      <c r="H308" s="30"/>
    </row>
    <row r="309" spans="1:8" x14ac:dyDescent="0.2">
      <c r="A309" s="30"/>
      <c r="B309" s="30"/>
      <c r="C309" s="30"/>
      <c r="D309" s="28" t="str">
        <f>IFERROR(IF(C309="","",IF(B309="موظف",VLOOKUP(C309,الموظفين!$B:$C,2,FALSE),VLOOKUP(C309,المستفيدين!$B:$C,2,FALSE))),"")</f>
        <v/>
      </c>
      <c r="E309" s="28"/>
      <c r="F309" s="30"/>
      <c r="G309" s="30"/>
      <c r="H309" s="30"/>
    </row>
    <row r="310" spans="1:8" x14ac:dyDescent="0.2">
      <c r="A310" s="30"/>
      <c r="B310" s="30"/>
      <c r="C310" s="30"/>
      <c r="D310" s="28" t="str">
        <f>IFERROR(IF(C310="","",IF(B310="موظف",VLOOKUP(C310,الموظفين!$B:$C,2,FALSE),VLOOKUP(C310,المستفيدين!$B:$C,2,FALSE))),"")</f>
        <v/>
      </c>
      <c r="E310" s="28"/>
      <c r="F310" s="30"/>
      <c r="G310" s="30"/>
      <c r="H310" s="30"/>
    </row>
    <row r="311" spans="1:8" x14ac:dyDescent="0.2">
      <c r="A311" s="30"/>
      <c r="B311" s="30"/>
      <c r="C311" s="30"/>
      <c r="D311" s="28" t="str">
        <f>IFERROR(IF(C311="","",IF(B311="موظف",VLOOKUP(C311,الموظفين!$B:$C,2,FALSE),VLOOKUP(C311,المستفيدين!$B:$C,2,FALSE))),"")</f>
        <v/>
      </c>
      <c r="E311" s="28"/>
      <c r="F311" s="30"/>
      <c r="G311" s="30"/>
      <c r="H311" s="30"/>
    </row>
    <row r="312" spans="1:8" x14ac:dyDescent="0.2">
      <c r="A312" s="30"/>
      <c r="B312" s="30"/>
      <c r="C312" s="30"/>
      <c r="D312" s="28" t="str">
        <f>IFERROR(IF(C312="","",IF(B312="موظف",VLOOKUP(C312,الموظفين!$B:$C,2,FALSE),VLOOKUP(C312,المستفيدين!$B:$C,2,FALSE))),"")</f>
        <v/>
      </c>
      <c r="E312" s="28"/>
      <c r="F312" s="30"/>
      <c r="G312" s="30"/>
      <c r="H312" s="30"/>
    </row>
    <row r="313" spans="1:8" x14ac:dyDescent="0.2">
      <c r="A313" s="30"/>
      <c r="B313" s="30"/>
      <c r="C313" s="30"/>
      <c r="D313" s="28" t="str">
        <f>IFERROR(IF(C313="","",IF(B313="موظف",VLOOKUP(C313,الموظفين!$B:$C,2,FALSE),VLOOKUP(C313,المستفيدين!$B:$C,2,FALSE))),"")</f>
        <v/>
      </c>
      <c r="E313" s="28"/>
      <c r="F313" s="30"/>
      <c r="G313" s="30"/>
      <c r="H313" s="30"/>
    </row>
    <row r="314" spans="1:8" x14ac:dyDescent="0.2">
      <c r="A314" s="30"/>
      <c r="B314" s="30"/>
      <c r="C314" s="30"/>
      <c r="D314" s="28" t="str">
        <f>IFERROR(IF(C314="","",IF(B314="موظف",VLOOKUP(C314,الموظفين!$B:$C,2,FALSE),VLOOKUP(C314,المستفيدين!$B:$C,2,FALSE))),"")</f>
        <v/>
      </c>
      <c r="E314" s="28"/>
      <c r="F314" s="30"/>
      <c r="G314" s="30"/>
      <c r="H314" s="30"/>
    </row>
    <row r="315" spans="1:8" x14ac:dyDescent="0.2">
      <c r="A315" s="30"/>
      <c r="B315" s="30"/>
      <c r="C315" s="30"/>
      <c r="D315" s="28" t="str">
        <f>IFERROR(IF(C315="","",IF(B315="موظف",VLOOKUP(C315,الموظفين!$B:$C,2,FALSE),VLOOKUP(C315,المستفيدين!$B:$C,2,FALSE))),"")</f>
        <v/>
      </c>
      <c r="E315" s="28"/>
      <c r="F315" s="30"/>
      <c r="G315" s="30"/>
      <c r="H315" s="30"/>
    </row>
    <row r="316" spans="1:8" x14ac:dyDescent="0.2">
      <c r="A316" s="30"/>
      <c r="B316" s="30"/>
      <c r="C316" s="30"/>
      <c r="D316" s="28" t="str">
        <f>IFERROR(IF(C316="","",IF(B316="موظف",VLOOKUP(C316,الموظفين!$B:$C,2,FALSE),VLOOKUP(C316,المستفيدين!$B:$C,2,FALSE))),"")</f>
        <v/>
      </c>
      <c r="E316" s="28"/>
      <c r="F316" s="30"/>
      <c r="G316" s="30"/>
      <c r="H316" s="30"/>
    </row>
    <row r="317" spans="1:8" x14ac:dyDescent="0.2">
      <c r="A317" s="30"/>
      <c r="B317" s="30"/>
      <c r="C317" s="30"/>
      <c r="D317" s="28" t="str">
        <f>IFERROR(IF(C317="","",IF(B317="موظف",VLOOKUP(C317,الموظفين!$B:$C,2,FALSE),VLOOKUP(C317,المستفيدين!$B:$C,2,FALSE))),"")</f>
        <v/>
      </c>
      <c r="E317" s="28"/>
      <c r="F317" s="30"/>
      <c r="G317" s="30"/>
      <c r="H317" s="30"/>
    </row>
    <row r="318" spans="1:8" x14ac:dyDescent="0.2">
      <c r="A318" s="30"/>
      <c r="B318" s="30"/>
      <c r="C318" s="30"/>
      <c r="D318" s="28" t="str">
        <f>IFERROR(IF(C318="","",IF(B318="موظف",VLOOKUP(C318,الموظفين!$B:$C,2,FALSE),VLOOKUP(C318,المستفيدين!$B:$C,2,FALSE))),"")</f>
        <v/>
      </c>
      <c r="E318" s="28"/>
      <c r="F318" s="30"/>
      <c r="G318" s="30"/>
      <c r="H318" s="30"/>
    </row>
    <row r="319" spans="1:8" x14ac:dyDescent="0.2">
      <c r="A319" s="30"/>
      <c r="B319" s="30"/>
      <c r="C319" s="30"/>
      <c r="D319" s="28" t="str">
        <f>IFERROR(IF(C319="","",IF(B319="موظف",VLOOKUP(C319,الموظفين!$B:$C,2,FALSE),VLOOKUP(C319,المستفيدين!$B:$C,2,FALSE))),"")</f>
        <v/>
      </c>
      <c r="E319" s="28"/>
      <c r="F319" s="30"/>
      <c r="G319" s="30"/>
      <c r="H319" s="30"/>
    </row>
    <row r="320" spans="1:8" x14ac:dyDescent="0.2">
      <c r="A320" s="30"/>
      <c r="B320" s="30"/>
      <c r="C320" s="30"/>
      <c r="D320" s="28" t="str">
        <f>IFERROR(IF(C320="","",IF(B320="موظف",VLOOKUP(C320,الموظفين!$B:$C,2,FALSE),VLOOKUP(C320,المستفيدين!$B:$C,2,FALSE))),"")</f>
        <v/>
      </c>
      <c r="E320" s="28"/>
      <c r="F320" s="30"/>
      <c r="G320" s="30"/>
      <c r="H320" s="30"/>
    </row>
    <row r="321" spans="1:8" x14ac:dyDescent="0.2">
      <c r="A321" s="30"/>
      <c r="B321" s="30"/>
      <c r="C321" s="30"/>
      <c r="D321" s="28" t="str">
        <f>IFERROR(IF(C321="","",IF(B321="موظف",VLOOKUP(C321,الموظفين!$B:$C,2,FALSE),VLOOKUP(C321,المستفيدين!$B:$C,2,FALSE))),"")</f>
        <v/>
      </c>
      <c r="E321" s="28"/>
      <c r="F321" s="30"/>
      <c r="G321" s="30"/>
      <c r="H321" s="30"/>
    </row>
    <row r="322" spans="1:8" x14ac:dyDescent="0.2">
      <c r="A322" s="30"/>
      <c r="B322" s="30"/>
      <c r="C322" s="30"/>
      <c r="D322" s="28" t="str">
        <f>IFERROR(IF(C322="","",IF(B322="موظف",VLOOKUP(C322,الموظفين!$B:$C,2,FALSE),VLOOKUP(C322,المستفيدين!$B:$C,2,FALSE))),"")</f>
        <v/>
      </c>
      <c r="E322" s="28"/>
      <c r="F322" s="30"/>
      <c r="G322" s="30"/>
      <c r="H322" s="30"/>
    </row>
    <row r="323" spans="1:8" x14ac:dyDescent="0.2">
      <c r="A323" s="30"/>
      <c r="B323" s="30"/>
      <c r="C323" s="30"/>
      <c r="D323" s="28" t="str">
        <f>IFERROR(IF(C323="","",IF(B323="موظف",VLOOKUP(C323,الموظفين!$B:$C,2,FALSE),VLOOKUP(C323,المستفيدين!$B:$C,2,FALSE))),"")</f>
        <v/>
      </c>
      <c r="E323" s="28"/>
      <c r="F323" s="30"/>
      <c r="G323" s="30"/>
      <c r="H323" s="30"/>
    </row>
    <row r="324" spans="1:8" x14ac:dyDescent="0.2">
      <c r="A324" s="30"/>
      <c r="B324" s="30"/>
      <c r="C324" s="30"/>
      <c r="D324" s="28" t="str">
        <f>IFERROR(IF(C324="","",IF(B324="موظف",VLOOKUP(C324,الموظفين!$B:$C,2,FALSE),VLOOKUP(C324,المستفيدين!$B:$C,2,FALSE))),"")</f>
        <v/>
      </c>
      <c r="E324" s="28"/>
      <c r="F324" s="30"/>
      <c r="G324" s="30"/>
      <c r="H324" s="30"/>
    </row>
    <row r="325" spans="1:8" x14ac:dyDescent="0.2">
      <c r="A325" s="30"/>
      <c r="B325" s="30"/>
      <c r="C325" s="30"/>
      <c r="D325" s="28" t="str">
        <f>IFERROR(IF(C325="","",IF(B325="موظف",VLOOKUP(C325,الموظفين!$B:$C,2,FALSE),VLOOKUP(C325,المستفيدين!$B:$C,2,FALSE))),"")</f>
        <v/>
      </c>
      <c r="E325" s="28"/>
      <c r="F325" s="30"/>
      <c r="G325" s="30"/>
      <c r="H325" s="30"/>
    </row>
    <row r="326" spans="1:8" x14ac:dyDescent="0.2">
      <c r="A326" s="30"/>
      <c r="B326" s="30"/>
      <c r="C326" s="30"/>
      <c r="D326" s="28" t="str">
        <f>IFERROR(IF(C326="","",IF(B326="موظف",VLOOKUP(C326,الموظفين!$B:$C,2,FALSE),VLOOKUP(C326,المستفيدين!$B:$C,2,FALSE))),"")</f>
        <v/>
      </c>
      <c r="E326" s="28"/>
      <c r="F326" s="30"/>
      <c r="G326" s="30"/>
      <c r="H326" s="30"/>
    </row>
    <row r="327" spans="1:8" x14ac:dyDescent="0.2">
      <c r="A327" s="30"/>
      <c r="B327" s="30"/>
      <c r="C327" s="30"/>
      <c r="D327" s="28" t="str">
        <f>IFERROR(IF(C327="","",IF(B327="موظف",VLOOKUP(C327,الموظفين!$B:$C,2,FALSE),VLOOKUP(C327,المستفيدين!$B:$C,2,FALSE))),"")</f>
        <v/>
      </c>
      <c r="E327" s="28"/>
      <c r="F327" s="30"/>
      <c r="G327" s="30"/>
      <c r="H327" s="30"/>
    </row>
    <row r="328" spans="1:8" x14ac:dyDescent="0.2">
      <c r="A328" s="30"/>
      <c r="B328" s="30"/>
      <c r="C328" s="30"/>
      <c r="D328" s="28" t="str">
        <f>IFERROR(IF(C328="","",IF(B328="موظف",VLOOKUP(C328,الموظفين!$B:$C,2,FALSE),VLOOKUP(C328,المستفيدين!$B:$C,2,FALSE))),"")</f>
        <v/>
      </c>
      <c r="E328" s="28"/>
      <c r="F328" s="30"/>
      <c r="G328" s="30"/>
      <c r="H328" s="30"/>
    </row>
    <row r="329" spans="1:8" x14ac:dyDescent="0.2">
      <c r="A329" s="30"/>
      <c r="B329" s="30"/>
      <c r="C329" s="30"/>
      <c r="D329" s="28" t="str">
        <f>IFERROR(IF(C329="","",IF(B329="موظف",VLOOKUP(C329,الموظفين!$B:$C,2,FALSE),VLOOKUP(C329,المستفيدين!$B:$C,2,FALSE))),"")</f>
        <v/>
      </c>
      <c r="E329" s="28"/>
      <c r="F329" s="30"/>
      <c r="G329" s="30"/>
      <c r="H329" s="30"/>
    </row>
    <row r="330" spans="1:8" x14ac:dyDescent="0.2">
      <c r="A330" s="30"/>
      <c r="B330" s="30"/>
      <c r="C330" s="30"/>
      <c r="D330" s="28" t="str">
        <f>IFERROR(IF(C330="","",IF(B330="موظف",VLOOKUP(C330,الموظفين!$B:$C,2,FALSE),VLOOKUP(C330,المستفيدين!$B:$C,2,FALSE))),"")</f>
        <v/>
      </c>
      <c r="E330" s="28"/>
      <c r="F330" s="30"/>
      <c r="G330" s="30"/>
      <c r="H330" s="30"/>
    </row>
    <row r="331" spans="1:8" x14ac:dyDescent="0.2">
      <c r="A331" s="30"/>
      <c r="B331" s="30"/>
      <c r="C331" s="30"/>
      <c r="D331" s="28" t="str">
        <f>IFERROR(IF(C331="","",IF(B331="موظف",VLOOKUP(C331,الموظفين!$B:$C,2,FALSE),VLOOKUP(C331,المستفيدين!$B:$C,2,FALSE))),"")</f>
        <v/>
      </c>
      <c r="E331" s="28"/>
      <c r="F331" s="30"/>
      <c r="G331" s="30"/>
      <c r="H331" s="30"/>
    </row>
    <row r="332" spans="1:8" x14ac:dyDescent="0.2">
      <c r="A332" s="30"/>
      <c r="B332" s="30"/>
      <c r="C332" s="30"/>
      <c r="D332" s="28" t="str">
        <f>IFERROR(IF(C332="","",IF(B332="موظف",VLOOKUP(C332,الموظفين!$B:$C,2,FALSE),VLOOKUP(C332,المستفيدين!$B:$C,2,FALSE))),"")</f>
        <v/>
      </c>
      <c r="E332" s="28"/>
      <c r="F332" s="30"/>
      <c r="G332" s="30"/>
      <c r="H332" s="30"/>
    </row>
    <row r="333" spans="1:8" x14ac:dyDescent="0.2">
      <c r="A333" s="30"/>
      <c r="B333" s="30"/>
      <c r="C333" s="30"/>
      <c r="D333" s="28" t="str">
        <f>IFERROR(IF(C333="","",IF(B333="موظف",VLOOKUP(C333,الموظفين!$B:$C,2,FALSE),VLOOKUP(C333,المستفيدين!$B:$C,2,FALSE))),"")</f>
        <v/>
      </c>
      <c r="E333" s="28"/>
      <c r="F333" s="30"/>
      <c r="G333" s="30"/>
      <c r="H333" s="30"/>
    </row>
    <row r="334" spans="1:8" x14ac:dyDescent="0.2">
      <c r="A334" s="30"/>
      <c r="B334" s="30"/>
      <c r="C334" s="30"/>
      <c r="D334" s="28" t="str">
        <f>IFERROR(IF(C334="","",IF(B334="موظف",VLOOKUP(C334,الموظفين!$B:$C,2,FALSE),VLOOKUP(C334,المستفيدين!$B:$C,2,FALSE))),"")</f>
        <v/>
      </c>
      <c r="E334" s="28"/>
      <c r="F334" s="30"/>
      <c r="G334" s="30"/>
      <c r="H334" s="30"/>
    </row>
    <row r="335" spans="1:8" x14ac:dyDescent="0.2">
      <c r="A335" s="30"/>
      <c r="B335" s="30"/>
      <c r="C335" s="30"/>
      <c r="D335" s="28" t="str">
        <f>IFERROR(IF(C335="","",IF(B335="موظف",VLOOKUP(C335,الموظفين!$B:$C,2,FALSE),VLOOKUP(C335,المستفيدين!$B:$C,2,FALSE))),"")</f>
        <v/>
      </c>
      <c r="E335" s="28"/>
      <c r="F335" s="30"/>
      <c r="G335" s="30"/>
      <c r="H335" s="30"/>
    </row>
    <row r="336" spans="1:8" x14ac:dyDescent="0.2">
      <c r="A336" s="30"/>
      <c r="B336" s="30"/>
      <c r="C336" s="30"/>
      <c r="D336" s="28" t="str">
        <f>IFERROR(IF(C336="","",IF(B336="موظف",VLOOKUP(C336,الموظفين!$B:$C,2,FALSE),VLOOKUP(C336,المستفيدين!$B:$C,2,FALSE))),"")</f>
        <v/>
      </c>
      <c r="E336" s="28"/>
      <c r="F336" s="30"/>
      <c r="G336" s="30"/>
      <c r="H336" s="30"/>
    </row>
    <row r="337" spans="1:8" x14ac:dyDescent="0.2">
      <c r="A337" s="30"/>
      <c r="B337" s="30"/>
      <c r="C337" s="30"/>
      <c r="D337" s="28" t="str">
        <f>IFERROR(IF(C337="","",IF(B337="موظف",VLOOKUP(C337,الموظفين!$B:$C,2,FALSE),VLOOKUP(C337,المستفيدين!$B:$C,2,FALSE))),"")</f>
        <v/>
      </c>
      <c r="E337" s="28"/>
      <c r="F337" s="30"/>
      <c r="G337" s="30"/>
      <c r="H337" s="30"/>
    </row>
    <row r="338" spans="1:8" x14ac:dyDescent="0.2">
      <c r="A338" s="30"/>
      <c r="B338" s="30"/>
      <c r="C338" s="30"/>
      <c r="D338" s="28" t="str">
        <f>IFERROR(IF(C338="","",IF(B338="موظف",VLOOKUP(C338,الموظفين!$B:$C,2,FALSE),VLOOKUP(C338,المستفيدين!$B:$C,2,FALSE))),"")</f>
        <v/>
      </c>
      <c r="E338" s="28"/>
      <c r="F338" s="30"/>
      <c r="G338" s="30"/>
      <c r="H338" s="30"/>
    </row>
    <row r="339" spans="1:8" x14ac:dyDescent="0.2">
      <c r="A339" s="30"/>
      <c r="B339" s="30"/>
      <c r="C339" s="30"/>
      <c r="D339" s="28" t="str">
        <f>IFERROR(IF(C339="","",IF(B339="موظف",VLOOKUP(C339,الموظفين!$B:$C,2,FALSE),VLOOKUP(C339,المستفيدين!$B:$C,2,FALSE))),"")</f>
        <v/>
      </c>
      <c r="E339" s="28"/>
      <c r="F339" s="30"/>
      <c r="G339" s="30"/>
      <c r="H339" s="30"/>
    </row>
    <row r="340" spans="1:8" x14ac:dyDescent="0.2">
      <c r="A340" s="30"/>
      <c r="B340" s="30"/>
      <c r="C340" s="30"/>
      <c r="D340" s="28" t="str">
        <f>IFERROR(IF(C340="","",IF(B340="موظف",VLOOKUP(C340,الموظفين!$B:$C,2,FALSE),VLOOKUP(C340,المستفيدين!$B:$C,2,FALSE))),"")</f>
        <v/>
      </c>
      <c r="E340" s="28"/>
      <c r="F340" s="30"/>
      <c r="G340" s="30"/>
      <c r="H340" s="30"/>
    </row>
    <row r="341" spans="1:8" x14ac:dyDescent="0.2">
      <c r="A341" s="30"/>
      <c r="B341" s="30"/>
      <c r="C341" s="30"/>
      <c r="D341" s="28" t="str">
        <f>IFERROR(IF(C341="","",IF(B341="موظف",VLOOKUP(C341,الموظفين!$B:$C,2,FALSE),VLOOKUP(C341,المستفيدين!$B:$C,2,FALSE))),"")</f>
        <v/>
      </c>
      <c r="E341" s="28"/>
      <c r="F341" s="30"/>
      <c r="G341" s="30"/>
      <c r="H341" s="30"/>
    </row>
    <row r="342" spans="1:8" x14ac:dyDescent="0.2">
      <c r="A342" s="30"/>
      <c r="B342" s="30"/>
      <c r="C342" s="30"/>
      <c r="D342" s="28" t="str">
        <f>IFERROR(IF(C342="","",IF(B342="موظف",VLOOKUP(C342,الموظفين!$B:$C,2,FALSE),VLOOKUP(C342,المستفيدين!$B:$C,2,FALSE))),"")</f>
        <v/>
      </c>
      <c r="E342" s="28"/>
      <c r="F342" s="30"/>
      <c r="G342" s="30"/>
      <c r="H342" s="30"/>
    </row>
    <row r="343" spans="1:8" x14ac:dyDescent="0.2">
      <c r="A343" s="30"/>
      <c r="B343" s="30"/>
      <c r="C343" s="30"/>
      <c r="D343" s="28" t="str">
        <f>IFERROR(IF(C343="","",IF(B343="موظف",VLOOKUP(C343,الموظفين!$B:$C,2,FALSE),VLOOKUP(C343,المستفيدين!$B:$C,2,FALSE))),"")</f>
        <v/>
      </c>
      <c r="E343" s="28"/>
      <c r="F343" s="30"/>
      <c r="G343" s="30"/>
      <c r="H343" s="30"/>
    </row>
    <row r="344" spans="1:8" x14ac:dyDescent="0.2">
      <c r="A344" s="30"/>
      <c r="B344" s="30"/>
      <c r="C344" s="30"/>
      <c r="D344" s="28" t="str">
        <f>IFERROR(IF(C344="","",IF(B344="موظف",VLOOKUP(C344,الموظفين!$B:$C,2,FALSE),VLOOKUP(C344,المستفيدين!$B:$C,2,FALSE))),"")</f>
        <v/>
      </c>
      <c r="E344" s="28"/>
      <c r="F344" s="30"/>
      <c r="G344" s="30"/>
      <c r="H344" s="30"/>
    </row>
    <row r="345" spans="1:8" x14ac:dyDescent="0.2">
      <c r="A345" s="30"/>
      <c r="B345" s="30"/>
      <c r="C345" s="30"/>
      <c r="D345" s="28" t="str">
        <f>IFERROR(IF(C345="","",IF(B345="موظف",VLOOKUP(C345,الموظفين!$B:$C,2,FALSE),VLOOKUP(C345,المستفيدين!$B:$C,2,FALSE))),"")</f>
        <v/>
      </c>
      <c r="E345" s="28"/>
      <c r="F345" s="30"/>
      <c r="G345" s="30"/>
      <c r="H345" s="30"/>
    </row>
    <row r="346" spans="1:8" x14ac:dyDescent="0.2">
      <c r="A346" s="30"/>
      <c r="B346" s="30"/>
      <c r="C346" s="30"/>
      <c r="D346" s="28" t="str">
        <f>IFERROR(IF(C346="","",IF(B346="موظف",VLOOKUP(C346,الموظفين!$B:$C,2,FALSE),VLOOKUP(C346,المستفيدين!$B:$C,2,FALSE))),"")</f>
        <v/>
      </c>
      <c r="E346" s="28"/>
      <c r="F346" s="30"/>
      <c r="G346" s="30"/>
      <c r="H346" s="30"/>
    </row>
    <row r="347" spans="1:8" x14ac:dyDescent="0.2">
      <c r="A347" s="30"/>
      <c r="B347" s="30"/>
      <c r="C347" s="30"/>
      <c r="D347" s="28" t="str">
        <f>IFERROR(IF(C347="","",IF(B347="موظف",VLOOKUP(C347,الموظفين!$B:$C,2,FALSE),VLOOKUP(C347,المستفيدين!$B:$C,2,FALSE))),"")</f>
        <v/>
      </c>
      <c r="E347" s="28"/>
      <c r="F347" s="30"/>
      <c r="G347" s="30"/>
      <c r="H347" s="30"/>
    </row>
    <row r="348" spans="1:8" x14ac:dyDescent="0.2">
      <c r="A348" s="30"/>
      <c r="B348" s="30"/>
      <c r="C348" s="30"/>
      <c r="D348" s="28" t="str">
        <f>IFERROR(IF(C348="","",IF(B348="موظف",VLOOKUP(C348,الموظفين!$B:$C,2,FALSE),VLOOKUP(C348,المستفيدين!$B:$C,2,FALSE))),"")</f>
        <v/>
      </c>
      <c r="E348" s="28"/>
      <c r="F348" s="30"/>
      <c r="G348" s="30"/>
      <c r="H348" s="30"/>
    </row>
    <row r="349" spans="1:8" x14ac:dyDescent="0.2">
      <c r="A349" s="30"/>
      <c r="B349" s="30"/>
      <c r="C349" s="30"/>
      <c r="D349" s="28" t="str">
        <f>IFERROR(IF(C349="","",IF(B349="موظف",VLOOKUP(C349,الموظفين!$B:$C,2,FALSE),VLOOKUP(C349,المستفيدين!$B:$C,2,FALSE))),"")</f>
        <v/>
      </c>
      <c r="E349" s="28"/>
      <c r="F349" s="30"/>
      <c r="G349" s="30"/>
      <c r="H349" s="30"/>
    </row>
    <row r="350" spans="1:8" x14ac:dyDescent="0.2">
      <c r="A350" s="30"/>
      <c r="B350" s="30"/>
      <c r="C350" s="30"/>
      <c r="D350" s="28" t="str">
        <f>IFERROR(IF(C350="","",IF(B350="موظف",VLOOKUP(C350,الموظفين!$B:$C,2,FALSE),VLOOKUP(C350,المستفيدين!$B:$C,2,FALSE))),"")</f>
        <v/>
      </c>
      <c r="E350" s="28"/>
      <c r="F350" s="30"/>
      <c r="G350" s="30"/>
      <c r="H350" s="30"/>
    </row>
    <row r="351" spans="1:8" x14ac:dyDescent="0.2">
      <c r="A351" s="30"/>
      <c r="B351" s="30"/>
      <c r="C351" s="30"/>
      <c r="D351" s="28" t="str">
        <f>IFERROR(IF(C351="","",IF(B351="موظف",VLOOKUP(C351,الموظفين!$B:$C,2,FALSE),VLOOKUP(C351,المستفيدين!$B:$C,2,FALSE))),"")</f>
        <v/>
      </c>
      <c r="E351" s="28"/>
      <c r="F351" s="30"/>
      <c r="G351" s="30"/>
      <c r="H351" s="30"/>
    </row>
    <row r="352" spans="1:8" x14ac:dyDescent="0.2">
      <c r="A352" s="30"/>
      <c r="B352" s="30"/>
      <c r="C352" s="30"/>
      <c r="D352" s="28" t="str">
        <f>IFERROR(IF(C352="","",IF(B352="موظف",VLOOKUP(C352,الموظفين!$B:$C,2,FALSE),VLOOKUP(C352,المستفيدين!$B:$C,2,FALSE))),"")</f>
        <v/>
      </c>
      <c r="E352" s="28"/>
      <c r="F352" s="30"/>
      <c r="G352" s="30"/>
      <c r="H352" s="30"/>
    </row>
    <row r="353" spans="1:8" x14ac:dyDescent="0.2">
      <c r="A353" s="30"/>
      <c r="B353" s="30"/>
      <c r="C353" s="30"/>
      <c r="D353" s="28" t="str">
        <f>IFERROR(IF(C353="","",IF(B353="موظف",VLOOKUP(C353,الموظفين!$B:$C,2,FALSE),VLOOKUP(C353,المستفيدين!$B:$C,2,FALSE))),"")</f>
        <v/>
      </c>
      <c r="E353" s="28"/>
      <c r="F353" s="30"/>
      <c r="G353" s="30"/>
      <c r="H353" s="30"/>
    </row>
    <row r="354" spans="1:8" x14ac:dyDescent="0.2">
      <c r="A354" s="30"/>
      <c r="B354" s="30"/>
      <c r="C354" s="30"/>
      <c r="D354" s="28" t="str">
        <f>IFERROR(IF(C354="","",IF(B354="موظف",VLOOKUP(C354,الموظفين!$B:$C,2,FALSE),VLOOKUP(C354,المستفيدين!$B:$C,2,FALSE))),"")</f>
        <v/>
      </c>
      <c r="E354" s="28"/>
      <c r="F354" s="30"/>
      <c r="G354" s="30"/>
      <c r="H354" s="30"/>
    </row>
    <row r="355" spans="1:8" x14ac:dyDescent="0.2">
      <c r="A355" s="30"/>
      <c r="B355" s="30"/>
      <c r="C355" s="30"/>
      <c r="D355" s="28" t="str">
        <f>IFERROR(IF(C355="","",IF(B355="موظف",VLOOKUP(C355,الموظفين!$B:$C,2,FALSE),VLOOKUP(C355,المستفيدين!$B:$C,2,FALSE))),"")</f>
        <v/>
      </c>
      <c r="E355" s="28"/>
      <c r="F355" s="30"/>
      <c r="G355" s="30"/>
      <c r="H355" s="30"/>
    </row>
    <row r="356" spans="1:8" x14ac:dyDescent="0.2">
      <c r="A356" s="30"/>
      <c r="B356" s="30"/>
      <c r="C356" s="30"/>
      <c r="D356" s="28" t="str">
        <f>IFERROR(IF(C356="","",IF(B356="موظف",VLOOKUP(C356,الموظفين!$B:$C,2,FALSE),VLOOKUP(C356,المستفيدين!$B:$C,2,FALSE))),"")</f>
        <v/>
      </c>
      <c r="E356" s="28"/>
      <c r="F356" s="30"/>
      <c r="G356" s="30"/>
      <c r="H356" s="30"/>
    </row>
    <row r="357" spans="1:8" x14ac:dyDescent="0.2">
      <c r="A357" s="30"/>
      <c r="B357" s="30"/>
      <c r="C357" s="30"/>
      <c r="D357" s="28" t="str">
        <f>IFERROR(IF(C357="","",IF(B357="موظف",VLOOKUP(C357,الموظفين!$B:$C,2,FALSE),VLOOKUP(C357,المستفيدين!$B:$C,2,FALSE))),"")</f>
        <v/>
      </c>
      <c r="E357" s="28"/>
      <c r="F357" s="30"/>
      <c r="G357" s="30"/>
      <c r="H357" s="30"/>
    </row>
    <row r="358" spans="1:8" x14ac:dyDescent="0.2">
      <c r="A358" s="30"/>
      <c r="B358" s="30"/>
      <c r="C358" s="30"/>
      <c r="D358" s="28" t="str">
        <f>IFERROR(IF(C358="","",IF(B358="موظف",VLOOKUP(C358,الموظفين!$B:$C,2,FALSE),VLOOKUP(C358,المستفيدين!$B:$C,2,FALSE))),"")</f>
        <v/>
      </c>
      <c r="E358" s="28"/>
      <c r="F358" s="30"/>
      <c r="G358" s="30"/>
      <c r="H358" s="30"/>
    </row>
    <row r="359" spans="1:8" x14ac:dyDescent="0.2">
      <c r="A359" s="30"/>
      <c r="B359" s="30"/>
      <c r="C359" s="30"/>
      <c r="D359" s="28" t="str">
        <f>IFERROR(IF(C359="","",IF(B359="موظف",VLOOKUP(C359,الموظفين!$B:$C,2,FALSE),VLOOKUP(C359,المستفيدين!$B:$C,2,FALSE))),"")</f>
        <v/>
      </c>
      <c r="E359" s="28"/>
      <c r="F359" s="30"/>
      <c r="G359" s="30"/>
      <c r="H359" s="30"/>
    </row>
    <row r="360" spans="1:8" x14ac:dyDescent="0.2">
      <c r="A360" s="30"/>
      <c r="B360" s="30"/>
      <c r="C360" s="30"/>
      <c r="D360" s="28" t="str">
        <f>IFERROR(IF(C360="","",IF(B360="موظف",VLOOKUP(C360,الموظفين!$B:$C,2,FALSE),VLOOKUP(C360,المستفيدين!$B:$C,2,FALSE))),"")</f>
        <v/>
      </c>
      <c r="E360" s="28"/>
      <c r="F360" s="30"/>
      <c r="G360" s="30"/>
      <c r="H360" s="30"/>
    </row>
    <row r="361" spans="1:8" x14ac:dyDescent="0.2">
      <c r="A361" s="30"/>
      <c r="B361" s="30"/>
      <c r="C361" s="30"/>
      <c r="D361" s="28" t="str">
        <f>IFERROR(IF(C361="","",IF(B361="موظف",VLOOKUP(C361,الموظفين!$B:$C,2,FALSE),VLOOKUP(C361,المستفيدين!$B:$C,2,FALSE))),"")</f>
        <v/>
      </c>
      <c r="E361" s="28"/>
      <c r="F361" s="30"/>
      <c r="G361" s="30"/>
      <c r="H361" s="30"/>
    </row>
    <row r="362" spans="1:8" x14ac:dyDescent="0.2">
      <c r="A362" s="30"/>
      <c r="B362" s="30"/>
      <c r="C362" s="30"/>
      <c r="D362" s="28" t="str">
        <f>IFERROR(IF(C362="","",IF(B362="موظف",VLOOKUP(C362,الموظفين!$B:$C,2,FALSE),VLOOKUP(C362,المستفيدين!$B:$C,2,FALSE))),"")</f>
        <v/>
      </c>
      <c r="E362" s="28"/>
      <c r="F362" s="30"/>
      <c r="G362" s="30"/>
      <c r="H362" s="30"/>
    </row>
    <row r="363" spans="1:8" x14ac:dyDescent="0.2">
      <c r="A363" s="30"/>
      <c r="B363" s="30"/>
      <c r="C363" s="30"/>
      <c r="D363" s="28" t="str">
        <f>IFERROR(IF(C363="","",IF(B363="موظف",VLOOKUP(C363,الموظفين!$B:$C,2,FALSE),VLOOKUP(C363,المستفيدين!$B:$C,2,FALSE))),"")</f>
        <v/>
      </c>
      <c r="E363" s="28"/>
      <c r="F363" s="30"/>
      <c r="G363" s="30"/>
      <c r="H363" s="30"/>
    </row>
    <row r="364" spans="1:8" x14ac:dyDescent="0.2">
      <c r="A364" s="30"/>
      <c r="B364" s="30"/>
      <c r="C364" s="30"/>
      <c r="D364" s="28" t="str">
        <f>IFERROR(IF(C364="","",IF(B364="موظف",VLOOKUP(C364,الموظفين!$B:$C,2,FALSE),VLOOKUP(C364,المستفيدين!$B:$C,2,FALSE))),"")</f>
        <v/>
      </c>
      <c r="E364" s="28"/>
      <c r="F364" s="30"/>
      <c r="G364" s="30"/>
      <c r="H364" s="30"/>
    </row>
    <row r="365" spans="1:8" x14ac:dyDescent="0.2">
      <c r="A365" s="30"/>
      <c r="B365" s="30"/>
      <c r="C365" s="30"/>
      <c r="D365" s="28" t="str">
        <f>IFERROR(IF(C365="","",IF(B365="موظف",VLOOKUP(C365,الموظفين!$B:$C,2,FALSE),VLOOKUP(C365,المستفيدين!$B:$C,2,FALSE))),"")</f>
        <v/>
      </c>
      <c r="E365" s="28"/>
      <c r="F365" s="30"/>
      <c r="G365" s="30"/>
      <c r="H365" s="30"/>
    </row>
    <row r="366" spans="1:8" x14ac:dyDescent="0.2">
      <c r="A366" s="30"/>
      <c r="B366" s="30"/>
      <c r="C366" s="30"/>
      <c r="D366" s="28" t="str">
        <f>IFERROR(IF(C366="","",IF(B366="موظف",VLOOKUP(C366,الموظفين!$B:$C,2,FALSE),VLOOKUP(C366,المستفيدين!$B:$C,2,FALSE))),"")</f>
        <v/>
      </c>
      <c r="E366" s="28"/>
      <c r="F366" s="30"/>
      <c r="G366" s="30"/>
      <c r="H366" s="30"/>
    </row>
    <row r="367" spans="1:8" x14ac:dyDescent="0.2">
      <c r="A367" s="30"/>
      <c r="B367" s="30"/>
      <c r="C367" s="30"/>
      <c r="D367" s="28" t="str">
        <f>IFERROR(IF(C367="","",IF(B367="موظف",VLOOKUP(C367,الموظفين!$B:$C,2,FALSE),VLOOKUP(C367,المستفيدين!$B:$C,2,FALSE))),"")</f>
        <v/>
      </c>
      <c r="E367" s="28"/>
      <c r="F367" s="30"/>
      <c r="G367" s="30"/>
      <c r="H367" s="30"/>
    </row>
    <row r="368" spans="1:8" x14ac:dyDescent="0.2">
      <c r="A368" s="30"/>
      <c r="B368" s="30"/>
      <c r="C368" s="30"/>
      <c r="D368" s="28" t="str">
        <f>IFERROR(IF(C368="","",IF(B368="موظف",VLOOKUP(C368,الموظفين!$B:$C,2,FALSE),VLOOKUP(C368,المستفيدين!$B:$C,2,FALSE))),"")</f>
        <v/>
      </c>
      <c r="E368" s="28"/>
      <c r="F368" s="30"/>
      <c r="G368" s="30"/>
      <c r="H368" s="30"/>
    </row>
    <row r="369" spans="1:8" x14ac:dyDescent="0.2">
      <c r="A369" s="30"/>
      <c r="B369" s="30"/>
      <c r="C369" s="30"/>
      <c r="D369" s="28" t="str">
        <f>IFERROR(IF(C369="","",IF(B369="موظف",VLOOKUP(C369,الموظفين!$B:$C,2,FALSE),VLOOKUP(C369,المستفيدين!$B:$C,2,FALSE))),"")</f>
        <v/>
      </c>
      <c r="E369" s="28"/>
      <c r="F369" s="30"/>
      <c r="G369" s="30"/>
      <c r="H369" s="30"/>
    </row>
    <row r="370" spans="1:8" x14ac:dyDescent="0.2">
      <c r="A370" s="30"/>
      <c r="B370" s="30"/>
      <c r="C370" s="30"/>
      <c r="D370" s="28" t="str">
        <f>IFERROR(IF(C370="","",IF(B370="موظف",VLOOKUP(C370,الموظفين!$B:$C,2,FALSE),VLOOKUP(C370,المستفيدين!$B:$C,2,FALSE))),"")</f>
        <v/>
      </c>
      <c r="E370" s="28"/>
      <c r="F370" s="30"/>
      <c r="G370" s="30"/>
      <c r="H370" s="30"/>
    </row>
    <row r="371" spans="1:8" x14ac:dyDescent="0.2">
      <c r="A371" s="30"/>
      <c r="B371" s="30"/>
      <c r="C371" s="30"/>
      <c r="D371" s="28" t="str">
        <f>IFERROR(IF(C371="","",IF(B371="موظف",VLOOKUP(C371,الموظفين!$B:$C,2,FALSE),VLOOKUP(C371,المستفيدين!$B:$C,2,FALSE))),"")</f>
        <v/>
      </c>
      <c r="E371" s="28"/>
      <c r="F371" s="30"/>
      <c r="G371" s="30"/>
      <c r="H371" s="30"/>
    </row>
    <row r="372" spans="1:8" x14ac:dyDescent="0.2">
      <c r="A372" s="30"/>
      <c r="B372" s="30"/>
      <c r="C372" s="30"/>
      <c r="D372" s="28" t="str">
        <f>IFERROR(IF(C372="","",IF(B372="موظف",VLOOKUP(C372,الموظفين!$B:$C,2,FALSE),VLOOKUP(C372,المستفيدين!$B:$C,2,FALSE))),"")</f>
        <v/>
      </c>
      <c r="E372" s="28"/>
      <c r="F372" s="30"/>
      <c r="G372" s="30"/>
      <c r="H372" s="30"/>
    </row>
    <row r="373" spans="1:8" x14ac:dyDescent="0.2">
      <c r="A373" s="30"/>
      <c r="B373" s="30"/>
      <c r="C373" s="30"/>
      <c r="D373" s="28" t="str">
        <f>IFERROR(IF(C373="","",IF(B373="موظف",VLOOKUP(C373,الموظفين!$B:$C,2,FALSE),VLOOKUP(C373,المستفيدين!$B:$C,2,FALSE))),"")</f>
        <v/>
      </c>
      <c r="E373" s="28"/>
      <c r="F373" s="30"/>
      <c r="G373" s="30"/>
      <c r="H373" s="30"/>
    </row>
    <row r="374" spans="1:8" x14ac:dyDescent="0.2">
      <c r="A374" s="30"/>
      <c r="B374" s="30"/>
      <c r="C374" s="30"/>
      <c r="D374" s="28" t="str">
        <f>IFERROR(IF(C374="","",IF(B374="موظف",VLOOKUP(C374,الموظفين!$B:$C,2,FALSE),VLOOKUP(C374,المستفيدين!$B:$C,2,FALSE))),"")</f>
        <v/>
      </c>
      <c r="E374" s="28"/>
      <c r="F374" s="30"/>
      <c r="G374" s="30"/>
      <c r="H374" s="30"/>
    </row>
    <row r="375" spans="1:8" x14ac:dyDescent="0.2">
      <c r="A375" s="30"/>
      <c r="B375" s="30"/>
      <c r="C375" s="30"/>
      <c r="D375" s="28" t="str">
        <f>IFERROR(IF(C375="","",IF(B375="موظف",VLOOKUP(C375,الموظفين!$B:$C,2,FALSE),VLOOKUP(C375,المستفيدين!$B:$C,2,FALSE))),"")</f>
        <v/>
      </c>
      <c r="E375" s="28"/>
      <c r="F375" s="30"/>
      <c r="G375" s="30"/>
      <c r="H375" s="30"/>
    </row>
    <row r="376" spans="1:8" x14ac:dyDescent="0.2">
      <c r="A376" s="30"/>
      <c r="B376" s="30"/>
      <c r="C376" s="30"/>
      <c r="D376" s="28" t="str">
        <f>IFERROR(IF(C376="","",IF(B376="موظف",VLOOKUP(C376,الموظفين!$B:$C,2,FALSE),VLOOKUP(C376,المستفيدين!$B:$C,2,FALSE))),"")</f>
        <v/>
      </c>
      <c r="E376" s="28"/>
      <c r="F376" s="30"/>
      <c r="G376" s="30"/>
      <c r="H376" s="30"/>
    </row>
    <row r="377" spans="1:8" x14ac:dyDescent="0.2">
      <c r="A377" s="30"/>
      <c r="B377" s="30"/>
      <c r="C377" s="30"/>
      <c r="D377" s="28" t="str">
        <f>IFERROR(IF(C377="","",IF(B377="موظف",VLOOKUP(C377,الموظفين!$B:$C,2,FALSE),VLOOKUP(C377,المستفيدين!$B:$C,2,FALSE))),"")</f>
        <v/>
      </c>
      <c r="E377" s="28"/>
      <c r="F377" s="30"/>
      <c r="G377" s="30"/>
      <c r="H377" s="30"/>
    </row>
    <row r="378" spans="1:8" x14ac:dyDescent="0.2">
      <c r="A378" s="30"/>
      <c r="B378" s="30"/>
      <c r="C378" s="30"/>
      <c r="D378" s="28" t="str">
        <f>IFERROR(IF(C378="","",IF(B378="موظف",VLOOKUP(C378,الموظفين!$B:$C,2,FALSE),VLOOKUP(C378,المستفيدين!$B:$C,2,FALSE))),"")</f>
        <v/>
      </c>
      <c r="E378" s="28"/>
      <c r="F378" s="30"/>
      <c r="G378" s="30"/>
      <c r="H378" s="30"/>
    </row>
    <row r="379" spans="1:8" x14ac:dyDescent="0.2">
      <c r="A379" s="30"/>
      <c r="B379" s="30"/>
      <c r="C379" s="30"/>
      <c r="D379" s="28" t="str">
        <f>IFERROR(IF(C379="","",IF(B379="موظف",VLOOKUP(C379,الموظفين!$B:$C,2,FALSE),VLOOKUP(C379,المستفيدين!$B:$C,2,FALSE))),"")</f>
        <v/>
      </c>
      <c r="E379" s="28"/>
      <c r="F379" s="30"/>
      <c r="G379" s="30"/>
      <c r="H379" s="30"/>
    </row>
    <row r="380" spans="1:8" x14ac:dyDescent="0.2">
      <c r="A380" s="30"/>
      <c r="B380" s="30"/>
      <c r="C380" s="30"/>
      <c r="D380" s="28" t="str">
        <f>IFERROR(IF(C380="","",IF(B380="موظف",VLOOKUP(C380,الموظفين!$B:$C,2,FALSE),VLOOKUP(C380,المستفيدين!$B:$C,2,FALSE))),"")</f>
        <v/>
      </c>
      <c r="E380" s="28"/>
      <c r="F380" s="30"/>
      <c r="G380" s="30"/>
      <c r="H380" s="30"/>
    </row>
    <row r="381" spans="1:8" x14ac:dyDescent="0.2">
      <c r="A381" s="30"/>
      <c r="B381" s="30"/>
      <c r="C381" s="30"/>
      <c r="D381" s="28" t="str">
        <f>IFERROR(IF(C381="","",IF(B381="موظف",VLOOKUP(C381,الموظفين!$B:$C,2,FALSE),VLOOKUP(C381,المستفيدين!$B:$C,2,FALSE))),"")</f>
        <v/>
      </c>
      <c r="E381" s="28"/>
      <c r="F381" s="30"/>
      <c r="G381" s="30"/>
      <c r="H381" s="30"/>
    </row>
    <row r="382" spans="1:8" x14ac:dyDescent="0.2">
      <c r="A382" s="30"/>
      <c r="B382" s="30"/>
      <c r="C382" s="30"/>
      <c r="D382" s="28" t="str">
        <f>IFERROR(IF(C382="","",IF(B382="موظف",VLOOKUP(C382,الموظفين!$B:$C,2,FALSE),VLOOKUP(C382,المستفيدين!$B:$C,2,FALSE))),"")</f>
        <v/>
      </c>
      <c r="E382" s="28"/>
      <c r="F382" s="30"/>
      <c r="G382" s="30"/>
      <c r="H382" s="30"/>
    </row>
    <row r="383" spans="1:8" x14ac:dyDescent="0.2">
      <c r="A383" s="30"/>
      <c r="B383" s="30"/>
      <c r="C383" s="30"/>
      <c r="D383" s="28" t="str">
        <f>IFERROR(IF(C383="","",IF(B383="موظف",VLOOKUP(C383,الموظفين!$B:$C,2,FALSE),VLOOKUP(C383,المستفيدين!$B:$C,2,FALSE))),"")</f>
        <v/>
      </c>
      <c r="E383" s="28"/>
      <c r="F383" s="30"/>
      <c r="G383" s="30"/>
      <c r="H383" s="30"/>
    </row>
    <row r="384" spans="1:8" x14ac:dyDescent="0.2">
      <c r="A384" s="30"/>
      <c r="B384" s="30"/>
      <c r="C384" s="30"/>
      <c r="D384" s="28" t="str">
        <f>IFERROR(IF(C384="","",IF(B384="موظف",VLOOKUP(C384,الموظفين!$B:$C,2,FALSE),VLOOKUP(C384,المستفيدين!$B:$C,2,FALSE))),"")</f>
        <v/>
      </c>
      <c r="E384" s="28"/>
      <c r="F384" s="30"/>
      <c r="G384" s="30"/>
      <c r="H384" s="30"/>
    </row>
    <row r="385" spans="1:8" x14ac:dyDescent="0.2">
      <c r="A385" s="30"/>
      <c r="B385" s="30"/>
      <c r="C385" s="30"/>
      <c r="D385" s="28" t="str">
        <f>IFERROR(IF(C385="","",IF(B385="موظف",VLOOKUP(C385,الموظفين!$B:$C,2,FALSE),VLOOKUP(C385,المستفيدين!$B:$C,2,FALSE))),"")</f>
        <v/>
      </c>
      <c r="E385" s="28"/>
      <c r="F385" s="30"/>
      <c r="G385" s="30"/>
      <c r="H385" s="30"/>
    </row>
    <row r="386" spans="1:8" x14ac:dyDescent="0.2">
      <c r="A386" s="30"/>
      <c r="B386" s="30"/>
      <c r="C386" s="30"/>
      <c r="D386" s="28" t="str">
        <f>IFERROR(IF(C386="","",IF(B386="موظف",VLOOKUP(C386,الموظفين!$B:$C,2,FALSE),VLOOKUP(C386,المستفيدين!$B:$C,2,FALSE))),"")</f>
        <v/>
      </c>
      <c r="E386" s="28"/>
      <c r="F386" s="30"/>
      <c r="G386" s="30"/>
      <c r="H386" s="30"/>
    </row>
    <row r="387" spans="1:8" x14ac:dyDescent="0.2">
      <c r="A387" s="30"/>
      <c r="B387" s="30"/>
      <c r="C387" s="30"/>
      <c r="D387" s="28" t="str">
        <f>IFERROR(IF(C387="","",IF(B387="موظف",VLOOKUP(C387,الموظفين!$B:$C,2,FALSE),VLOOKUP(C387,المستفيدين!$B:$C,2,FALSE))),"")</f>
        <v/>
      </c>
      <c r="E387" s="28"/>
      <c r="F387" s="30"/>
      <c r="G387" s="30"/>
      <c r="H387" s="30"/>
    </row>
    <row r="388" spans="1:8" x14ac:dyDescent="0.2">
      <c r="A388" s="30"/>
      <c r="B388" s="30"/>
      <c r="C388" s="30"/>
      <c r="D388" s="28" t="str">
        <f>IFERROR(IF(C388="","",IF(B388="موظف",VLOOKUP(C388,الموظفين!$B:$C,2,FALSE),VLOOKUP(C388,المستفيدين!$B:$C,2,FALSE))),"")</f>
        <v/>
      </c>
      <c r="E388" s="28"/>
      <c r="F388" s="30"/>
      <c r="G388" s="30"/>
      <c r="H388" s="30"/>
    </row>
    <row r="389" spans="1:8" x14ac:dyDescent="0.2">
      <c r="A389" s="30"/>
      <c r="B389" s="30"/>
      <c r="C389" s="30"/>
      <c r="D389" s="28" t="str">
        <f>IFERROR(IF(C389="","",IF(B389="موظف",VLOOKUP(C389,الموظفين!$B:$C,2,FALSE),VLOOKUP(C389,المستفيدين!$B:$C,2,FALSE))),"")</f>
        <v/>
      </c>
      <c r="E389" s="28"/>
      <c r="F389" s="30"/>
      <c r="G389" s="30"/>
      <c r="H389" s="30"/>
    </row>
    <row r="390" spans="1:8" x14ac:dyDescent="0.2">
      <c r="A390" s="30"/>
      <c r="B390" s="30"/>
      <c r="C390" s="30"/>
      <c r="D390" s="28" t="str">
        <f>IFERROR(IF(C390="","",IF(B390="موظف",VLOOKUP(C390,الموظفين!$B:$C,2,FALSE),VLOOKUP(C390,المستفيدين!$B:$C,2,FALSE))),"")</f>
        <v/>
      </c>
      <c r="E390" s="28"/>
      <c r="F390" s="30"/>
      <c r="G390" s="30"/>
      <c r="H390" s="30"/>
    </row>
    <row r="391" spans="1:8" x14ac:dyDescent="0.2">
      <c r="A391" s="30"/>
      <c r="B391" s="30"/>
      <c r="C391" s="30"/>
      <c r="D391" s="28" t="str">
        <f>IFERROR(IF(C391="","",IF(B391="موظف",VLOOKUP(C391,الموظفين!$B:$C,2,FALSE),VLOOKUP(C391,المستفيدين!$B:$C,2,FALSE))),"")</f>
        <v/>
      </c>
      <c r="E391" s="28"/>
      <c r="F391" s="30"/>
      <c r="G391" s="30"/>
      <c r="H391" s="30"/>
    </row>
    <row r="392" spans="1:8" x14ac:dyDescent="0.2">
      <c r="A392" s="30"/>
      <c r="B392" s="30"/>
      <c r="C392" s="30"/>
      <c r="D392" s="28" t="str">
        <f>IFERROR(IF(C392="","",IF(B392="موظف",VLOOKUP(C392,الموظفين!$B:$C,2,FALSE),VLOOKUP(C392,المستفيدين!$B:$C,2,FALSE))),"")</f>
        <v/>
      </c>
      <c r="E392" s="28"/>
      <c r="F392" s="30"/>
      <c r="G392" s="30"/>
      <c r="H392" s="30"/>
    </row>
    <row r="393" spans="1:8" x14ac:dyDescent="0.2">
      <c r="A393" s="30"/>
      <c r="B393" s="30"/>
      <c r="C393" s="30"/>
      <c r="D393" s="28" t="str">
        <f>IFERROR(IF(C393="","",IF(B393="موظف",VLOOKUP(C393,الموظفين!$B:$C,2,FALSE),VLOOKUP(C393,المستفيدين!$B:$C,2,FALSE))),"")</f>
        <v/>
      </c>
      <c r="E393" s="28"/>
      <c r="F393" s="30"/>
      <c r="G393" s="30"/>
      <c r="H393" s="30"/>
    </row>
    <row r="394" spans="1:8" x14ac:dyDescent="0.2">
      <c r="A394" s="30"/>
      <c r="B394" s="30"/>
      <c r="C394" s="30"/>
      <c r="D394" s="28" t="str">
        <f>IFERROR(IF(C394="","",IF(B394="موظف",VLOOKUP(C394,الموظفين!$B:$C,2,FALSE),VLOOKUP(C394,المستفيدين!$B:$C,2,FALSE))),"")</f>
        <v/>
      </c>
      <c r="E394" s="28"/>
      <c r="F394" s="30"/>
      <c r="G394" s="30"/>
      <c r="H394" s="30"/>
    </row>
    <row r="395" spans="1:8" x14ac:dyDescent="0.2">
      <c r="A395" s="30"/>
      <c r="B395" s="30"/>
      <c r="C395" s="30"/>
      <c r="D395" s="28" t="str">
        <f>IFERROR(IF(C395="","",IF(B395="موظف",VLOOKUP(C395,الموظفين!$B:$C,2,FALSE),VLOOKUP(C395,المستفيدين!$B:$C,2,FALSE))),"")</f>
        <v/>
      </c>
      <c r="E395" s="28"/>
      <c r="F395" s="30"/>
      <c r="G395" s="30"/>
      <c r="H395" s="30"/>
    </row>
    <row r="396" spans="1:8" x14ac:dyDescent="0.2">
      <c r="A396" s="30"/>
      <c r="B396" s="30"/>
      <c r="C396" s="30"/>
      <c r="D396" s="28" t="str">
        <f>IFERROR(IF(C396="","",IF(B396="موظف",VLOOKUP(C396,الموظفين!$B:$C,2,FALSE),VLOOKUP(C396,المستفيدين!$B:$C,2,FALSE))),"")</f>
        <v/>
      </c>
      <c r="E396" s="28"/>
      <c r="F396" s="30"/>
      <c r="G396" s="30"/>
      <c r="H396" s="30"/>
    </row>
    <row r="397" spans="1:8" x14ac:dyDescent="0.2">
      <c r="A397" s="30"/>
      <c r="B397" s="30"/>
      <c r="C397" s="30"/>
      <c r="D397" s="28" t="str">
        <f>IFERROR(IF(C397="","",IF(B397="موظف",VLOOKUP(C397,الموظفين!$B:$C,2,FALSE),VLOOKUP(C397,المستفيدين!$B:$C,2,FALSE))),"")</f>
        <v/>
      </c>
      <c r="E397" s="28"/>
      <c r="F397" s="30"/>
      <c r="G397" s="30"/>
      <c r="H397" s="30"/>
    </row>
    <row r="398" spans="1:8" x14ac:dyDescent="0.2">
      <c r="A398" s="30"/>
      <c r="B398" s="30"/>
      <c r="C398" s="30"/>
      <c r="D398" s="28" t="str">
        <f>IFERROR(IF(C398="","",IF(B398="موظف",VLOOKUP(C398,الموظفين!$B:$C,2,FALSE),VLOOKUP(C398,المستفيدين!$B:$C,2,FALSE))),"")</f>
        <v/>
      </c>
      <c r="E398" s="28"/>
      <c r="F398" s="30"/>
      <c r="G398" s="30"/>
      <c r="H398" s="30"/>
    </row>
    <row r="399" spans="1:8" x14ac:dyDescent="0.2">
      <c r="A399" s="30"/>
      <c r="B399" s="30"/>
      <c r="C399" s="30"/>
      <c r="D399" s="28" t="str">
        <f>IFERROR(IF(C399="","",IF(B399="موظف",VLOOKUP(C399,الموظفين!$B:$C,2,FALSE),VLOOKUP(C399,المستفيدين!$B:$C,2,FALSE))),"")</f>
        <v/>
      </c>
      <c r="E399" s="28"/>
      <c r="F399" s="30"/>
      <c r="G399" s="30"/>
      <c r="H399" s="30"/>
    </row>
    <row r="400" spans="1:8" x14ac:dyDescent="0.2">
      <c r="A400" s="30"/>
      <c r="B400" s="30"/>
      <c r="C400" s="30"/>
      <c r="D400" s="28" t="str">
        <f>IFERROR(IF(C400="","",IF(B400="موظف",VLOOKUP(C400,الموظفين!$B:$C,2,FALSE),VLOOKUP(C400,المستفيدين!$B:$C,2,FALSE))),"")</f>
        <v/>
      </c>
      <c r="E400" s="28"/>
      <c r="F400" s="30"/>
      <c r="G400" s="30"/>
      <c r="H400" s="30"/>
    </row>
    <row r="401" spans="1:8" x14ac:dyDescent="0.2">
      <c r="A401" s="30"/>
      <c r="B401" s="30"/>
      <c r="C401" s="30"/>
      <c r="D401" s="28" t="str">
        <f>IFERROR(IF(C401="","",IF(B401="موظف",VLOOKUP(C401,الموظفين!$B:$C,2,FALSE),VLOOKUP(C401,المستفيدين!$B:$C,2,FALSE))),"")</f>
        <v/>
      </c>
      <c r="E401" s="28"/>
      <c r="F401" s="30"/>
      <c r="G401" s="30"/>
      <c r="H401" s="30"/>
    </row>
    <row r="402" spans="1:8" x14ac:dyDescent="0.2">
      <c r="A402" s="30"/>
      <c r="B402" s="30"/>
      <c r="C402" s="30"/>
      <c r="D402" s="28" t="str">
        <f>IFERROR(IF(C402="","",IF(B402="موظف",VLOOKUP(C402,الموظفين!$B:$C,2,FALSE),VLOOKUP(C402,المستفيدين!$B:$C,2,FALSE))),"")</f>
        <v/>
      </c>
      <c r="E402" s="28"/>
      <c r="F402" s="30"/>
      <c r="G402" s="30"/>
      <c r="H402" s="30"/>
    </row>
    <row r="403" spans="1:8" x14ac:dyDescent="0.2">
      <c r="A403" s="30"/>
      <c r="B403" s="30"/>
      <c r="C403" s="30"/>
      <c r="D403" s="28" t="str">
        <f>IFERROR(IF(C403="","",IF(B403="موظف",VLOOKUP(C403,الموظفين!$B:$C,2,FALSE),VLOOKUP(C403,المستفيدين!$B:$C,2,FALSE))),"")</f>
        <v/>
      </c>
      <c r="E403" s="28"/>
      <c r="F403" s="30"/>
      <c r="G403" s="30"/>
      <c r="H403" s="30"/>
    </row>
    <row r="404" spans="1:8" x14ac:dyDescent="0.2">
      <c r="A404" s="30"/>
      <c r="B404" s="30"/>
      <c r="C404" s="30"/>
      <c r="D404" s="28" t="str">
        <f>IFERROR(IF(C404="","",IF(B404="موظف",VLOOKUP(C404,الموظفين!$B:$C,2,FALSE),VLOOKUP(C404,المستفيدين!$B:$C,2,FALSE))),"")</f>
        <v/>
      </c>
      <c r="E404" s="28"/>
      <c r="F404" s="30"/>
      <c r="G404" s="30"/>
      <c r="H404" s="30"/>
    </row>
    <row r="405" spans="1:8" x14ac:dyDescent="0.2">
      <c r="A405" s="30"/>
      <c r="B405" s="30"/>
      <c r="C405" s="30"/>
      <c r="D405" s="28" t="str">
        <f>IFERROR(IF(C405="","",IF(B405="موظف",VLOOKUP(C405,الموظفين!$B:$C,2,FALSE),VLOOKUP(C405,المستفيدين!$B:$C,2,FALSE))),"")</f>
        <v/>
      </c>
      <c r="E405" s="28"/>
      <c r="F405" s="30"/>
      <c r="G405" s="30"/>
      <c r="H405" s="30"/>
    </row>
    <row r="406" spans="1:8" x14ac:dyDescent="0.2">
      <c r="A406" s="30"/>
      <c r="B406" s="30"/>
      <c r="C406" s="30"/>
      <c r="D406" s="28" t="str">
        <f>IFERROR(IF(C406="","",IF(B406="موظف",VLOOKUP(C406,الموظفين!$B:$C,2,FALSE),VLOOKUP(C406,المستفيدين!$B:$C,2,FALSE))),"")</f>
        <v/>
      </c>
      <c r="E406" s="28"/>
      <c r="F406" s="30"/>
      <c r="G406" s="30"/>
      <c r="H406" s="30"/>
    </row>
    <row r="407" spans="1:8" x14ac:dyDescent="0.2">
      <c r="A407" s="30"/>
      <c r="B407" s="30"/>
      <c r="C407" s="30"/>
      <c r="D407" s="28" t="str">
        <f>IFERROR(IF(C407="","",IF(B407="موظف",VLOOKUP(C407,الموظفين!$B:$C,2,FALSE),VLOOKUP(C407,المستفيدين!$B:$C,2,FALSE))),"")</f>
        <v/>
      </c>
      <c r="E407" s="28"/>
      <c r="F407" s="30"/>
      <c r="G407" s="30"/>
      <c r="H407" s="30"/>
    </row>
    <row r="408" spans="1:8" x14ac:dyDescent="0.2">
      <c r="A408" s="30"/>
      <c r="B408" s="30"/>
      <c r="C408" s="30"/>
      <c r="D408" s="28" t="str">
        <f>IFERROR(IF(C408="","",IF(B408="موظف",VLOOKUP(C408,الموظفين!$B:$C,2,FALSE),VLOOKUP(C408,المستفيدين!$B:$C,2,FALSE))),"")</f>
        <v/>
      </c>
      <c r="E408" s="28"/>
      <c r="F408" s="30"/>
      <c r="G408" s="30"/>
      <c r="H408" s="30"/>
    </row>
    <row r="409" spans="1:8" x14ac:dyDescent="0.2">
      <c r="A409" s="30"/>
      <c r="B409" s="30"/>
      <c r="C409" s="30"/>
      <c r="D409" s="28" t="str">
        <f>IFERROR(IF(C409="","",IF(B409="موظف",VLOOKUP(C409,الموظفين!$B:$C,2,FALSE),VLOOKUP(C409,المستفيدين!$B:$C,2,FALSE))),"")</f>
        <v/>
      </c>
      <c r="E409" s="28"/>
      <c r="F409" s="30"/>
      <c r="G409" s="30"/>
      <c r="H409" s="30"/>
    </row>
    <row r="410" spans="1:8" x14ac:dyDescent="0.2">
      <c r="A410" s="30"/>
      <c r="B410" s="30"/>
      <c r="C410" s="30"/>
      <c r="D410" s="28" t="str">
        <f>IFERROR(IF(C410="","",IF(B410="موظف",VLOOKUP(C410,الموظفين!$B:$C,2,FALSE),VLOOKUP(C410,المستفيدين!$B:$C,2,FALSE))),"")</f>
        <v/>
      </c>
      <c r="E410" s="28"/>
      <c r="F410" s="30"/>
      <c r="G410" s="30"/>
      <c r="H410" s="30"/>
    </row>
    <row r="411" spans="1:8" x14ac:dyDescent="0.2">
      <c r="A411" s="30"/>
      <c r="B411" s="30"/>
      <c r="C411" s="30"/>
      <c r="D411" s="28" t="str">
        <f>IFERROR(IF(C411="","",IF(B411="موظف",VLOOKUP(C411,الموظفين!$B:$C,2,FALSE),VLOOKUP(C411,المستفيدين!$B:$C,2,FALSE))),"")</f>
        <v/>
      </c>
      <c r="E411" s="28"/>
      <c r="F411" s="30"/>
      <c r="G411" s="30"/>
      <c r="H411" s="30"/>
    </row>
    <row r="412" spans="1:8" x14ac:dyDescent="0.2">
      <c r="A412" s="30"/>
      <c r="B412" s="30"/>
      <c r="C412" s="30"/>
      <c r="D412" s="28" t="str">
        <f>IFERROR(IF(C412="","",IF(B412="موظف",VLOOKUP(C412,الموظفين!$B:$C,2,FALSE),VLOOKUP(C412,المستفيدين!$B:$C,2,FALSE))),"")</f>
        <v/>
      </c>
      <c r="E412" s="28"/>
      <c r="F412" s="30"/>
      <c r="G412" s="30"/>
      <c r="H412" s="30"/>
    </row>
    <row r="413" spans="1:8" x14ac:dyDescent="0.2">
      <c r="A413" s="30"/>
      <c r="B413" s="30"/>
      <c r="C413" s="30"/>
      <c r="D413" s="28" t="str">
        <f>IFERROR(IF(C413="","",IF(B413="موظف",VLOOKUP(C413,الموظفين!$B:$C,2,FALSE),VLOOKUP(C413,المستفيدين!$B:$C,2,FALSE))),"")</f>
        <v/>
      </c>
      <c r="E413" s="28"/>
      <c r="F413" s="30"/>
      <c r="G413" s="30"/>
      <c r="H413" s="30"/>
    </row>
    <row r="414" spans="1:8" x14ac:dyDescent="0.2">
      <c r="A414" s="30"/>
      <c r="B414" s="30"/>
      <c r="C414" s="30"/>
      <c r="D414" s="28" t="str">
        <f>IFERROR(IF(C414="","",IF(B414="موظف",VLOOKUP(C414,الموظفين!$B:$C,2,FALSE),VLOOKUP(C414,المستفيدين!$B:$C,2,FALSE))),"")</f>
        <v/>
      </c>
      <c r="E414" s="28"/>
      <c r="F414" s="30"/>
      <c r="G414" s="30"/>
      <c r="H414" s="30"/>
    </row>
    <row r="415" spans="1:8" x14ac:dyDescent="0.2">
      <c r="A415" s="30"/>
      <c r="B415" s="30"/>
      <c r="C415" s="30"/>
      <c r="D415" s="28" t="str">
        <f>IFERROR(IF(C415="","",IF(B415="موظف",VLOOKUP(C415,الموظفين!$B:$C,2,FALSE),VLOOKUP(C415,المستفيدين!$B:$C,2,FALSE))),"")</f>
        <v/>
      </c>
      <c r="E415" s="28"/>
      <c r="F415" s="30"/>
      <c r="G415" s="30"/>
      <c r="H415" s="30"/>
    </row>
    <row r="416" spans="1:8" x14ac:dyDescent="0.2">
      <c r="A416" s="30"/>
      <c r="B416" s="30"/>
      <c r="C416" s="30"/>
      <c r="D416" s="28" t="str">
        <f>IFERROR(IF(C416="","",IF(B416="موظف",VLOOKUP(C416,الموظفين!$B:$C,2,FALSE),VLOOKUP(C416,المستفيدين!$B:$C,2,FALSE))),"")</f>
        <v/>
      </c>
      <c r="E416" s="28"/>
      <c r="F416" s="30"/>
      <c r="G416" s="30"/>
      <c r="H416" s="30"/>
    </row>
    <row r="417" spans="1:8" x14ac:dyDescent="0.2">
      <c r="A417" s="30"/>
      <c r="B417" s="30"/>
      <c r="C417" s="30"/>
      <c r="D417" s="28" t="str">
        <f>IFERROR(IF(C417="","",IF(B417="موظف",VLOOKUP(C417,الموظفين!$B:$C,2,FALSE),VLOOKUP(C417,المستفيدين!$B:$C,2,FALSE))),"")</f>
        <v/>
      </c>
      <c r="E417" s="28"/>
      <c r="F417" s="30"/>
      <c r="G417" s="30"/>
      <c r="H417" s="30"/>
    </row>
    <row r="418" spans="1:8" x14ac:dyDescent="0.2">
      <c r="A418" s="30"/>
      <c r="B418" s="30"/>
      <c r="C418" s="30"/>
      <c r="D418" s="28" t="str">
        <f>IFERROR(IF(C418="","",IF(B418="موظف",VLOOKUP(C418,الموظفين!$B:$C,2,FALSE),VLOOKUP(C418,المستفيدين!$B:$C,2,FALSE))),"")</f>
        <v/>
      </c>
      <c r="E418" s="28"/>
      <c r="F418" s="30"/>
      <c r="G418" s="30"/>
      <c r="H418" s="30"/>
    </row>
    <row r="419" spans="1:8" x14ac:dyDescent="0.2">
      <c r="A419" s="30"/>
      <c r="B419" s="30"/>
      <c r="C419" s="30"/>
      <c r="D419" s="28" t="str">
        <f>IFERROR(IF(C419="","",IF(B419="موظف",VLOOKUP(C419,الموظفين!$B:$C,2,FALSE),VLOOKUP(C419,المستفيدين!$B:$C,2,FALSE))),"")</f>
        <v/>
      </c>
      <c r="E419" s="28"/>
      <c r="F419" s="30"/>
      <c r="G419" s="30"/>
      <c r="H419" s="30"/>
    </row>
    <row r="420" spans="1:8" x14ac:dyDescent="0.2">
      <c r="A420" s="30"/>
      <c r="B420" s="30"/>
      <c r="C420" s="30"/>
      <c r="D420" s="28" t="str">
        <f>IFERROR(IF(C420="","",IF(B420="موظف",VLOOKUP(C420,الموظفين!$B:$C,2,FALSE),VLOOKUP(C420,المستفيدين!$B:$C,2,FALSE))),"")</f>
        <v/>
      </c>
      <c r="E420" s="28"/>
      <c r="F420" s="30"/>
      <c r="G420" s="30"/>
      <c r="H420" s="30"/>
    </row>
    <row r="421" spans="1:8" x14ac:dyDescent="0.2">
      <c r="A421" s="30"/>
      <c r="B421" s="30"/>
      <c r="C421" s="30"/>
      <c r="D421" s="28" t="str">
        <f>IFERROR(IF(C421="","",IF(B421="موظف",VLOOKUP(C421,الموظفين!$B:$C,2,FALSE),VLOOKUP(C421,المستفيدين!$B:$C,2,FALSE))),"")</f>
        <v/>
      </c>
      <c r="E421" s="28"/>
      <c r="F421" s="30"/>
      <c r="G421" s="30"/>
      <c r="H421" s="30"/>
    </row>
    <row r="422" spans="1:8" x14ac:dyDescent="0.2">
      <c r="A422" s="30"/>
      <c r="B422" s="30"/>
      <c r="C422" s="30"/>
      <c r="D422" s="28" t="str">
        <f>IFERROR(IF(C422="","",IF(B422="موظف",VLOOKUP(C422,الموظفين!$B:$C,2,FALSE),VLOOKUP(C422,المستفيدين!$B:$C,2,FALSE))),"")</f>
        <v/>
      </c>
      <c r="E422" s="28"/>
      <c r="F422" s="30"/>
      <c r="G422" s="30"/>
      <c r="H422" s="30"/>
    </row>
    <row r="423" spans="1:8" x14ac:dyDescent="0.2">
      <c r="A423" s="30"/>
      <c r="B423" s="30"/>
      <c r="C423" s="30"/>
      <c r="D423" s="28" t="str">
        <f>IFERROR(IF(C423="","",IF(B423="موظف",VLOOKUP(C423,الموظفين!$B:$C,2,FALSE),VLOOKUP(C423,المستفيدين!$B:$C,2,FALSE))),"")</f>
        <v/>
      </c>
      <c r="E423" s="28"/>
      <c r="F423" s="30"/>
      <c r="G423" s="30"/>
      <c r="H423" s="30"/>
    </row>
    <row r="424" spans="1:8" x14ac:dyDescent="0.2">
      <c r="A424" s="30"/>
      <c r="B424" s="30"/>
      <c r="C424" s="30"/>
      <c r="D424" s="28" t="str">
        <f>IFERROR(IF(C424="","",IF(B424="موظف",VLOOKUP(C424,الموظفين!$B:$C,2,FALSE),VLOOKUP(C424,المستفيدين!$B:$C,2,FALSE))),"")</f>
        <v/>
      </c>
      <c r="E424" s="28"/>
      <c r="F424" s="30"/>
      <c r="G424" s="30"/>
      <c r="H424" s="30"/>
    </row>
    <row r="425" spans="1:8" x14ac:dyDescent="0.2">
      <c r="A425" s="30"/>
      <c r="B425" s="30"/>
      <c r="C425" s="30"/>
      <c r="D425" s="28" t="str">
        <f>IFERROR(IF(C425="","",IF(B425="موظف",VLOOKUP(C425,الموظفين!$B:$C,2,FALSE),VLOOKUP(C425,المستفيدين!$B:$C,2,FALSE))),"")</f>
        <v/>
      </c>
      <c r="E425" s="28"/>
      <c r="F425" s="30"/>
      <c r="G425" s="30"/>
      <c r="H425" s="30"/>
    </row>
    <row r="426" spans="1:8" x14ac:dyDescent="0.2">
      <c r="A426" s="30"/>
      <c r="B426" s="30"/>
      <c r="C426" s="30"/>
      <c r="D426" s="28" t="str">
        <f>IFERROR(IF(C426="","",IF(B426="موظف",VLOOKUP(C426,الموظفين!$B:$C,2,FALSE),VLOOKUP(C426,المستفيدين!$B:$C,2,FALSE))),"")</f>
        <v/>
      </c>
      <c r="E426" s="28"/>
      <c r="F426" s="30"/>
      <c r="G426" s="30"/>
      <c r="H426" s="30"/>
    </row>
    <row r="427" spans="1:8" x14ac:dyDescent="0.2">
      <c r="A427" s="30"/>
      <c r="B427" s="30"/>
      <c r="C427" s="30"/>
      <c r="D427" s="28" t="str">
        <f>IFERROR(IF(C427="","",IF(B427="موظف",VLOOKUP(C427,الموظفين!$B:$C,2,FALSE),VLOOKUP(C427,المستفيدين!$B:$C,2,FALSE))),"")</f>
        <v/>
      </c>
      <c r="E427" s="28"/>
      <c r="F427" s="30"/>
      <c r="G427" s="30"/>
      <c r="H427" s="30"/>
    </row>
    <row r="428" spans="1:8" x14ac:dyDescent="0.2">
      <c r="A428" s="30"/>
      <c r="B428" s="30"/>
      <c r="C428" s="30"/>
      <c r="D428" s="28" t="str">
        <f>IFERROR(IF(C428="","",IF(B428="موظف",VLOOKUP(C428,الموظفين!$B:$C,2,FALSE),VLOOKUP(C428,المستفيدين!$B:$C,2,FALSE))),"")</f>
        <v/>
      </c>
      <c r="E428" s="28"/>
      <c r="F428" s="30"/>
      <c r="G428" s="30"/>
      <c r="H428" s="30"/>
    </row>
    <row r="429" spans="1:8" x14ac:dyDescent="0.2">
      <c r="A429" s="30"/>
      <c r="B429" s="30"/>
      <c r="C429" s="30"/>
      <c r="D429" s="28" t="str">
        <f>IFERROR(IF(C429="","",IF(B429="موظف",VLOOKUP(C429,الموظفين!$B:$C,2,FALSE),VLOOKUP(C429,المستفيدين!$B:$C,2,FALSE))),"")</f>
        <v/>
      </c>
      <c r="E429" s="28"/>
      <c r="F429" s="30"/>
      <c r="G429" s="30"/>
      <c r="H429" s="30"/>
    </row>
    <row r="430" spans="1:8" x14ac:dyDescent="0.2">
      <c r="A430" s="30"/>
      <c r="B430" s="30"/>
      <c r="C430" s="30"/>
      <c r="D430" s="28" t="str">
        <f>IFERROR(IF(C430="","",IF(B430="موظف",VLOOKUP(C430,الموظفين!$B:$C,2,FALSE),VLOOKUP(C430,المستفيدين!$B:$C,2,FALSE))),"")</f>
        <v/>
      </c>
      <c r="E430" s="28"/>
      <c r="F430" s="30"/>
      <c r="G430" s="30"/>
      <c r="H430" s="30"/>
    </row>
    <row r="431" spans="1:8" x14ac:dyDescent="0.2">
      <c r="A431" s="30"/>
      <c r="B431" s="30"/>
      <c r="C431" s="30"/>
      <c r="D431" s="28" t="str">
        <f>IFERROR(IF(C431="","",IF(B431="موظف",VLOOKUP(C431,الموظفين!$B:$C,2,FALSE),VLOOKUP(C431,المستفيدين!$B:$C,2,FALSE))),"")</f>
        <v/>
      </c>
      <c r="E431" s="28"/>
      <c r="F431" s="30"/>
      <c r="G431" s="30"/>
      <c r="H431" s="30"/>
    </row>
    <row r="432" spans="1:8" x14ac:dyDescent="0.2">
      <c r="A432" s="30"/>
      <c r="B432" s="30"/>
      <c r="C432" s="30"/>
      <c r="D432" s="28" t="str">
        <f>IFERROR(IF(C432="","",IF(B432="موظف",VLOOKUP(C432,الموظفين!$B:$C,2,FALSE),VLOOKUP(C432,المستفيدين!$B:$C,2,FALSE))),"")</f>
        <v/>
      </c>
      <c r="E432" s="28"/>
      <c r="F432" s="30"/>
      <c r="G432" s="30"/>
      <c r="H432" s="30"/>
    </row>
    <row r="433" spans="1:8" x14ac:dyDescent="0.2">
      <c r="A433" s="30"/>
      <c r="B433" s="30"/>
      <c r="C433" s="30"/>
      <c r="D433" s="28" t="str">
        <f>IFERROR(IF(C433="","",IF(B433="موظف",VLOOKUP(C433,الموظفين!$B:$C,2,FALSE),VLOOKUP(C433,المستفيدين!$B:$C,2,FALSE))),"")</f>
        <v/>
      </c>
      <c r="E433" s="28"/>
      <c r="F433" s="30"/>
      <c r="G433" s="30"/>
      <c r="H433" s="30"/>
    </row>
    <row r="434" spans="1:8" x14ac:dyDescent="0.2">
      <c r="A434" s="30"/>
      <c r="B434" s="30"/>
      <c r="C434" s="30"/>
      <c r="D434" s="28" t="str">
        <f>IFERROR(IF(C434="","",IF(B434="موظف",VLOOKUP(C434,الموظفين!$B:$C,2,FALSE),VLOOKUP(C434,المستفيدين!$B:$C,2,FALSE))),"")</f>
        <v/>
      </c>
      <c r="E434" s="28"/>
      <c r="F434" s="30"/>
      <c r="G434" s="30"/>
      <c r="H434" s="30"/>
    </row>
    <row r="435" spans="1:8" x14ac:dyDescent="0.2">
      <c r="A435" s="30"/>
      <c r="B435" s="30"/>
      <c r="C435" s="30"/>
      <c r="D435" s="28" t="str">
        <f>IFERROR(IF(C435="","",IF(B435="موظف",VLOOKUP(C435,الموظفين!$B:$C,2,FALSE),VLOOKUP(C435,المستفيدين!$B:$C,2,FALSE))),"")</f>
        <v/>
      </c>
      <c r="E435" s="28"/>
      <c r="F435" s="30"/>
      <c r="G435" s="30"/>
      <c r="H435" s="30"/>
    </row>
    <row r="436" spans="1:8" x14ac:dyDescent="0.2">
      <c r="A436" s="30"/>
      <c r="B436" s="30"/>
      <c r="C436" s="30"/>
      <c r="D436" s="28" t="str">
        <f>IFERROR(IF(C436="","",IF(B436="موظف",VLOOKUP(C436,الموظفين!$B:$C,2,FALSE),VLOOKUP(C436,المستفيدين!$B:$C,2,FALSE))),"")</f>
        <v/>
      </c>
      <c r="E436" s="28"/>
      <c r="F436" s="30"/>
      <c r="G436" s="30"/>
      <c r="H436" s="30"/>
    </row>
    <row r="437" spans="1:8" x14ac:dyDescent="0.2">
      <c r="A437" s="30"/>
      <c r="B437" s="30"/>
      <c r="C437" s="30"/>
      <c r="D437" s="28" t="str">
        <f>IFERROR(IF(C437="","",IF(B437="موظف",VLOOKUP(C437,الموظفين!$B:$C,2,FALSE),VLOOKUP(C437,المستفيدين!$B:$C,2,FALSE))),"")</f>
        <v/>
      </c>
      <c r="E437" s="28"/>
      <c r="F437" s="30"/>
      <c r="G437" s="30"/>
      <c r="H437" s="30"/>
    </row>
    <row r="438" spans="1:8" x14ac:dyDescent="0.2">
      <c r="A438" s="30"/>
      <c r="B438" s="30"/>
      <c r="C438" s="30"/>
      <c r="D438" s="28" t="str">
        <f>IFERROR(IF(C438="","",IF(B438="موظف",VLOOKUP(C438,الموظفين!$B:$C,2,FALSE),VLOOKUP(C438,المستفيدين!$B:$C,2,FALSE))),"")</f>
        <v/>
      </c>
      <c r="E438" s="28"/>
      <c r="F438" s="30"/>
      <c r="G438" s="30"/>
      <c r="H438" s="30"/>
    </row>
    <row r="439" spans="1:8" x14ac:dyDescent="0.2">
      <c r="A439" s="30"/>
      <c r="B439" s="30"/>
      <c r="C439" s="30"/>
      <c r="D439" s="28" t="str">
        <f>IFERROR(IF(C439="","",IF(B439="موظف",VLOOKUP(C439,الموظفين!$B:$C,2,FALSE),VLOOKUP(C439,المستفيدين!$B:$C,2,FALSE))),"")</f>
        <v/>
      </c>
      <c r="E439" s="28"/>
      <c r="F439" s="30"/>
      <c r="G439" s="30"/>
      <c r="H439" s="30"/>
    </row>
    <row r="440" spans="1:8" x14ac:dyDescent="0.2">
      <c r="A440" s="30"/>
      <c r="B440" s="30"/>
      <c r="C440" s="30"/>
      <c r="D440" s="28" t="str">
        <f>IFERROR(IF(C440="","",IF(B440="موظف",VLOOKUP(C440,الموظفين!$B:$C,2,FALSE),VLOOKUP(C440,المستفيدين!$B:$C,2,FALSE))),"")</f>
        <v/>
      </c>
      <c r="E440" s="28"/>
      <c r="F440" s="30"/>
      <c r="G440" s="30"/>
      <c r="H440" s="30"/>
    </row>
    <row r="441" spans="1:8" x14ac:dyDescent="0.2">
      <c r="A441" s="30"/>
      <c r="B441" s="30"/>
      <c r="C441" s="30"/>
      <c r="D441" s="28" t="str">
        <f>IFERROR(IF(C441="","",IF(B441="موظف",VLOOKUP(C441,الموظفين!$B:$C,2,FALSE),VLOOKUP(C441,المستفيدين!$B:$C,2,FALSE))),"")</f>
        <v/>
      </c>
      <c r="E441" s="28"/>
      <c r="F441" s="30"/>
      <c r="G441" s="30"/>
      <c r="H441" s="30"/>
    </row>
    <row r="442" spans="1:8" x14ac:dyDescent="0.2">
      <c r="A442" s="30"/>
      <c r="B442" s="30"/>
      <c r="C442" s="30"/>
      <c r="D442" s="28" t="str">
        <f>IFERROR(IF(C442="","",IF(B442="موظف",VLOOKUP(C442,الموظفين!$B:$C,2,FALSE),VLOOKUP(C442,المستفيدين!$B:$C,2,FALSE))),"")</f>
        <v/>
      </c>
      <c r="E442" s="28"/>
      <c r="F442" s="30"/>
      <c r="G442" s="30"/>
      <c r="H442" s="30"/>
    </row>
    <row r="443" spans="1:8" x14ac:dyDescent="0.2">
      <c r="A443" s="30"/>
      <c r="B443" s="30"/>
      <c r="C443" s="30"/>
      <c r="D443" s="28" t="str">
        <f>IFERROR(IF(C443="","",IF(B443="موظف",VLOOKUP(C443,الموظفين!$B:$C,2,FALSE),VLOOKUP(C443,المستفيدين!$B:$C,2,FALSE))),"")</f>
        <v/>
      </c>
      <c r="E443" s="28"/>
      <c r="F443" s="30"/>
      <c r="G443" s="30"/>
      <c r="H443" s="30"/>
    </row>
    <row r="444" spans="1:8" x14ac:dyDescent="0.2">
      <c r="A444" s="30"/>
      <c r="B444" s="30"/>
      <c r="C444" s="30"/>
      <c r="D444" s="28" t="str">
        <f>IFERROR(IF(C444="","",IF(B444="موظف",VLOOKUP(C444,الموظفين!$B:$C,2,FALSE),VLOOKUP(C444,المستفيدين!$B:$C,2,FALSE))),"")</f>
        <v/>
      </c>
      <c r="E444" s="28"/>
      <c r="F444" s="30"/>
      <c r="G444" s="30"/>
      <c r="H444" s="30"/>
    </row>
    <row r="445" spans="1:8" x14ac:dyDescent="0.2">
      <c r="A445" s="30"/>
      <c r="B445" s="30"/>
      <c r="C445" s="30"/>
      <c r="D445" s="28" t="str">
        <f>IFERROR(IF(C445="","",IF(B445="موظف",VLOOKUP(C445,الموظفين!$B:$C,2,FALSE),VLOOKUP(C445,المستفيدين!$B:$C,2,FALSE))),"")</f>
        <v/>
      </c>
      <c r="E445" s="28"/>
      <c r="F445" s="30"/>
      <c r="G445" s="30"/>
      <c r="H445" s="30"/>
    </row>
    <row r="446" spans="1:8" x14ac:dyDescent="0.2">
      <c r="A446" s="30"/>
      <c r="B446" s="30"/>
      <c r="C446" s="30"/>
      <c r="D446" s="28" t="str">
        <f>IFERROR(IF(C446="","",IF(B446="موظف",VLOOKUP(C446,الموظفين!$B:$C,2,FALSE),VLOOKUP(C446,المستفيدين!$B:$C,2,FALSE))),"")</f>
        <v/>
      </c>
      <c r="E446" s="28"/>
      <c r="F446" s="30"/>
      <c r="G446" s="30"/>
      <c r="H446" s="30"/>
    </row>
    <row r="447" spans="1:8" x14ac:dyDescent="0.2">
      <c r="A447" s="30"/>
      <c r="B447" s="30"/>
      <c r="C447" s="30"/>
      <c r="D447" s="28" t="str">
        <f>IFERROR(IF(C447="","",IF(B447="موظف",VLOOKUP(C447,الموظفين!$B:$C,2,FALSE),VLOOKUP(C447,المستفيدين!$B:$C,2,FALSE))),"")</f>
        <v/>
      </c>
      <c r="E447" s="28"/>
      <c r="F447" s="30"/>
      <c r="G447" s="30"/>
      <c r="H447" s="30"/>
    </row>
    <row r="448" spans="1:8" x14ac:dyDescent="0.2">
      <c r="A448" s="30"/>
      <c r="B448" s="30"/>
      <c r="C448" s="30"/>
      <c r="D448" s="28" t="str">
        <f>IFERROR(IF(C448="","",IF(B448="موظف",VLOOKUP(C448,الموظفين!$B:$C,2,FALSE),VLOOKUP(C448,المستفيدين!$B:$C,2,FALSE))),"")</f>
        <v/>
      </c>
      <c r="E448" s="28"/>
      <c r="F448" s="30"/>
      <c r="G448" s="30"/>
      <c r="H448" s="30"/>
    </row>
    <row r="449" spans="1:8" x14ac:dyDescent="0.2">
      <c r="A449" s="30"/>
      <c r="B449" s="30"/>
      <c r="C449" s="30"/>
      <c r="D449" s="28" t="str">
        <f>IFERROR(IF(C449="","",IF(B449="موظف",VLOOKUP(C449,الموظفين!$B:$C,2,FALSE),VLOOKUP(C449,المستفيدين!$B:$C,2,FALSE))),"")</f>
        <v/>
      </c>
      <c r="E449" s="28"/>
      <c r="F449" s="30"/>
      <c r="G449" s="30"/>
      <c r="H449" s="30"/>
    </row>
    <row r="450" spans="1:8" x14ac:dyDescent="0.2">
      <c r="A450" s="30"/>
      <c r="B450" s="30"/>
      <c r="C450" s="30"/>
      <c r="D450" s="28" t="str">
        <f>IFERROR(IF(C450="","",IF(B450="موظف",VLOOKUP(C450,الموظفين!$B:$C,2,FALSE),VLOOKUP(C450,المستفيدين!$B:$C,2,FALSE))),"")</f>
        <v/>
      </c>
      <c r="E450" s="28"/>
      <c r="F450" s="30"/>
      <c r="G450" s="30"/>
      <c r="H450" s="30"/>
    </row>
    <row r="451" spans="1:8" x14ac:dyDescent="0.2">
      <c r="A451" s="30"/>
      <c r="B451" s="30"/>
      <c r="C451" s="30"/>
      <c r="D451" s="28" t="str">
        <f>IFERROR(IF(C451="","",IF(B451="موظف",VLOOKUP(C451,الموظفين!$B:$C,2,FALSE),VLOOKUP(C451,المستفيدين!$B:$C,2,FALSE))),"")</f>
        <v/>
      </c>
      <c r="E451" s="28"/>
      <c r="F451" s="30"/>
      <c r="G451" s="30"/>
      <c r="H451" s="30"/>
    </row>
    <row r="452" spans="1:8" x14ac:dyDescent="0.2">
      <c r="A452" s="30"/>
      <c r="B452" s="30"/>
      <c r="C452" s="30"/>
      <c r="D452" s="28" t="str">
        <f>IFERROR(IF(C452="","",IF(B452="موظف",VLOOKUP(C452,الموظفين!$B:$C,2,FALSE),VLOOKUP(C452,المستفيدين!$B:$C,2,FALSE))),"")</f>
        <v/>
      </c>
      <c r="E452" s="28"/>
      <c r="F452" s="30"/>
      <c r="G452" s="30"/>
      <c r="H452" s="30"/>
    </row>
    <row r="453" spans="1:8" x14ac:dyDescent="0.2">
      <c r="A453" s="30"/>
      <c r="B453" s="30"/>
      <c r="C453" s="30"/>
      <c r="D453" s="28" t="str">
        <f>IFERROR(IF(C453="","",IF(B453="موظف",VLOOKUP(C453,الموظفين!$B:$C,2,FALSE),VLOOKUP(C453,المستفيدين!$B:$C,2,FALSE))),"")</f>
        <v/>
      </c>
      <c r="E453" s="28"/>
      <c r="F453" s="30"/>
      <c r="G453" s="30"/>
      <c r="H453" s="30"/>
    </row>
    <row r="454" spans="1:8" x14ac:dyDescent="0.2">
      <c r="A454" s="30"/>
      <c r="B454" s="30"/>
      <c r="C454" s="30"/>
      <c r="D454" s="28" t="str">
        <f>IFERROR(IF(C454="","",IF(B454="موظف",VLOOKUP(C454,الموظفين!$B:$C,2,FALSE),VLOOKUP(C454,المستفيدين!$B:$C,2,FALSE))),"")</f>
        <v/>
      </c>
      <c r="E454" s="28"/>
      <c r="F454" s="30"/>
      <c r="G454" s="30"/>
      <c r="H454" s="30"/>
    </row>
    <row r="455" spans="1:8" x14ac:dyDescent="0.2">
      <c r="A455" s="30"/>
      <c r="B455" s="30"/>
      <c r="C455" s="30"/>
      <c r="D455" s="28" t="str">
        <f>IFERROR(IF(C455="","",IF(B455="موظف",VLOOKUP(C455,الموظفين!$B:$C,2,FALSE),VLOOKUP(C455,المستفيدين!$B:$C,2,FALSE))),"")</f>
        <v/>
      </c>
      <c r="E455" s="28"/>
      <c r="F455" s="30"/>
      <c r="G455" s="30"/>
      <c r="H455" s="30"/>
    </row>
    <row r="456" spans="1:8" x14ac:dyDescent="0.2">
      <c r="A456" s="30"/>
      <c r="B456" s="30"/>
      <c r="C456" s="30"/>
      <c r="D456" s="28" t="str">
        <f>IFERROR(IF(C456="","",IF(B456="موظف",VLOOKUP(C456,الموظفين!$B:$C,2,FALSE),VLOOKUP(C456,المستفيدين!$B:$C,2,FALSE))),"")</f>
        <v/>
      </c>
      <c r="E456" s="28"/>
      <c r="F456" s="30"/>
      <c r="G456" s="30"/>
      <c r="H456" s="30"/>
    </row>
    <row r="457" spans="1:8" x14ac:dyDescent="0.2">
      <c r="A457" s="30"/>
      <c r="B457" s="30"/>
      <c r="C457" s="30"/>
      <c r="D457" s="28" t="str">
        <f>IFERROR(IF(C457="","",IF(B457="موظف",VLOOKUP(C457,الموظفين!$B:$C,2,FALSE),VLOOKUP(C457,المستفيدين!$B:$C,2,FALSE))),"")</f>
        <v/>
      </c>
      <c r="E457" s="28"/>
      <c r="F457" s="30"/>
      <c r="G457" s="30"/>
      <c r="H457" s="30"/>
    </row>
    <row r="458" spans="1:8" x14ac:dyDescent="0.2">
      <c r="A458" s="30"/>
      <c r="B458" s="30"/>
      <c r="C458" s="30"/>
      <c r="D458" s="28" t="str">
        <f>IFERROR(IF(C458="","",IF(B458="موظف",VLOOKUP(C458,الموظفين!$B:$C,2,FALSE),VLOOKUP(C458,المستفيدين!$B:$C,2,FALSE))),"")</f>
        <v/>
      </c>
      <c r="E458" s="28"/>
      <c r="F458" s="30"/>
      <c r="G458" s="30"/>
      <c r="H458" s="30"/>
    </row>
    <row r="459" spans="1:8" x14ac:dyDescent="0.2">
      <c r="A459" s="30"/>
      <c r="B459" s="30"/>
      <c r="C459" s="30"/>
      <c r="D459" s="28" t="str">
        <f>IFERROR(IF(C459="","",IF(B459="موظف",VLOOKUP(C459,الموظفين!$B:$C,2,FALSE),VLOOKUP(C459,المستفيدين!$B:$C,2,FALSE))),"")</f>
        <v/>
      </c>
      <c r="E459" s="28"/>
      <c r="F459" s="30"/>
      <c r="G459" s="30"/>
      <c r="H459" s="30"/>
    </row>
    <row r="460" spans="1:8" x14ac:dyDescent="0.2">
      <c r="A460" s="30"/>
      <c r="B460" s="30"/>
      <c r="C460" s="30"/>
      <c r="D460" s="28" t="str">
        <f>IFERROR(IF(C460="","",IF(B460="موظف",VLOOKUP(C460,الموظفين!$B:$C,2,FALSE),VLOOKUP(C460,المستفيدين!$B:$C,2,FALSE))),"")</f>
        <v/>
      </c>
      <c r="E460" s="28"/>
      <c r="F460" s="30"/>
      <c r="G460" s="30"/>
      <c r="H460" s="30"/>
    </row>
    <row r="461" spans="1:8" x14ac:dyDescent="0.2">
      <c r="A461" s="30"/>
      <c r="B461" s="30"/>
      <c r="C461" s="30"/>
      <c r="D461" s="28" t="str">
        <f>IFERROR(IF(C461="","",IF(B461="موظف",VLOOKUP(C461,الموظفين!$B:$C,2,FALSE),VLOOKUP(C461,المستفيدين!$B:$C,2,FALSE))),"")</f>
        <v/>
      </c>
      <c r="E461" s="28"/>
      <c r="F461" s="30"/>
      <c r="G461" s="30"/>
      <c r="H461" s="30"/>
    </row>
    <row r="462" spans="1:8" x14ac:dyDescent="0.2">
      <c r="A462" s="30"/>
      <c r="B462" s="30"/>
      <c r="C462" s="30"/>
      <c r="D462" s="28" t="str">
        <f>IFERROR(IF(C462="","",IF(B462="موظف",VLOOKUP(C462,الموظفين!$B:$C,2,FALSE),VLOOKUP(C462,المستفيدين!$B:$C,2,FALSE))),"")</f>
        <v/>
      </c>
      <c r="E462" s="28"/>
      <c r="F462" s="30"/>
      <c r="G462" s="30"/>
      <c r="H462" s="30"/>
    </row>
    <row r="463" spans="1:8" x14ac:dyDescent="0.2">
      <c r="A463" s="30"/>
      <c r="B463" s="30"/>
      <c r="C463" s="30"/>
      <c r="D463" s="28" t="str">
        <f>IFERROR(IF(C463="","",IF(B463="موظف",VLOOKUP(C463,الموظفين!$B:$C,2,FALSE),VLOOKUP(C463,المستفيدين!$B:$C,2,FALSE))),"")</f>
        <v/>
      </c>
      <c r="E463" s="28"/>
      <c r="F463" s="30"/>
      <c r="G463" s="30"/>
      <c r="H463" s="30"/>
    </row>
    <row r="464" spans="1:8" x14ac:dyDescent="0.2">
      <c r="A464" s="30"/>
      <c r="B464" s="30"/>
      <c r="C464" s="30"/>
      <c r="D464" s="28" t="str">
        <f>IFERROR(IF(C464="","",IF(B464="موظف",VLOOKUP(C464,الموظفين!$B:$C,2,FALSE),VLOOKUP(C464,المستفيدين!$B:$C,2,FALSE))),"")</f>
        <v/>
      </c>
      <c r="E464" s="28"/>
      <c r="F464" s="30"/>
      <c r="G464" s="30"/>
      <c r="H464" s="30"/>
    </row>
    <row r="465" spans="1:8" x14ac:dyDescent="0.2">
      <c r="A465" s="30"/>
      <c r="B465" s="30"/>
      <c r="C465" s="30"/>
      <c r="D465" s="28" t="str">
        <f>IFERROR(IF(C465="","",IF(B465="موظف",VLOOKUP(C465,الموظفين!$B:$C,2,FALSE),VLOOKUP(C465,المستفيدين!$B:$C,2,FALSE))),"")</f>
        <v/>
      </c>
      <c r="E465" s="28"/>
      <c r="F465" s="30"/>
      <c r="G465" s="30"/>
      <c r="H465" s="30"/>
    </row>
    <row r="466" spans="1:8" x14ac:dyDescent="0.2">
      <c r="A466" s="30"/>
      <c r="B466" s="30"/>
      <c r="C466" s="30"/>
      <c r="D466" s="28" t="str">
        <f>IFERROR(IF(C466="","",IF(B466="موظف",VLOOKUP(C466,الموظفين!$B:$C,2,FALSE),VLOOKUP(C466,المستفيدين!$B:$C,2,FALSE))),"")</f>
        <v/>
      </c>
      <c r="E466" s="28"/>
      <c r="F466" s="30"/>
      <c r="G466" s="30"/>
      <c r="H466" s="30"/>
    </row>
    <row r="467" spans="1:8" x14ac:dyDescent="0.2">
      <c r="A467" s="30"/>
      <c r="B467" s="30"/>
      <c r="C467" s="30"/>
      <c r="D467" s="28" t="str">
        <f>IFERROR(IF(C467="","",IF(B467="موظف",VLOOKUP(C467,الموظفين!$B:$C,2,FALSE),VLOOKUP(C467,المستفيدين!$B:$C,2,FALSE))),"")</f>
        <v/>
      </c>
      <c r="E467" s="28"/>
      <c r="F467" s="30"/>
      <c r="G467" s="30"/>
      <c r="H467" s="30"/>
    </row>
    <row r="468" spans="1:8" x14ac:dyDescent="0.2">
      <c r="A468" s="30"/>
      <c r="B468" s="30"/>
      <c r="C468" s="30"/>
      <c r="D468" s="28" t="str">
        <f>IFERROR(IF(C468="","",IF(B468="موظف",VLOOKUP(C468,الموظفين!$B:$C,2,FALSE),VLOOKUP(C468,المستفيدين!$B:$C,2,FALSE))),"")</f>
        <v/>
      </c>
      <c r="E468" s="28"/>
      <c r="F468" s="30"/>
      <c r="G468" s="30"/>
      <c r="H468" s="30"/>
    </row>
    <row r="469" spans="1:8" x14ac:dyDescent="0.2">
      <c r="A469" s="30"/>
      <c r="B469" s="30"/>
      <c r="C469" s="30"/>
      <c r="D469" s="28" t="str">
        <f>IFERROR(IF(C469="","",IF(B469="موظف",VLOOKUP(C469,الموظفين!$B:$C,2,FALSE),VLOOKUP(C469,المستفيدين!$B:$C,2,FALSE))),"")</f>
        <v/>
      </c>
      <c r="E469" s="28"/>
      <c r="F469" s="30"/>
      <c r="G469" s="30"/>
      <c r="H469" s="30"/>
    </row>
    <row r="470" spans="1:8" x14ac:dyDescent="0.2">
      <c r="A470" s="30"/>
      <c r="B470" s="30"/>
      <c r="C470" s="30"/>
      <c r="D470" s="28" t="str">
        <f>IFERROR(IF(C470="","",IF(B470="موظف",VLOOKUP(C470,الموظفين!$B:$C,2,FALSE),VLOOKUP(C470,المستفيدين!$B:$C,2,FALSE))),"")</f>
        <v/>
      </c>
      <c r="E470" s="28"/>
      <c r="F470" s="30"/>
      <c r="G470" s="30"/>
      <c r="H470" s="30"/>
    </row>
    <row r="471" spans="1:8" x14ac:dyDescent="0.2">
      <c r="A471" s="30"/>
      <c r="B471" s="30"/>
      <c r="C471" s="30"/>
      <c r="D471" s="28" t="str">
        <f>IFERROR(IF(C471="","",IF(B471="موظف",VLOOKUP(C471,الموظفين!$B:$C,2,FALSE),VLOOKUP(C471,المستفيدين!$B:$C,2,FALSE))),"")</f>
        <v/>
      </c>
      <c r="E471" s="28"/>
      <c r="F471" s="30"/>
      <c r="G471" s="30"/>
      <c r="H471" s="30"/>
    </row>
    <row r="472" spans="1:8" x14ac:dyDescent="0.2">
      <c r="A472" s="30"/>
      <c r="B472" s="30"/>
      <c r="C472" s="30"/>
      <c r="D472" s="28" t="str">
        <f>IFERROR(IF(C472="","",IF(B472="موظف",VLOOKUP(C472,الموظفين!$B:$C,2,FALSE),VLOOKUP(C472,المستفيدين!$B:$C,2,FALSE))),"")</f>
        <v/>
      </c>
      <c r="E472" s="28"/>
      <c r="F472" s="30"/>
      <c r="G472" s="30"/>
      <c r="H472" s="30"/>
    </row>
    <row r="473" spans="1:8" x14ac:dyDescent="0.2">
      <c r="A473" s="30"/>
      <c r="B473" s="30"/>
      <c r="C473" s="30"/>
      <c r="D473" s="28" t="str">
        <f>IFERROR(IF(C473="","",IF(B473="موظف",VLOOKUP(C473,الموظفين!$B:$C,2,FALSE),VLOOKUP(C473,المستفيدين!$B:$C,2,FALSE))),"")</f>
        <v/>
      </c>
      <c r="E473" s="28"/>
      <c r="F473" s="30"/>
      <c r="G473" s="30"/>
      <c r="H473" s="30"/>
    </row>
    <row r="474" spans="1:8" x14ac:dyDescent="0.2">
      <c r="A474" s="30"/>
      <c r="B474" s="30"/>
      <c r="C474" s="30"/>
      <c r="D474" s="28" t="str">
        <f>IFERROR(IF(C474="","",IF(B474="موظف",VLOOKUP(C474,الموظفين!$B:$C,2,FALSE),VLOOKUP(C474,المستفيدين!$B:$C,2,FALSE))),"")</f>
        <v/>
      </c>
      <c r="E474" s="28"/>
      <c r="F474" s="30"/>
      <c r="G474" s="30"/>
      <c r="H474" s="30"/>
    </row>
    <row r="475" spans="1:8" x14ac:dyDescent="0.2">
      <c r="A475" s="30"/>
      <c r="B475" s="30"/>
      <c r="C475" s="30"/>
      <c r="D475" s="28" t="str">
        <f>IFERROR(IF(C475="","",IF(B475="موظف",VLOOKUP(C475,الموظفين!$B:$C,2,FALSE),VLOOKUP(C475,المستفيدين!$B:$C,2,FALSE))),"")</f>
        <v/>
      </c>
      <c r="E475" s="28"/>
      <c r="F475" s="30"/>
      <c r="G475" s="30"/>
      <c r="H475" s="30"/>
    </row>
    <row r="476" spans="1:8" x14ac:dyDescent="0.2">
      <c r="A476" s="30"/>
      <c r="B476" s="30"/>
      <c r="C476" s="30"/>
      <c r="D476" s="28" t="str">
        <f>IFERROR(IF(C476="","",IF(B476="موظف",VLOOKUP(C476,الموظفين!$B:$C,2,FALSE),VLOOKUP(C476,المستفيدين!$B:$C,2,FALSE))),"")</f>
        <v/>
      </c>
      <c r="E476" s="28"/>
      <c r="F476" s="30"/>
      <c r="G476" s="30"/>
      <c r="H476" s="30"/>
    </row>
    <row r="477" spans="1:8" x14ac:dyDescent="0.2">
      <c r="A477" s="30"/>
      <c r="B477" s="30"/>
      <c r="C477" s="30"/>
      <c r="D477" s="28" t="str">
        <f>IFERROR(IF(C477="","",IF(B477="موظف",VLOOKUP(C477,الموظفين!$B:$C,2,FALSE),VLOOKUP(C477,المستفيدين!$B:$C,2,FALSE))),"")</f>
        <v/>
      </c>
      <c r="E477" s="28"/>
      <c r="F477" s="30"/>
      <c r="G477" s="30"/>
      <c r="H477" s="30"/>
    </row>
    <row r="478" spans="1:8" x14ac:dyDescent="0.2">
      <c r="A478" s="30"/>
      <c r="B478" s="30"/>
      <c r="C478" s="30"/>
      <c r="D478" s="28" t="str">
        <f>IFERROR(IF(C478="","",IF(B478="موظف",VLOOKUP(C478,الموظفين!$B:$C,2,FALSE),VLOOKUP(C478,المستفيدين!$B:$C,2,FALSE))),"")</f>
        <v/>
      </c>
      <c r="E478" s="28"/>
      <c r="F478" s="30"/>
      <c r="G478" s="30"/>
      <c r="H478" s="30"/>
    </row>
    <row r="479" spans="1:8" x14ac:dyDescent="0.2">
      <c r="A479" s="30"/>
      <c r="B479" s="30"/>
      <c r="C479" s="30"/>
      <c r="D479" s="28" t="str">
        <f>IFERROR(IF(C479="","",IF(B479="موظف",VLOOKUP(C479,الموظفين!$B:$C,2,FALSE),VLOOKUP(C479,المستفيدين!$B:$C,2,FALSE))),"")</f>
        <v/>
      </c>
      <c r="E479" s="28"/>
      <c r="F479" s="30"/>
      <c r="G479" s="30"/>
      <c r="H479" s="30"/>
    </row>
    <row r="480" spans="1:8" x14ac:dyDescent="0.2">
      <c r="A480" s="30"/>
      <c r="B480" s="30"/>
      <c r="C480" s="30"/>
      <c r="D480" s="28" t="str">
        <f>IFERROR(IF(C480="","",IF(B480="موظف",VLOOKUP(C480,الموظفين!$B:$C,2,FALSE),VLOOKUP(C480,المستفيدين!$B:$C,2,FALSE))),"")</f>
        <v/>
      </c>
      <c r="E480" s="28"/>
      <c r="F480" s="30"/>
      <c r="G480" s="30"/>
      <c r="H480" s="30"/>
    </row>
    <row r="481" spans="1:8" x14ac:dyDescent="0.2">
      <c r="A481" s="30"/>
      <c r="B481" s="30"/>
      <c r="C481" s="30"/>
      <c r="D481" s="28" t="str">
        <f>IFERROR(IF(C481="","",IF(B481="موظف",VLOOKUP(C481,الموظفين!$B:$C,2,FALSE),VLOOKUP(C481,المستفيدين!$B:$C,2,FALSE))),"")</f>
        <v/>
      </c>
      <c r="E481" s="28"/>
      <c r="F481" s="30"/>
      <c r="G481" s="30"/>
      <c r="H481" s="30"/>
    </row>
    <row r="482" spans="1:8" x14ac:dyDescent="0.2">
      <c r="A482" s="30"/>
      <c r="B482" s="30"/>
      <c r="C482" s="30"/>
      <c r="D482" s="28" t="str">
        <f>IFERROR(IF(C482="","",IF(B482="موظف",VLOOKUP(C482,الموظفين!$B:$C,2,FALSE),VLOOKUP(C482,المستفيدين!$B:$C,2,FALSE))),"")</f>
        <v/>
      </c>
      <c r="E482" s="28"/>
      <c r="F482" s="30"/>
      <c r="G482" s="30"/>
      <c r="H482" s="30"/>
    </row>
    <row r="483" spans="1:8" x14ac:dyDescent="0.2">
      <c r="A483" s="30"/>
      <c r="B483" s="30"/>
      <c r="C483" s="30"/>
      <c r="D483" s="28" t="str">
        <f>IFERROR(IF(C483="","",IF(B483="موظف",VLOOKUP(C483,الموظفين!$B:$C,2,FALSE),VLOOKUP(C483,المستفيدين!$B:$C,2,FALSE))),"")</f>
        <v/>
      </c>
      <c r="E483" s="28"/>
      <c r="F483" s="30"/>
      <c r="G483" s="30"/>
      <c r="H483" s="30"/>
    </row>
    <row r="484" spans="1:8" x14ac:dyDescent="0.2">
      <c r="A484" s="30"/>
      <c r="B484" s="30"/>
      <c r="C484" s="30"/>
      <c r="D484" s="28" t="str">
        <f>IFERROR(IF(C484="","",IF(B484="موظف",VLOOKUP(C484,الموظفين!$B:$C,2,FALSE),VLOOKUP(C484,المستفيدين!$B:$C,2,FALSE))),"")</f>
        <v/>
      </c>
      <c r="E484" s="28"/>
      <c r="F484" s="30"/>
      <c r="G484" s="30"/>
      <c r="H484" s="30"/>
    </row>
    <row r="485" spans="1:8" x14ac:dyDescent="0.2">
      <c r="A485" s="30"/>
      <c r="B485" s="30"/>
      <c r="C485" s="30"/>
      <c r="D485" s="28" t="str">
        <f>IFERROR(IF(C485="","",IF(B485="موظف",VLOOKUP(C485,الموظفين!$B:$C,2,FALSE),VLOOKUP(C485,المستفيدين!$B:$C,2,FALSE))),"")</f>
        <v/>
      </c>
      <c r="E485" s="28"/>
      <c r="F485" s="30"/>
      <c r="G485" s="30"/>
      <c r="H485" s="30"/>
    </row>
    <row r="486" spans="1:8" x14ac:dyDescent="0.2">
      <c r="A486" s="30"/>
      <c r="B486" s="30"/>
      <c r="C486" s="30"/>
      <c r="D486" s="28" t="str">
        <f>IFERROR(IF(C486="","",IF(B486="موظف",VLOOKUP(C486,الموظفين!$B:$C,2,FALSE),VLOOKUP(C486,المستفيدين!$B:$C,2,FALSE))),"")</f>
        <v/>
      </c>
      <c r="E486" s="28"/>
      <c r="F486" s="30"/>
      <c r="G486" s="30"/>
      <c r="H486" s="30"/>
    </row>
    <row r="487" spans="1:8" x14ac:dyDescent="0.2">
      <c r="A487" s="30"/>
      <c r="B487" s="30"/>
      <c r="C487" s="30"/>
      <c r="D487" s="28" t="str">
        <f>IFERROR(IF(C487="","",IF(B487="موظف",VLOOKUP(C487,الموظفين!$B:$C,2,FALSE),VLOOKUP(C487,المستفيدين!$B:$C,2,FALSE))),"")</f>
        <v/>
      </c>
      <c r="E487" s="28"/>
      <c r="F487" s="30"/>
      <c r="G487" s="30"/>
      <c r="H487" s="30"/>
    </row>
    <row r="488" spans="1:8" x14ac:dyDescent="0.2">
      <c r="A488" s="30"/>
      <c r="B488" s="30"/>
      <c r="C488" s="30"/>
      <c r="D488" s="28" t="str">
        <f>IFERROR(IF(C488="","",IF(B488="موظف",VLOOKUP(C488,الموظفين!$B:$C,2,FALSE),VLOOKUP(C488,المستفيدين!$B:$C,2,FALSE))),"")</f>
        <v/>
      </c>
      <c r="E488" s="28"/>
      <c r="F488" s="30"/>
      <c r="G488" s="30"/>
      <c r="H488" s="30"/>
    </row>
    <row r="489" spans="1:8" x14ac:dyDescent="0.2">
      <c r="A489" s="30"/>
      <c r="B489" s="30"/>
      <c r="C489" s="30"/>
      <c r="D489" s="28" t="str">
        <f>IFERROR(IF(C489="","",IF(B489="موظف",VLOOKUP(C489,الموظفين!$B:$C,2,FALSE),VLOOKUP(C489,المستفيدين!$B:$C,2,FALSE))),"")</f>
        <v/>
      </c>
      <c r="E489" s="28"/>
      <c r="F489" s="30"/>
      <c r="G489" s="30"/>
      <c r="H489" s="30"/>
    </row>
    <row r="490" spans="1:8" x14ac:dyDescent="0.2">
      <c r="A490" s="30"/>
      <c r="B490" s="30"/>
      <c r="C490" s="30"/>
      <c r="D490" s="28" t="str">
        <f>IFERROR(IF(C490="","",IF(B490="موظف",VLOOKUP(C490,الموظفين!$B:$C,2,FALSE),VLOOKUP(C490,المستفيدين!$B:$C,2,FALSE))),"")</f>
        <v/>
      </c>
      <c r="E490" s="28"/>
      <c r="F490" s="30"/>
      <c r="G490" s="30"/>
      <c r="H490" s="30"/>
    </row>
    <row r="491" spans="1:8" x14ac:dyDescent="0.2">
      <c r="A491" s="30"/>
      <c r="B491" s="30"/>
      <c r="C491" s="30"/>
      <c r="D491" s="28" t="str">
        <f>IFERROR(IF(C491="","",IF(B491="موظف",VLOOKUP(C491,الموظفين!$B:$C,2,FALSE),VLOOKUP(C491,المستفيدين!$B:$C,2,FALSE))),"")</f>
        <v/>
      </c>
      <c r="E491" s="28"/>
      <c r="F491" s="30"/>
      <c r="G491" s="30"/>
      <c r="H491" s="30"/>
    </row>
    <row r="492" spans="1:8" x14ac:dyDescent="0.2">
      <c r="A492" s="30"/>
      <c r="B492" s="30"/>
      <c r="C492" s="30"/>
      <c r="D492" s="28" t="str">
        <f>IFERROR(IF(C492="","",IF(B492="موظف",VLOOKUP(C492,الموظفين!$B:$C,2,FALSE),VLOOKUP(C492,المستفيدين!$B:$C,2,FALSE))),"")</f>
        <v/>
      </c>
      <c r="E492" s="28"/>
      <c r="F492" s="30"/>
      <c r="G492" s="30"/>
      <c r="H492" s="30"/>
    </row>
    <row r="493" spans="1:8" x14ac:dyDescent="0.2">
      <c r="A493" s="30"/>
      <c r="B493" s="30"/>
      <c r="C493" s="30"/>
      <c r="D493" s="28" t="str">
        <f>IFERROR(IF(C493="","",IF(B493="موظف",VLOOKUP(C493,الموظفين!$B:$C,2,FALSE),VLOOKUP(C493,المستفيدين!$B:$C,2,FALSE))),"")</f>
        <v/>
      </c>
      <c r="E493" s="28"/>
      <c r="F493" s="30"/>
      <c r="G493" s="30"/>
      <c r="H493" s="30"/>
    </row>
    <row r="494" spans="1:8" x14ac:dyDescent="0.2">
      <c r="A494" s="30"/>
      <c r="B494" s="30"/>
      <c r="C494" s="30"/>
      <c r="D494" s="28" t="str">
        <f>IFERROR(IF(C494="","",IF(B494="موظف",VLOOKUP(C494,الموظفين!$B:$C,2,FALSE),VLOOKUP(C494,المستفيدين!$B:$C,2,FALSE))),"")</f>
        <v/>
      </c>
      <c r="E494" s="28"/>
      <c r="F494" s="30"/>
      <c r="G494" s="30"/>
      <c r="H494" s="30"/>
    </row>
    <row r="495" spans="1:8" x14ac:dyDescent="0.2">
      <c r="A495" s="30"/>
      <c r="B495" s="30"/>
      <c r="C495" s="30"/>
      <c r="D495" s="28" t="str">
        <f>IFERROR(IF(C495="","",IF(B495="موظف",VLOOKUP(C495,الموظفين!$B:$C,2,FALSE),VLOOKUP(C495,المستفيدين!$B:$C,2,FALSE))),"")</f>
        <v/>
      </c>
      <c r="E495" s="28"/>
      <c r="F495" s="30"/>
      <c r="G495" s="30"/>
      <c r="H495" s="30"/>
    </row>
    <row r="496" spans="1:8" x14ac:dyDescent="0.2">
      <c r="A496" s="30"/>
      <c r="B496" s="30"/>
      <c r="C496" s="30"/>
      <c r="D496" s="28" t="str">
        <f>IFERROR(IF(C496="","",IF(B496="موظف",VLOOKUP(C496,الموظفين!$B:$C,2,FALSE),VLOOKUP(C496,المستفيدين!$B:$C,2,FALSE))),"")</f>
        <v/>
      </c>
      <c r="E496" s="28"/>
      <c r="F496" s="30"/>
      <c r="G496" s="30"/>
      <c r="H496" s="30"/>
    </row>
    <row r="497" spans="1:8" x14ac:dyDescent="0.2">
      <c r="A497" s="30"/>
      <c r="B497" s="30"/>
      <c r="C497" s="30"/>
      <c r="D497" s="28" t="str">
        <f>IFERROR(IF(C497="","",IF(B497="موظف",VLOOKUP(C497,الموظفين!$B:$C,2,FALSE),VLOOKUP(C497,المستفيدين!$B:$C,2,FALSE))),"")</f>
        <v/>
      </c>
      <c r="E497" s="28"/>
      <c r="F497" s="30"/>
      <c r="G497" s="30"/>
      <c r="H497" s="30"/>
    </row>
    <row r="498" spans="1:8" x14ac:dyDescent="0.2">
      <c r="A498" s="30"/>
      <c r="B498" s="30"/>
      <c r="C498" s="30"/>
      <c r="D498" s="28" t="str">
        <f>IFERROR(IF(C498="","",IF(B498="موظف",VLOOKUP(C498,الموظفين!$B:$C,2,FALSE),VLOOKUP(C498,المستفيدين!$B:$C,2,FALSE))),"")</f>
        <v/>
      </c>
      <c r="E498" s="28"/>
      <c r="F498" s="30"/>
      <c r="G498" s="30"/>
      <c r="H498" s="30"/>
    </row>
    <row r="499" spans="1:8" x14ac:dyDescent="0.2">
      <c r="A499" s="30"/>
      <c r="B499" s="30"/>
      <c r="C499" s="30"/>
      <c r="D499" s="28" t="str">
        <f>IFERROR(IF(C499="","",IF(B499="موظف",VLOOKUP(C499,الموظفين!$B:$C,2,FALSE),VLOOKUP(C499,المستفيدين!$B:$C,2,FALSE))),"")</f>
        <v/>
      </c>
      <c r="E499" s="28"/>
      <c r="F499" s="30"/>
      <c r="G499" s="30"/>
      <c r="H499" s="30"/>
    </row>
    <row r="500" spans="1:8" x14ac:dyDescent="0.2">
      <c r="A500" s="30"/>
      <c r="B500" s="30"/>
      <c r="C500" s="30"/>
      <c r="D500" s="28" t="str">
        <f>IFERROR(IF(C500="","",IF(B500="موظف",VLOOKUP(C500,الموظفين!$B:$C,2,FALSE),VLOOKUP(C500,المستفيدين!$B:$C,2,FALSE))),"")</f>
        <v/>
      </c>
      <c r="E500" s="28"/>
      <c r="F500" s="30"/>
      <c r="G500" s="30"/>
      <c r="H500" s="30"/>
    </row>
    <row r="501" spans="1:8" x14ac:dyDescent="0.2">
      <c r="A501" s="30"/>
      <c r="B501" s="30"/>
      <c r="C501" s="30"/>
      <c r="D501" s="28" t="str">
        <f>IFERROR(IF(C501="","",IF(B501="موظف",VLOOKUP(C501,الموظفين!$B:$C,2,FALSE),VLOOKUP(C501,المستفيدين!$B:$C,2,FALSE))),"")</f>
        <v/>
      </c>
      <c r="E501" s="28"/>
      <c r="F501" s="30"/>
      <c r="G501" s="30"/>
      <c r="H501" s="30"/>
    </row>
    <row r="502" spans="1:8" x14ac:dyDescent="0.2">
      <c r="A502" s="30"/>
      <c r="B502" s="30"/>
      <c r="C502" s="30"/>
      <c r="D502" s="28" t="str">
        <f>IFERROR(IF(C502="","",IF(B502="موظف",VLOOKUP(C502,الموظفين!$B:$C,2,FALSE),VLOOKUP(C502,المستفيدين!$B:$C,2,FALSE))),"")</f>
        <v/>
      </c>
      <c r="E502" s="28"/>
      <c r="F502" s="30"/>
      <c r="G502" s="30"/>
      <c r="H502" s="30"/>
    </row>
    <row r="503" spans="1:8" x14ac:dyDescent="0.2">
      <c r="A503" s="30"/>
      <c r="B503" s="30"/>
      <c r="C503" s="30"/>
      <c r="D503" s="28" t="str">
        <f>IFERROR(IF(C503="","",IF(B503="موظف",VLOOKUP(C503,الموظفين!$B:$C,2,FALSE),VLOOKUP(C503,المستفيدين!$B:$C,2,FALSE))),"")</f>
        <v/>
      </c>
      <c r="E503" s="28"/>
      <c r="F503" s="30"/>
      <c r="G503" s="30"/>
      <c r="H503" s="30"/>
    </row>
    <row r="504" spans="1:8" x14ac:dyDescent="0.2">
      <c r="A504" s="30"/>
      <c r="B504" s="30"/>
      <c r="C504" s="30"/>
      <c r="D504" s="28" t="str">
        <f>IFERROR(IF(C504="","",IF(B504="موظف",VLOOKUP(C504,الموظفين!$B:$C,2,FALSE),VLOOKUP(C504,المستفيدين!$B:$C,2,FALSE))),"")</f>
        <v/>
      </c>
      <c r="E504" s="28"/>
      <c r="F504" s="30"/>
      <c r="G504" s="30"/>
      <c r="H504" s="30"/>
    </row>
    <row r="505" spans="1:8" x14ac:dyDescent="0.2">
      <c r="A505" s="30"/>
      <c r="B505" s="30"/>
      <c r="C505" s="30"/>
      <c r="D505" s="28" t="str">
        <f>IFERROR(IF(C505="","",IF(B505="موظف",VLOOKUP(C505,الموظفين!$B:$C,2,FALSE),VLOOKUP(C505,المستفيدين!$B:$C,2,FALSE))),"")</f>
        <v/>
      </c>
      <c r="E505" s="28"/>
      <c r="F505" s="30"/>
      <c r="G505" s="30"/>
      <c r="H505" s="30"/>
    </row>
    <row r="506" spans="1:8" x14ac:dyDescent="0.2">
      <c r="A506" s="30"/>
      <c r="B506" s="30"/>
      <c r="C506" s="30"/>
      <c r="D506" s="28" t="str">
        <f>IFERROR(IF(C506="","",IF(B506="موظف",VLOOKUP(C506,الموظفين!$B:$C,2,FALSE),VLOOKUP(C506,المستفيدين!$B:$C,2,FALSE))),"")</f>
        <v/>
      </c>
      <c r="E506" s="28"/>
      <c r="F506" s="30"/>
      <c r="G506" s="30"/>
      <c r="H506" s="30"/>
    </row>
    <row r="507" spans="1:8" x14ac:dyDescent="0.2">
      <c r="A507" s="30"/>
      <c r="B507" s="30"/>
      <c r="C507" s="30"/>
      <c r="D507" s="28" t="str">
        <f>IFERROR(IF(C507="","",IF(B507="موظف",VLOOKUP(C507,الموظفين!$B:$C,2,FALSE),VLOOKUP(C507,المستفيدين!$B:$C,2,FALSE))),"")</f>
        <v/>
      </c>
      <c r="E507" s="28"/>
      <c r="F507" s="30"/>
      <c r="G507" s="30"/>
      <c r="H507" s="30"/>
    </row>
    <row r="508" spans="1:8" x14ac:dyDescent="0.2">
      <c r="A508" s="30"/>
      <c r="B508" s="30"/>
      <c r="C508" s="30"/>
      <c r="D508" s="28" t="str">
        <f>IFERROR(IF(C508="","",IF(B508="موظف",VLOOKUP(C508,الموظفين!$B:$C,2,FALSE),VLOOKUP(C508,المستفيدين!$B:$C,2,FALSE))),"")</f>
        <v/>
      </c>
      <c r="E508" s="28"/>
      <c r="F508" s="30"/>
      <c r="G508" s="30"/>
      <c r="H508" s="30"/>
    </row>
    <row r="509" spans="1:8" x14ac:dyDescent="0.2">
      <c r="A509" s="30"/>
      <c r="B509" s="30"/>
      <c r="C509" s="30"/>
      <c r="D509" s="28" t="str">
        <f>IFERROR(IF(C509="","",IF(B509="موظف",VLOOKUP(C509,الموظفين!$B:$C,2,FALSE),VLOOKUP(C509,المستفيدين!$B:$C,2,FALSE))),"")</f>
        <v/>
      </c>
      <c r="E509" s="28"/>
      <c r="F509" s="30"/>
      <c r="G509" s="30"/>
      <c r="H509" s="30"/>
    </row>
    <row r="510" spans="1:8" x14ac:dyDescent="0.2">
      <c r="A510" s="30"/>
      <c r="B510" s="30"/>
      <c r="C510" s="30"/>
      <c r="D510" s="28" t="str">
        <f>IFERROR(IF(C510="","",IF(B510="موظف",VLOOKUP(C510,الموظفين!$B:$C,2,FALSE),VLOOKUP(C510,المستفيدين!$B:$C,2,FALSE))),"")</f>
        <v/>
      </c>
      <c r="E510" s="28"/>
      <c r="F510" s="30"/>
      <c r="G510" s="30"/>
      <c r="H510" s="30"/>
    </row>
    <row r="511" spans="1:8" x14ac:dyDescent="0.2">
      <c r="A511" s="30"/>
      <c r="B511" s="30"/>
      <c r="C511" s="30"/>
      <c r="D511" s="28" t="str">
        <f>IFERROR(IF(C511="","",IF(B511="موظف",VLOOKUP(C511,الموظفين!$B:$C,2,FALSE),VLOOKUP(C511,المستفيدين!$B:$C,2,FALSE))),"")</f>
        <v/>
      </c>
      <c r="E511" s="28"/>
      <c r="F511" s="30"/>
      <c r="G511" s="30"/>
      <c r="H511" s="30"/>
    </row>
    <row r="512" spans="1:8" x14ac:dyDescent="0.2">
      <c r="A512" s="30"/>
      <c r="B512" s="30"/>
      <c r="C512" s="30"/>
      <c r="D512" s="28" t="str">
        <f>IFERROR(IF(C512="","",IF(B512="موظف",VLOOKUP(C512,الموظفين!$B:$C,2,FALSE),VLOOKUP(C512,المستفيدين!$B:$C,2,FALSE))),"")</f>
        <v/>
      </c>
      <c r="E512" s="28"/>
      <c r="F512" s="30"/>
      <c r="G512" s="30"/>
      <c r="H512" s="30"/>
    </row>
    <row r="513" spans="1:8" x14ac:dyDescent="0.2">
      <c r="A513" s="30"/>
      <c r="B513" s="30"/>
      <c r="C513" s="30"/>
      <c r="D513" s="28" t="str">
        <f>IFERROR(IF(C513="","",IF(B513="موظف",VLOOKUP(C513,الموظفين!$B:$C,2,FALSE),VLOOKUP(C513,المستفيدين!$B:$C,2,FALSE))),"")</f>
        <v/>
      </c>
      <c r="E513" s="28"/>
      <c r="F513" s="30"/>
      <c r="G513" s="30"/>
      <c r="H513" s="30"/>
    </row>
    <row r="514" spans="1:8" x14ac:dyDescent="0.2">
      <c r="A514" s="30"/>
      <c r="B514" s="30"/>
      <c r="C514" s="30"/>
      <c r="D514" s="28" t="str">
        <f>IFERROR(IF(C514="","",IF(B514="موظف",VLOOKUP(C514,الموظفين!$B:$C,2,FALSE),VLOOKUP(C514,المستفيدين!$B:$C,2,FALSE))),"")</f>
        <v/>
      </c>
      <c r="E514" s="28"/>
      <c r="F514" s="30"/>
      <c r="G514" s="30"/>
      <c r="H514" s="30"/>
    </row>
    <row r="515" spans="1:8" x14ac:dyDescent="0.2">
      <c r="A515" s="30"/>
      <c r="B515" s="30"/>
      <c r="C515" s="30"/>
      <c r="D515" s="28" t="str">
        <f>IFERROR(IF(C515="","",IF(B515="موظف",VLOOKUP(C515,الموظفين!$B:$C,2,FALSE),VLOOKUP(C515,المستفيدين!$B:$C,2,FALSE))),"")</f>
        <v/>
      </c>
      <c r="E515" s="28"/>
      <c r="F515" s="30"/>
      <c r="G515" s="30"/>
      <c r="H515" s="30"/>
    </row>
    <row r="516" spans="1:8" x14ac:dyDescent="0.2">
      <c r="A516" s="30"/>
      <c r="B516" s="30"/>
      <c r="C516" s="30"/>
      <c r="D516" s="28" t="str">
        <f>IFERROR(IF(C516="","",IF(B516="موظف",VLOOKUP(C516,الموظفين!$B:$C,2,FALSE),VLOOKUP(C516,المستفيدين!$B:$C,2,FALSE))),"")</f>
        <v/>
      </c>
      <c r="E516" s="28"/>
      <c r="F516" s="30"/>
      <c r="G516" s="30"/>
      <c r="H516" s="30"/>
    </row>
    <row r="517" spans="1:8" x14ac:dyDescent="0.2">
      <c r="A517" s="30"/>
      <c r="B517" s="30"/>
      <c r="C517" s="30"/>
      <c r="D517" s="28" t="str">
        <f>IFERROR(IF(C517="","",IF(B517="موظف",VLOOKUP(C517,الموظفين!$B:$C,2,FALSE),VLOOKUP(C517,المستفيدين!$B:$C,2,FALSE))),"")</f>
        <v/>
      </c>
      <c r="E517" s="28"/>
      <c r="F517" s="30"/>
      <c r="G517" s="30"/>
      <c r="H517" s="30"/>
    </row>
    <row r="518" spans="1:8" x14ac:dyDescent="0.2">
      <c r="A518" s="30"/>
      <c r="B518" s="30"/>
      <c r="C518" s="30"/>
      <c r="D518" s="28" t="str">
        <f>IFERROR(IF(C518="","",IF(B518="موظف",VLOOKUP(C518,الموظفين!$B:$C,2,FALSE),VLOOKUP(C518,المستفيدين!$B:$C,2,FALSE))),"")</f>
        <v/>
      </c>
      <c r="E518" s="28"/>
      <c r="F518" s="30"/>
      <c r="G518" s="30"/>
      <c r="H518" s="30"/>
    </row>
    <row r="519" spans="1:8" x14ac:dyDescent="0.2">
      <c r="A519" s="30"/>
      <c r="B519" s="30"/>
      <c r="C519" s="30"/>
      <c r="D519" s="28" t="str">
        <f>IFERROR(IF(C519="","",IF(B519="موظف",VLOOKUP(C519,الموظفين!$B:$C,2,FALSE),VLOOKUP(C519,المستفيدين!$B:$C,2,FALSE))),"")</f>
        <v/>
      </c>
      <c r="E519" s="28"/>
      <c r="F519" s="30"/>
      <c r="G519" s="30"/>
      <c r="H519" s="30"/>
    </row>
    <row r="520" spans="1:8" x14ac:dyDescent="0.2">
      <c r="A520" s="30"/>
      <c r="B520" s="30"/>
      <c r="C520" s="30"/>
      <c r="D520" s="28" t="str">
        <f>IFERROR(IF(C520="","",IF(B520="موظف",VLOOKUP(C520,الموظفين!$B:$C,2,FALSE),VLOOKUP(C520,المستفيدين!$B:$C,2,FALSE))),"")</f>
        <v/>
      </c>
      <c r="E520" s="28"/>
      <c r="F520" s="30"/>
      <c r="G520" s="30"/>
      <c r="H520" s="30"/>
    </row>
    <row r="521" spans="1:8" x14ac:dyDescent="0.2">
      <c r="A521" s="30"/>
      <c r="B521" s="30"/>
      <c r="C521" s="30"/>
      <c r="D521" s="28" t="str">
        <f>IFERROR(IF(C521="","",IF(B521="موظف",VLOOKUP(C521,الموظفين!$B:$C,2,FALSE),VLOOKUP(C521,المستفيدين!$B:$C,2,FALSE))),"")</f>
        <v/>
      </c>
      <c r="E521" s="28"/>
      <c r="F521" s="30"/>
      <c r="G521" s="30"/>
      <c r="H521" s="30"/>
    </row>
    <row r="522" spans="1:8" x14ac:dyDescent="0.2">
      <c r="A522" s="30"/>
      <c r="B522" s="30"/>
      <c r="C522" s="30"/>
      <c r="D522" s="28" t="str">
        <f>IFERROR(IF(C522="","",IF(B522="موظف",VLOOKUP(C522,الموظفين!$B:$C,2,FALSE),VLOOKUP(C522,المستفيدين!$B:$C,2,FALSE))),"")</f>
        <v/>
      </c>
      <c r="E522" s="28"/>
      <c r="F522" s="30"/>
      <c r="G522" s="30"/>
      <c r="H522" s="30"/>
    </row>
    <row r="523" spans="1:8" x14ac:dyDescent="0.2">
      <c r="A523" s="30"/>
      <c r="B523" s="30"/>
      <c r="C523" s="30"/>
      <c r="D523" s="28" t="str">
        <f>IFERROR(IF(C523="","",IF(B523="موظف",VLOOKUP(C523,الموظفين!$B:$C,2,FALSE),VLOOKUP(C523,المستفيدين!$B:$C,2,FALSE))),"")</f>
        <v/>
      </c>
      <c r="E523" s="28"/>
      <c r="F523" s="30"/>
      <c r="G523" s="30"/>
      <c r="H523" s="30"/>
    </row>
    <row r="524" spans="1:8" x14ac:dyDescent="0.2">
      <c r="A524" s="30"/>
      <c r="B524" s="30"/>
      <c r="C524" s="30"/>
      <c r="D524" s="28" t="str">
        <f>IFERROR(IF(C524="","",IF(B524="موظف",VLOOKUP(C524,الموظفين!$B:$C,2,FALSE),VLOOKUP(C524,المستفيدين!$B:$C,2,FALSE))),"")</f>
        <v/>
      </c>
      <c r="E524" s="28"/>
      <c r="F524" s="30"/>
      <c r="G524" s="30"/>
      <c r="H524" s="30"/>
    </row>
    <row r="525" spans="1:8" x14ac:dyDescent="0.2">
      <c r="A525" s="30"/>
      <c r="B525" s="30"/>
      <c r="C525" s="30"/>
      <c r="D525" s="28" t="str">
        <f>IFERROR(IF(C525="","",IF(B525="موظف",VLOOKUP(C525,الموظفين!$B:$C,2,FALSE),VLOOKUP(C525,المستفيدين!$B:$C,2,FALSE))),"")</f>
        <v/>
      </c>
      <c r="E525" s="28"/>
      <c r="F525" s="30"/>
      <c r="G525" s="30"/>
      <c r="H525" s="30"/>
    </row>
    <row r="526" spans="1:8" x14ac:dyDescent="0.2">
      <c r="A526" s="30"/>
      <c r="B526" s="30"/>
      <c r="C526" s="30"/>
      <c r="D526" s="28" t="str">
        <f>IFERROR(IF(C526="","",IF(B526="موظف",VLOOKUP(C526,الموظفين!$B:$C,2,FALSE),VLOOKUP(C526,المستفيدين!$B:$C,2,FALSE))),"")</f>
        <v/>
      </c>
      <c r="E526" s="28"/>
      <c r="F526" s="30"/>
      <c r="G526" s="30"/>
      <c r="H526" s="30"/>
    </row>
    <row r="527" spans="1:8" x14ac:dyDescent="0.2">
      <c r="A527" s="30"/>
      <c r="B527" s="30"/>
      <c r="C527" s="30"/>
      <c r="D527" s="28" t="str">
        <f>IFERROR(IF(C527="","",IF(B527="موظف",VLOOKUP(C527,الموظفين!$B:$C,2,FALSE),VLOOKUP(C527,المستفيدين!$B:$C,2,FALSE))),"")</f>
        <v/>
      </c>
      <c r="E527" s="28"/>
      <c r="F527" s="30"/>
      <c r="G527" s="30"/>
      <c r="H527" s="30"/>
    </row>
    <row r="528" spans="1:8" x14ac:dyDescent="0.2">
      <c r="A528" s="30"/>
      <c r="B528" s="30"/>
      <c r="C528" s="30"/>
      <c r="D528" s="28" t="str">
        <f>IFERROR(IF(C528="","",IF(B528="موظف",VLOOKUP(C528,الموظفين!$B:$C,2,FALSE),VLOOKUP(C528,المستفيدين!$B:$C,2,FALSE))),"")</f>
        <v/>
      </c>
      <c r="E528" s="28"/>
      <c r="F528" s="30"/>
      <c r="G528" s="30"/>
      <c r="H528" s="30"/>
    </row>
    <row r="529" spans="1:8" x14ac:dyDescent="0.2">
      <c r="A529" s="30"/>
      <c r="B529" s="30"/>
      <c r="C529" s="30"/>
      <c r="D529" s="28" t="str">
        <f>IFERROR(IF(C529="","",IF(B529="موظف",VLOOKUP(C529,الموظفين!$B:$C,2,FALSE),VLOOKUP(C529,المستفيدين!$B:$C,2,FALSE))),"")</f>
        <v/>
      </c>
      <c r="E529" s="28"/>
      <c r="F529" s="30"/>
      <c r="G529" s="30"/>
      <c r="H529" s="30"/>
    </row>
    <row r="530" spans="1:8" x14ac:dyDescent="0.2">
      <c r="A530" s="30"/>
      <c r="B530" s="30"/>
      <c r="C530" s="30"/>
      <c r="D530" s="28" t="str">
        <f>IFERROR(IF(C530="","",IF(B530="موظف",VLOOKUP(C530,الموظفين!$B:$C,2,FALSE),VLOOKUP(C530,المستفيدين!$B:$C,2,FALSE))),"")</f>
        <v/>
      </c>
      <c r="E530" s="28"/>
      <c r="F530" s="30"/>
      <c r="G530" s="30"/>
      <c r="H530" s="30"/>
    </row>
    <row r="531" spans="1:8" x14ac:dyDescent="0.2">
      <c r="A531" s="30"/>
      <c r="B531" s="30"/>
      <c r="C531" s="30"/>
      <c r="D531" s="28" t="str">
        <f>IFERROR(IF(C531="","",IF(B531="موظف",VLOOKUP(C531,الموظفين!$B:$C,2,FALSE),VLOOKUP(C531,المستفيدين!$B:$C,2,FALSE))),"")</f>
        <v/>
      </c>
      <c r="E531" s="28"/>
      <c r="F531" s="30"/>
      <c r="G531" s="30"/>
      <c r="H531" s="30"/>
    </row>
    <row r="532" spans="1:8" x14ac:dyDescent="0.2">
      <c r="A532" s="30"/>
      <c r="B532" s="30"/>
      <c r="C532" s="30"/>
      <c r="D532" s="28" t="str">
        <f>IFERROR(IF(C532="","",IF(B532="موظف",VLOOKUP(C532,الموظفين!$B:$C,2,FALSE),VLOOKUP(C532,المستفيدين!$B:$C,2,FALSE))),"")</f>
        <v/>
      </c>
      <c r="E532" s="28"/>
      <c r="F532" s="30"/>
      <c r="G532" s="30"/>
      <c r="H532" s="30"/>
    </row>
    <row r="533" spans="1:8" x14ac:dyDescent="0.2">
      <c r="A533" s="30"/>
      <c r="B533" s="30"/>
      <c r="C533" s="30"/>
      <c r="D533" s="28" t="str">
        <f>IFERROR(IF(C533="","",IF(B533="موظف",VLOOKUP(C533,الموظفين!$B:$C,2,FALSE),VLOOKUP(C533,المستفيدين!$B:$C,2,FALSE))),"")</f>
        <v/>
      </c>
      <c r="E533" s="28"/>
      <c r="F533" s="30"/>
      <c r="G533" s="30"/>
      <c r="H533" s="30"/>
    </row>
    <row r="534" spans="1:8" x14ac:dyDescent="0.2">
      <c r="A534" s="30"/>
      <c r="B534" s="30"/>
      <c r="C534" s="30"/>
      <c r="D534" s="28" t="str">
        <f>IFERROR(IF(C534="","",IF(B534="موظف",VLOOKUP(C534,الموظفين!$B:$C,2,FALSE),VLOOKUP(C534,المستفيدين!$B:$C,2,FALSE))),"")</f>
        <v/>
      </c>
      <c r="E534" s="28"/>
      <c r="F534" s="30"/>
      <c r="G534" s="30"/>
      <c r="H534" s="30"/>
    </row>
    <row r="535" spans="1:8" x14ac:dyDescent="0.2">
      <c r="A535" s="30"/>
      <c r="B535" s="30"/>
      <c r="C535" s="30"/>
      <c r="D535" s="28" t="str">
        <f>IFERROR(IF(C535="","",IF(B535="موظف",VLOOKUP(C535,الموظفين!$B:$C,2,FALSE),VLOOKUP(C535,المستفيدين!$B:$C,2,FALSE))),"")</f>
        <v/>
      </c>
      <c r="E535" s="28"/>
      <c r="F535" s="30"/>
      <c r="G535" s="30"/>
      <c r="H535" s="30"/>
    </row>
    <row r="536" spans="1:8" x14ac:dyDescent="0.2">
      <c r="A536" s="30"/>
      <c r="B536" s="30"/>
      <c r="C536" s="30"/>
      <c r="D536" s="28" t="str">
        <f>IFERROR(IF(C536="","",IF(B536="موظف",VLOOKUP(C536,الموظفين!$B:$C,2,FALSE),VLOOKUP(C536,المستفيدين!$B:$C,2,FALSE))),"")</f>
        <v/>
      </c>
      <c r="E536" s="28"/>
      <c r="F536" s="30"/>
      <c r="G536" s="30"/>
      <c r="H536" s="30"/>
    </row>
    <row r="537" spans="1:8" x14ac:dyDescent="0.2">
      <c r="A537" s="30"/>
      <c r="B537" s="30"/>
      <c r="C537" s="30"/>
      <c r="D537" s="28" t="str">
        <f>IFERROR(IF(C537="","",IF(B537="موظف",VLOOKUP(C537,الموظفين!$B:$C,2,FALSE),VLOOKUP(C537,المستفيدين!$B:$C,2,FALSE))),"")</f>
        <v/>
      </c>
      <c r="E537" s="28"/>
      <c r="F537" s="30"/>
      <c r="G537" s="30"/>
      <c r="H537" s="30"/>
    </row>
    <row r="538" spans="1:8" x14ac:dyDescent="0.2">
      <c r="A538" s="30"/>
      <c r="B538" s="30"/>
      <c r="C538" s="30"/>
      <c r="D538" s="28" t="str">
        <f>IFERROR(IF(C538="","",IF(B538="موظف",VLOOKUP(C538,الموظفين!$B:$C,2,FALSE),VLOOKUP(C538,المستفيدين!$B:$C,2,FALSE))),"")</f>
        <v/>
      </c>
      <c r="E538" s="28"/>
      <c r="F538" s="30"/>
      <c r="G538" s="30"/>
      <c r="H538" s="30"/>
    </row>
    <row r="539" spans="1:8" x14ac:dyDescent="0.2">
      <c r="A539" s="30"/>
      <c r="B539" s="30"/>
      <c r="C539" s="30"/>
      <c r="D539" s="28" t="str">
        <f>IFERROR(IF(C539="","",IF(B539="موظف",VLOOKUP(C539,الموظفين!$B:$C,2,FALSE),VLOOKUP(C539,المستفيدين!$B:$C,2,FALSE))),"")</f>
        <v/>
      </c>
      <c r="E539" s="28"/>
      <c r="F539" s="30"/>
      <c r="G539" s="30"/>
      <c r="H539" s="30"/>
    </row>
    <row r="540" spans="1:8" x14ac:dyDescent="0.2">
      <c r="A540" s="30"/>
      <c r="B540" s="30"/>
      <c r="C540" s="30"/>
      <c r="D540" s="28" t="str">
        <f>IFERROR(IF(C540="","",IF(B540="موظف",VLOOKUP(C540,الموظفين!$B:$C,2,FALSE),VLOOKUP(C540,المستفيدين!$B:$C,2,FALSE))),"")</f>
        <v/>
      </c>
      <c r="E540" s="28"/>
      <c r="F540" s="30"/>
      <c r="G540" s="30"/>
      <c r="H540" s="30"/>
    </row>
    <row r="541" spans="1:8" x14ac:dyDescent="0.2">
      <c r="A541" s="30"/>
      <c r="B541" s="30"/>
      <c r="C541" s="30"/>
      <c r="D541" s="28" t="str">
        <f>IFERROR(IF(C541="","",IF(B541="موظف",VLOOKUP(C541,الموظفين!$B:$C,2,FALSE),VLOOKUP(C541,المستفيدين!$B:$C,2,FALSE))),"")</f>
        <v/>
      </c>
      <c r="E541" s="28"/>
      <c r="F541" s="30"/>
      <c r="G541" s="30"/>
      <c r="H541" s="30"/>
    </row>
    <row r="542" spans="1:8" x14ac:dyDescent="0.2">
      <c r="A542" s="30"/>
      <c r="B542" s="30"/>
      <c r="C542" s="30"/>
      <c r="D542" s="28" t="str">
        <f>IFERROR(IF(C542="","",IF(B542="موظف",VLOOKUP(C542,الموظفين!$B:$C,2,FALSE),VLOOKUP(C542,المستفيدين!$B:$C,2,FALSE))),"")</f>
        <v/>
      </c>
      <c r="E542" s="28"/>
      <c r="F542" s="30"/>
      <c r="G542" s="30"/>
      <c r="H542" s="30"/>
    </row>
    <row r="543" spans="1:8" x14ac:dyDescent="0.2">
      <c r="A543" s="30"/>
      <c r="B543" s="30"/>
      <c r="C543" s="30"/>
      <c r="D543" s="28" t="str">
        <f>IFERROR(IF(C543="","",IF(B543="موظف",VLOOKUP(C543,الموظفين!$B:$C,2,FALSE),VLOOKUP(C543,المستفيدين!$B:$C,2,FALSE))),"")</f>
        <v/>
      </c>
      <c r="E543" s="28"/>
      <c r="F543" s="30"/>
      <c r="G543" s="30"/>
      <c r="H543" s="30"/>
    </row>
    <row r="544" spans="1:8" x14ac:dyDescent="0.2">
      <c r="A544" s="30"/>
      <c r="B544" s="30"/>
      <c r="C544" s="30"/>
      <c r="D544" s="28" t="str">
        <f>IFERROR(IF(C544="","",IF(B544="موظف",VLOOKUP(C544,الموظفين!$B:$C,2,FALSE),VLOOKUP(C544,المستفيدين!$B:$C,2,FALSE))),"")</f>
        <v/>
      </c>
      <c r="E544" s="28"/>
      <c r="F544" s="30"/>
      <c r="G544" s="30"/>
      <c r="H544" s="30"/>
    </row>
    <row r="545" spans="1:8" x14ac:dyDescent="0.2">
      <c r="A545" s="30"/>
      <c r="B545" s="30"/>
      <c r="C545" s="30"/>
      <c r="D545" s="28" t="str">
        <f>IFERROR(IF(C545="","",IF(B545="موظف",VLOOKUP(C545,الموظفين!$B:$C,2,FALSE),VLOOKUP(C545,المستفيدين!$B:$C,2,FALSE))),"")</f>
        <v/>
      </c>
      <c r="E545" s="28"/>
      <c r="F545" s="30"/>
      <c r="G545" s="30"/>
      <c r="H545" s="30"/>
    </row>
    <row r="546" spans="1:8" x14ac:dyDescent="0.2">
      <c r="A546" s="30"/>
      <c r="B546" s="30"/>
      <c r="C546" s="30"/>
      <c r="D546" s="28" t="str">
        <f>IFERROR(IF(C546="","",IF(B546="موظف",VLOOKUP(C546,الموظفين!$B:$C,2,FALSE),VLOOKUP(C546,المستفيدين!$B:$C,2,FALSE))),"")</f>
        <v/>
      </c>
      <c r="E546" s="28"/>
      <c r="F546" s="30"/>
      <c r="G546" s="30"/>
      <c r="H546" s="30"/>
    </row>
    <row r="547" spans="1:8" x14ac:dyDescent="0.2">
      <c r="A547" s="30"/>
      <c r="B547" s="30"/>
      <c r="C547" s="30"/>
      <c r="D547" s="28" t="str">
        <f>IFERROR(IF(C547="","",IF(B547="موظف",VLOOKUP(C547,الموظفين!$B:$C,2,FALSE),VLOOKUP(C547,المستفيدين!$B:$C,2,FALSE))),"")</f>
        <v/>
      </c>
      <c r="E547" s="28"/>
      <c r="F547" s="30"/>
      <c r="G547" s="30"/>
      <c r="H547" s="30"/>
    </row>
    <row r="548" spans="1:8" x14ac:dyDescent="0.2">
      <c r="A548" s="30"/>
      <c r="B548" s="30"/>
      <c r="C548" s="30"/>
      <c r="D548" s="28" t="str">
        <f>IFERROR(IF(C548="","",IF(B548="موظف",VLOOKUP(C548,الموظفين!$B:$C,2,FALSE),VLOOKUP(C548,المستفيدين!$B:$C,2,FALSE))),"")</f>
        <v/>
      </c>
      <c r="E548" s="28"/>
      <c r="F548" s="30"/>
      <c r="G548" s="30"/>
      <c r="H548" s="30"/>
    </row>
    <row r="549" spans="1:8" x14ac:dyDescent="0.2">
      <c r="A549" s="30"/>
      <c r="B549" s="30"/>
      <c r="C549" s="30"/>
      <c r="D549" s="28" t="str">
        <f>IFERROR(IF(C549="","",IF(B549="موظف",VLOOKUP(C549,الموظفين!$B:$C,2,FALSE),VLOOKUP(C549,المستفيدين!$B:$C,2,FALSE))),"")</f>
        <v/>
      </c>
      <c r="E549" s="28"/>
      <c r="F549" s="30"/>
      <c r="G549" s="30"/>
      <c r="H549" s="30"/>
    </row>
    <row r="550" spans="1:8" x14ac:dyDescent="0.2">
      <c r="A550" s="30"/>
      <c r="B550" s="30"/>
      <c r="C550" s="30"/>
      <c r="D550" s="28" t="str">
        <f>IFERROR(IF(C550="","",IF(B550="موظف",VLOOKUP(C550,الموظفين!$B:$C,2,FALSE),VLOOKUP(C550,المستفيدين!$B:$C,2,FALSE))),"")</f>
        <v/>
      </c>
      <c r="E550" s="28"/>
      <c r="F550" s="30"/>
      <c r="G550" s="30"/>
      <c r="H550" s="30"/>
    </row>
    <row r="551" spans="1:8" x14ac:dyDescent="0.2">
      <c r="A551" s="30"/>
      <c r="B551" s="30"/>
      <c r="C551" s="30"/>
      <c r="D551" s="28" t="str">
        <f>IFERROR(IF(C551="","",IF(B551="موظف",VLOOKUP(C551,الموظفين!$B:$C,2,FALSE),VLOOKUP(C551,المستفيدين!$B:$C,2,FALSE))),"")</f>
        <v/>
      </c>
      <c r="E551" s="28"/>
      <c r="F551" s="30"/>
      <c r="G551" s="30"/>
      <c r="H551" s="30"/>
    </row>
    <row r="552" spans="1:8" x14ac:dyDescent="0.2">
      <c r="A552" s="30"/>
      <c r="B552" s="30"/>
      <c r="C552" s="30"/>
      <c r="D552" s="28" t="str">
        <f>IFERROR(IF(C552="","",IF(B552="موظف",VLOOKUP(C552,الموظفين!$B:$C,2,FALSE),VLOOKUP(C552,المستفيدين!$B:$C,2,FALSE))),"")</f>
        <v/>
      </c>
      <c r="E552" s="28"/>
      <c r="F552" s="30"/>
      <c r="G552" s="30"/>
      <c r="H552" s="30"/>
    </row>
    <row r="553" spans="1:8" x14ac:dyDescent="0.2">
      <c r="A553" s="30"/>
      <c r="B553" s="30"/>
      <c r="C553" s="30"/>
      <c r="D553" s="28" t="str">
        <f>IFERROR(IF(C553="","",IF(B553="موظف",VLOOKUP(C553,الموظفين!$B:$C,2,FALSE),VLOOKUP(C553,المستفيدين!$B:$C,2,FALSE))),"")</f>
        <v/>
      </c>
      <c r="E553" s="28"/>
      <c r="F553" s="30"/>
      <c r="G553" s="30"/>
      <c r="H553" s="30"/>
    </row>
    <row r="554" spans="1:8" x14ac:dyDescent="0.2">
      <c r="A554" s="30"/>
      <c r="B554" s="30"/>
      <c r="C554" s="30"/>
      <c r="D554" s="28" t="str">
        <f>IFERROR(IF(C554="","",IF(B554="موظف",VLOOKUP(C554,الموظفين!$B:$C,2,FALSE),VLOOKUP(C554,المستفيدين!$B:$C,2,FALSE))),"")</f>
        <v/>
      </c>
      <c r="E554" s="28"/>
      <c r="F554" s="30"/>
      <c r="G554" s="30"/>
      <c r="H554" s="30"/>
    </row>
    <row r="555" spans="1:8" x14ac:dyDescent="0.2">
      <c r="A555" s="30"/>
      <c r="B555" s="30"/>
      <c r="C555" s="30"/>
      <c r="D555" s="28" t="str">
        <f>IFERROR(IF(C555="","",IF(B555="موظف",VLOOKUP(C555,الموظفين!$B:$C,2,FALSE),VLOOKUP(C555,المستفيدين!$B:$C,2,FALSE))),"")</f>
        <v/>
      </c>
      <c r="E555" s="28"/>
      <c r="F555" s="30"/>
      <c r="G555" s="30"/>
      <c r="H555" s="30"/>
    </row>
    <row r="556" spans="1:8" x14ac:dyDescent="0.2">
      <c r="A556" s="30"/>
      <c r="B556" s="30"/>
      <c r="C556" s="30"/>
      <c r="D556" s="28" t="str">
        <f>IFERROR(IF(C556="","",IF(B556="موظف",VLOOKUP(C556,الموظفين!$B:$C,2,FALSE),VLOOKUP(C556,المستفيدين!$B:$C,2,FALSE))),"")</f>
        <v/>
      </c>
      <c r="E556" s="28"/>
      <c r="F556" s="30"/>
      <c r="G556" s="30"/>
      <c r="H556" s="30"/>
    </row>
    <row r="557" spans="1:8" x14ac:dyDescent="0.2">
      <c r="A557" s="30"/>
      <c r="B557" s="30"/>
      <c r="C557" s="30"/>
      <c r="D557" s="28" t="str">
        <f>IFERROR(IF(C557="","",IF(B557="موظف",VLOOKUP(C557,الموظفين!$B:$C,2,FALSE),VLOOKUP(C557,المستفيدين!$B:$C,2,FALSE))),"")</f>
        <v/>
      </c>
      <c r="E557" s="28"/>
      <c r="F557" s="30"/>
      <c r="G557" s="30"/>
      <c r="H557" s="30"/>
    </row>
    <row r="558" spans="1:8" x14ac:dyDescent="0.2">
      <c r="A558" s="30"/>
      <c r="B558" s="30"/>
      <c r="C558" s="30"/>
      <c r="D558" s="28" t="str">
        <f>IFERROR(IF(C558="","",IF(B558="موظف",VLOOKUP(C558,الموظفين!$B:$C,2,FALSE),VLOOKUP(C558,المستفيدين!$B:$C,2,FALSE))),"")</f>
        <v/>
      </c>
      <c r="E558" s="28"/>
      <c r="F558" s="30"/>
      <c r="G558" s="30"/>
      <c r="H558" s="30"/>
    </row>
    <row r="559" spans="1:8" x14ac:dyDescent="0.2">
      <c r="A559" s="30"/>
      <c r="B559" s="30"/>
      <c r="C559" s="30"/>
      <c r="D559" s="28" t="str">
        <f>IFERROR(IF(C559="","",IF(B559="موظف",VLOOKUP(C559,الموظفين!$B:$C,2,FALSE),VLOOKUP(C559,المستفيدين!$B:$C,2,FALSE))),"")</f>
        <v/>
      </c>
      <c r="E559" s="28"/>
      <c r="F559" s="30"/>
      <c r="G559" s="30"/>
      <c r="H559" s="30"/>
    </row>
    <row r="560" spans="1:8" x14ac:dyDescent="0.2">
      <c r="A560" s="30"/>
      <c r="B560" s="30"/>
      <c r="C560" s="30"/>
      <c r="D560" s="28" t="str">
        <f>IFERROR(IF(C560="","",IF(B560="موظف",VLOOKUP(C560,الموظفين!$B:$C,2,FALSE),VLOOKUP(C560,المستفيدين!$B:$C,2,FALSE))),"")</f>
        <v/>
      </c>
      <c r="E560" s="28"/>
      <c r="F560" s="30"/>
      <c r="G560" s="30"/>
      <c r="H560" s="30"/>
    </row>
    <row r="561" spans="1:8" x14ac:dyDescent="0.2">
      <c r="A561" s="30"/>
      <c r="B561" s="30"/>
      <c r="C561" s="30"/>
      <c r="D561" s="28" t="str">
        <f>IFERROR(IF(C561="","",IF(B561="موظف",VLOOKUP(C561,الموظفين!$B:$C,2,FALSE),VLOOKUP(C561,المستفيدين!$B:$C,2,FALSE))),"")</f>
        <v/>
      </c>
      <c r="E561" s="28"/>
      <c r="F561" s="30"/>
      <c r="G561" s="30"/>
      <c r="H561" s="30"/>
    </row>
    <row r="562" spans="1:8" x14ac:dyDescent="0.2">
      <c r="A562" s="30"/>
      <c r="B562" s="30"/>
      <c r="C562" s="30"/>
      <c r="D562" s="28" t="str">
        <f>IFERROR(IF(C562="","",IF(B562="موظف",VLOOKUP(C562,الموظفين!$B:$C,2,FALSE),VLOOKUP(C562,المستفيدين!$B:$C,2,FALSE))),"")</f>
        <v/>
      </c>
      <c r="E562" s="28"/>
      <c r="F562" s="30"/>
      <c r="G562" s="30"/>
      <c r="H562" s="30"/>
    </row>
    <row r="563" spans="1:8" x14ac:dyDescent="0.2">
      <c r="A563" s="30"/>
      <c r="B563" s="30"/>
      <c r="C563" s="30"/>
      <c r="D563" s="28" t="str">
        <f>IFERROR(IF(C563="","",IF(B563="موظف",VLOOKUP(C563,الموظفين!$B:$C,2,FALSE),VLOOKUP(C563,المستفيدين!$B:$C,2,FALSE))),"")</f>
        <v/>
      </c>
      <c r="E563" s="28"/>
      <c r="F563" s="30"/>
      <c r="G563" s="30"/>
      <c r="H563" s="30"/>
    </row>
    <row r="564" spans="1:8" x14ac:dyDescent="0.2">
      <c r="A564" s="30"/>
      <c r="B564" s="30"/>
      <c r="C564" s="30"/>
      <c r="D564" s="28" t="str">
        <f>IFERROR(IF(C564="","",IF(B564="موظف",VLOOKUP(C564,الموظفين!$B:$C,2,FALSE),VLOOKUP(C564,المستفيدين!$B:$C,2,FALSE))),"")</f>
        <v/>
      </c>
      <c r="E564" s="28"/>
      <c r="F564" s="30"/>
      <c r="G564" s="30"/>
      <c r="H564" s="30"/>
    </row>
    <row r="565" spans="1:8" x14ac:dyDescent="0.2">
      <c r="A565" s="30"/>
      <c r="B565" s="30"/>
      <c r="C565" s="30"/>
      <c r="D565" s="28" t="str">
        <f>IFERROR(IF(C565="","",IF(B565="موظف",VLOOKUP(C565,الموظفين!$B:$C,2,FALSE),VLOOKUP(C565,المستفيدين!$B:$C,2,FALSE))),"")</f>
        <v/>
      </c>
      <c r="E565" s="28"/>
      <c r="F565" s="30"/>
      <c r="G565" s="30"/>
      <c r="H565" s="30"/>
    </row>
    <row r="566" spans="1:8" x14ac:dyDescent="0.2">
      <c r="A566" s="30"/>
      <c r="B566" s="30"/>
      <c r="C566" s="30"/>
      <c r="D566" s="28" t="str">
        <f>IFERROR(IF(C566="","",IF(B566="موظف",VLOOKUP(C566,الموظفين!$B:$C,2,FALSE),VLOOKUP(C566,المستفيدين!$B:$C,2,FALSE))),"")</f>
        <v/>
      </c>
      <c r="E566" s="28"/>
      <c r="F566" s="30"/>
      <c r="G566" s="30"/>
      <c r="H566" s="30"/>
    </row>
    <row r="567" spans="1:8" x14ac:dyDescent="0.2">
      <c r="A567" s="30"/>
      <c r="B567" s="30"/>
      <c r="C567" s="30"/>
      <c r="D567" s="28" t="str">
        <f>IFERROR(IF(C567="","",IF(B567="موظف",VLOOKUP(C567,الموظفين!$B:$C,2,FALSE),VLOOKUP(C567,المستفيدين!$B:$C,2,FALSE))),"")</f>
        <v/>
      </c>
      <c r="E567" s="28"/>
      <c r="F567" s="30"/>
      <c r="G567" s="30"/>
      <c r="H567" s="30"/>
    </row>
    <row r="568" spans="1:8" x14ac:dyDescent="0.2">
      <c r="A568" s="30"/>
      <c r="B568" s="30"/>
      <c r="C568" s="30"/>
      <c r="D568" s="28" t="str">
        <f>IFERROR(IF(C568="","",IF(B568="موظف",VLOOKUP(C568,الموظفين!$B:$C,2,FALSE),VLOOKUP(C568,المستفيدين!$B:$C,2,FALSE))),"")</f>
        <v/>
      </c>
      <c r="E568" s="28"/>
      <c r="F568" s="30"/>
      <c r="G568" s="30"/>
      <c r="H568" s="30"/>
    </row>
    <row r="569" spans="1:8" x14ac:dyDescent="0.2">
      <c r="A569" s="30"/>
      <c r="B569" s="30"/>
      <c r="C569" s="30"/>
      <c r="D569" s="28" t="str">
        <f>IFERROR(IF(C569="","",IF(B569="موظف",VLOOKUP(C569,الموظفين!$B:$C,2,FALSE),VLOOKUP(C569,المستفيدين!$B:$C,2,FALSE))),"")</f>
        <v/>
      </c>
      <c r="E569" s="28"/>
      <c r="F569" s="30"/>
      <c r="G569" s="30"/>
      <c r="H569" s="30"/>
    </row>
    <row r="570" spans="1:8" x14ac:dyDescent="0.2">
      <c r="A570" s="30"/>
      <c r="B570" s="30"/>
      <c r="C570" s="30"/>
      <c r="D570" s="28" t="str">
        <f>IFERROR(IF(C570="","",IF(B570="موظف",VLOOKUP(C570,الموظفين!$B:$C,2,FALSE),VLOOKUP(C570,المستفيدين!$B:$C,2,FALSE))),"")</f>
        <v/>
      </c>
      <c r="E570" s="28"/>
      <c r="F570" s="30"/>
      <c r="G570" s="30"/>
      <c r="H570" s="30"/>
    </row>
    <row r="571" spans="1:8" x14ac:dyDescent="0.2">
      <c r="A571" s="30"/>
      <c r="B571" s="30"/>
      <c r="C571" s="30"/>
      <c r="D571" s="28" t="str">
        <f>IFERROR(IF(C571="","",IF(B571="موظف",VLOOKUP(C571,الموظفين!$B:$C,2,FALSE),VLOOKUP(C571,المستفيدين!$B:$C,2,FALSE))),"")</f>
        <v/>
      </c>
      <c r="E571" s="28"/>
      <c r="F571" s="30"/>
      <c r="G571" s="30"/>
      <c r="H571" s="30"/>
    </row>
    <row r="572" spans="1:8" x14ac:dyDescent="0.2">
      <c r="A572" s="30"/>
      <c r="B572" s="30"/>
      <c r="C572" s="30"/>
      <c r="D572" s="28" t="str">
        <f>IFERROR(IF(C572="","",IF(B572="موظف",VLOOKUP(C572,الموظفين!$B:$C,2,FALSE),VLOOKUP(C572,المستفيدين!$B:$C,2,FALSE))),"")</f>
        <v/>
      </c>
      <c r="E572" s="28"/>
      <c r="F572" s="30"/>
      <c r="G572" s="30"/>
      <c r="H572" s="30"/>
    </row>
    <row r="573" spans="1:8" x14ac:dyDescent="0.2">
      <c r="A573" s="30"/>
      <c r="B573" s="30"/>
      <c r="C573" s="30"/>
      <c r="D573" s="28" t="str">
        <f>IFERROR(IF(C573="","",IF(B573="موظف",VLOOKUP(C573,الموظفين!$B:$C,2,FALSE),VLOOKUP(C573,المستفيدين!$B:$C,2,FALSE))),"")</f>
        <v/>
      </c>
      <c r="E573" s="28"/>
      <c r="F573" s="30"/>
      <c r="G573" s="30"/>
      <c r="H573" s="30"/>
    </row>
    <row r="574" spans="1:8" x14ac:dyDescent="0.2">
      <c r="A574" s="30"/>
      <c r="B574" s="30"/>
      <c r="C574" s="30"/>
      <c r="D574" s="28" t="str">
        <f>IFERROR(IF(C574="","",IF(B574="موظف",VLOOKUP(C574,الموظفين!$B:$C,2,FALSE),VLOOKUP(C574,المستفيدين!$B:$C,2,FALSE))),"")</f>
        <v/>
      </c>
      <c r="E574" s="28"/>
      <c r="F574" s="30"/>
      <c r="G574" s="30"/>
      <c r="H574" s="30"/>
    </row>
    <row r="575" spans="1:8" x14ac:dyDescent="0.2">
      <c r="A575" s="30"/>
      <c r="B575" s="30"/>
      <c r="C575" s="30"/>
      <c r="D575" s="28" t="str">
        <f>IFERROR(IF(C575="","",IF(B575="موظف",VLOOKUP(C575,الموظفين!$B:$C,2,FALSE),VLOOKUP(C575,المستفيدين!$B:$C,2,FALSE))),"")</f>
        <v/>
      </c>
      <c r="E575" s="28"/>
      <c r="F575" s="30"/>
      <c r="G575" s="30"/>
      <c r="H575" s="30"/>
    </row>
    <row r="576" spans="1:8" x14ac:dyDescent="0.2">
      <c r="A576" s="30"/>
      <c r="B576" s="30"/>
      <c r="C576" s="30"/>
      <c r="D576" s="28" t="str">
        <f>IFERROR(IF(C576="","",IF(B576="موظف",VLOOKUP(C576,الموظفين!$B:$C,2,FALSE),VLOOKUP(C576,المستفيدين!$B:$C,2,FALSE))),"")</f>
        <v/>
      </c>
      <c r="E576" s="28"/>
      <c r="F576" s="30"/>
      <c r="G576" s="30"/>
      <c r="H576" s="30"/>
    </row>
    <row r="577" spans="1:8" x14ac:dyDescent="0.2">
      <c r="A577" s="30"/>
      <c r="B577" s="30"/>
      <c r="C577" s="30"/>
      <c r="D577" s="28" t="str">
        <f>IFERROR(IF(C577="","",IF(B577="موظف",VLOOKUP(C577,الموظفين!$B:$C,2,FALSE),VLOOKUP(C577,المستفيدين!$B:$C,2,FALSE))),"")</f>
        <v/>
      </c>
      <c r="E577" s="28"/>
      <c r="F577" s="30"/>
      <c r="G577" s="30"/>
      <c r="H577" s="30"/>
    </row>
    <row r="578" spans="1:8" x14ac:dyDescent="0.2">
      <c r="A578" s="30"/>
      <c r="B578" s="30"/>
      <c r="C578" s="30"/>
      <c r="D578" s="28" t="str">
        <f>IFERROR(IF(C578="","",IF(B578="موظف",VLOOKUP(C578,الموظفين!$B:$C,2,FALSE),VLOOKUP(C578,المستفيدين!$B:$C,2,FALSE))),"")</f>
        <v/>
      </c>
      <c r="E578" s="28"/>
      <c r="F578" s="30"/>
      <c r="G578" s="30"/>
      <c r="H578" s="30"/>
    </row>
    <row r="579" spans="1:8" x14ac:dyDescent="0.2">
      <c r="A579" s="30"/>
      <c r="B579" s="30"/>
      <c r="C579" s="30"/>
      <c r="D579" s="28" t="str">
        <f>IFERROR(IF(C579="","",IF(B579="موظف",VLOOKUP(C579,الموظفين!$B:$C,2,FALSE),VLOOKUP(C579,المستفيدين!$B:$C,2,FALSE))),"")</f>
        <v/>
      </c>
      <c r="E579" s="28"/>
      <c r="F579" s="30"/>
      <c r="G579" s="30"/>
      <c r="H579" s="30"/>
    </row>
    <row r="580" spans="1:8" x14ac:dyDescent="0.2">
      <c r="A580" s="30"/>
      <c r="B580" s="30"/>
      <c r="C580" s="30"/>
      <c r="D580" s="28" t="str">
        <f>IFERROR(IF(C580="","",IF(B580="موظف",VLOOKUP(C580,الموظفين!$B:$C,2,FALSE),VLOOKUP(C580,المستفيدين!$B:$C,2,FALSE))),"")</f>
        <v/>
      </c>
      <c r="E580" s="28"/>
      <c r="F580" s="30"/>
      <c r="G580" s="30"/>
      <c r="H580" s="30"/>
    </row>
    <row r="581" spans="1:8" x14ac:dyDescent="0.2">
      <c r="A581" s="30"/>
      <c r="B581" s="30"/>
      <c r="C581" s="30"/>
      <c r="D581" s="28" t="str">
        <f>IFERROR(IF(C581="","",IF(B581="موظف",VLOOKUP(C581,الموظفين!$B:$C,2,FALSE),VLOOKUP(C581,المستفيدين!$B:$C,2,FALSE))),"")</f>
        <v/>
      </c>
      <c r="E581" s="28"/>
      <c r="F581" s="30"/>
      <c r="G581" s="30"/>
      <c r="H581" s="30"/>
    </row>
    <row r="582" spans="1:8" x14ac:dyDescent="0.2">
      <c r="A582" s="30"/>
      <c r="B582" s="30"/>
      <c r="C582" s="30"/>
      <c r="D582" s="28" t="str">
        <f>IFERROR(IF(C582="","",IF(B582="موظف",VLOOKUP(C582,الموظفين!$B:$C,2,FALSE),VLOOKUP(C582,المستفيدين!$B:$C,2,FALSE))),"")</f>
        <v/>
      </c>
      <c r="E582" s="28"/>
      <c r="F582" s="30"/>
      <c r="G582" s="30"/>
      <c r="H582" s="30"/>
    </row>
    <row r="583" spans="1:8" x14ac:dyDescent="0.2">
      <c r="A583" s="30"/>
      <c r="B583" s="30"/>
      <c r="C583" s="30"/>
      <c r="D583" s="28" t="str">
        <f>IFERROR(IF(C583="","",IF(B583="موظف",VLOOKUP(C583,الموظفين!$B:$C,2,FALSE),VLOOKUP(C583,المستفيدين!$B:$C,2,FALSE))),"")</f>
        <v/>
      </c>
      <c r="E583" s="28"/>
      <c r="F583" s="30"/>
      <c r="G583" s="30"/>
      <c r="H583" s="30"/>
    </row>
    <row r="584" spans="1:8" x14ac:dyDescent="0.2">
      <c r="A584" s="30"/>
      <c r="B584" s="30"/>
      <c r="C584" s="30"/>
      <c r="D584" s="28" t="str">
        <f>IFERROR(IF(C584="","",IF(B584="موظف",VLOOKUP(C584,الموظفين!$B:$C,2,FALSE),VLOOKUP(C584,المستفيدين!$B:$C,2,FALSE))),"")</f>
        <v/>
      </c>
      <c r="E584" s="28"/>
      <c r="F584" s="30"/>
      <c r="G584" s="30"/>
      <c r="H584" s="30"/>
    </row>
    <row r="585" spans="1:8" x14ac:dyDescent="0.2">
      <c r="A585" s="30"/>
      <c r="B585" s="30"/>
      <c r="C585" s="30"/>
      <c r="D585" s="28" t="str">
        <f>IFERROR(IF(C585="","",IF(B585="موظف",VLOOKUP(C585,الموظفين!$B:$C,2,FALSE),VLOOKUP(C585,المستفيدين!$B:$C,2,FALSE))),"")</f>
        <v/>
      </c>
      <c r="E585" s="28"/>
      <c r="F585" s="30"/>
      <c r="G585" s="30"/>
      <c r="H585" s="30"/>
    </row>
    <row r="586" spans="1:8" x14ac:dyDescent="0.2">
      <c r="A586" s="30"/>
      <c r="B586" s="30"/>
      <c r="C586" s="30"/>
      <c r="D586" s="28" t="str">
        <f>IFERROR(IF(C586="","",IF(B586="موظف",VLOOKUP(C586,الموظفين!$B:$C,2,FALSE),VLOOKUP(C586,المستفيدين!$B:$C,2,FALSE))),"")</f>
        <v/>
      </c>
      <c r="E586" s="28"/>
      <c r="F586" s="30"/>
      <c r="G586" s="30"/>
      <c r="H586" s="30"/>
    </row>
    <row r="587" spans="1:8" x14ac:dyDescent="0.2">
      <c r="A587" s="30"/>
      <c r="B587" s="30"/>
      <c r="C587" s="30"/>
      <c r="D587" s="28" t="str">
        <f>IFERROR(IF(C587="","",IF(B587="موظف",VLOOKUP(C587,الموظفين!$B:$C,2,FALSE),VLOOKUP(C587,المستفيدين!$B:$C,2,FALSE))),"")</f>
        <v/>
      </c>
      <c r="E587" s="28"/>
      <c r="F587" s="30"/>
      <c r="G587" s="30"/>
      <c r="H587" s="30"/>
    </row>
    <row r="588" spans="1:8" x14ac:dyDescent="0.2">
      <c r="A588" s="30"/>
      <c r="B588" s="30"/>
      <c r="C588" s="30"/>
      <c r="D588" s="28" t="str">
        <f>IFERROR(IF(C588="","",IF(B588="موظف",VLOOKUP(C588,الموظفين!$B:$C,2,FALSE),VLOOKUP(C588,المستفيدين!$B:$C,2,FALSE))),"")</f>
        <v/>
      </c>
      <c r="E588" s="28"/>
      <c r="F588" s="30"/>
      <c r="G588" s="30"/>
      <c r="H588" s="30"/>
    </row>
    <row r="589" spans="1:8" x14ac:dyDescent="0.2">
      <c r="A589" s="30"/>
      <c r="B589" s="30"/>
      <c r="C589" s="30"/>
      <c r="D589" s="28" t="str">
        <f>IFERROR(IF(C589="","",IF(B589="موظف",VLOOKUP(C589,الموظفين!$B:$C,2,FALSE),VLOOKUP(C589,المستفيدين!$B:$C,2,FALSE))),"")</f>
        <v/>
      </c>
      <c r="E589" s="28"/>
      <c r="F589" s="30"/>
      <c r="G589" s="30"/>
      <c r="H589" s="30"/>
    </row>
    <row r="590" spans="1:8" x14ac:dyDescent="0.2">
      <c r="A590" s="30"/>
      <c r="B590" s="30"/>
      <c r="C590" s="30"/>
      <c r="D590" s="28" t="str">
        <f>IFERROR(IF(C590="","",IF(B590="موظف",VLOOKUP(C590,الموظفين!$B:$C,2,FALSE),VLOOKUP(C590,المستفيدين!$B:$C,2,FALSE))),"")</f>
        <v/>
      </c>
      <c r="E590" s="28"/>
      <c r="F590" s="30"/>
      <c r="G590" s="30"/>
      <c r="H590" s="30"/>
    </row>
    <row r="591" spans="1:8" x14ac:dyDescent="0.2">
      <c r="A591" s="30"/>
      <c r="B591" s="30"/>
      <c r="C591" s="30"/>
      <c r="D591" s="28" t="str">
        <f>IFERROR(IF(C591="","",IF(B591="موظف",VLOOKUP(C591,الموظفين!$B:$C,2,FALSE),VLOOKUP(C591,المستفيدين!$B:$C,2,FALSE))),"")</f>
        <v/>
      </c>
      <c r="E591" s="28"/>
      <c r="F591" s="30"/>
      <c r="G591" s="30"/>
      <c r="H591" s="30"/>
    </row>
    <row r="592" spans="1:8" x14ac:dyDescent="0.2">
      <c r="A592" s="30"/>
      <c r="B592" s="30"/>
      <c r="C592" s="30"/>
      <c r="D592" s="28" t="str">
        <f>IFERROR(IF(C592="","",IF(B592="موظف",VLOOKUP(C592,الموظفين!$B:$C,2,FALSE),VLOOKUP(C592,المستفيدين!$B:$C,2,FALSE))),"")</f>
        <v/>
      </c>
      <c r="E592" s="28"/>
      <c r="F592" s="30"/>
      <c r="G592" s="30"/>
      <c r="H592" s="30"/>
    </row>
    <row r="593" spans="1:8" x14ac:dyDescent="0.2">
      <c r="A593" s="30"/>
      <c r="B593" s="30"/>
      <c r="C593" s="30"/>
      <c r="D593" s="28" t="str">
        <f>IFERROR(IF(C593="","",IF(B593="موظف",VLOOKUP(C593,الموظفين!$B:$C,2,FALSE),VLOOKUP(C593,المستفيدين!$B:$C,2,FALSE))),"")</f>
        <v/>
      </c>
      <c r="E593" s="28"/>
      <c r="F593" s="30"/>
      <c r="G593" s="30"/>
      <c r="H593" s="30"/>
    </row>
    <row r="594" spans="1:8" x14ac:dyDescent="0.2">
      <c r="A594" s="30"/>
      <c r="B594" s="30"/>
      <c r="C594" s="30"/>
      <c r="D594" s="28" t="str">
        <f>IFERROR(IF(C594="","",IF(B594="موظف",VLOOKUP(C594,الموظفين!$B:$C,2,FALSE),VLOOKUP(C594,المستفيدين!$B:$C,2,FALSE))),"")</f>
        <v/>
      </c>
      <c r="E594" s="28"/>
      <c r="F594" s="30"/>
      <c r="G594" s="30"/>
      <c r="H594" s="30"/>
    </row>
    <row r="595" spans="1:8" x14ac:dyDescent="0.2">
      <c r="A595" s="30"/>
      <c r="B595" s="30"/>
      <c r="C595" s="30"/>
      <c r="D595" s="28" t="str">
        <f>IFERROR(IF(C595="","",IF(B595="موظف",VLOOKUP(C595,الموظفين!$B:$C,2,FALSE),VLOOKUP(C595,المستفيدين!$B:$C,2,FALSE))),"")</f>
        <v/>
      </c>
      <c r="E595" s="28"/>
      <c r="F595" s="30"/>
      <c r="G595" s="30"/>
      <c r="H595" s="30"/>
    </row>
    <row r="596" spans="1:8" x14ac:dyDescent="0.2">
      <c r="A596" s="30"/>
      <c r="B596" s="30"/>
      <c r="C596" s="30"/>
      <c r="D596" s="28" t="str">
        <f>IFERROR(IF(C596="","",IF(B596="موظف",VLOOKUP(C596,الموظفين!$B:$C,2,FALSE),VLOOKUP(C596,المستفيدين!$B:$C,2,FALSE))),"")</f>
        <v/>
      </c>
      <c r="E596" s="28"/>
      <c r="F596" s="30"/>
      <c r="G596" s="30"/>
      <c r="H596" s="30"/>
    </row>
    <row r="597" spans="1:8" x14ac:dyDescent="0.2">
      <c r="A597" s="30"/>
      <c r="B597" s="30"/>
      <c r="C597" s="30"/>
      <c r="D597" s="28" t="str">
        <f>IFERROR(IF(C597="","",IF(B597="موظف",VLOOKUP(C597,الموظفين!$B:$C,2,FALSE),VLOOKUP(C597,المستفيدين!$B:$C,2,FALSE))),"")</f>
        <v/>
      </c>
      <c r="E597" s="28"/>
      <c r="F597" s="30"/>
      <c r="G597" s="30"/>
      <c r="H597" s="30"/>
    </row>
    <row r="598" spans="1:8" x14ac:dyDescent="0.2">
      <c r="A598" s="30"/>
      <c r="B598" s="30"/>
      <c r="C598" s="30"/>
      <c r="D598" s="28" t="str">
        <f>IFERROR(IF(C598="","",IF(B598="موظف",VLOOKUP(C598,الموظفين!$B:$C,2,FALSE),VLOOKUP(C598,المستفيدين!$B:$C,2,FALSE))),"")</f>
        <v/>
      </c>
      <c r="E598" s="28"/>
      <c r="F598" s="30"/>
      <c r="G598" s="30"/>
      <c r="H598" s="30"/>
    </row>
    <row r="599" spans="1:8" x14ac:dyDescent="0.2">
      <c r="A599" s="30"/>
      <c r="B599" s="30"/>
      <c r="C599" s="30"/>
      <c r="D599" s="28" t="str">
        <f>IFERROR(IF(C599="","",IF(B599="موظف",VLOOKUP(C599,الموظفين!$B:$C,2,FALSE),VLOOKUP(C599,المستفيدين!$B:$C,2,FALSE))),"")</f>
        <v/>
      </c>
      <c r="E599" s="28"/>
      <c r="F599" s="30"/>
      <c r="G599" s="30"/>
      <c r="H599" s="30"/>
    </row>
    <row r="600" spans="1:8" x14ac:dyDescent="0.2">
      <c r="A600" s="30"/>
      <c r="B600" s="30"/>
      <c r="C600" s="30"/>
      <c r="D600" s="28" t="str">
        <f>IFERROR(IF(C600="","",IF(B600="موظف",VLOOKUP(C600,الموظفين!$B:$C,2,FALSE),VLOOKUP(C600,المستفيدين!$B:$C,2,FALSE))),"")</f>
        <v/>
      </c>
      <c r="E600" s="28"/>
      <c r="F600" s="30"/>
      <c r="G600" s="30"/>
      <c r="H600" s="30"/>
    </row>
    <row r="601" spans="1:8" x14ac:dyDescent="0.2">
      <c r="A601" s="30"/>
      <c r="B601" s="30"/>
      <c r="C601" s="30"/>
      <c r="D601" s="28" t="str">
        <f>IFERROR(IF(C601="","",IF(B601="موظف",VLOOKUP(C601,الموظفين!$B:$C,2,FALSE),VLOOKUP(C601,المستفيدين!$B:$C,2,FALSE))),"")</f>
        <v/>
      </c>
      <c r="E601" s="28"/>
      <c r="F601" s="30"/>
      <c r="G601" s="30"/>
      <c r="H601" s="30"/>
    </row>
    <row r="602" spans="1:8" x14ac:dyDescent="0.2">
      <c r="A602" s="30"/>
      <c r="B602" s="30"/>
      <c r="C602" s="30"/>
      <c r="D602" s="28" t="str">
        <f>IFERROR(IF(C602="","",IF(B602="موظف",VLOOKUP(C602,الموظفين!$B:$C,2,FALSE),VLOOKUP(C602,المستفيدين!$B:$C,2,FALSE))),"")</f>
        <v/>
      </c>
      <c r="E602" s="28"/>
      <c r="F602" s="30"/>
      <c r="G602" s="30"/>
      <c r="H602" s="30"/>
    </row>
    <row r="603" spans="1:8" x14ac:dyDescent="0.2">
      <c r="A603" s="30"/>
      <c r="B603" s="30"/>
      <c r="C603" s="30"/>
      <c r="D603" s="28" t="str">
        <f>IFERROR(IF(C603="","",IF(B603="موظف",VLOOKUP(C603,الموظفين!$B:$C,2,FALSE),VLOOKUP(C603,المستفيدين!$B:$C,2,FALSE))),"")</f>
        <v/>
      </c>
      <c r="E603" s="28"/>
      <c r="F603" s="30"/>
      <c r="G603" s="30"/>
      <c r="H603" s="30"/>
    </row>
    <row r="604" spans="1:8" x14ac:dyDescent="0.2">
      <c r="A604" s="30"/>
      <c r="B604" s="30"/>
      <c r="C604" s="30"/>
      <c r="D604" s="28" t="str">
        <f>IFERROR(IF(C604="","",IF(B604="موظف",VLOOKUP(C604,الموظفين!$B:$C,2,FALSE),VLOOKUP(C604,المستفيدين!$B:$C,2,FALSE))),"")</f>
        <v/>
      </c>
      <c r="E604" s="28"/>
      <c r="F604" s="30"/>
      <c r="G604" s="30"/>
      <c r="H604" s="30"/>
    </row>
    <row r="605" spans="1:8" x14ac:dyDescent="0.2">
      <c r="A605" s="30"/>
      <c r="B605" s="30"/>
      <c r="C605" s="30"/>
      <c r="D605" s="28" t="str">
        <f>IFERROR(IF(C605="","",IF(B605="موظف",VLOOKUP(C605,الموظفين!$B:$C,2,FALSE),VLOOKUP(C605,المستفيدين!$B:$C,2,FALSE))),"")</f>
        <v/>
      </c>
      <c r="E605" s="28"/>
      <c r="F605" s="30"/>
      <c r="G605" s="30"/>
      <c r="H605" s="30"/>
    </row>
    <row r="606" spans="1:8" x14ac:dyDescent="0.2">
      <c r="A606" s="30"/>
      <c r="B606" s="30"/>
      <c r="C606" s="30"/>
      <c r="D606" s="28" t="str">
        <f>IFERROR(IF(C606="","",IF(B606="موظف",VLOOKUP(C606,الموظفين!$B:$C,2,FALSE),VLOOKUP(C606,المستفيدين!$B:$C,2,FALSE))),"")</f>
        <v/>
      </c>
      <c r="E606" s="28"/>
      <c r="F606" s="30"/>
      <c r="G606" s="30"/>
      <c r="H606" s="30"/>
    </row>
    <row r="607" spans="1:8" x14ac:dyDescent="0.2">
      <c r="A607" s="30"/>
      <c r="B607" s="30"/>
      <c r="C607" s="30"/>
      <c r="D607" s="28" t="str">
        <f>IFERROR(IF(C607="","",IF(B607="موظف",VLOOKUP(C607,الموظفين!$B:$C,2,FALSE),VLOOKUP(C607,المستفيدين!$B:$C,2,FALSE))),"")</f>
        <v/>
      </c>
      <c r="E607" s="28"/>
      <c r="F607" s="30"/>
      <c r="G607" s="30"/>
      <c r="H607" s="30"/>
    </row>
    <row r="608" spans="1:8" x14ac:dyDescent="0.2">
      <c r="A608" s="30"/>
      <c r="B608" s="30"/>
      <c r="C608" s="30"/>
      <c r="D608" s="28" t="str">
        <f>IFERROR(IF(C608="","",IF(B608="موظف",VLOOKUP(C608,الموظفين!$B:$C,2,FALSE),VLOOKUP(C608,المستفيدين!$B:$C,2,FALSE))),"")</f>
        <v/>
      </c>
      <c r="E608" s="28"/>
      <c r="F608" s="30"/>
      <c r="G608" s="30"/>
      <c r="H608" s="30"/>
    </row>
    <row r="609" spans="1:8" x14ac:dyDescent="0.2">
      <c r="A609" s="30"/>
      <c r="B609" s="30"/>
      <c r="C609" s="30"/>
      <c r="D609" s="28" t="str">
        <f>IFERROR(IF(C609="","",IF(B609="موظف",VLOOKUP(C609,الموظفين!$B:$C,2,FALSE),VLOOKUP(C609,المستفيدين!$B:$C,2,FALSE))),"")</f>
        <v/>
      </c>
      <c r="E609" s="28"/>
      <c r="F609" s="30"/>
      <c r="G609" s="30"/>
      <c r="H609" s="30"/>
    </row>
    <row r="610" spans="1:8" x14ac:dyDescent="0.2">
      <c r="A610" s="30"/>
      <c r="B610" s="30"/>
      <c r="C610" s="30"/>
      <c r="D610" s="28" t="str">
        <f>IFERROR(IF(C610="","",IF(B610="موظف",VLOOKUP(C610,الموظفين!$B:$C,2,FALSE),VLOOKUP(C610,المستفيدين!$B:$C,2,FALSE))),"")</f>
        <v/>
      </c>
      <c r="E610" s="28"/>
      <c r="F610" s="30"/>
      <c r="G610" s="30"/>
      <c r="H610" s="30"/>
    </row>
    <row r="611" spans="1:8" x14ac:dyDescent="0.2">
      <c r="A611" s="30"/>
      <c r="B611" s="30"/>
      <c r="C611" s="30"/>
      <c r="D611" s="28" t="str">
        <f>IFERROR(IF(C611="","",IF(B611="موظف",VLOOKUP(C611,الموظفين!$B:$C,2,FALSE),VLOOKUP(C611,المستفيدين!$B:$C,2,FALSE))),"")</f>
        <v/>
      </c>
      <c r="E611" s="28"/>
      <c r="F611" s="30"/>
      <c r="G611" s="30"/>
      <c r="H611" s="30"/>
    </row>
    <row r="612" spans="1:8" x14ac:dyDescent="0.2">
      <c r="A612" s="30"/>
      <c r="B612" s="30"/>
      <c r="C612" s="30"/>
      <c r="D612" s="28" t="str">
        <f>IFERROR(IF(C612="","",IF(B612="موظف",VLOOKUP(C612,الموظفين!$B:$C,2,FALSE),VLOOKUP(C612,المستفيدين!$B:$C,2,FALSE))),"")</f>
        <v/>
      </c>
      <c r="E612" s="28"/>
      <c r="F612" s="30"/>
      <c r="G612" s="30"/>
      <c r="H612" s="30"/>
    </row>
    <row r="613" spans="1:8" x14ac:dyDescent="0.2">
      <c r="A613" s="30"/>
      <c r="B613" s="30"/>
      <c r="C613" s="30"/>
      <c r="D613" s="28" t="str">
        <f>IFERROR(IF(C613="","",IF(B613="موظف",VLOOKUP(C613,الموظفين!$B:$C,2,FALSE),VLOOKUP(C613,المستفيدين!$B:$C,2,FALSE))),"")</f>
        <v/>
      </c>
      <c r="E613" s="28"/>
      <c r="F613" s="30"/>
      <c r="G613" s="30"/>
      <c r="H613" s="30"/>
    </row>
    <row r="614" spans="1:8" x14ac:dyDescent="0.2">
      <c r="A614" s="30"/>
      <c r="B614" s="30"/>
      <c r="C614" s="30"/>
      <c r="D614" s="28" t="str">
        <f>IFERROR(IF(C614="","",IF(B614="موظف",VLOOKUP(C614,الموظفين!$B:$C,2,FALSE),VLOOKUP(C614,المستفيدين!$B:$C,2,FALSE))),"")</f>
        <v/>
      </c>
      <c r="E614" s="28"/>
      <c r="F614" s="30"/>
      <c r="G614" s="30"/>
      <c r="H614" s="30"/>
    </row>
    <row r="615" spans="1:8" x14ac:dyDescent="0.2">
      <c r="A615" s="30"/>
      <c r="B615" s="30"/>
      <c r="C615" s="30"/>
      <c r="D615" s="28" t="str">
        <f>IFERROR(IF(C615="","",IF(B615="موظف",VLOOKUP(C615,الموظفين!$B:$C,2,FALSE),VLOOKUP(C615,المستفيدين!$B:$C,2,FALSE))),"")</f>
        <v/>
      </c>
      <c r="E615" s="28"/>
      <c r="F615" s="30"/>
      <c r="G615" s="30"/>
      <c r="H615" s="30"/>
    </row>
    <row r="616" spans="1:8" x14ac:dyDescent="0.2">
      <c r="A616" s="30"/>
      <c r="B616" s="30"/>
      <c r="C616" s="30"/>
      <c r="D616" s="28" t="str">
        <f>IFERROR(IF(C616="","",IF(B616="موظف",VLOOKUP(C616,الموظفين!$B:$C,2,FALSE),VLOOKUP(C616,المستفيدين!$B:$C,2,FALSE))),"")</f>
        <v/>
      </c>
      <c r="E616" s="28"/>
      <c r="F616" s="30"/>
      <c r="G616" s="30"/>
      <c r="H616" s="30"/>
    </row>
    <row r="617" spans="1:8" x14ac:dyDescent="0.2">
      <c r="A617" s="30"/>
      <c r="B617" s="30"/>
      <c r="C617" s="30"/>
      <c r="D617" s="28" t="str">
        <f>IFERROR(IF(C617="","",IF(B617="موظف",VLOOKUP(C617,الموظفين!$B:$C,2,FALSE),VLOOKUP(C617,المستفيدين!$B:$C,2,FALSE))),"")</f>
        <v/>
      </c>
      <c r="E617" s="28"/>
      <c r="F617" s="30"/>
      <c r="G617" s="30"/>
      <c r="H617" s="30"/>
    </row>
    <row r="618" spans="1:8" x14ac:dyDescent="0.2">
      <c r="A618" s="30"/>
      <c r="B618" s="30"/>
      <c r="C618" s="30"/>
      <c r="D618" s="28" t="str">
        <f>IFERROR(IF(C618="","",IF(B618="موظف",VLOOKUP(C618,الموظفين!$B:$C,2,FALSE),VLOOKUP(C618,المستفيدين!$B:$C,2,FALSE))),"")</f>
        <v/>
      </c>
      <c r="E618" s="28"/>
      <c r="F618" s="30"/>
      <c r="G618" s="30"/>
      <c r="H618" s="30"/>
    </row>
    <row r="619" spans="1:8" x14ac:dyDescent="0.2">
      <c r="A619" s="30"/>
      <c r="B619" s="30"/>
      <c r="C619" s="30"/>
      <c r="D619" s="28" t="str">
        <f>IFERROR(IF(C619="","",IF(B619="موظف",VLOOKUP(C619,الموظفين!$B:$C,2,FALSE),VLOOKUP(C619,المستفيدين!$B:$C,2,FALSE))),"")</f>
        <v/>
      </c>
      <c r="E619" s="28"/>
      <c r="F619" s="30"/>
      <c r="G619" s="30"/>
      <c r="H619" s="30"/>
    </row>
    <row r="620" spans="1:8" x14ac:dyDescent="0.2">
      <c r="A620" s="30"/>
      <c r="B620" s="30"/>
      <c r="C620" s="30"/>
      <c r="D620" s="28" t="str">
        <f>IFERROR(IF(C620="","",IF(B620="موظف",VLOOKUP(C620,الموظفين!$B:$C,2,FALSE),VLOOKUP(C620,المستفيدين!$B:$C,2,FALSE))),"")</f>
        <v/>
      </c>
      <c r="E620" s="28"/>
      <c r="F620" s="30"/>
      <c r="G620" s="30"/>
      <c r="H620" s="30"/>
    </row>
    <row r="621" spans="1:8" x14ac:dyDescent="0.2">
      <c r="A621" s="30"/>
      <c r="B621" s="30"/>
      <c r="C621" s="30"/>
      <c r="D621" s="28" t="str">
        <f>IFERROR(IF(C621="","",IF(B621="موظف",VLOOKUP(C621,الموظفين!$B:$C,2,FALSE),VLOOKUP(C621,المستفيدين!$B:$C,2,FALSE))),"")</f>
        <v/>
      </c>
      <c r="E621" s="28"/>
      <c r="F621" s="30"/>
      <c r="G621" s="30"/>
      <c r="H621" s="30"/>
    </row>
    <row r="622" spans="1:8" x14ac:dyDescent="0.2">
      <c r="A622" s="30"/>
      <c r="B622" s="30"/>
      <c r="C622" s="30"/>
      <c r="D622" s="28" t="str">
        <f>IFERROR(IF(C622="","",IF(B622="موظف",VLOOKUP(C622,الموظفين!$B:$C,2,FALSE),VLOOKUP(C622,المستفيدين!$B:$C,2,FALSE))),"")</f>
        <v/>
      </c>
      <c r="E622" s="28"/>
      <c r="F622" s="30"/>
      <c r="G622" s="30"/>
      <c r="H622" s="30"/>
    </row>
    <row r="623" spans="1:8" x14ac:dyDescent="0.2">
      <c r="A623" s="30"/>
      <c r="B623" s="30"/>
      <c r="C623" s="30"/>
      <c r="D623" s="28" t="str">
        <f>IFERROR(IF(C623="","",IF(B623="موظف",VLOOKUP(C623,الموظفين!$B:$C,2,FALSE),VLOOKUP(C623,المستفيدين!$B:$C,2,FALSE))),"")</f>
        <v/>
      </c>
      <c r="E623" s="28"/>
      <c r="F623" s="30"/>
      <c r="G623" s="30"/>
      <c r="H623" s="30"/>
    </row>
    <row r="624" spans="1:8" x14ac:dyDescent="0.2">
      <c r="A624" s="30"/>
      <c r="B624" s="30"/>
      <c r="C624" s="30"/>
      <c r="D624" s="28" t="str">
        <f>IFERROR(IF(C624="","",IF(B624="موظف",VLOOKUP(C624,الموظفين!$B:$C,2,FALSE),VLOOKUP(C624,المستفيدين!$B:$C,2,FALSE))),"")</f>
        <v/>
      </c>
      <c r="E624" s="28"/>
      <c r="F624" s="30"/>
      <c r="G624" s="30"/>
      <c r="H624" s="30"/>
    </row>
    <row r="625" spans="1:8" x14ac:dyDescent="0.2">
      <c r="A625" s="30"/>
      <c r="B625" s="30"/>
      <c r="C625" s="30"/>
      <c r="D625" s="28" t="str">
        <f>IFERROR(IF(C625="","",IF(B625="موظف",VLOOKUP(C625,الموظفين!$B:$C,2,FALSE),VLOOKUP(C625,المستفيدين!$B:$C,2,FALSE))),"")</f>
        <v/>
      </c>
      <c r="E625" s="28"/>
      <c r="F625" s="30"/>
      <c r="G625" s="30"/>
      <c r="H625" s="30"/>
    </row>
    <row r="626" spans="1:8" x14ac:dyDescent="0.2">
      <c r="A626" s="30"/>
      <c r="B626" s="30"/>
      <c r="C626" s="30"/>
      <c r="D626" s="28" t="str">
        <f>IFERROR(IF(C626="","",IF(B626="موظف",VLOOKUP(C626,الموظفين!$B:$C,2,FALSE),VLOOKUP(C626,المستفيدين!$B:$C,2,FALSE))),"")</f>
        <v/>
      </c>
      <c r="E626" s="28"/>
      <c r="F626" s="30"/>
      <c r="G626" s="30"/>
      <c r="H626" s="30"/>
    </row>
    <row r="627" spans="1:8" x14ac:dyDescent="0.2">
      <c r="A627" s="30"/>
      <c r="B627" s="30"/>
      <c r="C627" s="30"/>
      <c r="D627" s="28" t="str">
        <f>IFERROR(IF(C627="","",IF(B627="موظف",VLOOKUP(C627,الموظفين!$B:$C,2,FALSE),VLOOKUP(C627,المستفيدين!$B:$C,2,FALSE))),"")</f>
        <v/>
      </c>
      <c r="E627" s="28"/>
      <c r="F627" s="30"/>
      <c r="G627" s="30"/>
      <c r="H627" s="30"/>
    </row>
    <row r="628" spans="1:8" x14ac:dyDescent="0.2">
      <c r="A628" s="30"/>
      <c r="B628" s="30"/>
      <c r="C628" s="30"/>
      <c r="D628" s="28" t="str">
        <f>IFERROR(IF(C628="","",IF(B628="موظف",VLOOKUP(C628,الموظفين!$B:$C,2,FALSE),VLOOKUP(C628,المستفيدين!$B:$C,2,FALSE))),"")</f>
        <v/>
      </c>
      <c r="E628" s="28"/>
      <c r="F628" s="30"/>
      <c r="G628" s="30"/>
      <c r="H628" s="30"/>
    </row>
    <row r="629" spans="1:8" x14ac:dyDescent="0.2">
      <c r="A629" s="30"/>
      <c r="B629" s="30"/>
      <c r="C629" s="30"/>
      <c r="D629" s="28" t="str">
        <f>IFERROR(IF(C629="","",IF(B629="موظف",VLOOKUP(C629,الموظفين!$B:$C,2,FALSE),VLOOKUP(C629,المستفيدين!$B:$C,2,FALSE))),"")</f>
        <v/>
      </c>
      <c r="E629" s="28"/>
      <c r="F629" s="30"/>
      <c r="G629" s="30"/>
      <c r="H629" s="30"/>
    </row>
    <row r="630" spans="1:8" x14ac:dyDescent="0.2">
      <c r="A630" s="30"/>
      <c r="B630" s="30"/>
      <c r="C630" s="30"/>
      <c r="D630" s="28" t="str">
        <f>IFERROR(IF(C630="","",IF(B630="موظف",VLOOKUP(C630,الموظفين!$B:$C,2,FALSE),VLOOKUP(C630,المستفيدين!$B:$C,2,FALSE))),"")</f>
        <v/>
      </c>
      <c r="E630" s="28"/>
      <c r="F630" s="30"/>
      <c r="G630" s="30"/>
      <c r="H630" s="30"/>
    </row>
    <row r="631" spans="1:8" x14ac:dyDescent="0.2">
      <c r="A631" s="30"/>
      <c r="B631" s="30"/>
      <c r="C631" s="30"/>
      <c r="D631" s="28" t="str">
        <f>IFERROR(IF(C631="","",IF(B631="موظف",VLOOKUP(C631,الموظفين!$B:$C,2,FALSE),VLOOKUP(C631,المستفيدين!$B:$C,2,FALSE))),"")</f>
        <v/>
      </c>
      <c r="E631" s="28"/>
      <c r="F631" s="30"/>
      <c r="G631" s="30"/>
      <c r="H631" s="30"/>
    </row>
    <row r="632" spans="1:8" x14ac:dyDescent="0.2">
      <c r="A632" s="30"/>
      <c r="B632" s="30"/>
      <c r="C632" s="30"/>
      <c r="D632" s="28" t="str">
        <f>IFERROR(IF(C632="","",IF(B632="موظف",VLOOKUP(C632,الموظفين!$B:$C,2,FALSE),VLOOKUP(C632,المستفيدين!$B:$C,2,FALSE))),"")</f>
        <v/>
      </c>
      <c r="E632" s="28"/>
      <c r="F632" s="30"/>
      <c r="G632" s="30"/>
      <c r="H632" s="30"/>
    </row>
    <row r="633" spans="1:8" x14ac:dyDescent="0.2">
      <c r="A633" s="30"/>
      <c r="B633" s="30"/>
      <c r="C633" s="30"/>
      <c r="D633" s="28" t="str">
        <f>IFERROR(IF(C633="","",IF(B633="موظف",VLOOKUP(C633,الموظفين!$B:$C,2,FALSE),VLOOKUP(C633,المستفيدين!$B:$C,2,FALSE))),"")</f>
        <v/>
      </c>
      <c r="E633" s="28"/>
      <c r="F633" s="30"/>
      <c r="G633" s="30"/>
      <c r="H633" s="30"/>
    </row>
    <row r="634" spans="1:8" x14ac:dyDescent="0.2">
      <c r="A634" s="30"/>
      <c r="B634" s="30"/>
      <c r="C634" s="30"/>
      <c r="D634" s="28" t="str">
        <f>IFERROR(IF(C634="","",IF(B634="موظف",VLOOKUP(C634,الموظفين!$B:$C,2,FALSE),VLOOKUP(C634,المستفيدين!$B:$C,2,FALSE))),"")</f>
        <v/>
      </c>
      <c r="E634" s="28"/>
      <c r="F634" s="30"/>
      <c r="G634" s="30"/>
      <c r="H634" s="30"/>
    </row>
    <row r="635" spans="1:8" x14ac:dyDescent="0.2">
      <c r="A635" s="30"/>
      <c r="B635" s="30"/>
      <c r="C635" s="30"/>
      <c r="D635" s="28" t="str">
        <f>IFERROR(IF(C635="","",IF(B635="موظف",VLOOKUP(C635,الموظفين!$B:$C,2,FALSE),VLOOKUP(C635,المستفيدين!$B:$C,2,FALSE))),"")</f>
        <v/>
      </c>
      <c r="E635" s="28"/>
      <c r="F635" s="30"/>
      <c r="G635" s="30"/>
      <c r="H635" s="30"/>
    </row>
    <row r="636" spans="1:8" x14ac:dyDescent="0.2">
      <c r="A636" s="30"/>
      <c r="B636" s="30"/>
      <c r="C636" s="30"/>
      <c r="D636" s="28" t="str">
        <f>IFERROR(IF(C636="","",IF(B636="موظف",VLOOKUP(C636,الموظفين!$B:$C,2,FALSE),VLOOKUP(C636,المستفيدين!$B:$C,2,FALSE))),"")</f>
        <v/>
      </c>
      <c r="E636" s="28"/>
      <c r="F636" s="30"/>
      <c r="G636" s="30"/>
      <c r="H636" s="30"/>
    </row>
    <row r="637" spans="1:8" x14ac:dyDescent="0.2">
      <c r="A637" s="30"/>
      <c r="B637" s="30"/>
      <c r="C637" s="30"/>
      <c r="D637" s="28" t="str">
        <f>IFERROR(IF(C637="","",IF(B637="موظف",VLOOKUP(C637,الموظفين!$B:$C,2,FALSE),VLOOKUP(C637,المستفيدين!$B:$C,2,FALSE))),"")</f>
        <v/>
      </c>
      <c r="E637" s="28"/>
      <c r="F637" s="30"/>
      <c r="G637" s="30"/>
      <c r="H637" s="30"/>
    </row>
    <row r="638" spans="1:8" x14ac:dyDescent="0.2">
      <c r="A638" s="30"/>
      <c r="B638" s="30"/>
      <c r="C638" s="30"/>
      <c r="D638" s="28" t="str">
        <f>IFERROR(IF(C638="","",IF(B638="موظف",VLOOKUP(C638,الموظفين!$B:$C,2,FALSE),VLOOKUP(C638,المستفيدين!$B:$C,2,FALSE))),"")</f>
        <v/>
      </c>
      <c r="E638" s="28"/>
      <c r="F638" s="30"/>
      <c r="G638" s="30"/>
      <c r="H638" s="30"/>
    </row>
    <row r="639" spans="1:8" x14ac:dyDescent="0.2">
      <c r="A639" s="30"/>
      <c r="B639" s="30"/>
      <c r="C639" s="30"/>
      <c r="D639" s="28" t="str">
        <f>IFERROR(IF(C639="","",IF(B639="موظف",VLOOKUP(C639,الموظفين!$B:$C,2,FALSE),VLOOKUP(C639,المستفيدين!$B:$C,2,FALSE))),"")</f>
        <v/>
      </c>
      <c r="E639" s="28"/>
      <c r="F639" s="30"/>
      <c r="G639" s="30"/>
      <c r="H639" s="30"/>
    </row>
    <row r="640" spans="1:8" x14ac:dyDescent="0.2">
      <c r="A640" s="30"/>
      <c r="B640" s="30"/>
      <c r="C640" s="30"/>
      <c r="D640" s="28" t="str">
        <f>IFERROR(IF(C640="","",IF(B640="موظف",VLOOKUP(C640,الموظفين!$B:$C,2,FALSE),VLOOKUP(C640,المستفيدين!$B:$C,2,FALSE))),"")</f>
        <v/>
      </c>
      <c r="E640" s="28"/>
      <c r="F640" s="30"/>
      <c r="G640" s="30"/>
      <c r="H640" s="30"/>
    </row>
    <row r="641" spans="1:8" x14ac:dyDescent="0.2">
      <c r="A641" s="30"/>
      <c r="B641" s="30"/>
      <c r="C641" s="30"/>
      <c r="D641" s="28" t="str">
        <f>IFERROR(IF(C641="","",IF(B641="موظف",VLOOKUP(C641,الموظفين!$B:$C,2,FALSE),VLOOKUP(C641,المستفيدين!$B:$C,2,FALSE))),"")</f>
        <v/>
      </c>
      <c r="E641" s="28"/>
      <c r="F641" s="30"/>
      <c r="G641" s="30"/>
      <c r="H641" s="30"/>
    </row>
    <row r="642" spans="1:8" x14ac:dyDescent="0.2">
      <c r="A642" s="30"/>
      <c r="B642" s="30"/>
      <c r="C642" s="30"/>
      <c r="D642" s="28" t="str">
        <f>IFERROR(IF(C642="","",IF(B642="موظف",VLOOKUP(C642,الموظفين!$B:$C,2,FALSE),VLOOKUP(C642,المستفيدين!$B:$C,2,FALSE))),"")</f>
        <v/>
      </c>
      <c r="E642" s="28"/>
      <c r="F642" s="30"/>
      <c r="G642" s="30"/>
      <c r="H642" s="30"/>
    </row>
    <row r="643" spans="1:8" x14ac:dyDescent="0.2">
      <c r="A643" s="30"/>
      <c r="B643" s="30"/>
      <c r="C643" s="30"/>
      <c r="D643" s="28" t="str">
        <f>IFERROR(IF(C643="","",IF(B643="موظف",VLOOKUP(C643,الموظفين!$B:$C,2,FALSE),VLOOKUP(C643,المستفيدين!$B:$C,2,FALSE))),"")</f>
        <v/>
      </c>
      <c r="E643" s="28"/>
      <c r="F643" s="30"/>
      <c r="G643" s="30"/>
      <c r="H643" s="30"/>
    </row>
    <row r="644" spans="1:8" x14ac:dyDescent="0.2">
      <c r="A644" s="30"/>
      <c r="B644" s="30"/>
      <c r="C644" s="30"/>
      <c r="D644" s="28" t="str">
        <f>IFERROR(IF(C644="","",IF(B644="موظف",VLOOKUP(C644,الموظفين!$B:$C,2,FALSE),VLOOKUP(C644,المستفيدين!$B:$C,2,FALSE))),"")</f>
        <v/>
      </c>
      <c r="E644" s="28"/>
      <c r="F644" s="30"/>
      <c r="G644" s="30"/>
      <c r="H644" s="30"/>
    </row>
    <row r="645" spans="1:8" x14ac:dyDescent="0.2">
      <c r="A645" s="30"/>
      <c r="B645" s="30"/>
      <c r="C645" s="30"/>
      <c r="D645" s="28" t="str">
        <f>IFERROR(IF(C645="","",IF(B645="موظف",VLOOKUP(C645,الموظفين!$B:$C,2,FALSE),VLOOKUP(C645,المستفيدين!$B:$C,2,FALSE))),"")</f>
        <v/>
      </c>
      <c r="E645" s="28"/>
      <c r="F645" s="30"/>
      <c r="G645" s="30"/>
      <c r="H645" s="30"/>
    </row>
    <row r="646" spans="1:8" x14ac:dyDescent="0.2">
      <c r="A646" s="30"/>
      <c r="B646" s="30"/>
      <c r="C646" s="30"/>
      <c r="D646" s="28" t="str">
        <f>IFERROR(IF(C646="","",IF(B646="موظف",VLOOKUP(C646,الموظفين!$B:$C,2,FALSE),VLOOKUP(C646,المستفيدين!$B:$C,2,FALSE))),"")</f>
        <v/>
      </c>
      <c r="E646" s="28"/>
      <c r="F646" s="30"/>
      <c r="G646" s="30"/>
      <c r="H646" s="30"/>
    </row>
    <row r="647" spans="1:8" x14ac:dyDescent="0.2">
      <c r="A647" s="30"/>
      <c r="B647" s="30"/>
      <c r="C647" s="30"/>
      <c r="D647" s="28" t="str">
        <f>IFERROR(IF(C647="","",IF(B647="موظف",VLOOKUP(C647,الموظفين!$B:$C,2,FALSE),VLOOKUP(C647,المستفيدين!$B:$C,2,FALSE))),"")</f>
        <v/>
      </c>
      <c r="E647" s="28"/>
      <c r="F647" s="30"/>
      <c r="G647" s="30"/>
      <c r="H647" s="30"/>
    </row>
    <row r="648" spans="1:8" x14ac:dyDescent="0.2">
      <c r="A648" s="30"/>
      <c r="B648" s="30"/>
      <c r="C648" s="30"/>
      <c r="D648" s="28" t="str">
        <f>IFERROR(IF(C648="","",IF(B648="موظف",VLOOKUP(C648,الموظفين!$B:$C,2,FALSE),VLOOKUP(C648,المستفيدين!$B:$C,2,FALSE))),"")</f>
        <v/>
      </c>
      <c r="E648" s="28"/>
      <c r="F648" s="30"/>
      <c r="G648" s="30"/>
      <c r="H648" s="30"/>
    </row>
    <row r="649" spans="1:8" x14ac:dyDescent="0.2">
      <c r="A649" s="30"/>
      <c r="B649" s="30"/>
      <c r="C649" s="30"/>
      <c r="D649" s="28" t="str">
        <f>IFERROR(IF(C649="","",IF(B649="موظف",VLOOKUP(C649,الموظفين!$B:$C,2,FALSE),VLOOKUP(C649,المستفيدين!$B:$C,2,FALSE))),"")</f>
        <v/>
      </c>
      <c r="E649" s="28"/>
      <c r="F649" s="30"/>
      <c r="G649" s="30"/>
      <c r="H649" s="30"/>
    </row>
    <row r="650" spans="1:8" x14ac:dyDescent="0.2">
      <c r="A650" s="30"/>
      <c r="B650" s="30"/>
      <c r="C650" s="30"/>
      <c r="D650" s="28" t="str">
        <f>IFERROR(IF(C650="","",IF(B650="موظف",VLOOKUP(C650,الموظفين!$B:$C,2,FALSE),VLOOKUP(C650,المستفيدين!$B:$C,2,FALSE))),"")</f>
        <v/>
      </c>
      <c r="E650" s="28"/>
      <c r="F650" s="30"/>
      <c r="G650" s="30"/>
      <c r="H650" s="30"/>
    </row>
    <row r="651" spans="1:8" x14ac:dyDescent="0.2">
      <c r="A651" s="30"/>
      <c r="B651" s="30"/>
      <c r="C651" s="30"/>
      <c r="D651" s="28" t="str">
        <f>IFERROR(IF(C651="","",IF(B651="موظف",VLOOKUP(C651,الموظفين!$B:$C,2,FALSE),VLOOKUP(C651,المستفيدين!$B:$C,2,FALSE))),"")</f>
        <v/>
      </c>
      <c r="E651" s="28"/>
      <c r="F651" s="30"/>
      <c r="G651" s="30"/>
      <c r="H651" s="30"/>
    </row>
    <row r="652" spans="1:8" x14ac:dyDescent="0.2">
      <c r="A652" s="30"/>
      <c r="B652" s="30"/>
      <c r="C652" s="30"/>
      <c r="D652" s="28" t="str">
        <f>IFERROR(IF(C652="","",IF(B652="موظف",VLOOKUP(C652,الموظفين!$B:$C,2,FALSE),VLOOKUP(C652,المستفيدين!$B:$C,2,FALSE))),"")</f>
        <v/>
      </c>
      <c r="E652" s="28"/>
      <c r="F652" s="30"/>
      <c r="G652" s="30"/>
      <c r="H652" s="30"/>
    </row>
    <row r="653" spans="1:8" x14ac:dyDescent="0.2">
      <c r="A653" s="30"/>
      <c r="B653" s="30"/>
      <c r="C653" s="30"/>
      <c r="D653" s="28" t="str">
        <f>IFERROR(IF(C653="","",IF(B653="موظف",VLOOKUP(C653,الموظفين!$B:$C,2,FALSE),VLOOKUP(C653,المستفيدين!$B:$C,2,FALSE))),"")</f>
        <v/>
      </c>
      <c r="E653" s="28"/>
      <c r="F653" s="30"/>
      <c r="G653" s="30"/>
      <c r="H653" s="30"/>
    </row>
    <row r="654" spans="1:8" x14ac:dyDescent="0.2">
      <c r="A654" s="30"/>
      <c r="B654" s="30"/>
      <c r="C654" s="30"/>
      <c r="D654" s="28" t="str">
        <f>IFERROR(IF(C654="","",IF(B654="موظف",VLOOKUP(C654,الموظفين!$B:$C,2,FALSE),VLOOKUP(C654,المستفيدين!$B:$C,2,FALSE))),"")</f>
        <v/>
      </c>
      <c r="E654" s="28"/>
      <c r="F654" s="30"/>
      <c r="G654" s="30"/>
      <c r="H654" s="30"/>
    </row>
    <row r="655" spans="1:8" x14ac:dyDescent="0.2">
      <c r="A655" s="30"/>
      <c r="B655" s="30"/>
      <c r="C655" s="30"/>
      <c r="D655" s="28" t="str">
        <f>IFERROR(IF(C655="","",IF(B655="موظف",VLOOKUP(C655,الموظفين!$B:$C,2,FALSE),VLOOKUP(C655,المستفيدين!$B:$C,2,FALSE))),"")</f>
        <v/>
      </c>
      <c r="E655" s="28"/>
      <c r="F655" s="30"/>
      <c r="G655" s="30"/>
      <c r="H655" s="30"/>
    </row>
    <row r="656" spans="1:8" x14ac:dyDescent="0.2">
      <c r="A656" s="30"/>
      <c r="B656" s="30"/>
      <c r="C656" s="30"/>
      <c r="D656" s="28" t="str">
        <f>IFERROR(IF(C656="","",IF(B656="موظف",VLOOKUP(C656,الموظفين!$B:$C,2,FALSE),VLOOKUP(C656,المستفيدين!$B:$C,2,FALSE))),"")</f>
        <v/>
      </c>
      <c r="E656" s="28"/>
      <c r="F656" s="30"/>
      <c r="G656" s="30"/>
      <c r="H656" s="30"/>
    </row>
    <row r="657" spans="1:8" x14ac:dyDescent="0.2">
      <c r="A657" s="30"/>
      <c r="B657" s="30"/>
      <c r="C657" s="30"/>
      <c r="D657" s="28" t="str">
        <f>IFERROR(IF(C657="","",IF(B657="موظف",VLOOKUP(C657,الموظفين!$B:$C,2,FALSE),VLOOKUP(C657,المستفيدين!$B:$C,2,FALSE))),"")</f>
        <v/>
      </c>
      <c r="E657" s="28"/>
      <c r="F657" s="30"/>
      <c r="G657" s="30"/>
      <c r="H657" s="30"/>
    </row>
    <row r="658" spans="1:8" x14ac:dyDescent="0.2">
      <c r="A658" s="30"/>
      <c r="B658" s="30"/>
      <c r="C658" s="30"/>
      <c r="D658" s="28" t="str">
        <f>IFERROR(IF(C658="","",IF(B658="موظف",VLOOKUP(C658,الموظفين!$B:$C,2,FALSE),VLOOKUP(C658,المستفيدين!$B:$C,2,FALSE))),"")</f>
        <v/>
      </c>
      <c r="E658" s="28"/>
      <c r="F658" s="30"/>
      <c r="G658" s="30"/>
      <c r="H658" s="30"/>
    </row>
    <row r="659" spans="1:8" x14ac:dyDescent="0.2">
      <c r="A659" s="30"/>
      <c r="B659" s="30"/>
      <c r="C659" s="30"/>
      <c r="D659" s="28" t="str">
        <f>IFERROR(IF(C659="","",IF(B659="موظف",VLOOKUP(C659,الموظفين!$B:$C,2,FALSE),VLOOKUP(C659,المستفيدين!$B:$C,2,FALSE))),"")</f>
        <v/>
      </c>
      <c r="E659" s="28"/>
      <c r="F659" s="30"/>
      <c r="G659" s="30"/>
      <c r="H659" s="30"/>
    </row>
    <row r="660" spans="1:8" x14ac:dyDescent="0.2">
      <c r="A660" s="30"/>
      <c r="B660" s="30"/>
      <c r="C660" s="30"/>
      <c r="D660" s="28" t="str">
        <f>IFERROR(IF(C660="","",IF(B660="موظف",VLOOKUP(C660,الموظفين!$B:$C,2,FALSE),VLOOKUP(C660,المستفيدين!$B:$C,2,FALSE))),"")</f>
        <v/>
      </c>
      <c r="E660" s="28"/>
      <c r="F660" s="30"/>
      <c r="G660" s="30"/>
      <c r="H660" s="30"/>
    </row>
    <row r="661" spans="1:8" x14ac:dyDescent="0.2">
      <c r="A661" s="30"/>
      <c r="B661" s="30"/>
      <c r="C661" s="30"/>
      <c r="D661" s="28" t="str">
        <f>IFERROR(IF(C661="","",IF(B661="موظف",VLOOKUP(C661,الموظفين!$B:$C,2,FALSE),VLOOKUP(C661,المستفيدين!$B:$C,2,FALSE))),"")</f>
        <v/>
      </c>
      <c r="E661" s="28"/>
      <c r="F661" s="30"/>
      <c r="G661" s="30"/>
      <c r="H661" s="30"/>
    </row>
    <row r="662" spans="1:8" x14ac:dyDescent="0.2">
      <c r="A662" s="30"/>
      <c r="B662" s="30"/>
      <c r="C662" s="30"/>
      <c r="D662" s="28" t="str">
        <f>IFERROR(IF(C662="","",IF(B662="موظف",VLOOKUP(C662,الموظفين!$B:$C,2,FALSE),VLOOKUP(C662,المستفيدين!$B:$C,2,FALSE))),"")</f>
        <v/>
      </c>
      <c r="E662" s="28"/>
      <c r="F662" s="30"/>
      <c r="G662" s="30"/>
      <c r="H662" s="30"/>
    </row>
    <row r="663" spans="1:8" x14ac:dyDescent="0.2">
      <c r="A663" s="30"/>
      <c r="B663" s="30"/>
      <c r="C663" s="30"/>
      <c r="D663" s="28" t="str">
        <f>IFERROR(IF(C663="","",IF(B663="موظف",VLOOKUP(C663,الموظفين!$B:$C,2,FALSE),VLOOKUP(C663,المستفيدين!$B:$C,2,FALSE))),"")</f>
        <v/>
      </c>
      <c r="E663" s="28"/>
      <c r="F663" s="30"/>
      <c r="G663" s="30"/>
      <c r="H663" s="30"/>
    </row>
    <row r="664" spans="1:8" x14ac:dyDescent="0.2">
      <c r="A664" s="30"/>
      <c r="B664" s="30"/>
      <c r="C664" s="30"/>
      <c r="D664" s="28" t="str">
        <f>IFERROR(IF(C664="","",IF(B664="موظف",VLOOKUP(C664,الموظفين!$B:$C,2,FALSE),VLOOKUP(C664,المستفيدين!$B:$C,2,FALSE))),"")</f>
        <v/>
      </c>
      <c r="E664" s="28"/>
      <c r="F664" s="30"/>
      <c r="G664" s="30"/>
      <c r="H664" s="30"/>
    </row>
    <row r="665" spans="1:8" x14ac:dyDescent="0.2">
      <c r="A665" s="30"/>
      <c r="B665" s="30"/>
      <c r="C665" s="30"/>
      <c r="D665" s="28" t="str">
        <f>IFERROR(IF(C665="","",IF(B665="موظف",VLOOKUP(C665,الموظفين!$B:$C,2,FALSE),VLOOKUP(C665,المستفيدين!$B:$C,2,FALSE))),"")</f>
        <v/>
      </c>
      <c r="E665" s="28"/>
      <c r="F665" s="30"/>
      <c r="G665" s="30"/>
      <c r="H665" s="30"/>
    </row>
    <row r="666" spans="1:8" x14ac:dyDescent="0.2">
      <c r="A666" s="30"/>
      <c r="B666" s="30"/>
      <c r="C666" s="30"/>
      <c r="D666" s="28" t="str">
        <f>IFERROR(IF(C666="","",IF(B666="موظف",VLOOKUP(C666,الموظفين!$B:$C,2,FALSE),VLOOKUP(C666,المستفيدين!$B:$C,2,FALSE))),"")</f>
        <v/>
      </c>
      <c r="E666" s="28"/>
      <c r="F666" s="30"/>
      <c r="G666" s="30"/>
      <c r="H666" s="30"/>
    </row>
    <row r="667" spans="1:8" x14ac:dyDescent="0.2">
      <c r="A667" s="30"/>
      <c r="B667" s="30"/>
      <c r="C667" s="30"/>
      <c r="D667" s="28" t="str">
        <f>IFERROR(IF(C667="","",IF(B667="موظف",VLOOKUP(C667,الموظفين!$B:$C,2,FALSE),VLOOKUP(C667,المستفيدين!$B:$C,2,FALSE))),"")</f>
        <v/>
      </c>
      <c r="E667" s="28"/>
      <c r="F667" s="30"/>
      <c r="G667" s="30"/>
      <c r="H667" s="30"/>
    </row>
    <row r="668" spans="1:8" x14ac:dyDescent="0.2">
      <c r="A668" s="30"/>
      <c r="B668" s="30"/>
      <c r="C668" s="30"/>
      <c r="D668" s="28" t="str">
        <f>IFERROR(IF(C668="","",IF(B668="موظف",VLOOKUP(C668,الموظفين!$B:$C,2,FALSE),VLOOKUP(C668,المستفيدين!$B:$C,2,FALSE))),"")</f>
        <v/>
      </c>
      <c r="E668" s="28"/>
      <c r="F668" s="30"/>
      <c r="G668" s="30"/>
      <c r="H668" s="30"/>
    </row>
    <row r="669" spans="1:8" x14ac:dyDescent="0.2">
      <c r="A669" s="30"/>
      <c r="B669" s="30"/>
      <c r="C669" s="30"/>
      <c r="D669" s="28" t="str">
        <f>IFERROR(IF(C669="","",IF(B669="موظف",VLOOKUP(C669,الموظفين!$B:$C,2,FALSE),VLOOKUP(C669,المستفيدين!$B:$C,2,FALSE))),"")</f>
        <v/>
      </c>
      <c r="E669" s="28"/>
      <c r="F669" s="30"/>
      <c r="G669" s="30"/>
      <c r="H669" s="30"/>
    </row>
    <row r="670" spans="1:8" x14ac:dyDescent="0.2">
      <c r="A670" s="30"/>
      <c r="B670" s="30"/>
      <c r="C670" s="30"/>
      <c r="D670" s="28" t="str">
        <f>IFERROR(IF(C670="","",IF(B670="موظف",VLOOKUP(C670,الموظفين!$B:$C,2,FALSE),VLOOKUP(C670,المستفيدين!$B:$C,2,FALSE))),"")</f>
        <v/>
      </c>
      <c r="E670" s="28"/>
      <c r="F670" s="30"/>
      <c r="G670" s="30"/>
      <c r="H670" s="30"/>
    </row>
    <row r="671" spans="1:8" x14ac:dyDescent="0.2">
      <c r="A671" s="30"/>
      <c r="B671" s="30"/>
      <c r="C671" s="30"/>
      <c r="D671" s="28" t="str">
        <f>IFERROR(IF(C671="","",IF(B671="موظف",VLOOKUP(C671,الموظفين!$B:$C,2,FALSE),VLOOKUP(C671,المستفيدين!$B:$C,2,FALSE))),"")</f>
        <v/>
      </c>
      <c r="E671" s="28"/>
      <c r="F671" s="30"/>
      <c r="G671" s="30"/>
      <c r="H671" s="30"/>
    </row>
    <row r="672" spans="1:8" x14ac:dyDescent="0.2">
      <c r="A672" s="30"/>
      <c r="B672" s="30"/>
      <c r="C672" s="30"/>
      <c r="D672" s="28" t="str">
        <f>IFERROR(IF(C672="","",IF(B672="موظف",VLOOKUP(C672,الموظفين!$B:$C,2,FALSE),VLOOKUP(C672,المستفيدين!$B:$C,2,FALSE))),"")</f>
        <v/>
      </c>
      <c r="E672" s="28"/>
      <c r="F672" s="30"/>
      <c r="G672" s="30"/>
      <c r="H672" s="30"/>
    </row>
    <row r="673" spans="1:8" x14ac:dyDescent="0.2">
      <c r="A673" s="30"/>
      <c r="B673" s="30"/>
      <c r="C673" s="30"/>
      <c r="D673" s="28" t="str">
        <f>IFERROR(IF(C673="","",IF(B673="موظف",VLOOKUP(C673,الموظفين!$B:$C,2,FALSE),VLOOKUP(C673,المستفيدين!$B:$C,2,FALSE))),"")</f>
        <v/>
      </c>
      <c r="E673" s="28"/>
      <c r="F673" s="30"/>
      <c r="G673" s="30"/>
      <c r="H673" s="30"/>
    </row>
    <row r="674" spans="1:8" x14ac:dyDescent="0.2">
      <c r="A674" s="30"/>
      <c r="B674" s="30"/>
      <c r="C674" s="30"/>
      <c r="D674" s="28" t="str">
        <f>IFERROR(IF(C674="","",IF(B674="موظف",VLOOKUP(C674,الموظفين!$B:$C,2,FALSE),VLOOKUP(C674,المستفيدين!$B:$C,2,FALSE))),"")</f>
        <v/>
      </c>
      <c r="E674" s="28"/>
      <c r="F674" s="30"/>
      <c r="G674" s="30"/>
      <c r="H674" s="30"/>
    </row>
    <row r="675" spans="1:8" x14ac:dyDescent="0.2">
      <c r="A675" s="30"/>
      <c r="B675" s="30"/>
      <c r="C675" s="30"/>
      <c r="D675" s="28" t="str">
        <f>IFERROR(IF(C675="","",IF(B675="موظف",VLOOKUP(C675,الموظفين!$B:$C,2,FALSE),VLOOKUP(C675,المستفيدين!$B:$C,2,FALSE))),"")</f>
        <v/>
      </c>
      <c r="E675" s="28"/>
      <c r="F675" s="30"/>
      <c r="G675" s="30"/>
      <c r="H675" s="30"/>
    </row>
    <row r="676" spans="1:8" x14ac:dyDescent="0.2">
      <c r="A676" s="30"/>
      <c r="B676" s="30"/>
      <c r="C676" s="30"/>
      <c r="D676" s="28" t="str">
        <f>IFERROR(IF(C676="","",IF(B676="موظف",VLOOKUP(C676,الموظفين!$B:$C,2,FALSE),VLOOKUP(C676,المستفيدين!$B:$C,2,FALSE))),"")</f>
        <v/>
      </c>
      <c r="E676" s="28"/>
      <c r="F676" s="30"/>
      <c r="G676" s="30"/>
      <c r="H676" s="30"/>
    </row>
    <row r="677" spans="1:8" x14ac:dyDescent="0.2">
      <c r="A677" s="30"/>
      <c r="B677" s="30"/>
      <c r="C677" s="30"/>
      <c r="D677" s="28" t="str">
        <f>IFERROR(IF(C677="","",IF(B677="موظف",VLOOKUP(C677,الموظفين!$B:$C,2,FALSE),VLOOKUP(C677,المستفيدين!$B:$C,2,FALSE))),"")</f>
        <v/>
      </c>
      <c r="E677" s="28"/>
      <c r="F677" s="30"/>
      <c r="G677" s="30"/>
      <c r="H677" s="30"/>
    </row>
    <row r="678" spans="1:8" x14ac:dyDescent="0.2">
      <c r="A678" s="30"/>
      <c r="B678" s="30"/>
      <c r="C678" s="30"/>
      <c r="D678" s="28" t="str">
        <f>IFERROR(IF(C678="","",IF(B678="موظف",VLOOKUP(C678,الموظفين!$B:$C,2,FALSE),VLOOKUP(C678,المستفيدين!$B:$C,2,FALSE))),"")</f>
        <v/>
      </c>
      <c r="E678" s="28"/>
      <c r="F678" s="30"/>
      <c r="G678" s="30"/>
      <c r="H678" s="30"/>
    </row>
    <row r="679" spans="1:8" x14ac:dyDescent="0.2">
      <c r="A679" s="30"/>
      <c r="B679" s="30"/>
      <c r="C679" s="30"/>
      <c r="D679" s="28" t="str">
        <f>IFERROR(IF(C679="","",IF(B679="موظف",VLOOKUP(C679,الموظفين!$B:$C,2,FALSE),VLOOKUP(C679,المستفيدين!$B:$C,2,FALSE))),"")</f>
        <v/>
      </c>
      <c r="E679" s="28"/>
      <c r="F679" s="30"/>
      <c r="G679" s="30"/>
      <c r="H679" s="30"/>
    </row>
    <row r="680" spans="1:8" x14ac:dyDescent="0.2">
      <c r="A680" s="30"/>
      <c r="B680" s="30"/>
      <c r="C680" s="30"/>
      <c r="D680" s="28" t="str">
        <f>IFERROR(IF(C680="","",IF(B680="موظف",VLOOKUP(C680,الموظفين!$B:$C,2,FALSE),VLOOKUP(C680,المستفيدين!$B:$C,2,FALSE))),"")</f>
        <v/>
      </c>
      <c r="E680" s="28"/>
      <c r="F680" s="30"/>
      <c r="G680" s="30"/>
      <c r="H680" s="30"/>
    </row>
    <row r="681" spans="1:8" x14ac:dyDescent="0.2">
      <c r="A681" s="30"/>
      <c r="B681" s="30"/>
      <c r="C681" s="30"/>
      <c r="D681" s="28" t="str">
        <f>IFERROR(IF(C681="","",IF(B681="موظف",VLOOKUP(C681,الموظفين!$B:$C,2,FALSE),VLOOKUP(C681,المستفيدين!$B:$C,2,FALSE))),"")</f>
        <v/>
      </c>
      <c r="E681" s="28"/>
      <c r="F681" s="30"/>
      <c r="G681" s="30"/>
      <c r="H681" s="30"/>
    </row>
    <row r="682" spans="1:8" x14ac:dyDescent="0.2">
      <c r="A682" s="30"/>
      <c r="B682" s="30"/>
      <c r="C682" s="30"/>
      <c r="D682" s="28" t="str">
        <f>IFERROR(IF(C682="","",IF(B682="موظف",VLOOKUP(C682,الموظفين!$B:$C,2,FALSE),VLOOKUP(C682,المستفيدين!$B:$C,2,FALSE))),"")</f>
        <v/>
      </c>
      <c r="E682" s="28"/>
      <c r="F682" s="30"/>
      <c r="G682" s="30"/>
      <c r="H682" s="30"/>
    </row>
    <row r="683" spans="1:8" x14ac:dyDescent="0.2">
      <c r="A683" s="30"/>
      <c r="B683" s="30"/>
      <c r="C683" s="30"/>
      <c r="D683" s="28" t="str">
        <f>IFERROR(IF(C683="","",IF(B683="موظف",VLOOKUP(C683,الموظفين!$B:$C,2,FALSE),VLOOKUP(C683,المستفيدين!$B:$C,2,FALSE))),"")</f>
        <v/>
      </c>
      <c r="E683" s="28"/>
      <c r="F683" s="30"/>
      <c r="G683" s="30"/>
      <c r="H683" s="30"/>
    </row>
    <row r="684" spans="1:8" x14ac:dyDescent="0.2">
      <c r="A684" s="30"/>
      <c r="B684" s="30"/>
      <c r="C684" s="30"/>
      <c r="D684" s="28" t="str">
        <f>IFERROR(IF(C684="","",IF(B684="موظف",VLOOKUP(C684,الموظفين!$B:$C,2,FALSE),VLOOKUP(C684,المستفيدين!$B:$C,2,FALSE))),"")</f>
        <v/>
      </c>
      <c r="E684" s="28"/>
      <c r="F684" s="30"/>
      <c r="G684" s="30"/>
      <c r="H684" s="30"/>
    </row>
    <row r="685" spans="1:8" x14ac:dyDescent="0.2">
      <c r="A685" s="30"/>
      <c r="B685" s="30"/>
      <c r="C685" s="30"/>
      <c r="D685" s="28" t="str">
        <f>IFERROR(IF(C685="","",IF(B685="موظف",VLOOKUP(C685,الموظفين!$B:$C,2,FALSE),VLOOKUP(C685,المستفيدين!$B:$C,2,FALSE))),"")</f>
        <v/>
      </c>
      <c r="E685" s="28"/>
      <c r="F685" s="30"/>
      <c r="G685" s="30"/>
      <c r="H685" s="30"/>
    </row>
    <row r="686" spans="1:8" x14ac:dyDescent="0.2">
      <c r="A686" s="30"/>
      <c r="B686" s="30"/>
      <c r="C686" s="30"/>
      <c r="D686" s="28" t="str">
        <f>IFERROR(IF(C686="","",IF(B686="موظف",VLOOKUP(C686,الموظفين!$B:$C,2,FALSE),VLOOKUP(C686,المستفيدين!$B:$C,2,FALSE))),"")</f>
        <v/>
      </c>
      <c r="E686" s="28"/>
      <c r="F686" s="30"/>
      <c r="G686" s="30"/>
      <c r="H686" s="30"/>
    </row>
    <row r="687" spans="1:8" x14ac:dyDescent="0.2">
      <c r="A687" s="30"/>
      <c r="B687" s="30"/>
      <c r="C687" s="30"/>
      <c r="D687" s="28" t="str">
        <f>IFERROR(IF(C687="","",IF(B687="موظف",VLOOKUP(C687,الموظفين!$B:$C,2,FALSE),VLOOKUP(C687,المستفيدين!$B:$C,2,FALSE))),"")</f>
        <v/>
      </c>
      <c r="E687" s="28"/>
      <c r="F687" s="30"/>
      <c r="G687" s="30"/>
      <c r="H687" s="30"/>
    </row>
    <row r="688" spans="1:8" x14ac:dyDescent="0.2">
      <c r="A688" s="30"/>
      <c r="B688" s="30"/>
      <c r="C688" s="30"/>
      <c r="D688" s="28" t="str">
        <f>IFERROR(IF(C688="","",IF(B688="موظف",VLOOKUP(C688,الموظفين!$B:$C,2,FALSE),VLOOKUP(C688,المستفيدين!$B:$C,2,FALSE))),"")</f>
        <v/>
      </c>
      <c r="E688" s="28"/>
      <c r="F688" s="30"/>
      <c r="G688" s="30"/>
      <c r="H688" s="30"/>
    </row>
    <row r="689" spans="1:8" x14ac:dyDescent="0.2">
      <c r="A689" s="30"/>
      <c r="B689" s="30"/>
      <c r="C689" s="30"/>
      <c r="D689" s="28" t="str">
        <f>IFERROR(IF(C689="","",IF(B689="موظف",VLOOKUP(C689,الموظفين!$B:$C,2,FALSE),VLOOKUP(C689,المستفيدين!$B:$C,2,FALSE))),"")</f>
        <v/>
      </c>
      <c r="E689" s="28"/>
      <c r="F689" s="30"/>
      <c r="G689" s="30"/>
      <c r="H689" s="30"/>
    </row>
    <row r="690" spans="1:8" x14ac:dyDescent="0.2">
      <c r="A690" s="30"/>
      <c r="B690" s="30"/>
      <c r="C690" s="30"/>
      <c r="D690" s="28" t="str">
        <f>IFERROR(IF(C690="","",IF(B690="موظف",VLOOKUP(C690,الموظفين!$B:$C,2,FALSE),VLOOKUP(C690,المستفيدين!$B:$C,2,FALSE))),"")</f>
        <v/>
      </c>
      <c r="E690" s="28"/>
      <c r="F690" s="30"/>
      <c r="G690" s="30"/>
      <c r="H690" s="30"/>
    </row>
    <row r="691" spans="1:8" x14ac:dyDescent="0.2">
      <c r="A691" s="30"/>
      <c r="B691" s="30"/>
      <c r="C691" s="30"/>
      <c r="D691" s="28" t="str">
        <f>IFERROR(IF(C691="","",IF(B691="موظف",VLOOKUP(C691,الموظفين!$B:$C,2,FALSE),VLOOKUP(C691,المستفيدين!$B:$C,2,FALSE))),"")</f>
        <v/>
      </c>
      <c r="E691" s="28"/>
      <c r="F691" s="30"/>
      <c r="G691" s="30"/>
      <c r="H691" s="30"/>
    </row>
    <row r="692" spans="1:8" x14ac:dyDescent="0.2">
      <c r="A692" s="30"/>
      <c r="B692" s="30"/>
      <c r="C692" s="30"/>
      <c r="D692" s="28" t="str">
        <f>IFERROR(IF(C692="","",IF(B692="موظف",VLOOKUP(C692,الموظفين!$B:$C,2,FALSE),VLOOKUP(C692,المستفيدين!$B:$C,2,FALSE))),"")</f>
        <v/>
      </c>
      <c r="E692" s="28"/>
      <c r="F692" s="30"/>
      <c r="G692" s="30"/>
      <c r="H692" s="30"/>
    </row>
    <row r="693" spans="1:8" x14ac:dyDescent="0.2">
      <c r="A693" s="30"/>
      <c r="B693" s="30"/>
      <c r="C693" s="30"/>
      <c r="D693" s="28" t="str">
        <f>IFERROR(IF(C693="","",IF(B693="موظف",VLOOKUP(C693,الموظفين!$B:$C,2,FALSE),VLOOKUP(C693,المستفيدين!$B:$C,2,FALSE))),"")</f>
        <v/>
      </c>
      <c r="E693" s="28"/>
      <c r="F693" s="30"/>
      <c r="G693" s="30"/>
      <c r="H693" s="30"/>
    </row>
    <row r="694" spans="1:8" x14ac:dyDescent="0.2">
      <c r="A694" s="30"/>
      <c r="B694" s="30"/>
      <c r="C694" s="30"/>
      <c r="D694" s="28" t="str">
        <f>IFERROR(IF(C694="","",IF(B694="موظف",VLOOKUP(C694,الموظفين!$B:$C,2,FALSE),VLOOKUP(C694,المستفيدين!$B:$C,2,FALSE))),"")</f>
        <v/>
      </c>
      <c r="E694" s="28"/>
      <c r="F694" s="30"/>
      <c r="G694" s="30"/>
      <c r="H694" s="30"/>
    </row>
    <row r="695" spans="1:8" x14ac:dyDescent="0.2">
      <c r="A695" s="30"/>
      <c r="B695" s="30"/>
      <c r="C695" s="30"/>
      <c r="D695" s="28" t="str">
        <f>IFERROR(IF(C695="","",IF(B695="موظف",VLOOKUP(C695,الموظفين!$B:$C,2,FALSE),VLOOKUP(C695,المستفيدين!$B:$C,2,FALSE))),"")</f>
        <v/>
      </c>
      <c r="E695" s="28"/>
      <c r="F695" s="30"/>
      <c r="G695" s="30"/>
      <c r="H695" s="30"/>
    </row>
    <row r="696" spans="1:8" x14ac:dyDescent="0.2">
      <c r="A696" s="30"/>
      <c r="B696" s="30"/>
      <c r="C696" s="30"/>
      <c r="D696" s="28" t="str">
        <f>IFERROR(IF(C696="","",IF(B696="موظف",VLOOKUP(C696,الموظفين!$B:$C,2,FALSE),VLOOKUP(C696,المستفيدين!$B:$C,2,FALSE))),"")</f>
        <v/>
      </c>
      <c r="E696" s="28"/>
      <c r="F696" s="30"/>
      <c r="G696" s="30"/>
      <c r="H696" s="30"/>
    </row>
    <row r="697" spans="1:8" x14ac:dyDescent="0.2">
      <c r="A697" s="30"/>
      <c r="B697" s="30"/>
      <c r="C697" s="30"/>
      <c r="D697" s="28" t="str">
        <f>IFERROR(IF(C697="","",IF(B697="موظف",VLOOKUP(C697,الموظفين!$B:$C,2,FALSE),VLOOKUP(C697,المستفيدين!$B:$C,2,FALSE))),"")</f>
        <v/>
      </c>
      <c r="E697" s="28"/>
      <c r="F697" s="30"/>
      <c r="G697" s="30"/>
      <c r="H697" s="30"/>
    </row>
    <row r="698" spans="1:8" x14ac:dyDescent="0.2">
      <c r="A698" s="30"/>
      <c r="B698" s="30"/>
      <c r="C698" s="30"/>
      <c r="D698" s="28" t="str">
        <f>IFERROR(IF(C698="","",IF(B698="موظف",VLOOKUP(C698,الموظفين!$B:$C,2,FALSE),VLOOKUP(C698,المستفيدين!$B:$C,2,FALSE))),"")</f>
        <v/>
      </c>
      <c r="E698" s="28"/>
      <c r="F698" s="30"/>
      <c r="G698" s="30"/>
      <c r="H698" s="30"/>
    </row>
    <row r="699" spans="1:8" x14ac:dyDescent="0.2">
      <c r="A699" s="30"/>
      <c r="B699" s="30"/>
      <c r="C699" s="30"/>
      <c r="D699" s="28" t="str">
        <f>IFERROR(IF(C699="","",IF(B699="موظف",VLOOKUP(C699,الموظفين!$B:$C,2,FALSE),VLOOKUP(C699,المستفيدين!$B:$C,2,FALSE))),"")</f>
        <v/>
      </c>
      <c r="E699" s="28"/>
      <c r="F699" s="30"/>
      <c r="G699" s="30"/>
      <c r="H699" s="30"/>
    </row>
    <row r="700" spans="1:8" x14ac:dyDescent="0.2">
      <c r="A700" s="30"/>
      <c r="B700" s="30"/>
      <c r="C700" s="30"/>
      <c r="D700" s="28" t="str">
        <f>IFERROR(IF(C700="","",IF(B700="موظف",VLOOKUP(C700,الموظفين!$B:$C,2,FALSE),VLOOKUP(C700,المستفيدين!$B:$C,2,FALSE))),"")</f>
        <v/>
      </c>
      <c r="E700" s="28"/>
      <c r="F700" s="30"/>
      <c r="G700" s="30"/>
      <c r="H700" s="30"/>
    </row>
    <row r="701" spans="1:8" x14ac:dyDescent="0.2">
      <c r="A701" s="30"/>
      <c r="B701" s="30"/>
      <c r="C701" s="30"/>
      <c r="D701" s="28" t="str">
        <f>IFERROR(IF(C701="","",IF(B701="موظف",VLOOKUP(C701,الموظفين!$B:$C,2,FALSE),VLOOKUP(C701,المستفيدين!$B:$C,2,FALSE))),"")</f>
        <v/>
      </c>
      <c r="E701" s="28"/>
      <c r="F701" s="30"/>
      <c r="G701" s="30"/>
      <c r="H701" s="30"/>
    </row>
    <row r="702" spans="1:8" x14ac:dyDescent="0.2">
      <c r="A702" s="30"/>
      <c r="B702" s="30"/>
      <c r="C702" s="30"/>
      <c r="D702" s="28" t="str">
        <f>IFERROR(IF(C702="","",IF(B702="موظف",VLOOKUP(C702,الموظفين!$B:$C,2,FALSE),VLOOKUP(C702,المستفيدين!$B:$C,2,FALSE))),"")</f>
        <v/>
      </c>
      <c r="E702" s="28"/>
      <c r="F702" s="30"/>
      <c r="G702" s="30"/>
      <c r="H702" s="30"/>
    </row>
    <row r="703" spans="1:8" x14ac:dyDescent="0.2">
      <c r="A703" s="30"/>
      <c r="B703" s="30"/>
      <c r="C703" s="30"/>
      <c r="D703" s="28" t="str">
        <f>IFERROR(IF(C703="","",IF(B703="موظف",VLOOKUP(C703,الموظفين!$B:$C,2,FALSE),VLOOKUP(C703,المستفيدين!$B:$C,2,FALSE))),"")</f>
        <v/>
      </c>
      <c r="E703" s="28"/>
      <c r="F703" s="30"/>
      <c r="G703" s="30"/>
      <c r="H703" s="30"/>
    </row>
    <row r="704" spans="1:8" x14ac:dyDescent="0.2">
      <c r="A704" s="30"/>
      <c r="B704" s="30"/>
      <c r="C704" s="30"/>
      <c r="D704" s="28" t="str">
        <f>IFERROR(IF(C704="","",IF(B704="موظف",VLOOKUP(C704,الموظفين!$B:$C,2,FALSE),VLOOKUP(C704,المستفيدين!$B:$C,2,FALSE))),"")</f>
        <v/>
      </c>
      <c r="E704" s="28"/>
      <c r="F704" s="30"/>
      <c r="G704" s="30"/>
      <c r="H704" s="30"/>
    </row>
    <row r="705" spans="1:8" x14ac:dyDescent="0.2">
      <c r="A705" s="30"/>
      <c r="B705" s="30"/>
      <c r="C705" s="30"/>
      <c r="D705" s="28" t="str">
        <f>IFERROR(IF(C705="","",IF(B705="موظف",VLOOKUP(C705,الموظفين!$B:$C,2,FALSE),VLOOKUP(C705,المستفيدين!$B:$C,2,FALSE))),"")</f>
        <v/>
      </c>
      <c r="E705" s="28"/>
      <c r="F705" s="30"/>
      <c r="G705" s="30"/>
      <c r="H705" s="30"/>
    </row>
    <row r="706" spans="1:8" x14ac:dyDescent="0.2">
      <c r="A706" s="30"/>
      <c r="B706" s="30"/>
      <c r="C706" s="30"/>
      <c r="D706" s="28" t="str">
        <f>IFERROR(IF(C706="","",IF(B706="موظف",VLOOKUP(C706,الموظفين!$B:$C,2,FALSE),VLOOKUP(C706,المستفيدين!$B:$C,2,FALSE))),"")</f>
        <v/>
      </c>
      <c r="E706" s="28"/>
      <c r="F706" s="30"/>
      <c r="G706" s="30"/>
      <c r="H706" s="30"/>
    </row>
    <row r="707" spans="1:8" x14ac:dyDescent="0.2">
      <c r="A707" s="30"/>
      <c r="B707" s="30"/>
      <c r="C707" s="30"/>
      <c r="D707" s="28" t="str">
        <f>IFERROR(IF(C707="","",IF(B707="موظف",VLOOKUP(C707,الموظفين!$B:$C,2,FALSE),VLOOKUP(C707,المستفيدين!$B:$C,2,FALSE))),"")</f>
        <v/>
      </c>
      <c r="E707" s="28"/>
      <c r="F707" s="30"/>
      <c r="G707" s="30"/>
      <c r="H707" s="30"/>
    </row>
    <row r="708" spans="1:8" x14ac:dyDescent="0.2">
      <c r="A708" s="30"/>
      <c r="B708" s="30"/>
      <c r="C708" s="30"/>
      <c r="D708" s="28" t="str">
        <f>IFERROR(IF(C708="","",IF(B708="موظف",VLOOKUP(C708,الموظفين!$B:$C,2,FALSE),VLOOKUP(C708,المستفيدين!$B:$C,2,FALSE))),"")</f>
        <v/>
      </c>
      <c r="E708" s="28"/>
      <c r="F708" s="30"/>
      <c r="G708" s="30"/>
      <c r="H708" s="30"/>
    </row>
    <row r="709" spans="1:8" x14ac:dyDescent="0.2">
      <c r="A709" s="30"/>
      <c r="B709" s="30"/>
      <c r="C709" s="30"/>
      <c r="D709" s="28" t="str">
        <f>IFERROR(IF(C709="","",IF(B709="موظف",VLOOKUP(C709,الموظفين!$B:$C,2,FALSE),VLOOKUP(C709,المستفيدين!$B:$C,2,FALSE))),"")</f>
        <v/>
      </c>
      <c r="E709" s="28"/>
      <c r="F709" s="30"/>
      <c r="G709" s="30"/>
      <c r="H709" s="30"/>
    </row>
    <row r="710" spans="1:8" x14ac:dyDescent="0.2">
      <c r="A710" s="30"/>
      <c r="B710" s="30"/>
      <c r="C710" s="30"/>
      <c r="D710" s="28" t="str">
        <f>IFERROR(IF(C710="","",IF(B710="موظف",VLOOKUP(C710,الموظفين!$B:$C,2,FALSE),VLOOKUP(C710,المستفيدين!$B:$C,2,FALSE))),"")</f>
        <v/>
      </c>
      <c r="E710" s="28"/>
      <c r="F710" s="30"/>
      <c r="G710" s="30"/>
      <c r="H710" s="30"/>
    </row>
    <row r="711" spans="1:8" x14ac:dyDescent="0.2">
      <c r="A711" s="30"/>
      <c r="B711" s="30"/>
      <c r="C711" s="30"/>
      <c r="D711" s="28" t="str">
        <f>IFERROR(IF(C711="","",IF(B711="موظف",VLOOKUP(C711,الموظفين!$B:$C,2,FALSE),VLOOKUP(C711,المستفيدين!$B:$C,2,FALSE))),"")</f>
        <v/>
      </c>
      <c r="E711" s="28"/>
      <c r="F711" s="30"/>
      <c r="G711" s="30"/>
      <c r="H711" s="30"/>
    </row>
    <row r="712" spans="1:8" x14ac:dyDescent="0.2">
      <c r="A712" s="30"/>
      <c r="B712" s="30"/>
      <c r="C712" s="30"/>
      <c r="D712" s="28" t="str">
        <f>IFERROR(IF(C712="","",IF(B712="موظف",VLOOKUP(C712,الموظفين!$B:$C,2,FALSE),VLOOKUP(C712,المستفيدين!$B:$C,2,FALSE))),"")</f>
        <v/>
      </c>
      <c r="E712" s="28"/>
      <c r="F712" s="30"/>
      <c r="G712" s="30"/>
      <c r="H712" s="30"/>
    </row>
    <row r="713" spans="1:8" x14ac:dyDescent="0.2">
      <c r="A713" s="30"/>
      <c r="B713" s="30"/>
      <c r="C713" s="30"/>
      <c r="D713" s="28" t="str">
        <f>IFERROR(IF(C713="","",IF(B713="موظف",VLOOKUP(C713,الموظفين!$B:$C,2,FALSE),VLOOKUP(C713,المستفيدين!$B:$C,2,FALSE))),"")</f>
        <v/>
      </c>
      <c r="E713" s="28"/>
      <c r="F713" s="30"/>
      <c r="G713" s="30"/>
      <c r="H713" s="30"/>
    </row>
    <row r="714" spans="1:8" x14ac:dyDescent="0.2">
      <c r="A714" s="30"/>
      <c r="B714" s="30"/>
      <c r="C714" s="30"/>
      <c r="D714" s="28" t="str">
        <f>IFERROR(IF(C714="","",IF(B714="موظف",VLOOKUP(C714,الموظفين!$B:$C,2,FALSE),VLOOKUP(C714,المستفيدين!$B:$C,2,FALSE))),"")</f>
        <v/>
      </c>
      <c r="E714" s="28"/>
      <c r="F714" s="30"/>
      <c r="G714" s="30"/>
      <c r="H714" s="30"/>
    </row>
    <row r="715" spans="1:8" x14ac:dyDescent="0.2">
      <c r="A715" s="30"/>
      <c r="B715" s="30"/>
      <c r="C715" s="30"/>
      <c r="D715" s="28" t="str">
        <f>IFERROR(IF(C715="","",IF(B715="موظف",VLOOKUP(C715,الموظفين!$B:$C,2,FALSE),VLOOKUP(C715,المستفيدين!$B:$C,2,FALSE))),"")</f>
        <v/>
      </c>
      <c r="E715" s="28"/>
      <c r="F715" s="30"/>
      <c r="G715" s="30"/>
      <c r="H715" s="30"/>
    </row>
    <row r="716" spans="1:8" x14ac:dyDescent="0.2">
      <c r="A716" s="30"/>
      <c r="B716" s="30"/>
      <c r="C716" s="30"/>
      <c r="D716" s="28" t="str">
        <f>IFERROR(IF(C716="","",IF(B716="موظف",VLOOKUP(C716,الموظفين!$B:$C,2,FALSE),VLOOKUP(C716,المستفيدين!$B:$C,2,FALSE))),"")</f>
        <v/>
      </c>
      <c r="E716" s="28"/>
      <c r="F716" s="30"/>
      <c r="G716" s="30"/>
      <c r="H716" s="30"/>
    </row>
    <row r="717" spans="1:8" x14ac:dyDescent="0.2">
      <c r="A717" s="30"/>
      <c r="B717" s="30"/>
      <c r="C717" s="30"/>
      <c r="D717" s="28" t="str">
        <f>IFERROR(IF(C717="","",IF(B717="موظف",VLOOKUP(C717,الموظفين!$B:$C,2,FALSE),VLOOKUP(C717,المستفيدين!$B:$C,2,FALSE))),"")</f>
        <v/>
      </c>
      <c r="E717" s="28"/>
      <c r="F717" s="30"/>
      <c r="G717" s="30"/>
      <c r="H717" s="30"/>
    </row>
    <row r="718" spans="1:8" x14ac:dyDescent="0.2">
      <c r="A718" s="30"/>
      <c r="B718" s="30"/>
      <c r="C718" s="30"/>
      <c r="D718" s="28" t="str">
        <f>IFERROR(IF(C718="","",IF(B718="موظف",VLOOKUP(C718,الموظفين!$B:$C,2,FALSE),VLOOKUP(C718,المستفيدين!$B:$C,2,FALSE))),"")</f>
        <v/>
      </c>
      <c r="E718" s="28"/>
      <c r="F718" s="30"/>
      <c r="G718" s="30"/>
      <c r="H718" s="30"/>
    </row>
    <row r="719" spans="1:8" x14ac:dyDescent="0.2">
      <c r="A719" s="30"/>
      <c r="B719" s="30"/>
      <c r="C719" s="30"/>
      <c r="D719" s="28" t="str">
        <f>IFERROR(IF(C719="","",IF(B719="موظف",VLOOKUP(C719,الموظفين!$B:$C,2,FALSE),VLOOKUP(C719,المستفيدين!$B:$C,2,FALSE))),"")</f>
        <v/>
      </c>
      <c r="E719" s="28"/>
      <c r="F719" s="30"/>
      <c r="G719" s="30"/>
      <c r="H719" s="30"/>
    </row>
    <row r="720" spans="1:8" x14ac:dyDescent="0.2">
      <c r="A720" s="30"/>
      <c r="B720" s="30"/>
      <c r="C720" s="30"/>
      <c r="D720" s="28" t="str">
        <f>IFERROR(IF(C720="","",IF(B720="موظف",VLOOKUP(C720,الموظفين!$B:$C,2,FALSE),VLOOKUP(C720,المستفيدين!$B:$C,2,FALSE))),"")</f>
        <v/>
      </c>
      <c r="E720" s="28"/>
      <c r="F720" s="30"/>
      <c r="G720" s="30"/>
      <c r="H720" s="30"/>
    </row>
    <row r="721" spans="1:8" x14ac:dyDescent="0.2">
      <c r="A721" s="30"/>
      <c r="B721" s="30"/>
      <c r="C721" s="30"/>
      <c r="D721" s="28" t="str">
        <f>IFERROR(IF(C721="","",IF(B721="موظف",VLOOKUP(C721,الموظفين!$B:$C,2,FALSE),VLOOKUP(C721,المستفيدين!$B:$C,2,FALSE))),"")</f>
        <v/>
      </c>
      <c r="E721" s="28"/>
      <c r="F721" s="30"/>
      <c r="G721" s="30"/>
      <c r="H721" s="30"/>
    </row>
    <row r="722" spans="1:8" x14ac:dyDescent="0.2">
      <c r="A722" s="30"/>
      <c r="B722" s="30"/>
      <c r="C722" s="30"/>
      <c r="D722" s="28" t="str">
        <f>IFERROR(IF(C722="","",IF(B722="موظف",VLOOKUP(C722,الموظفين!$B:$C,2,FALSE),VLOOKUP(C722,المستفيدين!$B:$C,2,FALSE))),"")</f>
        <v/>
      </c>
      <c r="E722" s="28"/>
      <c r="F722" s="30"/>
      <c r="G722" s="30"/>
      <c r="H722" s="30"/>
    </row>
    <row r="723" spans="1:8" x14ac:dyDescent="0.2">
      <c r="A723" s="30"/>
      <c r="B723" s="30"/>
      <c r="C723" s="30"/>
      <c r="D723" s="28" t="str">
        <f>IFERROR(IF(C723="","",IF(B723="موظف",VLOOKUP(C723,الموظفين!$B:$C,2,FALSE),VLOOKUP(C723,المستفيدين!$B:$C,2,FALSE))),"")</f>
        <v/>
      </c>
      <c r="E723" s="28"/>
      <c r="F723" s="30"/>
      <c r="G723" s="30"/>
      <c r="H723" s="30"/>
    </row>
    <row r="724" spans="1:8" x14ac:dyDescent="0.2">
      <c r="A724" s="30"/>
      <c r="B724" s="30"/>
      <c r="C724" s="30"/>
      <c r="D724" s="28" t="str">
        <f>IFERROR(IF(C724="","",IF(B724="موظف",VLOOKUP(C724,الموظفين!$B:$C,2,FALSE),VLOOKUP(C724,المستفيدين!$B:$C,2,FALSE))),"")</f>
        <v/>
      </c>
      <c r="E724" s="28"/>
      <c r="F724" s="30"/>
      <c r="G724" s="30"/>
      <c r="H724" s="30"/>
    </row>
    <row r="725" spans="1:8" x14ac:dyDescent="0.2">
      <c r="A725" s="30"/>
      <c r="B725" s="30"/>
      <c r="C725" s="30"/>
      <c r="D725" s="28" t="str">
        <f>IFERROR(IF(C725="","",IF(B725="موظف",VLOOKUP(C725,الموظفين!$B:$C,2,FALSE),VLOOKUP(C725,المستفيدين!$B:$C,2,FALSE))),"")</f>
        <v/>
      </c>
      <c r="E725" s="28"/>
      <c r="F725" s="30"/>
      <c r="G725" s="30"/>
      <c r="H725" s="30"/>
    </row>
    <row r="726" spans="1:8" x14ac:dyDescent="0.2">
      <c r="A726" s="30"/>
      <c r="B726" s="30"/>
      <c r="C726" s="30"/>
      <c r="D726" s="28" t="str">
        <f>IFERROR(IF(C726="","",IF(B726="موظف",VLOOKUP(C726,الموظفين!$B:$C,2,FALSE),VLOOKUP(C726,المستفيدين!$B:$C,2,FALSE))),"")</f>
        <v/>
      </c>
      <c r="E726" s="28"/>
      <c r="F726" s="30"/>
      <c r="G726" s="30"/>
      <c r="H726" s="30"/>
    </row>
    <row r="727" spans="1:8" x14ac:dyDescent="0.2">
      <c r="A727" s="30"/>
      <c r="B727" s="30"/>
      <c r="C727" s="30"/>
      <c r="D727" s="28" t="str">
        <f>IFERROR(IF(C727="","",IF(B727="موظف",VLOOKUP(C727,الموظفين!$B:$C,2,FALSE),VLOOKUP(C727,المستفيدين!$B:$C,2,FALSE))),"")</f>
        <v/>
      </c>
      <c r="E727" s="28"/>
      <c r="F727" s="30"/>
      <c r="G727" s="30"/>
      <c r="H727" s="30"/>
    </row>
    <row r="728" spans="1:8" x14ac:dyDescent="0.2">
      <c r="A728" s="30"/>
      <c r="B728" s="30"/>
      <c r="C728" s="30"/>
      <c r="D728" s="28" t="str">
        <f>IFERROR(IF(C728="","",IF(B728="موظف",VLOOKUP(C728,الموظفين!$B:$C,2,FALSE),VLOOKUP(C728,المستفيدين!$B:$C,2,FALSE))),"")</f>
        <v/>
      </c>
      <c r="E728" s="28"/>
      <c r="F728" s="30"/>
      <c r="G728" s="30"/>
      <c r="H728" s="30"/>
    </row>
    <row r="729" spans="1:8" x14ac:dyDescent="0.2">
      <c r="A729" s="30"/>
      <c r="B729" s="30"/>
      <c r="C729" s="30"/>
      <c r="D729" s="28" t="str">
        <f>IFERROR(IF(C729="","",IF(B729="موظف",VLOOKUP(C729,الموظفين!$B:$C,2,FALSE),VLOOKUP(C729,المستفيدين!$B:$C,2,FALSE))),"")</f>
        <v/>
      </c>
      <c r="E729" s="28"/>
      <c r="F729" s="30"/>
      <c r="G729" s="30"/>
      <c r="H729" s="30"/>
    </row>
    <row r="730" spans="1:8" x14ac:dyDescent="0.2">
      <c r="A730" s="30"/>
      <c r="B730" s="30"/>
      <c r="C730" s="30"/>
      <c r="D730" s="28" t="str">
        <f>IFERROR(IF(C730="","",IF(B730="موظف",VLOOKUP(C730,الموظفين!$B:$C,2,FALSE),VLOOKUP(C730,المستفيدين!$B:$C,2,FALSE))),"")</f>
        <v/>
      </c>
      <c r="E730" s="28"/>
      <c r="F730" s="30"/>
      <c r="G730" s="30"/>
      <c r="H730" s="30"/>
    </row>
    <row r="731" spans="1:8" x14ac:dyDescent="0.2">
      <c r="A731" s="30"/>
      <c r="B731" s="30"/>
      <c r="C731" s="30"/>
      <c r="D731" s="28" t="str">
        <f>IFERROR(IF(C731="","",IF(B731="موظف",VLOOKUP(C731,الموظفين!$B:$C,2,FALSE),VLOOKUP(C731,المستفيدين!$B:$C,2,FALSE))),"")</f>
        <v/>
      </c>
      <c r="E731" s="28"/>
      <c r="F731" s="30"/>
      <c r="G731" s="30"/>
      <c r="H731" s="30"/>
    </row>
    <row r="732" spans="1:8" x14ac:dyDescent="0.2">
      <c r="A732" s="30"/>
      <c r="B732" s="30"/>
      <c r="C732" s="30"/>
      <c r="D732" s="28" t="str">
        <f>IFERROR(IF(C732="","",IF(B732="موظف",VLOOKUP(C732,الموظفين!$B:$C,2,FALSE),VLOOKUP(C732,المستفيدين!$B:$C,2,FALSE))),"")</f>
        <v/>
      </c>
      <c r="E732" s="28"/>
      <c r="F732" s="30"/>
      <c r="G732" s="30"/>
      <c r="H732" s="30"/>
    </row>
    <row r="733" spans="1:8" x14ac:dyDescent="0.2">
      <c r="A733" s="30"/>
      <c r="B733" s="30"/>
      <c r="C733" s="30"/>
      <c r="D733" s="28" t="str">
        <f>IFERROR(IF(C733="","",IF(B733="موظف",VLOOKUP(C733,الموظفين!$B:$C,2,FALSE),VLOOKUP(C733,المستفيدين!$B:$C,2,FALSE))),"")</f>
        <v/>
      </c>
      <c r="E733" s="28"/>
      <c r="F733" s="30"/>
      <c r="G733" s="30"/>
      <c r="H733" s="30"/>
    </row>
    <row r="734" spans="1:8" x14ac:dyDescent="0.2">
      <c r="A734" s="30"/>
      <c r="B734" s="30"/>
      <c r="C734" s="30"/>
      <c r="D734" s="28" t="str">
        <f>IFERROR(IF(C734="","",IF(B734="موظف",VLOOKUP(C734,الموظفين!$B:$C,2,FALSE),VLOOKUP(C734,المستفيدين!$B:$C,2,FALSE))),"")</f>
        <v/>
      </c>
      <c r="E734" s="28"/>
      <c r="F734" s="30"/>
      <c r="G734" s="30"/>
      <c r="H734" s="30"/>
    </row>
    <row r="735" spans="1:8" x14ac:dyDescent="0.2">
      <c r="A735" s="30"/>
      <c r="B735" s="30"/>
      <c r="C735" s="30"/>
      <c r="D735" s="28" t="str">
        <f>IFERROR(IF(C735="","",IF(B735="موظف",VLOOKUP(C735,الموظفين!$B:$C,2,FALSE),VLOOKUP(C735,المستفيدين!$B:$C,2,FALSE))),"")</f>
        <v/>
      </c>
      <c r="E735" s="28"/>
      <c r="F735" s="30"/>
      <c r="G735" s="30"/>
      <c r="H735" s="30"/>
    </row>
    <row r="736" spans="1:8" x14ac:dyDescent="0.2">
      <c r="A736" s="30"/>
      <c r="B736" s="30"/>
      <c r="C736" s="30"/>
      <c r="D736" s="28" t="str">
        <f>IFERROR(IF(C736="","",IF(B736="موظف",VLOOKUP(C736,الموظفين!$B:$C,2,FALSE),VLOOKUP(C736,المستفيدين!$B:$C,2,FALSE))),"")</f>
        <v/>
      </c>
      <c r="E736" s="28"/>
      <c r="F736" s="30"/>
      <c r="G736" s="30"/>
      <c r="H736" s="30"/>
    </row>
    <row r="737" spans="1:8" x14ac:dyDescent="0.2">
      <c r="A737" s="30"/>
      <c r="B737" s="30"/>
      <c r="C737" s="30"/>
      <c r="D737" s="28" t="str">
        <f>IFERROR(IF(C737="","",IF(B737="موظف",VLOOKUP(C737,الموظفين!$B:$C,2,FALSE),VLOOKUP(C737,المستفيدين!$B:$C,2,FALSE))),"")</f>
        <v/>
      </c>
      <c r="E737" s="28"/>
      <c r="F737" s="30"/>
      <c r="G737" s="30"/>
      <c r="H737" s="30"/>
    </row>
    <row r="738" spans="1:8" x14ac:dyDescent="0.2">
      <c r="A738" s="30"/>
      <c r="B738" s="30"/>
      <c r="C738" s="30"/>
      <c r="D738" s="28" t="str">
        <f>IFERROR(IF(C738="","",IF(B738="موظف",VLOOKUP(C738,الموظفين!$B:$C,2,FALSE),VLOOKUP(C738,المستفيدين!$B:$C,2,FALSE))),"")</f>
        <v/>
      </c>
      <c r="E738" s="28"/>
      <c r="F738" s="30"/>
      <c r="G738" s="30"/>
      <c r="H738" s="30"/>
    </row>
    <row r="739" spans="1:8" x14ac:dyDescent="0.2">
      <c r="A739" s="30"/>
      <c r="B739" s="30"/>
      <c r="C739" s="30"/>
      <c r="D739" s="28" t="str">
        <f>IFERROR(IF(C739="","",IF(B739="موظف",VLOOKUP(C739,الموظفين!$B:$C,2,FALSE),VLOOKUP(C739,المستفيدين!$B:$C,2,FALSE))),"")</f>
        <v/>
      </c>
      <c r="E739" s="28"/>
      <c r="F739" s="30"/>
      <c r="G739" s="30"/>
      <c r="H739" s="30"/>
    </row>
    <row r="740" spans="1:8" x14ac:dyDescent="0.2">
      <c r="A740" s="30"/>
      <c r="B740" s="30"/>
      <c r="C740" s="30"/>
      <c r="D740" s="28" t="str">
        <f>IFERROR(IF(C740="","",IF(B740="موظف",VLOOKUP(C740,الموظفين!$B:$C,2,FALSE),VLOOKUP(C740,المستفيدين!$B:$C,2,FALSE))),"")</f>
        <v/>
      </c>
      <c r="E740" s="28"/>
      <c r="F740" s="30"/>
      <c r="G740" s="30"/>
      <c r="H740" s="30"/>
    </row>
    <row r="741" spans="1:8" x14ac:dyDescent="0.2">
      <c r="A741" s="30"/>
      <c r="B741" s="30"/>
      <c r="C741" s="30"/>
      <c r="D741" s="28" t="str">
        <f>IFERROR(IF(C741="","",IF(B741="موظف",VLOOKUP(C741,الموظفين!$B:$C,2,FALSE),VLOOKUP(C741,المستفيدين!$B:$C,2,FALSE))),"")</f>
        <v/>
      </c>
      <c r="E741" s="28"/>
      <c r="F741" s="30"/>
      <c r="G741" s="30"/>
      <c r="H741" s="30"/>
    </row>
    <row r="742" spans="1:8" x14ac:dyDescent="0.2">
      <c r="A742" s="30"/>
      <c r="B742" s="30"/>
      <c r="C742" s="30"/>
      <c r="D742" s="28" t="str">
        <f>IFERROR(IF(C742="","",IF(B742="موظف",VLOOKUP(C742,الموظفين!$B:$C,2,FALSE),VLOOKUP(C742,المستفيدين!$B:$C,2,FALSE))),"")</f>
        <v/>
      </c>
      <c r="E742" s="28"/>
      <c r="F742" s="30"/>
      <c r="G742" s="30"/>
      <c r="H742" s="30"/>
    </row>
    <row r="743" spans="1:8" x14ac:dyDescent="0.2">
      <c r="A743" s="30"/>
      <c r="B743" s="30"/>
      <c r="C743" s="30"/>
      <c r="D743" s="28" t="str">
        <f>IFERROR(IF(C743="","",IF(B743="موظف",VLOOKUP(C743,الموظفين!$B:$C,2,FALSE),VLOOKUP(C743,المستفيدين!$B:$C,2,FALSE))),"")</f>
        <v/>
      </c>
      <c r="E743" s="28"/>
      <c r="F743" s="30"/>
      <c r="G743" s="30"/>
      <c r="H743" s="30"/>
    </row>
    <row r="744" spans="1:8" x14ac:dyDescent="0.2">
      <c r="A744" s="30"/>
      <c r="B744" s="30"/>
      <c r="C744" s="30"/>
      <c r="D744" s="28" t="str">
        <f>IFERROR(IF(C744="","",IF(B744="موظف",VLOOKUP(C744,الموظفين!$B:$C,2,FALSE),VLOOKUP(C744,المستفيدين!$B:$C,2,FALSE))),"")</f>
        <v/>
      </c>
      <c r="E744" s="28"/>
      <c r="F744" s="30"/>
      <c r="G744" s="30"/>
      <c r="H744" s="30"/>
    </row>
    <row r="745" spans="1:8" x14ac:dyDescent="0.2">
      <c r="A745" s="30"/>
      <c r="B745" s="30"/>
      <c r="C745" s="30"/>
      <c r="D745" s="28" t="str">
        <f>IFERROR(IF(C745="","",IF(B745="موظف",VLOOKUP(C745,الموظفين!$B:$C,2,FALSE),VLOOKUP(C745,المستفيدين!$B:$C,2,FALSE))),"")</f>
        <v/>
      </c>
      <c r="E745" s="28"/>
      <c r="F745" s="30"/>
      <c r="G745" s="30"/>
      <c r="H745" s="30"/>
    </row>
    <row r="746" spans="1:8" x14ac:dyDescent="0.2">
      <c r="A746" s="30"/>
      <c r="B746" s="30"/>
      <c r="C746" s="30"/>
      <c r="D746" s="28" t="str">
        <f>IFERROR(IF(C746="","",IF(B746="موظف",VLOOKUP(C746,الموظفين!$B:$C,2,FALSE),VLOOKUP(C746,المستفيدين!$B:$C,2,FALSE))),"")</f>
        <v/>
      </c>
      <c r="E746" s="28"/>
      <c r="F746" s="30"/>
      <c r="G746" s="30"/>
      <c r="H746" s="30"/>
    </row>
    <row r="747" spans="1:8" x14ac:dyDescent="0.2">
      <c r="A747" s="30"/>
      <c r="B747" s="30"/>
      <c r="C747" s="30"/>
      <c r="D747" s="28" t="str">
        <f>IFERROR(IF(C747="","",IF(B747="موظف",VLOOKUP(C747,الموظفين!$B:$C,2,FALSE),VLOOKUP(C747,المستفيدين!$B:$C,2,FALSE))),"")</f>
        <v/>
      </c>
      <c r="E747" s="28"/>
      <c r="F747" s="30"/>
      <c r="G747" s="30"/>
      <c r="H747" s="30"/>
    </row>
    <row r="748" spans="1:8" x14ac:dyDescent="0.2">
      <c r="A748" s="30"/>
      <c r="B748" s="30"/>
      <c r="C748" s="30"/>
      <c r="D748" s="28" t="str">
        <f>IFERROR(IF(C748="","",IF(B748="موظف",VLOOKUP(C748,الموظفين!$B:$C,2,FALSE),VLOOKUP(C748,المستفيدين!$B:$C,2,FALSE))),"")</f>
        <v/>
      </c>
      <c r="E748" s="28"/>
      <c r="F748" s="30"/>
      <c r="G748" s="30"/>
      <c r="H748" s="30"/>
    </row>
    <row r="749" spans="1:8" x14ac:dyDescent="0.2">
      <c r="A749" s="30"/>
      <c r="B749" s="30"/>
      <c r="C749" s="30"/>
      <c r="D749" s="28" t="str">
        <f>IFERROR(IF(C749="","",IF(B749="موظف",VLOOKUP(C749,الموظفين!$B:$C,2,FALSE),VLOOKUP(C749,المستفيدين!$B:$C,2,FALSE))),"")</f>
        <v/>
      </c>
      <c r="E749" s="28"/>
      <c r="F749" s="30"/>
      <c r="G749" s="30"/>
      <c r="H749" s="30"/>
    </row>
    <row r="750" spans="1:8" x14ac:dyDescent="0.2">
      <c r="A750" s="30"/>
      <c r="B750" s="30"/>
      <c r="C750" s="30"/>
      <c r="D750" s="28" t="str">
        <f>IFERROR(IF(C750="","",IF(B750="موظف",VLOOKUP(C750,الموظفين!$B:$C,2,FALSE),VLOOKUP(C750,المستفيدين!$B:$C,2,FALSE))),"")</f>
        <v/>
      </c>
      <c r="E750" s="28"/>
      <c r="F750" s="30"/>
      <c r="G750" s="30"/>
      <c r="H750" s="30"/>
    </row>
    <row r="751" spans="1:8" x14ac:dyDescent="0.2">
      <c r="A751" s="30"/>
      <c r="B751" s="30"/>
      <c r="C751" s="30"/>
      <c r="D751" s="28" t="str">
        <f>IFERROR(IF(C751="","",IF(B751="موظف",VLOOKUP(C751,الموظفين!$B:$C,2,FALSE),VLOOKUP(C751,المستفيدين!$B:$C,2,FALSE))),"")</f>
        <v/>
      </c>
      <c r="E751" s="28"/>
      <c r="F751" s="30"/>
      <c r="G751" s="30"/>
      <c r="H751" s="30"/>
    </row>
    <row r="752" spans="1:8" x14ac:dyDescent="0.2">
      <c r="A752" s="30"/>
      <c r="B752" s="30"/>
      <c r="C752" s="30"/>
      <c r="D752" s="28" t="str">
        <f>IFERROR(IF(C752="","",IF(B752="موظف",VLOOKUP(C752,الموظفين!$B:$C,2,FALSE),VLOOKUP(C752,المستفيدين!$B:$C,2,FALSE))),"")</f>
        <v/>
      </c>
      <c r="E752" s="28"/>
      <c r="F752" s="30"/>
      <c r="G752" s="30"/>
      <c r="H752" s="30"/>
    </row>
    <row r="753" spans="1:8" x14ac:dyDescent="0.2">
      <c r="A753" s="30"/>
      <c r="B753" s="30"/>
      <c r="C753" s="30"/>
      <c r="D753" s="28" t="str">
        <f>IFERROR(IF(C753="","",IF(B753="موظف",VLOOKUP(C753,الموظفين!$B:$C,2,FALSE),VLOOKUP(C753,المستفيدين!$B:$C,2,FALSE))),"")</f>
        <v/>
      </c>
      <c r="E753" s="28"/>
      <c r="F753" s="30"/>
      <c r="G753" s="30"/>
      <c r="H753" s="30"/>
    </row>
    <row r="754" spans="1:8" x14ac:dyDescent="0.2">
      <c r="A754" s="30"/>
      <c r="B754" s="30"/>
      <c r="C754" s="30"/>
      <c r="D754" s="28" t="str">
        <f>IFERROR(IF(C754="","",IF(B754="موظف",VLOOKUP(C754,الموظفين!$B:$C,2,FALSE),VLOOKUP(C754,المستفيدين!$B:$C,2,FALSE))),"")</f>
        <v/>
      </c>
      <c r="E754" s="28"/>
      <c r="F754" s="30"/>
      <c r="G754" s="30"/>
      <c r="H754" s="30"/>
    </row>
    <row r="755" spans="1:8" x14ac:dyDescent="0.2">
      <c r="A755" s="30"/>
      <c r="B755" s="30"/>
      <c r="C755" s="30"/>
      <c r="D755" s="28" t="str">
        <f>IFERROR(IF(C755="","",IF(B755="موظف",VLOOKUP(C755,الموظفين!$B:$C,2,FALSE),VLOOKUP(C755,المستفيدين!$B:$C,2,FALSE))),"")</f>
        <v/>
      </c>
      <c r="E755" s="28"/>
      <c r="F755" s="30"/>
      <c r="G755" s="30"/>
      <c r="H755" s="30"/>
    </row>
    <row r="756" spans="1:8" x14ac:dyDescent="0.2">
      <c r="A756" s="30"/>
      <c r="B756" s="30"/>
      <c r="C756" s="30"/>
      <c r="D756" s="28" t="str">
        <f>IFERROR(IF(C756="","",IF(B756="موظف",VLOOKUP(C756,الموظفين!$B:$C,2,FALSE),VLOOKUP(C756,المستفيدين!$B:$C,2,FALSE))),"")</f>
        <v/>
      </c>
      <c r="E756" s="28"/>
      <c r="F756" s="30"/>
      <c r="G756" s="30"/>
      <c r="H756" s="30"/>
    </row>
    <row r="757" spans="1:8" x14ac:dyDescent="0.2">
      <c r="A757" s="30"/>
      <c r="B757" s="30"/>
      <c r="C757" s="30"/>
      <c r="D757" s="28" t="str">
        <f>IFERROR(IF(C757="","",IF(B757="موظف",VLOOKUP(C757,الموظفين!$B:$C,2,FALSE),VLOOKUP(C757,المستفيدين!$B:$C,2,FALSE))),"")</f>
        <v/>
      </c>
      <c r="E757" s="28"/>
      <c r="F757" s="30"/>
      <c r="G757" s="30"/>
      <c r="H757" s="30"/>
    </row>
    <row r="758" spans="1:8" x14ac:dyDescent="0.2">
      <c r="A758" s="30"/>
      <c r="B758" s="30"/>
      <c r="C758" s="30"/>
      <c r="D758" s="28" t="str">
        <f>IFERROR(IF(C758="","",IF(B758="موظف",VLOOKUP(C758,الموظفين!$B:$C,2,FALSE),VLOOKUP(C758,المستفيدين!$B:$C,2,FALSE))),"")</f>
        <v/>
      </c>
      <c r="E758" s="28"/>
      <c r="F758" s="30"/>
      <c r="G758" s="30"/>
      <c r="H758" s="30"/>
    </row>
    <row r="759" spans="1:8" x14ac:dyDescent="0.2">
      <c r="A759" s="30"/>
      <c r="B759" s="30"/>
      <c r="C759" s="30"/>
      <c r="D759" s="28" t="str">
        <f>IFERROR(IF(C759="","",IF(B759="موظف",VLOOKUP(C759,الموظفين!$B:$C,2,FALSE),VLOOKUP(C759,المستفيدين!$B:$C,2,FALSE))),"")</f>
        <v/>
      </c>
      <c r="E759" s="28"/>
      <c r="F759" s="30"/>
      <c r="G759" s="30"/>
      <c r="H759" s="30"/>
    </row>
    <row r="760" spans="1:8" x14ac:dyDescent="0.2">
      <c r="A760" s="30"/>
      <c r="B760" s="30"/>
      <c r="C760" s="30"/>
      <c r="D760" s="28" t="str">
        <f>IFERROR(IF(C760="","",IF(B760="موظف",VLOOKUP(C760,الموظفين!$B:$C,2,FALSE),VLOOKUP(C760,المستفيدين!$B:$C,2,FALSE))),"")</f>
        <v/>
      </c>
      <c r="E760" s="28"/>
      <c r="F760" s="30"/>
      <c r="G760" s="30"/>
      <c r="H760" s="30"/>
    </row>
    <row r="761" spans="1:8" x14ac:dyDescent="0.2">
      <c r="A761" s="30"/>
      <c r="B761" s="30"/>
      <c r="C761" s="30"/>
      <c r="D761" s="28" t="str">
        <f>IFERROR(IF(C761="","",IF(B761="موظف",VLOOKUP(C761,الموظفين!$B:$C,2,FALSE),VLOOKUP(C761,المستفيدين!$B:$C,2,FALSE))),"")</f>
        <v/>
      </c>
      <c r="E761" s="28"/>
      <c r="F761" s="30"/>
      <c r="G761" s="30"/>
      <c r="H761" s="30"/>
    </row>
    <row r="762" spans="1:8" x14ac:dyDescent="0.2">
      <c r="A762" s="30"/>
      <c r="B762" s="30"/>
      <c r="C762" s="30"/>
      <c r="D762" s="28" t="str">
        <f>IFERROR(IF(C762="","",IF(B762="موظف",VLOOKUP(C762,الموظفين!$B:$C,2,FALSE),VLOOKUP(C762,المستفيدين!$B:$C,2,FALSE))),"")</f>
        <v/>
      </c>
      <c r="E762" s="28"/>
      <c r="F762" s="30"/>
      <c r="G762" s="30"/>
      <c r="H762" s="30"/>
    </row>
    <row r="763" spans="1:8" x14ac:dyDescent="0.2">
      <c r="A763" s="30"/>
      <c r="B763" s="30"/>
      <c r="C763" s="30"/>
      <c r="D763" s="28" t="str">
        <f>IFERROR(IF(C763="","",IF(B763="موظف",VLOOKUP(C763,الموظفين!$B:$C,2,FALSE),VLOOKUP(C763,المستفيدين!$B:$C,2,FALSE))),"")</f>
        <v/>
      </c>
      <c r="E763" s="28"/>
      <c r="F763" s="30"/>
      <c r="G763" s="30"/>
      <c r="H763" s="30"/>
    </row>
    <row r="764" spans="1:8" x14ac:dyDescent="0.2">
      <c r="A764" s="30"/>
      <c r="B764" s="30"/>
      <c r="C764" s="30"/>
      <c r="D764" s="28" t="str">
        <f>IFERROR(IF(C764="","",IF(B764="موظف",VLOOKUP(C764,الموظفين!$B:$C,2,FALSE),VLOOKUP(C764,المستفيدين!$B:$C,2,FALSE))),"")</f>
        <v/>
      </c>
      <c r="E764" s="28"/>
      <c r="F764" s="30"/>
      <c r="G764" s="30"/>
      <c r="H764" s="30"/>
    </row>
    <row r="765" spans="1:8" x14ac:dyDescent="0.2">
      <c r="A765" s="30"/>
      <c r="B765" s="30"/>
      <c r="C765" s="30"/>
      <c r="D765" s="28" t="str">
        <f>IFERROR(IF(C765="","",IF(B765="موظف",VLOOKUP(C765,الموظفين!$B:$C,2,FALSE),VLOOKUP(C765,المستفيدين!$B:$C,2,FALSE))),"")</f>
        <v/>
      </c>
      <c r="E765" s="28"/>
      <c r="F765" s="30"/>
      <c r="G765" s="30"/>
      <c r="H765" s="30"/>
    </row>
    <row r="766" spans="1:8" x14ac:dyDescent="0.2">
      <c r="A766" s="30"/>
      <c r="B766" s="30"/>
      <c r="C766" s="30"/>
      <c r="D766" s="28" t="str">
        <f>IFERROR(IF(C766="","",IF(B766="موظف",VLOOKUP(C766,الموظفين!$B:$C,2,FALSE),VLOOKUP(C766,المستفيدين!$B:$C,2,FALSE))),"")</f>
        <v/>
      </c>
      <c r="E766" s="28"/>
      <c r="F766" s="30"/>
      <c r="G766" s="30"/>
      <c r="H766" s="30"/>
    </row>
    <row r="767" spans="1:8" x14ac:dyDescent="0.2">
      <c r="A767" s="30"/>
      <c r="B767" s="30"/>
      <c r="C767" s="30"/>
      <c r="D767" s="28" t="str">
        <f>IFERROR(IF(C767="","",IF(B767="موظف",VLOOKUP(C767,الموظفين!$B:$C,2,FALSE),VLOOKUP(C767,المستفيدين!$B:$C,2,FALSE))),"")</f>
        <v/>
      </c>
      <c r="E767" s="28"/>
      <c r="F767" s="30"/>
      <c r="G767" s="30"/>
      <c r="H767" s="30"/>
    </row>
    <row r="768" spans="1:8" x14ac:dyDescent="0.2">
      <c r="A768" s="30"/>
      <c r="B768" s="30"/>
      <c r="C768" s="30"/>
      <c r="D768" s="28" t="str">
        <f>IFERROR(IF(C768="","",IF(B768="موظف",VLOOKUP(C768,الموظفين!$B:$C,2,FALSE),VLOOKUP(C768,المستفيدين!$B:$C,2,FALSE))),"")</f>
        <v/>
      </c>
      <c r="E768" s="28"/>
      <c r="F768" s="30"/>
      <c r="G768" s="30"/>
      <c r="H768" s="30"/>
    </row>
    <row r="769" spans="1:8" x14ac:dyDescent="0.2">
      <c r="A769" s="30"/>
      <c r="B769" s="30"/>
      <c r="C769" s="30"/>
      <c r="D769" s="28" t="str">
        <f>IFERROR(IF(C769="","",IF(B769="موظف",VLOOKUP(C769,الموظفين!$B:$C,2,FALSE),VLOOKUP(C769,المستفيدين!$B:$C,2,FALSE))),"")</f>
        <v/>
      </c>
      <c r="E769" s="28"/>
      <c r="F769" s="30"/>
      <c r="G769" s="30"/>
      <c r="H769" s="30"/>
    </row>
    <row r="770" spans="1:8" x14ac:dyDescent="0.2">
      <c r="A770" s="30"/>
      <c r="B770" s="30"/>
      <c r="C770" s="30"/>
      <c r="D770" s="28" t="str">
        <f>IFERROR(IF(C770="","",IF(B770="موظف",VLOOKUP(C770,الموظفين!$B:$C,2,FALSE),VLOOKUP(C770,المستفيدين!$B:$C,2,FALSE))),"")</f>
        <v/>
      </c>
      <c r="E770" s="28"/>
      <c r="F770" s="30"/>
      <c r="G770" s="30"/>
      <c r="H770" s="30"/>
    </row>
    <row r="771" spans="1:8" x14ac:dyDescent="0.2">
      <c r="A771" s="30"/>
      <c r="B771" s="30"/>
      <c r="C771" s="30"/>
      <c r="D771" s="28" t="str">
        <f>IFERROR(IF(C771="","",IF(B771="موظف",VLOOKUP(C771,الموظفين!$B:$C,2,FALSE),VLOOKUP(C771,المستفيدين!$B:$C,2,FALSE))),"")</f>
        <v/>
      </c>
      <c r="E771" s="28"/>
      <c r="F771" s="30"/>
      <c r="G771" s="30"/>
      <c r="H771" s="30"/>
    </row>
    <row r="772" spans="1:8" x14ac:dyDescent="0.2">
      <c r="A772" s="30"/>
      <c r="B772" s="30"/>
      <c r="C772" s="30"/>
      <c r="D772" s="28" t="str">
        <f>IFERROR(IF(C772="","",IF(B772="موظف",VLOOKUP(C772,الموظفين!$B:$C,2,FALSE),VLOOKUP(C772,المستفيدين!$B:$C,2,FALSE))),"")</f>
        <v/>
      </c>
      <c r="E772" s="28"/>
      <c r="F772" s="30"/>
      <c r="G772" s="30"/>
      <c r="H772" s="30"/>
    </row>
    <row r="773" spans="1:8" x14ac:dyDescent="0.2">
      <c r="A773" s="30"/>
      <c r="B773" s="30"/>
      <c r="C773" s="30"/>
      <c r="D773" s="28" t="str">
        <f>IFERROR(IF(C773="","",IF(B773="موظف",VLOOKUP(C773,الموظفين!$B:$C,2,FALSE),VLOOKUP(C773,المستفيدين!$B:$C,2,FALSE))),"")</f>
        <v/>
      </c>
      <c r="E773" s="28"/>
      <c r="F773" s="30"/>
      <c r="G773" s="30"/>
      <c r="H773" s="30"/>
    </row>
    <row r="774" spans="1:8" x14ac:dyDescent="0.2">
      <c r="A774" s="30"/>
      <c r="B774" s="30"/>
      <c r="C774" s="30"/>
      <c r="D774" s="28" t="str">
        <f>IFERROR(IF(C774="","",IF(B774="موظف",VLOOKUP(C774,الموظفين!$B:$C,2,FALSE),VLOOKUP(C774,المستفيدين!$B:$C,2,FALSE))),"")</f>
        <v/>
      </c>
      <c r="E774" s="28"/>
      <c r="F774" s="30"/>
      <c r="G774" s="30"/>
      <c r="H774" s="30"/>
    </row>
    <row r="775" spans="1:8" x14ac:dyDescent="0.2">
      <c r="A775" s="30"/>
      <c r="B775" s="30"/>
      <c r="C775" s="30"/>
      <c r="D775" s="28" t="str">
        <f>IFERROR(IF(C775="","",IF(B775="موظف",VLOOKUP(C775,الموظفين!$B:$C,2,FALSE),VLOOKUP(C775,المستفيدين!$B:$C,2,FALSE))),"")</f>
        <v/>
      </c>
      <c r="E775" s="28"/>
      <c r="F775" s="30"/>
      <c r="G775" s="30"/>
      <c r="H775" s="30"/>
    </row>
    <row r="776" spans="1:8" x14ac:dyDescent="0.2">
      <c r="A776" s="30"/>
      <c r="B776" s="30"/>
      <c r="C776" s="30"/>
      <c r="D776" s="28" t="str">
        <f>IFERROR(IF(C776="","",IF(B776="موظف",VLOOKUP(C776,الموظفين!$B:$C,2,FALSE),VLOOKUP(C776,المستفيدين!$B:$C,2,FALSE))),"")</f>
        <v/>
      </c>
      <c r="E776" s="28"/>
      <c r="F776" s="30"/>
      <c r="G776" s="30"/>
      <c r="H776" s="30"/>
    </row>
    <row r="777" spans="1:8" x14ac:dyDescent="0.2">
      <c r="A777" s="30"/>
      <c r="B777" s="30"/>
      <c r="C777" s="30"/>
      <c r="D777" s="28" t="str">
        <f>IFERROR(IF(C777="","",IF(B777="موظف",VLOOKUP(C777,الموظفين!$B:$C,2,FALSE),VLOOKUP(C777,المستفيدين!$B:$C,2,FALSE))),"")</f>
        <v/>
      </c>
      <c r="E777" s="28"/>
      <c r="F777" s="30"/>
      <c r="G777" s="30"/>
      <c r="H777" s="30"/>
    </row>
    <row r="778" spans="1:8" x14ac:dyDescent="0.2">
      <c r="A778" s="30"/>
      <c r="B778" s="30"/>
      <c r="C778" s="30"/>
      <c r="D778" s="28" t="str">
        <f>IFERROR(IF(C778="","",IF(B778="موظف",VLOOKUP(C778,الموظفين!$B:$C,2,FALSE),VLOOKUP(C778,المستفيدين!$B:$C,2,FALSE))),"")</f>
        <v/>
      </c>
      <c r="E778" s="28"/>
      <c r="F778" s="30"/>
      <c r="G778" s="30"/>
      <c r="H778" s="30"/>
    </row>
    <row r="779" spans="1:8" x14ac:dyDescent="0.2">
      <c r="A779" s="30"/>
      <c r="B779" s="30"/>
      <c r="C779" s="30"/>
      <c r="D779" s="28" t="str">
        <f>IFERROR(IF(C779="","",IF(B779="موظف",VLOOKUP(C779,الموظفين!$B:$C,2,FALSE),VLOOKUP(C779,المستفيدين!$B:$C,2,FALSE))),"")</f>
        <v/>
      </c>
      <c r="E779" s="28"/>
      <c r="F779" s="30"/>
      <c r="G779" s="30"/>
      <c r="H779" s="30"/>
    </row>
    <row r="780" spans="1:8" x14ac:dyDescent="0.2">
      <c r="A780" s="30"/>
      <c r="B780" s="30"/>
      <c r="C780" s="30"/>
      <c r="D780" s="28" t="str">
        <f>IFERROR(IF(C780="","",IF(B780="موظف",VLOOKUP(C780,الموظفين!$B:$C,2,FALSE),VLOOKUP(C780,المستفيدين!$B:$C,2,FALSE))),"")</f>
        <v/>
      </c>
      <c r="E780" s="28"/>
      <c r="F780" s="30"/>
      <c r="G780" s="30"/>
      <c r="H780" s="30"/>
    </row>
    <row r="781" spans="1:8" x14ac:dyDescent="0.2">
      <c r="A781" s="30"/>
      <c r="B781" s="30"/>
      <c r="C781" s="30"/>
      <c r="D781" s="28" t="str">
        <f>IFERROR(IF(C781="","",IF(B781="موظف",VLOOKUP(C781,الموظفين!$B:$C,2,FALSE),VLOOKUP(C781,المستفيدين!$B:$C,2,FALSE))),"")</f>
        <v/>
      </c>
      <c r="E781" s="28"/>
      <c r="F781" s="30"/>
      <c r="G781" s="30"/>
      <c r="H781" s="30"/>
    </row>
    <row r="782" spans="1:8" x14ac:dyDescent="0.2">
      <c r="A782" s="30"/>
      <c r="B782" s="30"/>
      <c r="C782" s="30"/>
      <c r="D782" s="28" t="str">
        <f>IFERROR(IF(C782="","",IF(B782="موظف",VLOOKUP(C782,الموظفين!$B:$C,2,FALSE),VLOOKUP(C782,المستفيدين!$B:$C,2,FALSE))),"")</f>
        <v/>
      </c>
      <c r="E782" s="28"/>
      <c r="F782" s="30"/>
      <c r="G782" s="30"/>
      <c r="H782" s="30"/>
    </row>
    <row r="783" spans="1:8" x14ac:dyDescent="0.2">
      <c r="A783" s="30"/>
      <c r="B783" s="30"/>
      <c r="C783" s="30"/>
      <c r="D783" s="28" t="str">
        <f>IFERROR(IF(C783="","",IF(B783="موظف",VLOOKUP(C783,الموظفين!$B:$C,2,FALSE),VLOOKUP(C783,المستفيدين!$B:$C,2,FALSE))),"")</f>
        <v/>
      </c>
      <c r="E783" s="28"/>
      <c r="F783" s="30"/>
      <c r="G783" s="30"/>
      <c r="H783" s="30"/>
    </row>
    <row r="784" spans="1:8" x14ac:dyDescent="0.2">
      <c r="A784" s="30"/>
      <c r="B784" s="30"/>
      <c r="C784" s="30"/>
      <c r="D784" s="28" t="str">
        <f>IFERROR(IF(C784="","",IF(B784="موظف",VLOOKUP(C784,الموظفين!$B:$C,2,FALSE),VLOOKUP(C784,المستفيدين!$B:$C,2,FALSE))),"")</f>
        <v/>
      </c>
      <c r="E784" s="28"/>
      <c r="F784" s="30"/>
      <c r="G784" s="30"/>
      <c r="H784" s="30"/>
    </row>
    <row r="785" spans="1:8" x14ac:dyDescent="0.2">
      <c r="A785" s="30"/>
      <c r="B785" s="30"/>
      <c r="C785" s="30"/>
      <c r="D785" s="28" t="str">
        <f>IFERROR(IF(C785="","",IF(B785="موظف",VLOOKUP(C785,الموظفين!$B:$C,2,FALSE),VLOOKUP(C785,المستفيدين!$B:$C,2,FALSE))),"")</f>
        <v/>
      </c>
      <c r="E785" s="28"/>
      <c r="F785" s="30"/>
      <c r="G785" s="30"/>
      <c r="H785" s="30"/>
    </row>
    <row r="786" spans="1:8" x14ac:dyDescent="0.2">
      <c r="A786" s="30"/>
      <c r="B786" s="30"/>
      <c r="C786" s="30"/>
      <c r="D786" s="28" t="str">
        <f>IFERROR(IF(C786="","",IF(B786="موظف",VLOOKUP(C786,الموظفين!$B:$C,2,FALSE),VLOOKUP(C786,المستفيدين!$B:$C,2,FALSE))),"")</f>
        <v/>
      </c>
      <c r="E786" s="28"/>
      <c r="F786" s="30"/>
      <c r="G786" s="30"/>
      <c r="H786" s="30"/>
    </row>
    <row r="787" spans="1:8" x14ac:dyDescent="0.2">
      <c r="A787" s="30"/>
      <c r="B787" s="30"/>
      <c r="C787" s="30"/>
      <c r="D787" s="28" t="str">
        <f>IFERROR(IF(C787="","",IF(B787="موظف",VLOOKUP(C787,الموظفين!$B:$C,2,FALSE),VLOOKUP(C787,المستفيدين!$B:$C,2,FALSE))),"")</f>
        <v/>
      </c>
      <c r="E787" s="28"/>
      <c r="F787" s="30"/>
      <c r="G787" s="30"/>
      <c r="H787" s="30"/>
    </row>
    <row r="788" spans="1:8" x14ac:dyDescent="0.2">
      <c r="A788" s="30"/>
      <c r="B788" s="30"/>
      <c r="C788" s="30"/>
      <c r="D788" s="28" t="str">
        <f>IFERROR(IF(C788="","",IF(B788="موظف",VLOOKUP(C788,الموظفين!$B:$C,2,FALSE),VLOOKUP(C788,المستفيدين!$B:$C,2,FALSE))),"")</f>
        <v/>
      </c>
      <c r="E788" s="28"/>
      <c r="F788" s="30"/>
      <c r="G788" s="30"/>
      <c r="H788" s="30"/>
    </row>
    <row r="789" spans="1:8" x14ac:dyDescent="0.2">
      <c r="A789" s="30"/>
      <c r="B789" s="30"/>
      <c r="C789" s="30"/>
      <c r="D789" s="28" t="str">
        <f>IFERROR(IF(C789="","",IF(B789="موظف",VLOOKUP(C789,الموظفين!$B:$C,2,FALSE),VLOOKUP(C789,المستفيدين!$B:$C,2,FALSE))),"")</f>
        <v/>
      </c>
      <c r="E789" s="28"/>
      <c r="F789" s="30"/>
      <c r="G789" s="30"/>
      <c r="H789" s="30"/>
    </row>
    <row r="790" spans="1:8" x14ac:dyDescent="0.2">
      <c r="A790" s="30"/>
      <c r="B790" s="30"/>
      <c r="C790" s="30"/>
      <c r="D790" s="28" t="str">
        <f>IFERROR(IF(C790="","",IF(B790="موظف",VLOOKUP(C790,الموظفين!$B:$C,2,FALSE),VLOOKUP(C790,المستفيدين!$B:$C,2,FALSE))),"")</f>
        <v/>
      </c>
      <c r="E790" s="28"/>
      <c r="F790" s="30"/>
      <c r="G790" s="30"/>
      <c r="H790" s="30"/>
    </row>
    <row r="791" spans="1:8" x14ac:dyDescent="0.2">
      <c r="A791" s="30"/>
      <c r="B791" s="30"/>
      <c r="C791" s="30"/>
      <c r="D791" s="28" t="str">
        <f>IFERROR(IF(C791="","",IF(B791="موظف",VLOOKUP(C791,الموظفين!$B:$C,2,FALSE),VLOOKUP(C791,المستفيدين!$B:$C,2,FALSE))),"")</f>
        <v/>
      </c>
      <c r="E791" s="28"/>
      <c r="F791" s="30"/>
      <c r="G791" s="30"/>
      <c r="H791" s="30"/>
    </row>
    <row r="792" spans="1:8" x14ac:dyDescent="0.2">
      <c r="A792" s="30"/>
      <c r="B792" s="30"/>
      <c r="C792" s="30"/>
      <c r="D792" s="28" t="str">
        <f>IFERROR(IF(C792="","",IF(B792="موظف",VLOOKUP(C792,الموظفين!$B:$C,2,FALSE),VLOOKUP(C792,المستفيدين!$B:$C,2,FALSE))),"")</f>
        <v/>
      </c>
      <c r="E792" s="28"/>
      <c r="F792" s="30"/>
      <c r="G792" s="30"/>
      <c r="H792" s="30"/>
    </row>
    <row r="793" spans="1:8" x14ac:dyDescent="0.2">
      <c r="A793" s="30"/>
      <c r="B793" s="30"/>
      <c r="C793" s="30"/>
      <c r="D793" s="28" t="str">
        <f>IFERROR(IF(C793="","",IF(B793="موظف",VLOOKUP(C793,الموظفين!$B:$C,2,FALSE),VLOOKUP(C793,المستفيدين!$B:$C,2,FALSE))),"")</f>
        <v/>
      </c>
      <c r="E793" s="28"/>
      <c r="F793" s="30"/>
      <c r="G793" s="30"/>
      <c r="H793" s="30"/>
    </row>
    <row r="794" spans="1:8" x14ac:dyDescent="0.2">
      <c r="A794" s="30"/>
      <c r="B794" s="30"/>
      <c r="C794" s="30"/>
      <c r="D794" s="28" t="str">
        <f>IFERROR(IF(C794="","",IF(B794="موظف",VLOOKUP(C794,الموظفين!$B:$C,2,FALSE),VLOOKUP(C794,المستفيدين!$B:$C,2,FALSE))),"")</f>
        <v/>
      </c>
      <c r="E794" s="28"/>
      <c r="F794" s="30"/>
      <c r="G794" s="30"/>
      <c r="H794" s="30"/>
    </row>
    <row r="795" spans="1:8" x14ac:dyDescent="0.2">
      <c r="A795" s="30"/>
      <c r="B795" s="30"/>
      <c r="C795" s="30"/>
      <c r="D795" s="28" t="str">
        <f>IFERROR(IF(C795="","",IF(B795="موظف",VLOOKUP(C795,الموظفين!$B:$C,2,FALSE),VLOOKUP(C795,المستفيدين!$B:$C,2,FALSE))),"")</f>
        <v/>
      </c>
      <c r="E795" s="28"/>
      <c r="F795" s="30"/>
      <c r="G795" s="30"/>
      <c r="H795" s="30"/>
    </row>
    <row r="796" spans="1:8" x14ac:dyDescent="0.2">
      <c r="A796" s="30"/>
      <c r="B796" s="30"/>
      <c r="C796" s="30"/>
      <c r="D796" s="28" t="str">
        <f>IFERROR(IF(C796="","",IF(B796="موظف",VLOOKUP(C796,الموظفين!$B:$C,2,FALSE),VLOOKUP(C796,المستفيدين!$B:$C,2,FALSE))),"")</f>
        <v/>
      </c>
      <c r="E796" s="28"/>
      <c r="F796" s="30"/>
      <c r="G796" s="30"/>
      <c r="H796" s="30"/>
    </row>
    <row r="797" spans="1:8" x14ac:dyDescent="0.2">
      <c r="A797" s="30"/>
      <c r="B797" s="30"/>
      <c r="C797" s="30"/>
      <c r="D797" s="28" t="str">
        <f>IFERROR(IF(C797="","",IF(B797="موظف",VLOOKUP(C797,الموظفين!$B:$C,2,FALSE),VLOOKUP(C797,المستفيدين!$B:$C,2,FALSE))),"")</f>
        <v/>
      </c>
      <c r="E797" s="28"/>
      <c r="F797" s="30"/>
      <c r="G797" s="30"/>
      <c r="H797" s="30"/>
    </row>
    <row r="798" spans="1:8" x14ac:dyDescent="0.2">
      <c r="A798" s="30"/>
      <c r="B798" s="30"/>
      <c r="C798" s="30"/>
      <c r="D798" s="28" t="str">
        <f>IFERROR(IF(C798="","",IF(B798="موظف",VLOOKUP(C798,الموظفين!$B:$C,2,FALSE),VLOOKUP(C798,المستفيدين!$B:$C,2,FALSE))),"")</f>
        <v/>
      </c>
      <c r="E798" s="28"/>
      <c r="F798" s="30"/>
      <c r="G798" s="30"/>
      <c r="H798" s="30"/>
    </row>
    <row r="799" spans="1:8" x14ac:dyDescent="0.2">
      <c r="A799" s="30"/>
      <c r="B799" s="30"/>
      <c r="C799" s="30"/>
      <c r="D799" s="28" t="str">
        <f>IFERROR(IF(C799="","",IF(B799="موظف",VLOOKUP(C799,الموظفين!$B:$C,2,FALSE),VLOOKUP(C799,المستفيدين!$B:$C,2,FALSE))),"")</f>
        <v/>
      </c>
      <c r="E799" s="28"/>
      <c r="F799" s="30"/>
      <c r="G799" s="30"/>
      <c r="H799" s="30"/>
    </row>
    <row r="800" spans="1:8" x14ac:dyDescent="0.2">
      <c r="A800" s="30"/>
      <c r="B800" s="30"/>
      <c r="C800" s="30"/>
      <c r="D800" s="28" t="str">
        <f>IFERROR(IF(C800="","",IF(B800="موظف",VLOOKUP(C800,الموظفين!$B:$C,2,FALSE),VLOOKUP(C800,المستفيدين!$B:$C,2,FALSE))),"")</f>
        <v/>
      </c>
      <c r="E800" s="28"/>
      <c r="F800" s="30"/>
      <c r="G800" s="30"/>
      <c r="H800" s="30"/>
    </row>
    <row r="801" spans="1:8" x14ac:dyDescent="0.2">
      <c r="A801" s="30"/>
      <c r="B801" s="30"/>
      <c r="C801" s="30"/>
      <c r="D801" s="28" t="str">
        <f>IFERROR(IF(C801="","",IF(B801="موظف",VLOOKUP(C801,الموظفين!$B:$C,2,FALSE),VLOOKUP(C801,المستفيدين!$B:$C,2,FALSE))),"")</f>
        <v/>
      </c>
      <c r="E801" s="28"/>
      <c r="F801" s="30"/>
      <c r="G801" s="30"/>
      <c r="H801" s="30"/>
    </row>
    <row r="802" spans="1:8" x14ac:dyDescent="0.2">
      <c r="A802" s="30"/>
      <c r="B802" s="30"/>
      <c r="C802" s="30"/>
      <c r="D802" s="28" t="str">
        <f>IFERROR(IF(C802="","",IF(B802="موظف",VLOOKUP(C802,الموظفين!$B:$C,2,FALSE),VLOOKUP(C802,المستفيدين!$B:$C,2,FALSE))),"")</f>
        <v/>
      </c>
      <c r="E802" s="28"/>
      <c r="F802" s="30"/>
      <c r="G802" s="30"/>
      <c r="H802" s="30"/>
    </row>
    <row r="803" spans="1:8" x14ac:dyDescent="0.2">
      <c r="A803" s="30"/>
      <c r="B803" s="30"/>
      <c r="C803" s="30"/>
      <c r="D803" s="28" t="str">
        <f>IFERROR(IF(C803="","",IF(B803="موظف",VLOOKUP(C803,الموظفين!$B:$C,2,FALSE),VLOOKUP(C803,المستفيدين!$B:$C,2,FALSE))),"")</f>
        <v/>
      </c>
      <c r="E803" s="28"/>
      <c r="F803" s="30"/>
      <c r="G803" s="30"/>
      <c r="H803" s="30"/>
    </row>
    <row r="804" spans="1:8" x14ac:dyDescent="0.2">
      <c r="A804" s="30"/>
      <c r="B804" s="30"/>
      <c r="C804" s="30"/>
      <c r="D804" s="28" t="str">
        <f>IFERROR(IF(C804="","",IF(B804="موظف",VLOOKUP(C804,الموظفين!$B:$C,2,FALSE),VLOOKUP(C804,المستفيدين!$B:$C,2,FALSE))),"")</f>
        <v/>
      </c>
      <c r="E804" s="28"/>
      <c r="F804" s="30"/>
      <c r="G804" s="30"/>
      <c r="H804" s="30"/>
    </row>
    <row r="805" spans="1:8" x14ac:dyDescent="0.2">
      <c r="A805" s="30"/>
      <c r="B805" s="30"/>
      <c r="C805" s="30"/>
      <c r="D805" s="28" t="str">
        <f>IFERROR(IF(C805="","",IF(B805="موظف",VLOOKUP(C805,الموظفين!$B:$C,2,FALSE),VLOOKUP(C805,المستفيدين!$B:$C,2,FALSE))),"")</f>
        <v/>
      </c>
      <c r="E805" s="28"/>
      <c r="F805" s="30"/>
      <c r="G805" s="30"/>
      <c r="H805" s="30"/>
    </row>
    <row r="806" spans="1:8" x14ac:dyDescent="0.2">
      <c r="A806" s="30"/>
      <c r="B806" s="30"/>
      <c r="C806" s="30"/>
      <c r="D806" s="28" t="str">
        <f>IFERROR(IF(C806="","",IF(B806="موظف",VLOOKUP(C806,الموظفين!$B:$C,2,FALSE),VLOOKUP(C806,المستفيدين!$B:$C,2,FALSE))),"")</f>
        <v/>
      </c>
      <c r="E806" s="28"/>
      <c r="F806" s="30"/>
      <c r="G806" s="30"/>
      <c r="H806" s="30"/>
    </row>
    <row r="807" spans="1:8" x14ac:dyDescent="0.2">
      <c r="A807" s="30"/>
      <c r="B807" s="30"/>
      <c r="C807" s="30"/>
      <c r="D807" s="28" t="str">
        <f>IFERROR(IF(C807="","",IF(B807="موظف",VLOOKUP(C807,الموظفين!$B:$C,2,FALSE),VLOOKUP(C807,المستفيدين!$B:$C,2,FALSE))),"")</f>
        <v/>
      </c>
      <c r="E807" s="28"/>
      <c r="F807" s="30"/>
      <c r="G807" s="30"/>
      <c r="H807" s="30"/>
    </row>
    <row r="808" spans="1:8" x14ac:dyDescent="0.2">
      <c r="A808" s="30"/>
      <c r="B808" s="30"/>
      <c r="C808" s="30"/>
      <c r="D808" s="28" t="str">
        <f>IFERROR(IF(C808="","",IF(B808="موظف",VLOOKUP(C808,الموظفين!$B:$C,2,FALSE),VLOOKUP(C808,المستفيدين!$B:$C,2,FALSE))),"")</f>
        <v/>
      </c>
      <c r="E808" s="28"/>
      <c r="F808" s="30"/>
      <c r="G808" s="30"/>
      <c r="H808" s="30"/>
    </row>
    <row r="809" spans="1:8" x14ac:dyDescent="0.2">
      <c r="A809" s="30"/>
      <c r="B809" s="30"/>
      <c r="C809" s="30"/>
      <c r="D809" s="28" t="str">
        <f>IFERROR(IF(C809="","",IF(B809="موظف",VLOOKUP(C809,الموظفين!$B:$C,2,FALSE),VLOOKUP(C809,المستفيدين!$B:$C,2,FALSE))),"")</f>
        <v/>
      </c>
      <c r="E809" s="28"/>
      <c r="F809" s="30"/>
      <c r="G809" s="30"/>
      <c r="H809" s="30"/>
    </row>
    <row r="810" spans="1:8" x14ac:dyDescent="0.2">
      <c r="A810" s="30"/>
      <c r="B810" s="30"/>
      <c r="C810" s="30"/>
      <c r="D810" s="28" t="str">
        <f>IFERROR(IF(C810="","",IF(B810="موظف",VLOOKUP(C810,الموظفين!$B:$C,2,FALSE),VLOOKUP(C810,المستفيدين!$B:$C,2,FALSE))),"")</f>
        <v/>
      </c>
      <c r="E810" s="28"/>
      <c r="F810" s="30"/>
      <c r="G810" s="30"/>
      <c r="H810" s="30"/>
    </row>
    <row r="811" spans="1:8" x14ac:dyDescent="0.2">
      <c r="A811" s="30"/>
      <c r="B811" s="30"/>
      <c r="C811" s="30"/>
      <c r="D811" s="28" t="str">
        <f>IFERROR(IF(C811="","",IF(B811="موظف",VLOOKUP(C811,الموظفين!$B:$C,2,FALSE),VLOOKUP(C811,المستفيدين!$B:$C,2,FALSE))),"")</f>
        <v/>
      </c>
      <c r="E811" s="28"/>
      <c r="F811" s="30"/>
      <c r="G811" s="30"/>
      <c r="H811" s="30"/>
    </row>
    <row r="812" spans="1:8" x14ac:dyDescent="0.2">
      <c r="A812" s="30"/>
      <c r="B812" s="30"/>
      <c r="C812" s="30"/>
      <c r="D812" s="28" t="str">
        <f>IFERROR(IF(C812="","",IF(B812="موظف",VLOOKUP(C812,الموظفين!$B:$C,2,FALSE),VLOOKUP(C812,المستفيدين!$B:$C,2,FALSE))),"")</f>
        <v/>
      </c>
      <c r="E812" s="28"/>
      <c r="F812" s="30"/>
      <c r="G812" s="30"/>
      <c r="H812" s="30"/>
    </row>
    <row r="813" spans="1:8" x14ac:dyDescent="0.2">
      <c r="A813" s="30"/>
      <c r="B813" s="30"/>
      <c r="C813" s="30"/>
      <c r="D813" s="28" t="str">
        <f>IFERROR(IF(C813="","",IF(B813="موظف",VLOOKUP(C813,الموظفين!$B:$C,2,FALSE),VLOOKUP(C813,المستفيدين!$B:$C,2,FALSE))),"")</f>
        <v/>
      </c>
      <c r="E813" s="28"/>
      <c r="F813" s="30"/>
      <c r="G813" s="30"/>
      <c r="H813" s="30"/>
    </row>
    <row r="814" spans="1:8" x14ac:dyDescent="0.2">
      <c r="A814" s="30"/>
      <c r="B814" s="30"/>
      <c r="C814" s="30"/>
      <c r="D814" s="28" t="str">
        <f>IFERROR(IF(C814="","",IF(B814="موظف",VLOOKUP(C814,الموظفين!$B:$C,2,FALSE),VLOOKUP(C814,المستفيدين!$B:$C,2,FALSE))),"")</f>
        <v/>
      </c>
      <c r="E814" s="28"/>
      <c r="F814" s="30"/>
      <c r="G814" s="30"/>
      <c r="H814" s="30"/>
    </row>
    <row r="815" spans="1:8" x14ac:dyDescent="0.2">
      <c r="A815" s="30"/>
      <c r="B815" s="30"/>
      <c r="C815" s="30"/>
      <c r="D815" s="28" t="str">
        <f>IFERROR(IF(C815="","",IF(B815="موظف",VLOOKUP(C815,الموظفين!$B:$C,2,FALSE),VLOOKUP(C815,المستفيدين!$B:$C,2,FALSE))),"")</f>
        <v/>
      </c>
      <c r="E815" s="28"/>
      <c r="F815" s="30"/>
      <c r="G815" s="30"/>
      <c r="H815" s="30"/>
    </row>
    <row r="816" spans="1:8" x14ac:dyDescent="0.2">
      <c r="A816" s="30"/>
      <c r="B816" s="30"/>
      <c r="C816" s="30"/>
      <c r="D816" s="28" t="str">
        <f>IFERROR(IF(C816="","",IF(B816="موظف",VLOOKUP(C816,الموظفين!$B:$C,2,FALSE),VLOOKUP(C816,المستفيدين!$B:$C,2,FALSE))),"")</f>
        <v/>
      </c>
      <c r="E816" s="28"/>
      <c r="F816" s="30"/>
      <c r="G816" s="30"/>
      <c r="H816" s="30"/>
    </row>
    <row r="817" spans="1:8" x14ac:dyDescent="0.2">
      <c r="A817" s="30"/>
      <c r="B817" s="30"/>
      <c r="C817" s="30"/>
      <c r="D817" s="28" t="str">
        <f>IFERROR(IF(C817="","",IF(B817="موظف",VLOOKUP(C817,الموظفين!$B:$C,2,FALSE),VLOOKUP(C817,المستفيدين!$B:$C,2,FALSE))),"")</f>
        <v/>
      </c>
      <c r="E817" s="28"/>
      <c r="F817" s="30"/>
      <c r="G817" s="30"/>
      <c r="H817" s="30"/>
    </row>
    <row r="818" spans="1:8" x14ac:dyDescent="0.2">
      <c r="A818" s="30"/>
      <c r="B818" s="30"/>
      <c r="C818" s="30"/>
      <c r="D818" s="28" t="str">
        <f>IFERROR(IF(C818="","",IF(B818="موظف",VLOOKUP(C818,الموظفين!$B:$C,2,FALSE),VLOOKUP(C818,المستفيدين!$B:$C,2,FALSE))),"")</f>
        <v/>
      </c>
      <c r="E818" s="28"/>
      <c r="F818" s="30"/>
      <c r="G818" s="30"/>
      <c r="H818" s="30"/>
    </row>
    <row r="819" spans="1:8" x14ac:dyDescent="0.2">
      <c r="A819" s="30"/>
      <c r="B819" s="30"/>
      <c r="C819" s="30"/>
      <c r="D819" s="28" t="str">
        <f>IFERROR(IF(C819="","",IF(B819="موظف",VLOOKUP(C819,الموظفين!$B:$C,2,FALSE),VLOOKUP(C819,المستفيدين!$B:$C,2,FALSE))),"")</f>
        <v/>
      </c>
      <c r="E819" s="28"/>
      <c r="F819" s="30"/>
      <c r="G819" s="30"/>
      <c r="H819" s="30"/>
    </row>
    <row r="820" spans="1:8" x14ac:dyDescent="0.2">
      <c r="A820" s="30"/>
      <c r="B820" s="30"/>
      <c r="C820" s="30"/>
      <c r="D820" s="28" t="str">
        <f>IFERROR(IF(C820="","",IF(B820="موظف",VLOOKUP(C820,الموظفين!$B:$C,2,FALSE),VLOOKUP(C820,المستفيدين!$B:$C,2,FALSE))),"")</f>
        <v/>
      </c>
      <c r="E820" s="28"/>
      <c r="F820" s="30"/>
      <c r="G820" s="30"/>
      <c r="H820" s="30"/>
    </row>
    <row r="821" spans="1:8" x14ac:dyDescent="0.2">
      <c r="A821" s="30"/>
      <c r="B821" s="30"/>
      <c r="C821" s="30"/>
      <c r="D821" s="28" t="str">
        <f>IFERROR(IF(C821="","",IF(B821="موظف",VLOOKUP(C821,الموظفين!$B:$C,2,FALSE),VLOOKUP(C821,المستفيدين!$B:$C,2,FALSE))),"")</f>
        <v/>
      </c>
      <c r="E821" s="28"/>
      <c r="F821" s="30"/>
      <c r="G821" s="30"/>
      <c r="H821" s="30"/>
    </row>
    <row r="822" spans="1:8" x14ac:dyDescent="0.2">
      <c r="A822" s="30"/>
      <c r="B822" s="30"/>
      <c r="C822" s="30"/>
      <c r="D822" s="28" t="str">
        <f>IFERROR(IF(C822="","",IF(B822="موظف",VLOOKUP(C822,الموظفين!$B:$C,2,FALSE),VLOOKUP(C822,المستفيدين!$B:$C,2,FALSE))),"")</f>
        <v/>
      </c>
      <c r="E822" s="28"/>
      <c r="F822" s="30"/>
      <c r="G822" s="30"/>
      <c r="H822" s="30"/>
    </row>
    <row r="823" spans="1:8" x14ac:dyDescent="0.2">
      <c r="A823" s="30"/>
      <c r="B823" s="30"/>
      <c r="C823" s="30"/>
      <c r="D823" s="28" t="str">
        <f>IFERROR(IF(C823="","",IF(B823="موظف",VLOOKUP(C823,الموظفين!$B:$C,2,FALSE),VLOOKUP(C823,المستفيدين!$B:$C,2,FALSE))),"")</f>
        <v/>
      </c>
      <c r="E823" s="28"/>
      <c r="F823" s="30"/>
      <c r="G823" s="30"/>
      <c r="H823" s="30"/>
    </row>
    <row r="824" spans="1:8" x14ac:dyDescent="0.2">
      <c r="A824" s="30"/>
      <c r="B824" s="30"/>
      <c r="C824" s="30"/>
      <c r="D824" s="28" t="str">
        <f>IFERROR(IF(C824="","",IF(B824="موظف",VLOOKUP(C824,الموظفين!$B:$C,2,FALSE),VLOOKUP(C824,المستفيدين!$B:$C,2,FALSE))),"")</f>
        <v/>
      </c>
      <c r="E824" s="28"/>
      <c r="F824" s="30"/>
      <c r="G824" s="30"/>
      <c r="H824" s="30"/>
    </row>
    <row r="825" spans="1:8" x14ac:dyDescent="0.2">
      <c r="A825" s="30"/>
      <c r="B825" s="30"/>
      <c r="C825" s="30"/>
      <c r="D825" s="28" t="str">
        <f>IFERROR(IF(C825="","",IF(B825="موظف",VLOOKUP(C825,الموظفين!$B:$C,2,FALSE),VLOOKUP(C825,المستفيدين!$B:$C,2,FALSE))),"")</f>
        <v/>
      </c>
      <c r="E825" s="28"/>
      <c r="F825" s="30"/>
      <c r="G825" s="30"/>
      <c r="H825" s="30"/>
    </row>
    <row r="826" spans="1:8" x14ac:dyDescent="0.2">
      <c r="A826" s="30"/>
      <c r="B826" s="30"/>
      <c r="C826" s="30"/>
      <c r="D826" s="28" t="str">
        <f>IFERROR(IF(C826="","",IF(B826="موظف",VLOOKUP(C826,الموظفين!$B:$C,2,FALSE),VLOOKUP(C826,المستفيدين!$B:$C,2,FALSE))),"")</f>
        <v/>
      </c>
      <c r="E826" s="28"/>
      <c r="F826" s="30"/>
      <c r="G826" s="30"/>
      <c r="H826" s="30"/>
    </row>
    <row r="827" spans="1:8" x14ac:dyDescent="0.2">
      <c r="A827" s="30"/>
      <c r="B827" s="30"/>
      <c r="C827" s="30"/>
      <c r="D827" s="28" t="str">
        <f>IFERROR(IF(C827="","",IF(B827="موظف",VLOOKUP(C827,الموظفين!$B:$C,2,FALSE),VLOOKUP(C827,المستفيدين!$B:$C,2,FALSE))),"")</f>
        <v/>
      </c>
      <c r="E827" s="28"/>
      <c r="F827" s="30"/>
      <c r="G827" s="30"/>
      <c r="H827" s="30"/>
    </row>
    <row r="828" spans="1:8" x14ac:dyDescent="0.2">
      <c r="A828" s="30"/>
      <c r="B828" s="30"/>
      <c r="C828" s="30"/>
      <c r="D828" s="28" t="str">
        <f>IFERROR(IF(C828="","",IF(B828="موظف",VLOOKUP(C828,الموظفين!$B:$C,2,FALSE),VLOOKUP(C828,المستفيدين!$B:$C,2,FALSE))),"")</f>
        <v/>
      </c>
      <c r="E828" s="28"/>
      <c r="F828" s="30"/>
      <c r="G828" s="30"/>
      <c r="H828" s="30"/>
    </row>
    <row r="829" spans="1:8" x14ac:dyDescent="0.2">
      <c r="A829" s="30"/>
      <c r="B829" s="30"/>
      <c r="C829" s="30"/>
      <c r="D829" s="28" t="str">
        <f>IFERROR(IF(C829="","",IF(B829="موظف",VLOOKUP(C829,الموظفين!$B:$C,2,FALSE),VLOOKUP(C829,المستفيدين!$B:$C,2,FALSE))),"")</f>
        <v/>
      </c>
      <c r="E829" s="28"/>
      <c r="F829" s="30"/>
      <c r="G829" s="30"/>
      <c r="H829" s="30"/>
    </row>
    <row r="830" spans="1:8" x14ac:dyDescent="0.2">
      <c r="A830" s="30"/>
      <c r="B830" s="30"/>
      <c r="C830" s="30"/>
      <c r="D830" s="28" t="str">
        <f>IFERROR(IF(C830="","",IF(B830="موظف",VLOOKUP(C830,الموظفين!$B:$C,2,FALSE),VLOOKUP(C830,المستفيدين!$B:$C,2,FALSE))),"")</f>
        <v/>
      </c>
      <c r="E830" s="28"/>
      <c r="F830" s="30"/>
      <c r="G830" s="30"/>
      <c r="H830" s="30"/>
    </row>
    <row r="831" spans="1:8" x14ac:dyDescent="0.2">
      <c r="A831" s="30"/>
      <c r="B831" s="30"/>
      <c r="C831" s="30"/>
      <c r="D831" s="28" t="str">
        <f>IFERROR(IF(C831="","",IF(B831="موظف",VLOOKUP(C831,الموظفين!$B:$C,2,FALSE),VLOOKUP(C831,المستفيدين!$B:$C,2,FALSE))),"")</f>
        <v/>
      </c>
      <c r="E831" s="28"/>
      <c r="F831" s="30"/>
      <c r="G831" s="30"/>
      <c r="H831" s="30"/>
    </row>
    <row r="832" spans="1:8" x14ac:dyDescent="0.2">
      <c r="A832" s="30"/>
      <c r="B832" s="30"/>
      <c r="C832" s="30"/>
      <c r="D832" s="28" t="str">
        <f>IFERROR(IF(C832="","",IF(B832="موظف",VLOOKUP(C832,الموظفين!$B:$C,2,FALSE),VLOOKUP(C832,المستفيدين!$B:$C,2,FALSE))),"")</f>
        <v/>
      </c>
      <c r="E832" s="28"/>
      <c r="F832" s="30"/>
      <c r="G832" s="30"/>
      <c r="H832" s="30"/>
    </row>
    <row r="833" spans="1:8" x14ac:dyDescent="0.2">
      <c r="A833" s="30"/>
      <c r="B833" s="30"/>
      <c r="C833" s="30"/>
      <c r="D833" s="28" t="str">
        <f>IFERROR(IF(C833="","",IF(B833="موظف",VLOOKUP(C833,الموظفين!$B:$C,2,FALSE),VLOOKUP(C833,المستفيدين!$B:$C,2,FALSE))),"")</f>
        <v/>
      </c>
      <c r="E833" s="28"/>
      <c r="F833" s="30"/>
      <c r="G833" s="30"/>
      <c r="H833" s="30"/>
    </row>
    <row r="834" spans="1:8" x14ac:dyDescent="0.2">
      <c r="A834" s="30"/>
      <c r="B834" s="30"/>
      <c r="C834" s="30"/>
      <c r="D834" s="28" t="str">
        <f>IFERROR(IF(C834="","",IF(B834="موظف",VLOOKUP(C834,الموظفين!$B:$C,2,FALSE),VLOOKUP(C834,المستفيدين!$B:$C,2,FALSE))),"")</f>
        <v/>
      </c>
      <c r="E834" s="28"/>
      <c r="F834" s="30"/>
      <c r="G834" s="30"/>
      <c r="H834" s="30"/>
    </row>
    <row r="835" spans="1:8" x14ac:dyDescent="0.2">
      <c r="A835" s="30"/>
      <c r="B835" s="30"/>
      <c r="C835" s="30"/>
      <c r="D835" s="28" t="str">
        <f>IFERROR(IF(C835="","",IF(B835="موظف",VLOOKUP(C835,الموظفين!$B:$C,2,FALSE),VLOOKUP(C835,المستفيدين!$B:$C,2,FALSE))),"")</f>
        <v/>
      </c>
      <c r="E835" s="28"/>
      <c r="F835" s="30"/>
      <c r="G835" s="30"/>
      <c r="H835" s="30"/>
    </row>
    <row r="836" spans="1:8" x14ac:dyDescent="0.2">
      <c r="A836" s="30"/>
      <c r="B836" s="30"/>
      <c r="C836" s="30"/>
      <c r="D836" s="28" t="str">
        <f>IFERROR(IF(C836="","",IF(B836="موظف",VLOOKUP(C836,الموظفين!$B:$C,2,FALSE),VLOOKUP(C836,المستفيدين!$B:$C,2,FALSE))),"")</f>
        <v/>
      </c>
      <c r="E836" s="28"/>
      <c r="F836" s="30"/>
      <c r="G836" s="30"/>
      <c r="H836" s="30"/>
    </row>
    <row r="837" spans="1:8" x14ac:dyDescent="0.2">
      <c r="A837" s="30"/>
      <c r="B837" s="30"/>
      <c r="C837" s="30"/>
      <c r="D837" s="28" t="str">
        <f>IFERROR(IF(C837="","",IF(B837="موظف",VLOOKUP(C837,الموظفين!$B:$C,2,FALSE),VLOOKUP(C837,المستفيدين!$B:$C,2,FALSE))),"")</f>
        <v/>
      </c>
      <c r="E837" s="28"/>
      <c r="F837" s="30"/>
      <c r="G837" s="30"/>
      <c r="H837" s="30"/>
    </row>
    <row r="838" spans="1:8" x14ac:dyDescent="0.2">
      <c r="A838" s="30"/>
      <c r="B838" s="30"/>
      <c r="C838" s="30"/>
      <c r="D838" s="28" t="str">
        <f>IFERROR(IF(C838="","",IF(B838="موظف",VLOOKUP(C838,الموظفين!$B:$C,2,FALSE),VLOOKUP(C838,المستفيدين!$B:$C,2,FALSE))),"")</f>
        <v/>
      </c>
      <c r="E838" s="28"/>
      <c r="F838" s="30"/>
      <c r="G838" s="30"/>
      <c r="H838" s="30"/>
    </row>
    <row r="839" spans="1:8" x14ac:dyDescent="0.2">
      <c r="A839" s="30"/>
      <c r="B839" s="30"/>
      <c r="C839" s="30"/>
      <c r="D839" s="28" t="str">
        <f>IFERROR(IF(C839="","",IF(B839="موظف",VLOOKUP(C839,الموظفين!$B:$C,2,FALSE),VLOOKUP(C839,المستفيدين!$B:$C,2,FALSE))),"")</f>
        <v/>
      </c>
      <c r="E839" s="28"/>
      <c r="F839" s="30"/>
      <c r="G839" s="30"/>
      <c r="H839" s="30"/>
    </row>
    <row r="840" spans="1:8" x14ac:dyDescent="0.2">
      <c r="A840" s="30"/>
      <c r="B840" s="30"/>
      <c r="C840" s="30"/>
      <c r="D840" s="28" t="str">
        <f>IFERROR(IF(C840="","",IF(B840="موظف",VLOOKUP(C840,الموظفين!$B:$C,2,FALSE),VLOOKUP(C840,المستفيدين!$B:$C,2,FALSE))),"")</f>
        <v/>
      </c>
      <c r="E840" s="28"/>
      <c r="F840" s="30"/>
      <c r="G840" s="30"/>
      <c r="H840" s="30"/>
    </row>
    <row r="841" spans="1:8" x14ac:dyDescent="0.2">
      <c r="A841" s="30"/>
      <c r="B841" s="30"/>
      <c r="C841" s="30"/>
      <c r="D841" s="28" t="str">
        <f>IFERROR(IF(C841="","",IF(B841="موظف",VLOOKUP(C841,الموظفين!$B:$C,2,FALSE),VLOOKUP(C841,المستفيدين!$B:$C,2,FALSE))),"")</f>
        <v/>
      </c>
      <c r="E841" s="28"/>
      <c r="F841" s="30"/>
      <c r="G841" s="30"/>
      <c r="H841" s="30"/>
    </row>
    <row r="842" spans="1:8" x14ac:dyDescent="0.2">
      <c r="A842" s="30"/>
      <c r="B842" s="30"/>
      <c r="C842" s="30"/>
      <c r="D842" s="28" t="str">
        <f>IFERROR(IF(C842="","",IF(B842="موظف",VLOOKUP(C842,الموظفين!$B:$C,2,FALSE),VLOOKUP(C842,المستفيدين!$B:$C,2,FALSE))),"")</f>
        <v/>
      </c>
      <c r="E842" s="28"/>
      <c r="F842" s="30"/>
      <c r="G842" s="30"/>
      <c r="H842" s="30"/>
    </row>
    <row r="843" spans="1:8" x14ac:dyDescent="0.2">
      <c r="A843" s="30"/>
      <c r="B843" s="30"/>
      <c r="C843" s="30"/>
      <c r="D843" s="28" t="str">
        <f>IFERROR(IF(C843="","",IF(B843="موظف",VLOOKUP(C843,الموظفين!$B:$C,2,FALSE),VLOOKUP(C843,المستفيدين!$B:$C,2,FALSE))),"")</f>
        <v/>
      </c>
      <c r="E843" s="28"/>
      <c r="F843" s="30"/>
      <c r="G843" s="30"/>
      <c r="H843" s="30"/>
    </row>
    <row r="844" spans="1:8" x14ac:dyDescent="0.2">
      <c r="A844" s="30"/>
      <c r="B844" s="30"/>
      <c r="C844" s="30"/>
      <c r="D844" s="28" t="str">
        <f>IFERROR(IF(C844="","",IF(B844="موظف",VLOOKUP(C844,الموظفين!$B:$C,2,FALSE),VLOOKUP(C844,المستفيدين!$B:$C,2,FALSE))),"")</f>
        <v/>
      </c>
      <c r="E844" s="28"/>
      <c r="F844" s="30"/>
      <c r="G844" s="30"/>
      <c r="H844" s="30"/>
    </row>
    <row r="845" spans="1:8" x14ac:dyDescent="0.2">
      <c r="A845" s="30"/>
      <c r="B845" s="30"/>
      <c r="C845" s="30"/>
      <c r="D845" s="28" t="str">
        <f>IFERROR(IF(C845="","",IF(B845="موظف",VLOOKUP(C845,الموظفين!$B:$C,2,FALSE),VLOOKUP(C845,المستفيدين!$B:$C,2,FALSE))),"")</f>
        <v/>
      </c>
      <c r="E845" s="28"/>
      <c r="F845" s="30"/>
      <c r="G845" s="30"/>
      <c r="H845" s="30"/>
    </row>
    <row r="846" spans="1:8" x14ac:dyDescent="0.2">
      <c r="A846" s="30"/>
      <c r="B846" s="30"/>
      <c r="C846" s="30"/>
      <c r="D846" s="28" t="str">
        <f>IFERROR(IF(C846="","",IF(B846="موظف",VLOOKUP(C846,الموظفين!$B:$C,2,FALSE),VLOOKUP(C846,المستفيدين!$B:$C,2,FALSE))),"")</f>
        <v/>
      </c>
      <c r="E846" s="28"/>
      <c r="F846" s="30"/>
      <c r="G846" s="30"/>
      <c r="H846" s="30"/>
    </row>
    <row r="847" spans="1:8" x14ac:dyDescent="0.2">
      <c r="A847" s="30"/>
      <c r="B847" s="30"/>
      <c r="C847" s="30"/>
      <c r="D847" s="28" t="str">
        <f>IFERROR(IF(C847="","",IF(B847="موظف",VLOOKUP(C847,الموظفين!$B:$C,2,FALSE),VLOOKUP(C847,المستفيدين!$B:$C,2,FALSE))),"")</f>
        <v/>
      </c>
      <c r="E847" s="28"/>
      <c r="F847" s="30"/>
      <c r="G847" s="30"/>
      <c r="H847" s="30"/>
    </row>
    <row r="848" spans="1:8" x14ac:dyDescent="0.2">
      <c r="A848" s="30"/>
      <c r="B848" s="30"/>
      <c r="C848" s="30"/>
      <c r="D848" s="28" t="str">
        <f>IFERROR(IF(C848="","",IF(B848="موظف",VLOOKUP(C848,الموظفين!$B:$C,2,FALSE),VLOOKUP(C848,المستفيدين!$B:$C,2,FALSE))),"")</f>
        <v/>
      </c>
      <c r="E848" s="28"/>
      <c r="F848" s="30"/>
      <c r="G848" s="30"/>
      <c r="H848" s="30"/>
    </row>
    <row r="849" spans="1:8" x14ac:dyDescent="0.2">
      <c r="A849" s="30"/>
      <c r="B849" s="30"/>
      <c r="C849" s="30"/>
      <c r="D849" s="28" t="str">
        <f>IFERROR(IF(C849="","",IF(B849="موظف",VLOOKUP(C849,الموظفين!$B:$C,2,FALSE),VLOOKUP(C849,المستفيدين!$B:$C,2,FALSE))),"")</f>
        <v/>
      </c>
      <c r="E849" s="28"/>
      <c r="F849" s="30"/>
      <c r="G849" s="30"/>
      <c r="H849" s="30"/>
    </row>
    <row r="850" spans="1:8" x14ac:dyDescent="0.2">
      <c r="A850" s="30"/>
      <c r="B850" s="30"/>
      <c r="C850" s="30"/>
      <c r="D850" s="28" t="str">
        <f>IFERROR(IF(C850="","",IF(B850="موظف",VLOOKUP(C850,الموظفين!$B:$C,2,FALSE),VLOOKUP(C850,المستفيدين!$B:$C,2,FALSE))),"")</f>
        <v/>
      </c>
      <c r="E850" s="28"/>
      <c r="F850" s="30"/>
      <c r="G850" s="30"/>
      <c r="H850" s="30"/>
    </row>
    <row r="851" spans="1:8" x14ac:dyDescent="0.2">
      <c r="A851" s="30"/>
      <c r="B851" s="30"/>
      <c r="C851" s="30"/>
      <c r="D851" s="28" t="str">
        <f>IFERROR(IF(C851="","",IF(B851="موظف",VLOOKUP(C851,الموظفين!$B:$C,2,FALSE),VLOOKUP(C851,المستفيدين!$B:$C,2,FALSE))),"")</f>
        <v/>
      </c>
      <c r="E851" s="28"/>
      <c r="F851" s="30"/>
      <c r="G851" s="30"/>
      <c r="H851" s="30"/>
    </row>
    <row r="852" spans="1:8" x14ac:dyDescent="0.2">
      <c r="A852" s="30"/>
      <c r="B852" s="30"/>
      <c r="C852" s="30"/>
      <c r="D852" s="28" t="str">
        <f>IFERROR(IF(C852="","",IF(B852="موظف",VLOOKUP(C852,الموظفين!$B:$C,2,FALSE),VLOOKUP(C852,المستفيدين!$B:$C,2,FALSE))),"")</f>
        <v/>
      </c>
      <c r="E852" s="28"/>
      <c r="F852" s="30"/>
      <c r="G852" s="30"/>
      <c r="H852" s="30"/>
    </row>
    <row r="853" spans="1:8" x14ac:dyDescent="0.2">
      <c r="A853" s="30"/>
      <c r="B853" s="30"/>
      <c r="C853" s="30"/>
      <c r="D853" s="28" t="str">
        <f>IFERROR(IF(C853="","",IF(B853="موظف",VLOOKUP(C853,الموظفين!$B:$C,2,FALSE),VLOOKUP(C853,المستفيدين!$B:$C,2,FALSE))),"")</f>
        <v/>
      </c>
      <c r="E853" s="28"/>
      <c r="F853" s="30"/>
      <c r="G853" s="30"/>
      <c r="H853" s="30"/>
    </row>
    <row r="854" spans="1:8" x14ac:dyDescent="0.2">
      <c r="A854" s="30"/>
      <c r="B854" s="30"/>
      <c r="C854" s="30"/>
      <c r="D854" s="28" t="str">
        <f>IFERROR(IF(C854="","",IF(B854="موظف",VLOOKUP(C854,الموظفين!$B:$C,2,FALSE),VLOOKUP(C854,المستفيدين!$B:$C,2,FALSE))),"")</f>
        <v/>
      </c>
      <c r="E854" s="28"/>
      <c r="F854" s="30"/>
      <c r="G854" s="30"/>
      <c r="H854" s="30"/>
    </row>
    <row r="855" spans="1:8" x14ac:dyDescent="0.2">
      <c r="A855" s="30"/>
      <c r="B855" s="30"/>
      <c r="C855" s="30"/>
      <c r="D855" s="28" t="str">
        <f>IFERROR(IF(C855="","",IF(B855="موظف",VLOOKUP(C855,الموظفين!$B:$C,2,FALSE),VLOOKUP(C855,المستفيدين!$B:$C,2,FALSE))),"")</f>
        <v/>
      </c>
      <c r="E855" s="28"/>
      <c r="F855" s="30"/>
      <c r="G855" s="30"/>
      <c r="H855" s="30"/>
    </row>
    <row r="856" spans="1:8" x14ac:dyDescent="0.2">
      <c r="A856" s="30"/>
      <c r="B856" s="30"/>
      <c r="C856" s="30"/>
      <c r="D856" s="28" t="str">
        <f>IFERROR(IF(C856="","",IF(B856="موظف",VLOOKUP(C856,الموظفين!$B:$C,2,FALSE),VLOOKUP(C856,المستفيدين!$B:$C,2,FALSE))),"")</f>
        <v/>
      </c>
      <c r="E856" s="28"/>
      <c r="F856" s="30"/>
      <c r="G856" s="30"/>
      <c r="H856" s="30"/>
    </row>
    <row r="857" spans="1:8" x14ac:dyDescent="0.2">
      <c r="A857" s="30"/>
      <c r="B857" s="30"/>
      <c r="C857" s="30"/>
      <c r="D857" s="28" t="str">
        <f>IFERROR(IF(C857="","",IF(B857="موظف",VLOOKUP(C857,الموظفين!$B:$C,2,FALSE),VLOOKUP(C857,المستفيدين!$B:$C,2,FALSE))),"")</f>
        <v/>
      </c>
      <c r="E857" s="28"/>
      <c r="F857" s="30"/>
      <c r="G857" s="30"/>
      <c r="H857" s="30"/>
    </row>
    <row r="858" spans="1:8" x14ac:dyDescent="0.2">
      <c r="A858" s="30"/>
      <c r="B858" s="30"/>
      <c r="C858" s="30"/>
      <c r="D858" s="28" t="str">
        <f>IFERROR(IF(C858="","",IF(B858="موظف",VLOOKUP(C858,الموظفين!$B:$C,2,FALSE),VLOOKUP(C858,المستفيدين!$B:$C,2,FALSE))),"")</f>
        <v/>
      </c>
      <c r="E858" s="28"/>
      <c r="F858" s="30"/>
      <c r="G858" s="30"/>
      <c r="H858" s="30"/>
    </row>
    <row r="859" spans="1:8" x14ac:dyDescent="0.2">
      <c r="A859" s="30"/>
      <c r="B859" s="30"/>
      <c r="C859" s="30"/>
      <c r="D859" s="28" t="str">
        <f>IFERROR(IF(C859="","",IF(B859="موظف",VLOOKUP(C859,الموظفين!$B:$C,2,FALSE),VLOOKUP(C859,المستفيدين!$B:$C,2,FALSE))),"")</f>
        <v/>
      </c>
      <c r="E859" s="28"/>
      <c r="F859" s="30"/>
      <c r="G859" s="30"/>
      <c r="H859" s="30"/>
    </row>
    <row r="860" spans="1:8" x14ac:dyDescent="0.2">
      <c r="A860" s="30"/>
      <c r="B860" s="30"/>
      <c r="C860" s="30"/>
      <c r="D860" s="28" t="str">
        <f>IFERROR(IF(C860="","",IF(B860="موظف",VLOOKUP(C860,الموظفين!$B:$C,2,FALSE),VLOOKUP(C860,المستفيدين!$B:$C,2,FALSE))),"")</f>
        <v/>
      </c>
      <c r="E860" s="28"/>
      <c r="F860" s="30"/>
      <c r="G860" s="30"/>
      <c r="H860" s="30"/>
    </row>
    <row r="861" spans="1:8" x14ac:dyDescent="0.2">
      <c r="A861" s="30"/>
      <c r="B861" s="30"/>
      <c r="C861" s="30"/>
      <c r="D861" s="28" t="str">
        <f>IFERROR(IF(C861="","",IF(B861="موظف",VLOOKUP(C861,الموظفين!$B:$C,2,FALSE),VLOOKUP(C861,المستفيدين!$B:$C,2,FALSE))),"")</f>
        <v/>
      </c>
      <c r="E861" s="28"/>
      <c r="F861" s="30"/>
      <c r="G861" s="30"/>
      <c r="H861" s="30"/>
    </row>
    <row r="862" spans="1:8" x14ac:dyDescent="0.2">
      <c r="A862" s="30"/>
      <c r="B862" s="30"/>
      <c r="C862" s="30"/>
      <c r="D862" s="28" t="str">
        <f>IFERROR(IF(C862="","",IF(B862="موظف",VLOOKUP(C862,الموظفين!$B:$C,2,FALSE),VLOOKUP(C862,المستفيدين!$B:$C,2,FALSE))),"")</f>
        <v/>
      </c>
      <c r="E862" s="28"/>
      <c r="F862" s="30"/>
      <c r="G862" s="30"/>
      <c r="H862" s="30"/>
    </row>
    <row r="863" spans="1:8" x14ac:dyDescent="0.2">
      <c r="A863" s="30"/>
      <c r="B863" s="30"/>
      <c r="C863" s="30"/>
      <c r="D863" s="28" t="str">
        <f>IFERROR(IF(C863="","",IF(B863="موظف",VLOOKUP(C863,الموظفين!$B:$C,2,FALSE),VLOOKUP(C863,المستفيدين!$B:$C,2,FALSE))),"")</f>
        <v/>
      </c>
      <c r="E863" s="28"/>
      <c r="F863" s="30"/>
      <c r="G863" s="30"/>
      <c r="H863" s="30"/>
    </row>
    <row r="864" spans="1:8" x14ac:dyDescent="0.2">
      <c r="A864" s="30"/>
      <c r="B864" s="30"/>
      <c r="C864" s="30"/>
      <c r="D864" s="28" t="str">
        <f>IFERROR(IF(C864="","",IF(B864="موظف",VLOOKUP(C864,الموظفين!$B:$C,2,FALSE),VLOOKUP(C864,المستفيدين!$B:$C,2,FALSE))),"")</f>
        <v/>
      </c>
      <c r="E864" s="28"/>
      <c r="F864" s="30"/>
      <c r="G864" s="30"/>
      <c r="H864" s="30"/>
    </row>
    <row r="865" spans="1:8" x14ac:dyDescent="0.2">
      <c r="A865" s="30"/>
      <c r="B865" s="30"/>
      <c r="C865" s="30"/>
      <c r="D865" s="28" t="str">
        <f>IFERROR(IF(C865="","",IF(B865="موظف",VLOOKUP(C865,الموظفين!$B:$C,2,FALSE),VLOOKUP(C865,المستفيدين!$B:$C,2,FALSE))),"")</f>
        <v/>
      </c>
      <c r="E865" s="28"/>
      <c r="F865" s="30"/>
      <c r="G865" s="30"/>
      <c r="H865" s="30"/>
    </row>
    <row r="866" spans="1:8" x14ac:dyDescent="0.2">
      <c r="A866" s="30"/>
      <c r="B866" s="30"/>
      <c r="C866" s="30"/>
      <c r="D866" s="28" t="str">
        <f>IFERROR(IF(C866="","",IF(B866="موظف",VLOOKUP(C866,الموظفين!$B:$C,2,FALSE),VLOOKUP(C866,المستفيدين!$B:$C,2,FALSE))),"")</f>
        <v/>
      </c>
      <c r="E866" s="28"/>
      <c r="F866" s="30"/>
      <c r="G866" s="30"/>
      <c r="H866" s="30"/>
    </row>
    <row r="867" spans="1:8" x14ac:dyDescent="0.2">
      <c r="A867" s="30"/>
      <c r="B867" s="30"/>
      <c r="C867" s="30"/>
      <c r="D867" s="28" t="str">
        <f>IFERROR(IF(C867="","",IF(B867="موظف",VLOOKUP(C867,الموظفين!$B:$C,2,FALSE),VLOOKUP(C867,المستفيدين!$B:$C,2,FALSE))),"")</f>
        <v/>
      </c>
      <c r="E867" s="28"/>
      <c r="F867" s="30"/>
      <c r="G867" s="30"/>
      <c r="H867" s="30"/>
    </row>
    <row r="868" spans="1:8" x14ac:dyDescent="0.2">
      <c r="A868" s="30"/>
      <c r="B868" s="30"/>
      <c r="C868" s="30"/>
      <c r="D868" s="28" t="str">
        <f>IFERROR(IF(C868="","",IF(B868="موظف",VLOOKUP(C868,الموظفين!$B:$C,2,FALSE),VLOOKUP(C868,المستفيدين!$B:$C,2,FALSE))),"")</f>
        <v/>
      </c>
      <c r="E868" s="28"/>
      <c r="F868" s="30"/>
      <c r="G868" s="30"/>
      <c r="H868" s="30"/>
    </row>
    <row r="869" spans="1:8" x14ac:dyDescent="0.2">
      <c r="A869" s="30"/>
      <c r="B869" s="30"/>
      <c r="C869" s="30"/>
      <c r="D869" s="28" t="str">
        <f>IFERROR(IF(C869="","",IF(B869="موظف",VLOOKUP(C869,الموظفين!$B:$C,2,FALSE),VLOOKUP(C869,المستفيدين!$B:$C,2,FALSE))),"")</f>
        <v/>
      </c>
      <c r="E869" s="28"/>
      <c r="F869" s="30"/>
      <c r="G869" s="30"/>
      <c r="H869" s="30"/>
    </row>
    <row r="870" spans="1:8" x14ac:dyDescent="0.2">
      <c r="A870" s="30"/>
      <c r="B870" s="30"/>
      <c r="C870" s="30"/>
      <c r="D870" s="28" t="str">
        <f>IFERROR(IF(C870="","",IF(B870="موظف",VLOOKUP(C870,الموظفين!$B:$C,2,FALSE),VLOOKUP(C870,المستفيدين!$B:$C,2,FALSE))),"")</f>
        <v/>
      </c>
      <c r="E870" s="28"/>
      <c r="F870" s="30"/>
      <c r="G870" s="30"/>
      <c r="H870" s="30"/>
    </row>
    <row r="871" spans="1:8" x14ac:dyDescent="0.2">
      <c r="A871" s="30"/>
      <c r="B871" s="30"/>
      <c r="C871" s="30"/>
      <c r="D871" s="28" t="str">
        <f>IFERROR(IF(C871="","",IF(B871="موظف",VLOOKUP(C871,الموظفين!$B:$C,2,FALSE),VLOOKUP(C871,المستفيدين!$B:$C,2,FALSE))),"")</f>
        <v/>
      </c>
      <c r="E871" s="28"/>
      <c r="F871" s="30"/>
      <c r="G871" s="30"/>
      <c r="H871" s="30"/>
    </row>
    <row r="872" spans="1:8" x14ac:dyDescent="0.2">
      <c r="A872" s="30"/>
      <c r="B872" s="30"/>
      <c r="C872" s="30"/>
      <c r="D872" s="28" t="str">
        <f>IFERROR(IF(C872="","",IF(B872="موظف",VLOOKUP(C872,الموظفين!$B:$C,2,FALSE),VLOOKUP(C872,المستفيدين!$B:$C,2,FALSE))),"")</f>
        <v/>
      </c>
      <c r="E872" s="28"/>
      <c r="F872" s="30"/>
      <c r="G872" s="30"/>
      <c r="H872" s="30"/>
    </row>
    <row r="873" spans="1:8" x14ac:dyDescent="0.2">
      <c r="A873" s="30"/>
      <c r="B873" s="30"/>
      <c r="C873" s="30"/>
      <c r="D873" s="28" t="str">
        <f>IFERROR(IF(C873="","",IF(B873="موظف",VLOOKUP(C873,الموظفين!$B:$C,2,FALSE),VLOOKUP(C873,المستفيدين!$B:$C,2,FALSE))),"")</f>
        <v/>
      </c>
      <c r="E873" s="28"/>
      <c r="F873" s="30"/>
      <c r="G873" s="30"/>
      <c r="H873" s="30"/>
    </row>
    <row r="874" spans="1:8" x14ac:dyDescent="0.2">
      <c r="A874" s="30"/>
      <c r="B874" s="30"/>
      <c r="C874" s="30"/>
      <c r="D874" s="28" t="str">
        <f>IFERROR(IF(C874="","",IF(B874="موظف",VLOOKUP(C874,الموظفين!$B:$C,2,FALSE),VLOOKUP(C874,المستفيدين!$B:$C,2,FALSE))),"")</f>
        <v/>
      </c>
      <c r="E874" s="28"/>
      <c r="F874" s="30"/>
      <c r="G874" s="30"/>
      <c r="H874" s="30"/>
    </row>
    <row r="875" spans="1:8" x14ac:dyDescent="0.2">
      <c r="A875" s="30"/>
      <c r="B875" s="30"/>
      <c r="C875" s="30"/>
      <c r="D875" s="28" t="str">
        <f>IFERROR(IF(C875="","",IF(B875="موظف",VLOOKUP(C875,الموظفين!$B:$C,2,FALSE),VLOOKUP(C875,المستفيدين!$B:$C,2,FALSE))),"")</f>
        <v/>
      </c>
      <c r="E875" s="28"/>
      <c r="F875" s="30"/>
      <c r="G875" s="30"/>
      <c r="H875" s="30"/>
    </row>
    <row r="876" spans="1:8" x14ac:dyDescent="0.2">
      <c r="A876" s="30"/>
      <c r="B876" s="30"/>
      <c r="C876" s="30"/>
      <c r="D876" s="28" t="str">
        <f>IFERROR(IF(C876="","",IF(B876="موظف",VLOOKUP(C876,الموظفين!$B:$C,2,FALSE),VLOOKUP(C876,المستفيدين!$B:$C,2,FALSE))),"")</f>
        <v/>
      </c>
      <c r="E876" s="28"/>
      <c r="F876" s="30"/>
      <c r="G876" s="30"/>
      <c r="H876" s="30"/>
    </row>
    <row r="877" spans="1:8" x14ac:dyDescent="0.2">
      <c r="A877" s="30"/>
      <c r="B877" s="30"/>
      <c r="C877" s="30"/>
      <c r="D877" s="28" t="str">
        <f>IFERROR(IF(C877="","",IF(B877="موظف",VLOOKUP(C877,الموظفين!$B:$C,2,FALSE),VLOOKUP(C877,المستفيدين!$B:$C,2,FALSE))),"")</f>
        <v/>
      </c>
      <c r="E877" s="28"/>
      <c r="F877" s="30"/>
      <c r="G877" s="30"/>
      <c r="H877" s="30"/>
    </row>
    <row r="878" spans="1:8" x14ac:dyDescent="0.2">
      <c r="A878" s="30"/>
      <c r="B878" s="30"/>
      <c r="C878" s="30"/>
      <c r="D878" s="28" t="str">
        <f>IFERROR(IF(C878="","",IF(B878="موظف",VLOOKUP(C878,الموظفين!$B:$C,2,FALSE),VLOOKUP(C878,المستفيدين!$B:$C,2,FALSE))),"")</f>
        <v/>
      </c>
      <c r="E878" s="28"/>
      <c r="F878" s="30"/>
      <c r="G878" s="30"/>
      <c r="H878" s="30"/>
    </row>
    <row r="879" spans="1:8" x14ac:dyDescent="0.2">
      <c r="A879" s="30"/>
      <c r="B879" s="30"/>
      <c r="C879" s="30"/>
      <c r="D879" s="28" t="str">
        <f>IFERROR(IF(C879="","",IF(B879="موظف",VLOOKUP(C879,الموظفين!$B:$C,2,FALSE),VLOOKUP(C879,المستفيدين!$B:$C,2,FALSE))),"")</f>
        <v/>
      </c>
      <c r="E879" s="28"/>
      <c r="F879" s="30"/>
      <c r="G879" s="30"/>
      <c r="H879" s="30"/>
    </row>
    <row r="880" spans="1:8" x14ac:dyDescent="0.2">
      <c r="A880" s="30"/>
      <c r="B880" s="30"/>
      <c r="C880" s="30"/>
      <c r="D880" s="28" t="str">
        <f>IFERROR(IF(C880="","",IF(B880="موظف",VLOOKUP(C880,الموظفين!$B:$C,2,FALSE),VLOOKUP(C880,المستفيدين!$B:$C,2,FALSE))),"")</f>
        <v/>
      </c>
      <c r="E880" s="28"/>
      <c r="F880" s="30"/>
      <c r="G880" s="30"/>
      <c r="H880" s="30"/>
    </row>
    <row r="881" spans="1:8" x14ac:dyDescent="0.2">
      <c r="A881" s="30"/>
      <c r="B881" s="30"/>
      <c r="C881" s="30"/>
      <c r="D881" s="28" t="str">
        <f>IFERROR(IF(C881="","",IF(B881="موظف",VLOOKUP(C881,الموظفين!$B:$C,2,FALSE),VLOOKUP(C881,المستفيدين!$B:$C,2,FALSE))),"")</f>
        <v/>
      </c>
      <c r="E881" s="28"/>
      <c r="F881" s="30"/>
      <c r="G881" s="30"/>
      <c r="H881" s="30"/>
    </row>
    <row r="882" spans="1:8" x14ac:dyDescent="0.2">
      <c r="A882" s="30"/>
      <c r="B882" s="30"/>
      <c r="C882" s="30"/>
      <c r="D882" s="28" t="str">
        <f>IFERROR(IF(C882="","",IF(B882="موظف",VLOOKUP(C882,الموظفين!$B:$C,2,FALSE),VLOOKUP(C882,المستفيدين!$B:$C,2,FALSE))),"")</f>
        <v/>
      </c>
      <c r="E882" s="28"/>
      <c r="F882" s="30"/>
      <c r="G882" s="30"/>
      <c r="H882" s="30"/>
    </row>
    <row r="883" spans="1:8" x14ac:dyDescent="0.2">
      <c r="A883" s="30"/>
      <c r="B883" s="30"/>
      <c r="C883" s="30"/>
      <c r="D883" s="28" t="str">
        <f>IFERROR(IF(C883="","",IF(B883="موظف",VLOOKUP(C883,الموظفين!$B:$C,2,FALSE),VLOOKUP(C883,المستفيدين!$B:$C,2,FALSE))),"")</f>
        <v/>
      </c>
      <c r="E883" s="28"/>
      <c r="F883" s="30"/>
      <c r="G883" s="30"/>
      <c r="H883" s="30"/>
    </row>
    <row r="884" spans="1:8" x14ac:dyDescent="0.2">
      <c r="A884" s="30"/>
      <c r="B884" s="30"/>
      <c r="C884" s="30"/>
      <c r="D884" s="28" t="str">
        <f>IFERROR(IF(C884="","",IF(B884="موظف",VLOOKUP(C884,الموظفين!$B:$C,2,FALSE),VLOOKUP(C884,المستفيدين!$B:$C,2,FALSE))),"")</f>
        <v/>
      </c>
      <c r="E884" s="28"/>
      <c r="F884" s="30"/>
      <c r="G884" s="30"/>
      <c r="H884" s="30"/>
    </row>
    <row r="885" spans="1:8" x14ac:dyDescent="0.2">
      <c r="A885" s="30"/>
      <c r="B885" s="30"/>
      <c r="C885" s="30"/>
      <c r="D885" s="28" t="str">
        <f>IFERROR(IF(C885="","",IF(B885="موظف",VLOOKUP(C885,الموظفين!$B:$C,2,FALSE),VLOOKUP(C885,المستفيدين!$B:$C,2,FALSE))),"")</f>
        <v/>
      </c>
      <c r="E885" s="28"/>
      <c r="F885" s="30"/>
      <c r="G885" s="30"/>
      <c r="H885" s="30"/>
    </row>
    <row r="886" spans="1:8" x14ac:dyDescent="0.2">
      <c r="A886" s="30"/>
      <c r="B886" s="30"/>
      <c r="C886" s="30"/>
      <c r="D886" s="28" t="str">
        <f>IFERROR(IF(C886="","",IF(B886="موظف",VLOOKUP(C886,الموظفين!$B:$C,2,FALSE),VLOOKUP(C886,المستفيدين!$B:$C,2,FALSE))),"")</f>
        <v/>
      </c>
      <c r="E886" s="28"/>
      <c r="F886" s="30"/>
      <c r="G886" s="30"/>
      <c r="H886" s="30"/>
    </row>
    <row r="887" spans="1:8" x14ac:dyDescent="0.2">
      <c r="A887" s="30"/>
      <c r="B887" s="30"/>
      <c r="C887" s="30"/>
      <c r="D887" s="28" t="str">
        <f>IFERROR(IF(C887="","",IF(B887="موظف",VLOOKUP(C887,الموظفين!$B:$C,2,FALSE),VLOOKUP(C887,المستفيدين!$B:$C,2,FALSE))),"")</f>
        <v/>
      </c>
      <c r="E887" s="28"/>
      <c r="F887" s="30"/>
      <c r="G887" s="30"/>
      <c r="H887" s="30"/>
    </row>
    <row r="888" spans="1:8" x14ac:dyDescent="0.2">
      <c r="A888" s="30"/>
      <c r="B888" s="30"/>
      <c r="C888" s="30"/>
      <c r="D888" s="28" t="str">
        <f>IFERROR(IF(C888="","",IF(B888="موظف",VLOOKUP(C888,الموظفين!$B:$C,2,FALSE),VLOOKUP(C888,المستفيدين!$B:$C,2,FALSE))),"")</f>
        <v/>
      </c>
      <c r="E888" s="28"/>
      <c r="F888" s="30"/>
      <c r="G888" s="30"/>
      <c r="H888" s="30"/>
    </row>
    <row r="889" spans="1:8" x14ac:dyDescent="0.2">
      <c r="A889" s="30"/>
      <c r="B889" s="30"/>
      <c r="C889" s="30"/>
      <c r="D889" s="28" t="str">
        <f>IFERROR(IF(C889="","",IF(B889="موظف",VLOOKUP(C889,الموظفين!$B:$C,2,FALSE),VLOOKUP(C889,المستفيدين!$B:$C,2,FALSE))),"")</f>
        <v/>
      </c>
      <c r="E889" s="28"/>
      <c r="F889" s="30"/>
      <c r="G889" s="30"/>
      <c r="H889" s="30"/>
    </row>
    <row r="890" spans="1:8" x14ac:dyDescent="0.2">
      <c r="A890" s="30"/>
      <c r="B890" s="30"/>
      <c r="C890" s="30"/>
      <c r="D890" s="28" t="str">
        <f>IFERROR(IF(C890="","",IF(B890="موظف",VLOOKUP(C890,الموظفين!$B:$C,2,FALSE),VLOOKUP(C890,المستفيدين!$B:$C,2,FALSE))),"")</f>
        <v/>
      </c>
      <c r="E890" s="28"/>
      <c r="F890" s="30"/>
      <c r="G890" s="30"/>
      <c r="H890" s="30"/>
    </row>
    <row r="891" spans="1:8" x14ac:dyDescent="0.2">
      <c r="A891" s="30"/>
      <c r="B891" s="30"/>
      <c r="C891" s="30"/>
      <c r="D891" s="28" t="str">
        <f>IFERROR(IF(C891="","",IF(B891="موظف",VLOOKUP(C891,الموظفين!$B:$C,2,FALSE),VLOOKUP(C891,المستفيدين!$B:$C,2,FALSE))),"")</f>
        <v/>
      </c>
      <c r="E891" s="28"/>
      <c r="F891" s="30"/>
      <c r="G891" s="30"/>
      <c r="H891" s="30"/>
    </row>
    <row r="892" spans="1:8" x14ac:dyDescent="0.2">
      <c r="A892" s="30"/>
      <c r="B892" s="30"/>
      <c r="C892" s="30"/>
      <c r="D892" s="28" t="str">
        <f>IFERROR(IF(C892="","",IF(B892="موظف",VLOOKUP(C892,الموظفين!$B:$C,2,FALSE),VLOOKUP(C892,المستفيدين!$B:$C,2,FALSE))),"")</f>
        <v/>
      </c>
      <c r="E892" s="28"/>
      <c r="F892" s="30"/>
      <c r="G892" s="30"/>
      <c r="H892" s="30"/>
    </row>
    <row r="893" spans="1:8" x14ac:dyDescent="0.2">
      <c r="A893" s="30"/>
      <c r="B893" s="30"/>
      <c r="C893" s="30"/>
      <c r="D893" s="28" t="str">
        <f>IFERROR(IF(C893="","",IF(B893="موظف",VLOOKUP(C893,الموظفين!$B:$C,2,FALSE),VLOOKUP(C893,المستفيدين!$B:$C,2,FALSE))),"")</f>
        <v/>
      </c>
      <c r="E893" s="28"/>
      <c r="F893" s="30"/>
      <c r="G893" s="30"/>
      <c r="H893" s="30"/>
    </row>
    <row r="894" spans="1:8" x14ac:dyDescent="0.2">
      <c r="A894" s="30"/>
      <c r="B894" s="30"/>
      <c r="C894" s="30"/>
      <c r="D894" s="28" t="str">
        <f>IFERROR(IF(C894="","",IF(B894="موظف",VLOOKUP(C894,الموظفين!$B:$C,2,FALSE),VLOOKUP(C894,المستفيدين!$B:$C,2,FALSE))),"")</f>
        <v/>
      </c>
      <c r="E894" s="28"/>
      <c r="F894" s="30"/>
      <c r="G894" s="30"/>
      <c r="H894" s="30"/>
    </row>
    <row r="895" spans="1:8" x14ac:dyDescent="0.2">
      <c r="A895" s="30"/>
      <c r="B895" s="30"/>
      <c r="C895" s="30"/>
      <c r="D895" s="28" t="str">
        <f>IFERROR(IF(C895="","",IF(B895="موظف",VLOOKUP(C895,الموظفين!$B:$C,2,FALSE),VLOOKUP(C895,المستفيدين!$B:$C,2,FALSE))),"")</f>
        <v/>
      </c>
      <c r="E895" s="28"/>
      <c r="F895" s="30"/>
      <c r="G895" s="30"/>
      <c r="H895" s="30"/>
    </row>
    <row r="896" spans="1:8" x14ac:dyDescent="0.2">
      <c r="A896" s="30"/>
      <c r="B896" s="30"/>
      <c r="C896" s="30"/>
      <c r="D896" s="28" t="str">
        <f>IFERROR(IF(C896="","",IF(B896="موظف",VLOOKUP(C896,الموظفين!$B:$C,2,FALSE),VLOOKUP(C896,المستفيدين!$B:$C,2,FALSE))),"")</f>
        <v/>
      </c>
      <c r="E896" s="28"/>
      <c r="F896" s="30"/>
      <c r="G896" s="30"/>
      <c r="H896" s="30"/>
    </row>
    <row r="897" spans="1:8" x14ac:dyDescent="0.2">
      <c r="A897" s="30"/>
      <c r="B897" s="30"/>
      <c r="C897" s="30"/>
      <c r="D897" s="28" t="str">
        <f>IFERROR(IF(C897="","",IF(B897="موظف",VLOOKUP(C897,الموظفين!$B:$C,2,FALSE),VLOOKUP(C897,المستفيدين!$B:$C,2,FALSE))),"")</f>
        <v/>
      </c>
      <c r="E897" s="28"/>
      <c r="F897" s="30"/>
      <c r="G897" s="30"/>
      <c r="H897" s="30"/>
    </row>
    <row r="898" spans="1:8" x14ac:dyDescent="0.2">
      <c r="A898" s="30"/>
      <c r="B898" s="30"/>
      <c r="C898" s="30"/>
      <c r="D898" s="28" t="str">
        <f>IFERROR(IF(C898="","",IF(B898="موظف",VLOOKUP(C898,الموظفين!$B:$C,2,FALSE),VLOOKUP(C898,المستفيدين!$B:$C,2,FALSE))),"")</f>
        <v/>
      </c>
      <c r="E898" s="28"/>
      <c r="F898" s="30"/>
      <c r="G898" s="30"/>
      <c r="H898" s="30"/>
    </row>
    <row r="899" spans="1:8" x14ac:dyDescent="0.2">
      <c r="A899" s="30"/>
      <c r="B899" s="30"/>
      <c r="C899" s="30"/>
      <c r="D899" s="28" t="str">
        <f>IFERROR(IF(C899="","",IF(B899="موظف",VLOOKUP(C899,الموظفين!$B:$C,2,FALSE),VLOOKUP(C899,المستفيدين!$B:$C,2,FALSE))),"")</f>
        <v/>
      </c>
      <c r="E899" s="28"/>
      <c r="F899" s="30"/>
      <c r="G899" s="30"/>
      <c r="H899" s="30"/>
    </row>
    <row r="900" spans="1:8" x14ac:dyDescent="0.2">
      <c r="A900" s="30"/>
      <c r="B900" s="30"/>
      <c r="C900" s="30"/>
      <c r="D900" s="28" t="str">
        <f>IFERROR(IF(C900="","",IF(B900="موظف",VLOOKUP(C900,الموظفين!$B:$C,2,FALSE),VLOOKUP(C900,المستفيدين!$B:$C,2,FALSE))),"")</f>
        <v/>
      </c>
      <c r="E900" s="28"/>
      <c r="F900" s="30"/>
      <c r="G900" s="30"/>
      <c r="H900" s="30"/>
    </row>
    <row r="901" spans="1:8" x14ac:dyDescent="0.2">
      <c r="A901" s="30"/>
      <c r="B901" s="30"/>
      <c r="C901" s="30"/>
      <c r="D901" s="28" t="str">
        <f>IFERROR(IF(C901="","",IF(B901="موظف",VLOOKUP(C901,الموظفين!$B:$C,2,FALSE),VLOOKUP(C901,المستفيدين!$B:$C,2,FALSE))),"")</f>
        <v/>
      </c>
      <c r="E901" s="28"/>
      <c r="F901" s="30"/>
      <c r="G901" s="30"/>
      <c r="H901" s="30"/>
    </row>
    <row r="902" spans="1:8" x14ac:dyDescent="0.2">
      <c r="A902" s="30"/>
      <c r="B902" s="30"/>
      <c r="C902" s="30"/>
      <c r="D902" s="28" t="str">
        <f>IFERROR(IF(C902="","",IF(B902="موظف",VLOOKUP(C902,الموظفين!$B:$C,2,FALSE),VLOOKUP(C902,المستفيدين!$B:$C,2,FALSE))),"")</f>
        <v/>
      </c>
      <c r="E902" s="28"/>
      <c r="F902" s="30"/>
      <c r="G902" s="30"/>
      <c r="H902" s="30"/>
    </row>
    <row r="903" spans="1:8" x14ac:dyDescent="0.2">
      <c r="A903" s="30"/>
      <c r="B903" s="30"/>
      <c r="C903" s="30"/>
      <c r="D903" s="28" t="str">
        <f>IFERROR(IF(C903="","",IF(B903="موظف",VLOOKUP(C903,الموظفين!$B:$C,2,FALSE),VLOOKUP(C903,المستفيدين!$B:$C,2,FALSE))),"")</f>
        <v/>
      </c>
      <c r="E903" s="28"/>
      <c r="F903" s="30"/>
      <c r="G903" s="30"/>
      <c r="H903" s="30"/>
    </row>
    <row r="904" spans="1:8" x14ac:dyDescent="0.2">
      <c r="A904" s="30"/>
      <c r="B904" s="30"/>
      <c r="C904" s="30"/>
      <c r="D904" s="28" t="str">
        <f>IFERROR(IF(C904="","",IF(B904="موظف",VLOOKUP(C904,الموظفين!$B:$C,2,FALSE),VLOOKUP(C904,المستفيدين!$B:$C,2,FALSE))),"")</f>
        <v/>
      </c>
      <c r="E904" s="28"/>
      <c r="F904" s="30"/>
      <c r="G904" s="30"/>
      <c r="H904" s="30"/>
    </row>
    <row r="905" spans="1:8" x14ac:dyDescent="0.2">
      <c r="A905" s="30"/>
      <c r="B905" s="30"/>
      <c r="C905" s="30"/>
      <c r="D905" s="28" t="str">
        <f>IFERROR(IF(C905="","",IF(B905="موظف",VLOOKUP(C905,الموظفين!$B:$C,2,FALSE),VLOOKUP(C905,المستفيدين!$B:$C,2,FALSE))),"")</f>
        <v/>
      </c>
      <c r="E905" s="28"/>
      <c r="F905" s="30"/>
      <c r="G905" s="30"/>
      <c r="H905" s="30"/>
    </row>
    <row r="906" spans="1:8" x14ac:dyDescent="0.2">
      <c r="A906" s="30"/>
      <c r="B906" s="30"/>
      <c r="C906" s="30"/>
      <c r="D906" s="28" t="str">
        <f>IFERROR(IF(C906="","",IF(B906="موظف",VLOOKUP(C906,الموظفين!$B:$C,2,FALSE),VLOOKUP(C906,المستفيدين!$B:$C,2,FALSE))),"")</f>
        <v/>
      </c>
      <c r="E906" s="28"/>
      <c r="F906" s="30"/>
      <c r="G906" s="30"/>
      <c r="H906" s="30"/>
    </row>
    <row r="907" spans="1:8" x14ac:dyDescent="0.2">
      <c r="A907" s="30"/>
      <c r="B907" s="30"/>
      <c r="C907" s="30"/>
      <c r="D907" s="28" t="str">
        <f>IFERROR(IF(C907="","",IF(B907="موظف",VLOOKUP(C907,الموظفين!$B:$C,2,FALSE),VLOOKUP(C907,المستفيدين!$B:$C,2,FALSE))),"")</f>
        <v/>
      </c>
      <c r="E907" s="28"/>
      <c r="F907" s="30"/>
      <c r="G907" s="30"/>
      <c r="H907" s="30"/>
    </row>
    <row r="908" spans="1:8" x14ac:dyDescent="0.2">
      <c r="A908" s="30"/>
      <c r="B908" s="30"/>
      <c r="C908" s="30"/>
      <c r="D908" s="28" t="str">
        <f>IFERROR(IF(C908="","",IF(B908="موظف",VLOOKUP(C908,الموظفين!$B:$C,2,FALSE),VLOOKUP(C908,المستفيدين!$B:$C,2,FALSE))),"")</f>
        <v/>
      </c>
      <c r="E908" s="28"/>
      <c r="F908" s="30"/>
      <c r="G908" s="30"/>
      <c r="H908" s="30"/>
    </row>
    <row r="909" spans="1:8" x14ac:dyDescent="0.2">
      <c r="A909" s="30"/>
      <c r="B909" s="30"/>
      <c r="C909" s="30"/>
      <c r="D909" s="28" t="str">
        <f>IFERROR(IF(C909="","",IF(B909="موظف",VLOOKUP(C909,الموظفين!$B:$C,2,FALSE),VLOOKUP(C909,المستفيدين!$B:$C,2,FALSE))),"")</f>
        <v/>
      </c>
      <c r="E909" s="28"/>
      <c r="F909" s="30"/>
      <c r="G909" s="30"/>
      <c r="H909" s="30"/>
    </row>
    <row r="910" spans="1:8" x14ac:dyDescent="0.2">
      <c r="A910" s="30"/>
      <c r="B910" s="30"/>
      <c r="C910" s="30"/>
      <c r="D910" s="28" t="str">
        <f>IFERROR(IF(C910="","",IF(B910="موظف",VLOOKUP(C910,الموظفين!$B:$C,2,FALSE),VLOOKUP(C910,المستفيدين!$B:$C,2,FALSE))),"")</f>
        <v/>
      </c>
      <c r="E910" s="28"/>
      <c r="F910" s="30"/>
      <c r="G910" s="30"/>
      <c r="H910" s="30"/>
    </row>
    <row r="911" spans="1:8" x14ac:dyDescent="0.2">
      <c r="A911" s="30"/>
      <c r="B911" s="30"/>
      <c r="C911" s="30"/>
      <c r="D911" s="28" t="str">
        <f>IFERROR(IF(C911="","",IF(B911="موظف",VLOOKUP(C911,الموظفين!$B:$C,2,FALSE),VLOOKUP(C911,المستفيدين!$B:$C,2,FALSE))),"")</f>
        <v/>
      </c>
      <c r="E911" s="28"/>
      <c r="F911" s="30"/>
      <c r="G911" s="30"/>
      <c r="H911" s="30"/>
    </row>
    <row r="912" spans="1:8" x14ac:dyDescent="0.2">
      <c r="A912" s="30"/>
      <c r="B912" s="30"/>
      <c r="C912" s="30"/>
      <c r="D912" s="28" t="str">
        <f>IFERROR(IF(C912="","",IF(B912="موظف",VLOOKUP(C912,الموظفين!$B:$C,2,FALSE),VLOOKUP(C912,المستفيدين!$B:$C,2,FALSE))),"")</f>
        <v/>
      </c>
      <c r="E912" s="28"/>
      <c r="F912" s="30"/>
      <c r="G912" s="30"/>
      <c r="H912" s="30"/>
    </row>
    <row r="913" spans="1:8" x14ac:dyDescent="0.2">
      <c r="A913" s="30"/>
      <c r="B913" s="30"/>
      <c r="C913" s="30"/>
      <c r="D913" s="28" t="str">
        <f>IFERROR(IF(C913="","",IF(B913="موظف",VLOOKUP(C913,الموظفين!$B:$C,2,FALSE),VLOOKUP(C913,المستفيدين!$B:$C,2,FALSE))),"")</f>
        <v/>
      </c>
      <c r="E913" s="28"/>
      <c r="F913" s="30"/>
      <c r="G913" s="30"/>
      <c r="H913" s="30"/>
    </row>
    <row r="914" spans="1:8" x14ac:dyDescent="0.2">
      <c r="A914" s="30"/>
      <c r="B914" s="30"/>
      <c r="C914" s="30"/>
      <c r="D914" s="28" t="str">
        <f>IFERROR(IF(C914="","",IF(B914="موظف",VLOOKUP(C914,الموظفين!$B:$C,2,FALSE),VLOOKUP(C914,المستفيدين!$B:$C,2,FALSE))),"")</f>
        <v/>
      </c>
      <c r="E914" s="28"/>
      <c r="F914" s="30"/>
      <c r="G914" s="30"/>
      <c r="H914" s="30"/>
    </row>
    <row r="915" spans="1:8" x14ac:dyDescent="0.2">
      <c r="A915" s="30"/>
      <c r="B915" s="30"/>
      <c r="C915" s="30"/>
      <c r="D915" s="28" t="str">
        <f>IFERROR(IF(C915="","",IF(B915="موظف",VLOOKUP(C915,الموظفين!$B:$C,2,FALSE),VLOOKUP(C915,المستفيدين!$B:$C,2,FALSE))),"")</f>
        <v/>
      </c>
      <c r="E915" s="28"/>
      <c r="F915" s="30"/>
      <c r="G915" s="30"/>
      <c r="H915" s="30"/>
    </row>
    <row r="916" spans="1:8" x14ac:dyDescent="0.2">
      <c r="A916" s="30"/>
      <c r="B916" s="30"/>
      <c r="C916" s="30"/>
      <c r="D916" s="28" t="str">
        <f>IFERROR(IF(C916="","",IF(B916="موظف",VLOOKUP(C916,الموظفين!$B:$C,2,FALSE),VLOOKUP(C916,المستفيدين!$B:$C,2,FALSE))),"")</f>
        <v/>
      </c>
      <c r="E916" s="28"/>
      <c r="F916" s="30"/>
      <c r="G916" s="30"/>
      <c r="H916" s="30"/>
    </row>
    <row r="917" spans="1:8" x14ac:dyDescent="0.2">
      <c r="A917" s="30"/>
      <c r="B917" s="30"/>
      <c r="C917" s="30"/>
      <c r="D917" s="28" t="str">
        <f>IFERROR(IF(C917="","",IF(B917="موظف",VLOOKUP(C917,الموظفين!$B:$C,2,FALSE),VLOOKUP(C917,المستفيدين!$B:$C,2,FALSE))),"")</f>
        <v/>
      </c>
      <c r="E917" s="28"/>
      <c r="F917" s="30"/>
      <c r="G917" s="30"/>
      <c r="H917" s="30"/>
    </row>
    <row r="918" spans="1:8" x14ac:dyDescent="0.2">
      <c r="A918" s="30"/>
      <c r="B918" s="30"/>
      <c r="C918" s="30"/>
      <c r="D918" s="28" t="str">
        <f>IFERROR(IF(C918="","",IF(B918="موظف",VLOOKUP(C918,الموظفين!$B:$C,2,FALSE),VLOOKUP(C918,المستفيدين!$B:$C,2,FALSE))),"")</f>
        <v/>
      </c>
      <c r="E918" s="28"/>
      <c r="F918" s="30"/>
      <c r="G918" s="30"/>
      <c r="H918" s="30"/>
    </row>
    <row r="919" spans="1:8" x14ac:dyDescent="0.2">
      <c r="A919" s="30"/>
      <c r="B919" s="30"/>
      <c r="C919" s="30"/>
      <c r="D919" s="28" t="str">
        <f>IFERROR(IF(C919="","",IF(B919="موظف",VLOOKUP(C919,الموظفين!$B:$C,2,FALSE),VLOOKUP(C919,المستفيدين!$B:$C,2,FALSE))),"")</f>
        <v/>
      </c>
      <c r="E919" s="28"/>
      <c r="F919" s="30"/>
      <c r="G919" s="30"/>
      <c r="H919" s="30"/>
    </row>
    <row r="920" spans="1:8" x14ac:dyDescent="0.2">
      <c r="A920" s="30"/>
      <c r="B920" s="30"/>
      <c r="C920" s="30"/>
      <c r="D920" s="28" t="str">
        <f>IFERROR(IF(C920="","",IF(B920="موظف",VLOOKUP(C920,الموظفين!$B:$C,2,FALSE),VLOOKUP(C920,المستفيدين!$B:$C,2,FALSE))),"")</f>
        <v/>
      </c>
      <c r="E920" s="28"/>
      <c r="F920" s="30"/>
      <c r="G920" s="30"/>
      <c r="H920" s="30"/>
    </row>
    <row r="921" spans="1:8" x14ac:dyDescent="0.2">
      <c r="A921" s="30"/>
      <c r="B921" s="30"/>
      <c r="C921" s="30"/>
      <c r="D921" s="28" t="str">
        <f>IFERROR(IF(C921="","",IF(B921="موظف",VLOOKUP(C921,الموظفين!$B:$C,2,FALSE),VLOOKUP(C921,المستفيدين!$B:$C,2,FALSE))),"")</f>
        <v/>
      </c>
      <c r="E921" s="28"/>
      <c r="F921" s="30"/>
      <c r="G921" s="30"/>
      <c r="H921" s="30"/>
    </row>
    <row r="922" spans="1:8" x14ac:dyDescent="0.2">
      <c r="A922" s="30"/>
      <c r="B922" s="30"/>
      <c r="C922" s="30"/>
      <c r="D922" s="28" t="str">
        <f>IFERROR(IF(C922="","",IF(B922="موظف",VLOOKUP(C922,الموظفين!$B:$C,2,FALSE),VLOOKUP(C922,المستفيدين!$B:$C,2,FALSE))),"")</f>
        <v/>
      </c>
      <c r="E922" s="28"/>
      <c r="F922" s="30"/>
      <c r="G922" s="30"/>
      <c r="H922" s="30"/>
    </row>
    <row r="923" spans="1:8" x14ac:dyDescent="0.2">
      <c r="A923" s="30"/>
      <c r="B923" s="30"/>
      <c r="C923" s="30"/>
      <c r="D923" s="28" t="str">
        <f>IFERROR(IF(C923="","",IF(B923="موظف",VLOOKUP(C923,الموظفين!$B:$C,2,FALSE),VLOOKUP(C923,المستفيدين!$B:$C,2,FALSE))),"")</f>
        <v/>
      </c>
      <c r="E923" s="28"/>
      <c r="F923" s="30"/>
      <c r="G923" s="30"/>
      <c r="H923" s="30"/>
    </row>
    <row r="924" spans="1:8" x14ac:dyDescent="0.2">
      <c r="A924" s="30"/>
      <c r="B924" s="30"/>
      <c r="C924" s="30"/>
      <c r="D924" s="28" t="str">
        <f>IFERROR(IF(C924="","",IF(B924="موظف",VLOOKUP(C924,الموظفين!$B:$C,2,FALSE),VLOOKUP(C924,المستفيدين!$B:$C,2,FALSE))),"")</f>
        <v/>
      </c>
      <c r="E924" s="28"/>
      <c r="F924" s="30"/>
      <c r="G924" s="30"/>
      <c r="H924" s="30"/>
    </row>
    <row r="925" spans="1:8" x14ac:dyDescent="0.2">
      <c r="A925" s="30"/>
      <c r="B925" s="30"/>
      <c r="C925" s="30"/>
      <c r="D925" s="28" t="str">
        <f>IFERROR(IF(C925="","",IF(B925="موظف",VLOOKUP(C925,الموظفين!$B:$C,2,FALSE),VLOOKUP(C925,المستفيدين!$B:$C,2,FALSE))),"")</f>
        <v/>
      </c>
      <c r="E925" s="28"/>
      <c r="F925" s="30"/>
      <c r="G925" s="30"/>
      <c r="H925" s="30"/>
    </row>
    <row r="926" spans="1:8" x14ac:dyDescent="0.2">
      <c r="A926" s="30"/>
      <c r="B926" s="30"/>
      <c r="C926" s="30"/>
      <c r="D926" s="28" t="str">
        <f>IFERROR(IF(C926="","",IF(B926="موظف",VLOOKUP(C926,الموظفين!$B:$C,2,FALSE),VLOOKUP(C926,المستفيدين!$B:$C,2,FALSE))),"")</f>
        <v/>
      </c>
      <c r="E926" s="28"/>
      <c r="F926" s="30"/>
      <c r="G926" s="30"/>
      <c r="H926" s="30"/>
    </row>
    <row r="927" spans="1:8" x14ac:dyDescent="0.2">
      <c r="A927" s="30"/>
      <c r="B927" s="30"/>
      <c r="C927" s="30"/>
      <c r="D927" s="28" t="str">
        <f>IFERROR(IF(C927="","",IF(B927="موظف",VLOOKUP(C927,الموظفين!$B:$C,2,FALSE),VLOOKUP(C927,المستفيدين!$B:$C,2,FALSE))),"")</f>
        <v/>
      </c>
      <c r="E927" s="28"/>
      <c r="F927" s="30"/>
      <c r="G927" s="30"/>
      <c r="H927" s="30"/>
    </row>
    <row r="928" spans="1:8" x14ac:dyDescent="0.2">
      <c r="A928" s="30"/>
      <c r="B928" s="30"/>
      <c r="C928" s="30"/>
      <c r="D928" s="28" t="str">
        <f>IFERROR(IF(C928="","",IF(B928="موظف",VLOOKUP(C928,الموظفين!$B:$C,2,FALSE),VLOOKUP(C928,المستفيدين!$B:$C,2,FALSE))),"")</f>
        <v/>
      </c>
      <c r="E928" s="28"/>
      <c r="F928" s="30"/>
      <c r="G928" s="30"/>
      <c r="H928" s="30"/>
    </row>
    <row r="929" spans="1:8" x14ac:dyDescent="0.2">
      <c r="A929" s="30"/>
      <c r="B929" s="30"/>
      <c r="C929" s="30"/>
      <c r="D929" s="28" t="str">
        <f>IFERROR(IF(C929="","",IF(B929="موظف",VLOOKUP(C929,الموظفين!$B:$C,2,FALSE),VLOOKUP(C929,المستفيدين!$B:$C,2,FALSE))),"")</f>
        <v/>
      </c>
      <c r="E929" s="28"/>
      <c r="F929" s="30"/>
      <c r="G929" s="30"/>
      <c r="H929" s="30"/>
    </row>
    <row r="930" spans="1:8" x14ac:dyDescent="0.2">
      <c r="A930" s="30"/>
      <c r="B930" s="30"/>
      <c r="C930" s="30"/>
      <c r="D930" s="28" t="str">
        <f>IFERROR(IF(C930="","",IF(B930="موظف",VLOOKUP(C930,الموظفين!$B:$C,2,FALSE),VLOOKUP(C930,المستفيدين!$B:$C,2,FALSE))),"")</f>
        <v/>
      </c>
      <c r="E930" s="28"/>
      <c r="F930" s="30"/>
      <c r="G930" s="30"/>
      <c r="H930" s="30"/>
    </row>
    <row r="931" spans="1:8" x14ac:dyDescent="0.2">
      <c r="A931" s="30"/>
      <c r="B931" s="30"/>
      <c r="C931" s="30"/>
      <c r="D931" s="28" t="str">
        <f>IFERROR(IF(C931="","",IF(B931="موظف",VLOOKUP(C931,الموظفين!$B:$C,2,FALSE),VLOOKUP(C931,المستفيدين!$B:$C,2,FALSE))),"")</f>
        <v/>
      </c>
      <c r="E931" s="28"/>
      <c r="F931" s="30"/>
      <c r="G931" s="30"/>
      <c r="H931" s="30"/>
    </row>
    <row r="932" spans="1:8" x14ac:dyDescent="0.2">
      <c r="A932" s="30"/>
      <c r="B932" s="30"/>
      <c r="C932" s="30"/>
      <c r="D932" s="28" t="str">
        <f>IFERROR(IF(C932="","",IF(B932="موظف",VLOOKUP(C932,الموظفين!$B:$C,2,FALSE),VLOOKUP(C932,المستفيدين!$B:$C,2,FALSE))),"")</f>
        <v/>
      </c>
      <c r="E932" s="28"/>
      <c r="F932" s="30"/>
      <c r="G932" s="30"/>
      <c r="H932" s="30"/>
    </row>
    <row r="933" spans="1:8" x14ac:dyDescent="0.2">
      <c r="A933" s="30"/>
      <c r="B933" s="30"/>
      <c r="C933" s="30"/>
      <c r="D933" s="28" t="str">
        <f>IFERROR(IF(C933="","",IF(B933="موظف",VLOOKUP(C933,الموظفين!$B:$C,2,FALSE),VLOOKUP(C933,المستفيدين!$B:$C,2,FALSE))),"")</f>
        <v/>
      </c>
      <c r="E933" s="28"/>
      <c r="F933" s="30"/>
      <c r="G933" s="30"/>
      <c r="H933" s="30"/>
    </row>
    <row r="934" spans="1:8" x14ac:dyDescent="0.2">
      <c r="A934" s="30"/>
      <c r="B934" s="30"/>
      <c r="C934" s="30"/>
      <c r="D934" s="28" t="str">
        <f>IFERROR(IF(C934="","",IF(B934="موظف",VLOOKUP(C934,الموظفين!$B:$C,2,FALSE),VLOOKUP(C934,المستفيدين!$B:$C,2,FALSE))),"")</f>
        <v/>
      </c>
      <c r="E934" s="28"/>
      <c r="F934" s="30"/>
      <c r="G934" s="30"/>
      <c r="H934" s="30"/>
    </row>
    <row r="935" spans="1:8" x14ac:dyDescent="0.2">
      <c r="A935" s="30"/>
      <c r="B935" s="30"/>
      <c r="C935" s="30"/>
      <c r="D935" s="28" t="str">
        <f>IFERROR(IF(C935="","",IF(B935="موظف",VLOOKUP(C935,الموظفين!$B:$C,2,FALSE),VLOOKUP(C935,المستفيدين!$B:$C,2,FALSE))),"")</f>
        <v/>
      </c>
      <c r="E935" s="28"/>
      <c r="F935" s="30"/>
      <c r="G935" s="30"/>
      <c r="H935" s="30"/>
    </row>
    <row r="936" spans="1:8" x14ac:dyDescent="0.2">
      <c r="A936" s="30"/>
      <c r="B936" s="30"/>
      <c r="C936" s="30"/>
      <c r="D936" s="28" t="str">
        <f>IFERROR(IF(C936="","",IF(B936="موظف",VLOOKUP(C936,الموظفين!$B:$C,2,FALSE),VLOOKUP(C936,المستفيدين!$B:$C,2,FALSE))),"")</f>
        <v/>
      </c>
      <c r="E936" s="28"/>
      <c r="F936" s="30"/>
      <c r="G936" s="30"/>
      <c r="H936" s="30"/>
    </row>
    <row r="937" spans="1:8" x14ac:dyDescent="0.2">
      <c r="A937" s="30"/>
      <c r="B937" s="30"/>
      <c r="C937" s="30"/>
      <c r="D937" s="28" t="str">
        <f>IFERROR(IF(C937="","",IF(B937="موظف",VLOOKUP(C937,الموظفين!$B:$C,2,FALSE),VLOOKUP(C937,المستفيدين!$B:$C,2,FALSE))),"")</f>
        <v/>
      </c>
      <c r="E937" s="28"/>
      <c r="F937" s="30"/>
      <c r="G937" s="30"/>
      <c r="H937" s="30"/>
    </row>
    <row r="938" spans="1:8" x14ac:dyDescent="0.2">
      <c r="A938" s="30"/>
      <c r="B938" s="30"/>
      <c r="C938" s="30"/>
      <c r="D938" s="28" t="str">
        <f>IFERROR(IF(C938="","",IF(B938="موظف",VLOOKUP(C938,الموظفين!$B:$C,2,FALSE),VLOOKUP(C938,المستفيدين!$B:$C,2,FALSE))),"")</f>
        <v/>
      </c>
      <c r="E938" s="28"/>
      <c r="F938" s="30"/>
      <c r="G938" s="30"/>
      <c r="H938" s="30"/>
    </row>
    <row r="939" spans="1:8" x14ac:dyDescent="0.2">
      <c r="A939" s="30"/>
      <c r="B939" s="30"/>
      <c r="C939" s="30"/>
      <c r="D939" s="28" t="str">
        <f>IFERROR(IF(C939="","",IF(B939="موظف",VLOOKUP(C939,الموظفين!$B:$C,2,FALSE),VLOOKUP(C939,المستفيدين!$B:$C,2,FALSE))),"")</f>
        <v/>
      </c>
      <c r="E939" s="28"/>
      <c r="F939" s="30"/>
      <c r="G939" s="30"/>
      <c r="H939" s="30"/>
    </row>
    <row r="940" spans="1:8" x14ac:dyDescent="0.2">
      <c r="A940" s="30"/>
      <c r="B940" s="30"/>
      <c r="C940" s="30"/>
      <c r="D940" s="28" t="str">
        <f>IFERROR(IF(C940="","",IF(B940="موظف",VLOOKUP(C940,الموظفين!$B:$C,2,FALSE),VLOOKUP(C940,المستفيدين!$B:$C,2,FALSE))),"")</f>
        <v/>
      </c>
      <c r="E940" s="28"/>
      <c r="F940" s="30"/>
      <c r="G940" s="30"/>
      <c r="H940" s="30"/>
    </row>
    <row r="941" spans="1:8" x14ac:dyDescent="0.2">
      <c r="A941" s="30"/>
      <c r="B941" s="30"/>
      <c r="C941" s="30"/>
      <c r="D941" s="28" t="str">
        <f>IFERROR(IF(C941="","",IF(B941="موظف",VLOOKUP(C941,الموظفين!$B:$C,2,FALSE),VLOOKUP(C941,المستفيدين!$B:$C,2,FALSE))),"")</f>
        <v/>
      </c>
      <c r="E941" s="28"/>
      <c r="F941" s="30"/>
      <c r="G941" s="30"/>
      <c r="H941" s="30"/>
    </row>
    <row r="942" spans="1:8" x14ac:dyDescent="0.2">
      <c r="A942" s="30"/>
      <c r="B942" s="30"/>
      <c r="C942" s="30"/>
      <c r="D942" s="28" t="str">
        <f>IFERROR(IF(C942="","",IF(B942="موظف",VLOOKUP(C942,الموظفين!$B:$C,2,FALSE),VLOOKUP(C942,المستفيدين!$B:$C,2,FALSE))),"")</f>
        <v/>
      </c>
      <c r="E942" s="28"/>
      <c r="F942" s="30"/>
      <c r="G942" s="30"/>
      <c r="H942" s="30"/>
    </row>
    <row r="943" spans="1:8" x14ac:dyDescent="0.2">
      <c r="A943" s="30"/>
      <c r="B943" s="30"/>
      <c r="C943" s="30"/>
      <c r="D943" s="28" t="str">
        <f>IFERROR(IF(C943="","",IF(B943="موظف",VLOOKUP(C943,الموظفين!$B:$C,2,FALSE),VLOOKUP(C943,المستفيدين!$B:$C,2,FALSE))),"")</f>
        <v/>
      </c>
      <c r="E943" s="28"/>
      <c r="F943" s="30"/>
      <c r="G943" s="30"/>
      <c r="H943" s="30"/>
    </row>
    <row r="944" spans="1:8" x14ac:dyDescent="0.2">
      <c r="A944" s="30"/>
      <c r="B944" s="30"/>
      <c r="C944" s="30"/>
      <c r="D944" s="28" t="str">
        <f>IFERROR(IF(C944="","",IF(B944="موظف",VLOOKUP(C944,الموظفين!$B:$C,2,FALSE),VLOOKUP(C944,المستفيدين!$B:$C,2,FALSE))),"")</f>
        <v/>
      </c>
      <c r="E944" s="28"/>
      <c r="F944" s="30"/>
      <c r="G944" s="30"/>
      <c r="H944" s="30"/>
    </row>
    <row r="945" spans="1:8" x14ac:dyDescent="0.2">
      <c r="A945" s="30"/>
      <c r="B945" s="30"/>
      <c r="C945" s="30"/>
      <c r="D945" s="28" t="str">
        <f>IFERROR(IF(C945="","",IF(B945="موظف",VLOOKUP(C945,الموظفين!$B:$C,2,FALSE),VLOOKUP(C945,المستفيدين!$B:$C,2,FALSE))),"")</f>
        <v/>
      </c>
      <c r="E945" s="28"/>
      <c r="F945" s="30"/>
      <c r="G945" s="30"/>
      <c r="H945" s="30"/>
    </row>
    <row r="946" spans="1:8" x14ac:dyDescent="0.2">
      <c r="A946" s="30"/>
      <c r="B946" s="30"/>
      <c r="C946" s="30"/>
      <c r="D946" s="28" t="str">
        <f>IFERROR(IF(C946="","",IF(B946="موظف",VLOOKUP(C946,الموظفين!$B:$C,2,FALSE),VLOOKUP(C946,المستفيدين!$B:$C,2,FALSE))),"")</f>
        <v/>
      </c>
      <c r="E946" s="28"/>
      <c r="F946" s="30"/>
      <c r="G946" s="30"/>
      <c r="H946" s="30"/>
    </row>
    <row r="947" spans="1:8" x14ac:dyDescent="0.2">
      <c r="A947" s="30"/>
      <c r="B947" s="30"/>
      <c r="C947" s="30"/>
      <c r="D947" s="28" t="str">
        <f>IFERROR(IF(C947="","",IF(B947="موظف",VLOOKUP(C947,الموظفين!$B:$C,2,FALSE),VLOOKUP(C947,المستفيدين!$B:$C,2,FALSE))),"")</f>
        <v/>
      </c>
      <c r="E947" s="28"/>
      <c r="F947" s="30"/>
      <c r="G947" s="30"/>
      <c r="H947" s="30"/>
    </row>
    <row r="948" spans="1:8" x14ac:dyDescent="0.2">
      <c r="A948" s="30"/>
      <c r="B948" s="30"/>
      <c r="C948" s="30"/>
      <c r="D948" s="28" t="str">
        <f>IFERROR(IF(C948="","",IF(B948="موظف",VLOOKUP(C948,الموظفين!$B:$C,2,FALSE),VLOOKUP(C948,المستفيدين!$B:$C,2,FALSE))),"")</f>
        <v/>
      </c>
      <c r="E948" s="28"/>
      <c r="F948" s="30"/>
      <c r="G948" s="30"/>
      <c r="H948" s="30"/>
    </row>
    <row r="949" spans="1:8" x14ac:dyDescent="0.2">
      <c r="A949" s="30"/>
      <c r="B949" s="30"/>
      <c r="C949" s="30"/>
      <c r="D949" s="28" t="str">
        <f>IFERROR(IF(C949="","",IF(B949="موظف",VLOOKUP(C949,الموظفين!$B:$C,2,FALSE),VLOOKUP(C949,المستفيدين!$B:$C,2,FALSE))),"")</f>
        <v/>
      </c>
      <c r="E949" s="28"/>
      <c r="F949" s="30"/>
      <c r="G949" s="30"/>
      <c r="H949" s="30"/>
    </row>
    <row r="950" spans="1:8" x14ac:dyDescent="0.2">
      <c r="A950" s="30"/>
      <c r="B950" s="30"/>
      <c r="C950" s="30"/>
      <c r="D950" s="28" t="str">
        <f>IFERROR(IF(C950="","",IF(B950="موظف",VLOOKUP(C950,الموظفين!$B:$C,2,FALSE),VLOOKUP(C950,المستفيدين!$B:$C,2,FALSE))),"")</f>
        <v/>
      </c>
      <c r="E950" s="28"/>
      <c r="F950" s="30"/>
      <c r="G950" s="30"/>
      <c r="H950" s="30"/>
    </row>
    <row r="951" spans="1:8" x14ac:dyDescent="0.2">
      <c r="A951" s="30"/>
      <c r="B951" s="30"/>
      <c r="C951" s="30"/>
      <c r="D951" s="28" t="str">
        <f>IFERROR(IF(C951="","",IF(B951="موظف",VLOOKUP(C951,الموظفين!$B:$C,2,FALSE),VLOOKUP(C951,المستفيدين!$B:$C,2,FALSE))),"")</f>
        <v/>
      </c>
      <c r="E951" s="28"/>
      <c r="F951" s="30"/>
      <c r="G951" s="30"/>
      <c r="H951" s="30"/>
    </row>
    <row r="952" spans="1:8" x14ac:dyDescent="0.2">
      <c r="A952" s="30"/>
      <c r="B952" s="30"/>
      <c r="C952" s="30"/>
      <c r="D952" s="28" t="str">
        <f>IFERROR(IF(C952="","",IF(B952="موظف",VLOOKUP(C952,الموظفين!$B:$C,2,FALSE),VLOOKUP(C952,المستفيدين!$B:$C,2,FALSE))),"")</f>
        <v/>
      </c>
      <c r="E952" s="28"/>
      <c r="F952" s="30"/>
      <c r="G952" s="30"/>
      <c r="H952" s="30"/>
    </row>
    <row r="953" spans="1:8" x14ac:dyDescent="0.2">
      <c r="A953" s="30"/>
      <c r="B953" s="30"/>
      <c r="C953" s="30"/>
      <c r="D953" s="28" t="str">
        <f>IFERROR(IF(C953="","",IF(B953="موظف",VLOOKUP(C953,الموظفين!$B:$C,2,FALSE),VLOOKUP(C953,المستفيدين!$B:$C,2,FALSE))),"")</f>
        <v/>
      </c>
      <c r="E953" s="28"/>
      <c r="F953" s="30"/>
      <c r="G953" s="30"/>
      <c r="H953" s="30"/>
    </row>
    <row r="954" spans="1:8" x14ac:dyDescent="0.2">
      <c r="A954" s="30"/>
      <c r="B954" s="30"/>
      <c r="C954" s="30"/>
      <c r="D954" s="28" t="str">
        <f>IFERROR(IF(C954="","",IF(B954="موظف",VLOOKUP(C954,الموظفين!$B:$C,2,FALSE),VLOOKUP(C954,المستفيدين!$B:$C,2,FALSE))),"")</f>
        <v/>
      </c>
      <c r="E954" s="28"/>
      <c r="F954" s="30"/>
      <c r="G954" s="30"/>
      <c r="H954" s="30"/>
    </row>
    <row r="955" spans="1:8" x14ac:dyDescent="0.2">
      <c r="A955" s="30"/>
      <c r="B955" s="30"/>
      <c r="C955" s="30"/>
      <c r="D955" s="28" t="str">
        <f>IFERROR(IF(C955="","",IF(B955="موظف",VLOOKUP(C955,الموظفين!$B:$C,2,FALSE),VLOOKUP(C955,المستفيدين!$B:$C,2,FALSE))),"")</f>
        <v/>
      </c>
      <c r="E955" s="28"/>
      <c r="F955" s="30"/>
      <c r="G955" s="30"/>
      <c r="H955" s="30"/>
    </row>
    <row r="956" spans="1:8" x14ac:dyDescent="0.2">
      <c r="A956" s="30"/>
      <c r="B956" s="30"/>
      <c r="C956" s="30"/>
      <c r="D956" s="28" t="str">
        <f>IFERROR(IF(C956="","",IF(B956="موظف",VLOOKUP(C956,الموظفين!$B:$C,2,FALSE),VLOOKUP(C956,المستفيدين!$B:$C,2,FALSE))),"")</f>
        <v/>
      </c>
      <c r="E956" s="28"/>
      <c r="F956" s="30"/>
      <c r="G956" s="30"/>
      <c r="H956" s="30"/>
    </row>
    <row r="957" spans="1:8" x14ac:dyDescent="0.2">
      <c r="A957" s="30"/>
      <c r="B957" s="30"/>
      <c r="C957" s="30"/>
      <c r="D957" s="28" t="str">
        <f>IFERROR(IF(C957="","",IF(B957="موظف",VLOOKUP(C957,الموظفين!$B:$C,2,FALSE),VLOOKUP(C957,المستفيدين!$B:$C,2,FALSE))),"")</f>
        <v/>
      </c>
      <c r="E957" s="28"/>
      <c r="F957" s="30"/>
      <c r="G957" s="30"/>
      <c r="H957" s="30"/>
    </row>
    <row r="958" spans="1:8" x14ac:dyDescent="0.2">
      <c r="A958" s="30"/>
      <c r="B958" s="30"/>
      <c r="C958" s="30"/>
      <c r="D958" s="28" t="str">
        <f>IFERROR(IF(C958="","",IF(B958="موظف",VLOOKUP(C958,الموظفين!$B:$C,2,FALSE),VLOOKUP(C958,المستفيدين!$B:$C,2,FALSE))),"")</f>
        <v/>
      </c>
      <c r="E958" s="28"/>
      <c r="F958" s="30"/>
      <c r="G958" s="30"/>
      <c r="H958" s="30"/>
    </row>
    <row r="959" spans="1:8" x14ac:dyDescent="0.2">
      <c r="A959" s="30"/>
      <c r="B959" s="30"/>
      <c r="C959" s="30"/>
      <c r="D959" s="28" t="str">
        <f>IFERROR(IF(C959="","",IF(B959="موظف",VLOOKUP(C959,الموظفين!$B:$C,2,FALSE),VLOOKUP(C959,المستفيدين!$B:$C,2,FALSE))),"")</f>
        <v/>
      </c>
      <c r="E959" s="28"/>
      <c r="F959" s="30"/>
      <c r="G959" s="30"/>
      <c r="H959" s="30"/>
    </row>
    <row r="960" spans="1:8" x14ac:dyDescent="0.2">
      <c r="A960" s="30"/>
      <c r="B960" s="30"/>
      <c r="C960" s="30"/>
      <c r="D960" s="28" t="str">
        <f>IFERROR(IF(C960="","",IF(B960="موظف",VLOOKUP(C960,الموظفين!$B:$C,2,FALSE),VLOOKUP(C960,المستفيدين!$B:$C,2,FALSE))),"")</f>
        <v/>
      </c>
      <c r="E960" s="28"/>
      <c r="F960" s="30"/>
      <c r="G960" s="30"/>
      <c r="H960" s="30"/>
    </row>
    <row r="961" spans="1:8" x14ac:dyDescent="0.2">
      <c r="A961" s="30"/>
      <c r="B961" s="30"/>
      <c r="C961" s="30"/>
      <c r="D961" s="28" t="str">
        <f>IFERROR(IF(C961="","",IF(B961="موظف",VLOOKUP(C961,الموظفين!$B:$C,2,FALSE),VLOOKUP(C961,المستفيدين!$B:$C,2,FALSE))),"")</f>
        <v/>
      </c>
      <c r="E961" s="28"/>
      <c r="F961" s="30"/>
      <c r="G961" s="30"/>
      <c r="H961" s="30"/>
    </row>
    <row r="962" spans="1:8" x14ac:dyDescent="0.2">
      <c r="A962" s="30"/>
      <c r="B962" s="30"/>
      <c r="C962" s="30"/>
      <c r="D962" s="28" t="str">
        <f>IFERROR(IF(C962="","",IF(B962="موظف",VLOOKUP(C962,الموظفين!$B:$C,2,FALSE),VLOOKUP(C962,المستفيدين!$B:$C,2,FALSE))),"")</f>
        <v/>
      </c>
      <c r="E962" s="28"/>
      <c r="F962" s="30"/>
      <c r="G962" s="30"/>
      <c r="H962" s="30"/>
    </row>
    <row r="963" spans="1:8" x14ac:dyDescent="0.2">
      <c r="A963" s="30"/>
      <c r="B963" s="30"/>
      <c r="C963" s="30"/>
      <c r="D963" s="28" t="str">
        <f>IFERROR(IF(C963="","",IF(B963="موظف",VLOOKUP(C963,الموظفين!$B:$C,2,FALSE),VLOOKUP(C963,المستفيدين!$B:$C,2,FALSE))),"")</f>
        <v/>
      </c>
      <c r="E963" s="28"/>
      <c r="F963" s="30"/>
      <c r="G963" s="30"/>
      <c r="H963" s="30"/>
    </row>
    <row r="964" spans="1:8" x14ac:dyDescent="0.2">
      <c r="A964" s="30"/>
      <c r="B964" s="30"/>
      <c r="C964" s="30"/>
      <c r="D964" s="28" t="str">
        <f>IFERROR(IF(C964="","",IF(B964="موظف",VLOOKUP(C964,الموظفين!$B:$C,2,FALSE),VLOOKUP(C964,المستفيدين!$B:$C,2,FALSE))),"")</f>
        <v/>
      </c>
      <c r="E964" s="28"/>
      <c r="F964" s="30"/>
      <c r="G964" s="30"/>
      <c r="H964" s="30"/>
    </row>
    <row r="965" spans="1:8" x14ac:dyDescent="0.2">
      <c r="A965" s="30"/>
      <c r="B965" s="30"/>
      <c r="C965" s="30"/>
      <c r="D965" s="28" t="str">
        <f>IFERROR(IF(C965="","",IF(B965="موظف",VLOOKUP(C965,الموظفين!$B:$C,2,FALSE),VLOOKUP(C965,المستفيدين!$B:$C,2,FALSE))),"")</f>
        <v/>
      </c>
      <c r="E965" s="28"/>
      <c r="F965" s="30"/>
      <c r="G965" s="30"/>
      <c r="H965" s="30"/>
    </row>
    <row r="966" spans="1:8" x14ac:dyDescent="0.2">
      <c r="A966" s="30"/>
      <c r="B966" s="30"/>
      <c r="C966" s="30"/>
      <c r="D966" s="28" t="str">
        <f>IFERROR(IF(C966="","",IF(B966="موظف",VLOOKUP(C966,الموظفين!$B:$C,2,FALSE),VLOOKUP(C966,المستفيدين!$B:$C,2,FALSE))),"")</f>
        <v/>
      </c>
      <c r="E966" s="28"/>
      <c r="F966" s="30"/>
      <c r="G966" s="30"/>
      <c r="H966" s="30"/>
    </row>
    <row r="967" spans="1:8" x14ac:dyDescent="0.2">
      <c r="A967" s="30"/>
      <c r="B967" s="30"/>
      <c r="C967" s="30"/>
      <c r="D967" s="28" t="str">
        <f>IFERROR(IF(C967="","",IF(B967="موظف",VLOOKUP(C967,الموظفين!$B:$C,2,FALSE),VLOOKUP(C967,المستفيدين!$B:$C,2,FALSE))),"")</f>
        <v/>
      </c>
      <c r="E967" s="28"/>
      <c r="F967" s="30"/>
      <c r="G967" s="30"/>
      <c r="H967" s="30"/>
    </row>
    <row r="968" spans="1:8" x14ac:dyDescent="0.2">
      <c r="A968" s="30"/>
      <c r="B968" s="30"/>
      <c r="C968" s="30"/>
      <c r="D968" s="28" t="str">
        <f>IFERROR(IF(C968="","",IF(B968="موظف",VLOOKUP(C968,الموظفين!$B:$C,2,FALSE),VLOOKUP(C968,المستفيدين!$B:$C,2,FALSE))),"")</f>
        <v/>
      </c>
      <c r="E968" s="28"/>
      <c r="F968" s="30"/>
      <c r="G968" s="30"/>
      <c r="H968" s="30"/>
    </row>
    <row r="969" spans="1:8" x14ac:dyDescent="0.2">
      <c r="A969" s="30"/>
      <c r="B969" s="30"/>
      <c r="C969" s="30"/>
      <c r="D969" s="28" t="str">
        <f>IFERROR(IF(C969="","",IF(B969="موظف",VLOOKUP(C969,الموظفين!$B:$C,2,FALSE),VLOOKUP(C969,المستفيدين!$B:$C,2,FALSE))),"")</f>
        <v/>
      </c>
      <c r="E969" s="28"/>
      <c r="F969" s="30"/>
      <c r="G969" s="30"/>
      <c r="H969" s="30"/>
    </row>
    <row r="970" spans="1:8" x14ac:dyDescent="0.2">
      <c r="A970" s="30"/>
      <c r="B970" s="30"/>
      <c r="C970" s="30"/>
      <c r="D970" s="28" t="str">
        <f>IFERROR(IF(C970="","",IF(B970="موظف",VLOOKUP(C970,الموظفين!$B:$C,2,FALSE),VLOOKUP(C970,المستفيدين!$B:$C,2,FALSE))),"")</f>
        <v/>
      </c>
      <c r="E970" s="28"/>
      <c r="F970" s="30"/>
      <c r="G970" s="30"/>
      <c r="H970" s="30"/>
    </row>
    <row r="971" spans="1:8" x14ac:dyDescent="0.2">
      <c r="A971" s="30"/>
      <c r="B971" s="30"/>
      <c r="C971" s="30"/>
      <c r="D971" s="28" t="str">
        <f>IFERROR(IF(C971="","",IF(B971="موظف",VLOOKUP(C971,الموظفين!$B:$C,2,FALSE),VLOOKUP(C971,المستفيدين!$B:$C,2,FALSE))),"")</f>
        <v/>
      </c>
      <c r="E971" s="28"/>
      <c r="F971" s="30"/>
      <c r="G971" s="30"/>
      <c r="H971" s="30"/>
    </row>
    <row r="972" spans="1:8" x14ac:dyDescent="0.2">
      <c r="A972" s="30"/>
      <c r="B972" s="30"/>
      <c r="C972" s="30"/>
      <c r="D972" s="28" t="str">
        <f>IFERROR(IF(C972="","",IF(B972="موظف",VLOOKUP(C972,الموظفين!$B:$C,2,FALSE),VLOOKUP(C972,المستفيدين!$B:$C,2,FALSE))),"")</f>
        <v/>
      </c>
      <c r="E972" s="28"/>
      <c r="F972" s="30"/>
      <c r="G972" s="30"/>
      <c r="H972" s="30"/>
    </row>
    <row r="973" spans="1:8" x14ac:dyDescent="0.2">
      <c r="A973" s="30"/>
      <c r="B973" s="30"/>
      <c r="C973" s="30"/>
      <c r="D973" s="28" t="str">
        <f>IFERROR(IF(C973="","",IF(B973="موظف",VLOOKUP(C973,الموظفين!$B:$C,2,FALSE),VLOOKUP(C973,المستفيدين!$B:$C,2,FALSE))),"")</f>
        <v/>
      </c>
      <c r="E973" s="28"/>
      <c r="F973" s="30"/>
      <c r="G973" s="30"/>
      <c r="H973" s="30"/>
    </row>
    <row r="974" spans="1:8" x14ac:dyDescent="0.2">
      <c r="A974" s="30"/>
      <c r="B974" s="30"/>
      <c r="C974" s="30"/>
      <c r="D974" s="28" t="str">
        <f>IFERROR(IF(C974="","",IF(B974="موظف",VLOOKUP(C974,الموظفين!$B:$C,2,FALSE),VLOOKUP(C974,المستفيدين!$B:$C,2,FALSE))),"")</f>
        <v/>
      </c>
      <c r="E974" s="28"/>
      <c r="F974" s="30"/>
      <c r="G974" s="30"/>
      <c r="H974" s="30"/>
    </row>
    <row r="975" spans="1:8" x14ac:dyDescent="0.2">
      <c r="A975" s="30"/>
      <c r="B975" s="30"/>
      <c r="C975" s="30"/>
      <c r="D975" s="28" t="str">
        <f>IFERROR(IF(C975="","",IF(B975="موظف",VLOOKUP(C975,الموظفين!$B:$C,2,FALSE),VLOOKUP(C975,المستفيدين!$B:$C,2,FALSE))),"")</f>
        <v/>
      </c>
      <c r="E975" s="28"/>
      <c r="F975" s="30"/>
      <c r="G975" s="30"/>
      <c r="H975" s="30"/>
    </row>
    <row r="976" spans="1:8" x14ac:dyDescent="0.2">
      <c r="A976" s="30"/>
      <c r="B976" s="30"/>
      <c r="C976" s="30"/>
      <c r="D976" s="28" t="str">
        <f>IFERROR(IF(C976="","",IF(B976="موظف",VLOOKUP(C976,الموظفين!$B:$C,2,FALSE),VLOOKUP(C976,المستفيدين!$B:$C,2,FALSE))),"")</f>
        <v/>
      </c>
      <c r="E976" s="28"/>
      <c r="F976" s="30"/>
      <c r="G976" s="30"/>
      <c r="H976" s="30"/>
    </row>
    <row r="977" spans="1:8" x14ac:dyDescent="0.2">
      <c r="A977" s="30"/>
      <c r="B977" s="30"/>
      <c r="C977" s="30"/>
      <c r="D977" s="28" t="str">
        <f>IFERROR(IF(C977="","",IF(B977="موظف",VLOOKUP(C977,الموظفين!$B:$C,2,FALSE),VLOOKUP(C977,المستفيدين!$B:$C,2,FALSE))),"")</f>
        <v/>
      </c>
      <c r="E977" s="28"/>
      <c r="F977" s="30"/>
      <c r="G977" s="30"/>
      <c r="H977" s="30"/>
    </row>
    <row r="978" spans="1:8" x14ac:dyDescent="0.2">
      <c r="A978" s="30"/>
      <c r="B978" s="30"/>
      <c r="C978" s="30"/>
      <c r="D978" s="28" t="str">
        <f>IFERROR(IF(C978="","",IF(B978="موظف",VLOOKUP(C978,الموظفين!$B:$C,2,FALSE),VLOOKUP(C978,المستفيدين!$B:$C,2,FALSE))),"")</f>
        <v/>
      </c>
      <c r="E978" s="28"/>
      <c r="F978" s="30"/>
      <c r="G978" s="30"/>
      <c r="H978" s="30"/>
    </row>
    <row r="979" spans="1:8" x14ac:dyDescent="0.2">
      <c r="A979" s="30"/>
      <c r="B979" s="30"/>
      <c r="C979" s="30"/>
      <c r="D979" s="28" t="str">
        <f>IFERROR(IF(C979="","",IF(B979="موظف",VLOOKUP(C979,الموظفين!$B:$C,2,FALSE),VLOOKUP(C979,المستفيدين!$B:$C,2,FALSE))),"")</f>
        <v/>
      </c>
      <c r="E979" s="28"/>
      <c r="F979" s="30"/>
      <c r="G979" s="30"/>
      <c r="H979" s="30"/>
    </row>
    <row r="980" spans="1:8" x14ac:dyDescent="0.2">
      <c r="A980" s="30"/>
      <c r="B980" s="30"/>
      <c r="C980" s="30"/>
      <c r="D980" s="28" t="str">
        <f>IFERROR(IF(C980="","",IF(B980="موظف",VLOOKUP(C980,الموظفين!$B:$C,2,FALSE),VLOOKUP(C980,المستفيدين!$B:$C,2,FALSE))),"")</f>
        <v/>
      </c>
      <c r="E980" s="28"/>
      <c r="F980" s="30"/>
      <c r="G980" s="30"/>
      <c r="H980" s="30"/>
    </row>
    <row r="981" spans="1:8" x14ac:dyDescent="0.2">
      <c r="A981" s="30"/>
      <c r="B981" s="30"/>
      <c r="C981" s="30"/>
      <c r="D981" s="28" t="str">
        <f>IFERROR(IF(C981="","",IF(B981="موظف",VLOOKUP(C981,الموظفين!$B:$C,2,FALSE),VLOOKUP(C981,المستفيدين!$B:$C,2,FALSE))),"")</f>
        <v/>
      </c>
      <c r="E981" s="28"/>
      <c r="F981" s="30"/>
      <c r="G981" s="30"/>
      <c r="H981" s="30"/>
    </row>
    <row r="982" spans="1:8" x14ac:dyDescent="0.2">
      <c r="A982" s="30"/>
      <c r="B982" s="30"/>
      <c r="C982" s="30"/>
      <c r="D982" s="28" t="str">
        <f>IFERROR(IF(C982="","",IF(B982="موظف",VLOOKUP(C982,الموظفين!$B:$C,2,FALSE),VLOOKUP(C982,المستفيدين!$B:$C,2,FALSE))),"")</f>
        <v/>
      </c>
      <c r="E982" s="28"/>
      <c r="F982" s="30"/>
      <c r="G982" s="30"/>
      <c r="H982" s="30"/>
    </row>
    <row r="983" spans="1:8" x14ac:dyDescent="0.2">
      <c r="A983" s="30"/>
      <c r="B983" s="30"/>
      <c r="C983" s="30"/>
      <c r="D983" s="28" t="str">
        <f>IFERROR(IF(C983="","",IF(B983="موظف",VLOOKUP(C983,الموظفين!$B:$C,2,FALSE),VLOOKUP(C983,المستفيدين!$B:$C,2,FALSE))),"")</f>
        <v/>
      </c>
      <c r="E983" s="28"/>
      <c r="F983" s="30"/>
      <c r="G983" s="30"/>
      <c r="H983" s="30"/>
    </row>
    <row r="984" spans="1:8" x14ac:dyDescent="0.2">
      <c r="A984" s="30"/>
      <c r="B984" s="30"/>
      <c r="C984" s="30"/>
      <c r="D984" s="28" t="str">
        <f>IFERROR(IF(C984="","",IF(B984="موظف",VLOOKUP(C984,الموظفين!$B:$C,2,FALSE),VLOOKUP(C984,المستفيدين!$B:$C,2,FALSE))),"")</f>
        <v/>
      </c>
      <c r="E984" s="28"/>
      <c r="F984" s="30"/>
      <c r="G984" s="30"/>
      <c r="H984" s="30"/>
    </row>
    <row r="985" spans="1:8" x14ac:dyDescent="0.2">
      <c r="A985" s="30"/>
      <c r="B985" s="30"/>
      <c r="C985" s="30"/>
      <c r="D985" s="28" t="str">
        <f>IFERROR(IF(C985="","",IF(B985="موظف",VLOOKUP(C985,الموظفين!$B:$C,2,FALSE),VLOOKUP(C985,المستفيدين!$B:$C,2,FALSE))),"")</f>
        <v/>
      </c>
      <c r="E985" s="28"/>
      <c r="F985" s="30"/>
      <c r="G985" s="30"/>
      <c r="H985" s="30"/>
    </row>
    <row r="986" spans="1:8" x14ac:dyDescent="0.2">
      <c r="A986" s="30"/>
      <c r="B986" s="30"/>
      <c r="C986" s="30"/>
      <c r="D986" s="28" t="str">
        <f>IFERROR(IF(C986="","",IF(B986="موظف",VLOOKUP(C986,الموظفين!$B:$C,2,FALSE),VLOOKUP(C986,المستفيدين!$B:$C,2,FALSE))),"")</f>
        <v/>
      </c>
      <c r="E986" s="28"/>
      <c r="F986" s="30"/>
      <c r="G986" s="30"/>
      <c r="H986" s="30"/>
    </row>
    <row r="987" spans="1:8" x14ac:dyDescent="0.2">
      <c r="A987" s="30"/>
      <c r="B987" s="30"/>
      <c r="C987" s="30"/>
      <c r="D987" s="28" t="str">
        <f>IFERROR(IF(C987="","",IF(B987="موظف",VLOOKUP(C987,الموظفين!$B:$C,2,FALSE),VLOOKUP(C987,المستفيدين!$B:$C,2,FALSE))),"")</f>
        <v/>
      </c>
      <c r="E987" s="28"/>
      <c r="F987" s="30"/>
      <c r="G987" s="30"/>
      <c r="H987" s="30"/>
    </row>
    <row r="988" spans="1:8" x14ac:dyDescent="0.2">
      <c r="A988" s="30"/>
      <c r="B988" s="30"/>
      <c r="C988" s="30"/>
      <c r="D988" s="28" t="str">
        <f>IFERROR(IF(C988="","",IF(B988="موظف",VLOOKUP(C988,الموظفين!$B:$C,2,FALSE),VLOOKUP(C988,المستفيدين!$B:$C,2,FALSE))),"")</f>
        <v/>
      </c>
      <c r="E988" s="28"/>
      <c r="F988" s="30"/>
      <c r="G988" s="30"/>
      <c r="H988" s="30"/>
    </row>
    <row r="989" spans="1:8" x14ac:dyDescent="0.2">
      <c r="A989" s="30"/>
      <c r="B989" s="30"/>
      <c r="C989" s="30"/>
      <c r="D989" s="28" t="str">
        <f>IFERROR(IF(C989="","",IF(B989="موظف",VLOOKUP(C989,الموظفين!$B:$C,2,FALSE),VLOOKUP(C989,المستفيدين!$B:$C,2,FALSE))),"")</f>
        <v/>
      </c>
      <c r="E989" s="28"/>
      <c r="F989" s="30"/>
      <c r="G989" s="30"/>
      <c r="H989" s="30"/>
    </row>
    <row r="990" spans="1:8" x14ac:dyDescent="0.2">
      <c r="A990" s="30"/>
      <c r="B990" s="30"/>
      <c r="C990" s="30"/>
      <c r="D990" s="28" t="str">
        <f>IFERROR(IF(C990="","",IF(B990="موظف",VLOOKUP(C990,الموظفين!$B:$C,2,FALSE),VLOOKUP(C990,المستفيدين!$B:$C,2,FALSE))),"")</f>
        <v/>
      </c>
      <c r="E990" s="28"/>
      <c r="F990" s="30"/>
      <c r="G990" s="30"/>
      <c r="H990" s="30"/>
    </row>
    <row r="991" spans="1:8" x14ac:dyDescent="0.2">
      <c r="A991" s="30"/>
      <c r="B991" s="30"/>
      <c r="C991" s="30"/>
      <c r="D991" s="28" t="str">
        <f>IFERROR(IF(C991="","",IF(B991="موظف",VLOOKUP(C991,الموظفين!$B:$C,2,FALSE),VLOOKUP(C991,المستفيدين!$B:$C,2,FALSE))),"")</f>
        <v/>
      </c>
      <c r="E991" s="28"/>
      <c r="F991" s="30"/>
      <c r="G991" s="30"/>
      <c r="H991" s="30"/>
    </row>
    <row r="992" spans="1:8" x14ac:dyDescent="0.2">
      <c r="A992" s="30"/>
      <c r="B992" s="30"/>
      <c r="C992" s="30"/>
      <c r="D992" s="28" t="str">
        <f>IFERROR(IF(C992="","",IF(B992="موظف",VLOOKUP(C992,الموظفين!$B:$C,2,FALSE),VLOOKUP(C992,المستفيدين!$B:$C,2,FALSE))),"")</f>
        <v/>
      </c>
      <c r="E992" s="28"/>
      <c r="F992" s="30"/>
      <c r="G992" s="30"/>
      <c r="H992" s="30"/>
    </row>
    <row r="993" spans="1:8" x14ac:dyDescent="0.2">
      <c r="A993" s="30"/>
      <c r="B993" s="30"/>
      <c r="C993" s="30"/>
      <c r="D993" s="28" t="str">
        <f>IFERROR(IF(C993="","",IF(B993="موظف",VLOOKUP(C993,الموظفين!$B:$C,2,FALSE),VLOOKUP(C993,المستفيدين!$B:$C,2,FALSE))),"")</f>
        <v/>
      </c>
      <c r="E993" s="28"/>
      <c r="F993" s="30"/>
      <c r="G993" s="30"/>
      <c r="H993" s="30"/>
    </row>
    <row r="994" spans="1:8" x14ac:dyDescent="0.2">
      <c r="A994" s="30"/>
      <c r="B994" s="30"/>
      <c r="C994" s="30"/>
      <c r="D994" s="28" t="str">
        <f>IFERROR(IF(C994="","",IF(B994="موظف",VLOOKUP(C994,الموظفين!$B:$C,2,FALSE),VLOOKUP(C994,المستفيدين!$B:$C,2,FALSE))),"")</f>
        <v/>
      </c>
      <c r="E994" s="28"/>
      <c r="F994" s="30"/>
      <c r="G994" s="30"/>
      <c r="H994" s="30"/>
    </row>
    <row r="995" spans="1:8" x14ac:dyDescent="0.2">
      <c r="A995" s="30"/>
      <c r="B995" s="30"/>
      <c r="C995" s="30"/>
      <c r="D995" s="28" t="str">
        <f>IFERROR(IF(C995="","",IF(B995="موظف",VLOOKUP(C995,الموظفين!$B:$C,2,FALSE),VLOOKUP(C995,المستفيدين!$B:$C,2,FALSE))),"")</f>
        <v/>
      </c>
      <c r="E995" s="28"/>
      <c r="F995" s="30"/>
      <c r="G995" s="30"/>
      <c r="H995" s="30"/>
    </row>
    <row r="996" spans="1:8" x14ac:dyDescent="0.2">
      <c r="A996" s="30"/>
      <c r="B996" s="30"/>
      <c r="C996" s="30"/>
      <c r="D996" s="28" t="str">
        <f>IFERROR(IF(C996="","",IF(B996="موظف",VLOOKUP(C996,الموظفين!$B:$C,2,FALSE),VLOOKUP(C996,المستفيدين!$B:$C,2,FALSE))),"")</f>
        <v/>
      </c>
      <c r="E996" s="28"/>
      <c r="F996" s="30"/>
      <c r="G996" s="30"/>
      <c r="H996" s="30"/>
    </row>
    <row r="997" spans="1:8" x14ac:dyDescent="0.2">
      <c r="A997" s="30"/>
      <c r="B997" s="30"/>
      <c r="C997" s="30"/>
      <c r="D997" s="28" t="str">
        <f>IFERROR(IF(C997="","",IF(B997="موظف",VLOOKUP(C997,الموظفين!$B:$C,2,FALSE),VLOOKUP(C997,المستفيدين!$B:$C,2,FALSE))),"")</f>
        <v/>
      </c>
      <c r="E997" s="28"/>
      <c r="F997" s="30"/>
      <c r="G997" s="30"/>
      <c r="H997" s="30"/>
    </row>
    <row r="998" spans="1:8" x14ac:dyDescent="0.2">
      <c r="A998" s="30"/>
      <c r="B998" s="30"/>
      <c r="C998" s="30"/>
      <c r="D998" s="28" t="str">
        <f>IFERROR(IF(C998="","",IF(B998="موظف",VLOOKUP(C998,الموظفين!$B:$C,2,FALSE),VLOOKUP(C998,المستفيدين!$B:$C,2,FALSE))),"")</f>
        <v/>
      </c>
      <c r="E998" s="28"/>
      <c r="F998" s="30"/>
      <c r="G998" s="30"/>
      <c r="H998" s="30"/>
    </row>
    <row r="999" spans="1:8" x14ac:dyDescent="0.2">
      <c r="A999" s="30"/>
      <c r="B999" s="30"/>
      <c r="C999" s="30"/>
      <c r="D999" s="28" t="str">
        <f>IFERROR(IF(C999="","",IF(B999="موظف",VLOOKUP(C999,الموظفين!$B:$C,2,FALSE),VLOOKUP(C999,المستفيدين!$B:$C,2,FALSE))),"")</f>
        <v/>
      </c>
      <c r="E999" s="28"/>
      <c r="F999" s="30"/>
      <c r="G999" s="30"/>
      <c r="H999" s="30"/>
    </row>
    <row r="1000" spans="1:8" x14ac:dyDescent="0.2">
      <c r="A1000" s="30"/>
      <c r="B1000" s="30"/>
      <c r="C1000" s="30"/>
      <c r="D1000" s="28" t="str">
        <f>IFERROR(IF(C1000="","",IF(B1000="موظف",VLOOKUP(C1000,الموظفين!$B:$C,2,FALSE),VLOOKUP(C1000,المستفيدين!$B:$C,2,FALSE))),"")</f>
        <v/>
      </c>
      <c r="E1000" s="28"/>
      <c r="F1000" s="30"/>
      <c r="G1000" s="30"/>
      <c r="H1000" s="30"/>
    </row>
    <row r="1001" spans="1:8" x14ac:dyDescent="0.2">
      <c r="A1001" s="30"/>
      <c r="B1001" s="30"/>
      <c r="C1001" s="30"/>
      <c r="D1001" s="28" t="str">
        <f>IFERROR(IF(C1001="","",IF(B1001="موظف",VLOOKUP(C1001,الموظفين!$B:$C,2,FALSE),VLOOKUP(C1001,المستفيدين!$B:$C,2,FALSE))),"")</f>
        <v/>
      </c>
      <c r="E1001" s="28"/>
      <c r="F1001" s="30"/>
      <c r="G1001" s="30"/>
      <c r="H1001" s="30"/>
    </row>
  </sheetData>
  <sheetProtection sort="0" autoFilter="0"/>
  <dataValidations disablePrompts="1" count="1">
    <dataValidation type="list" allowBlank="1" showInputMessage="1" showErrorMessage="1" sqref="B2:B1001" xr:uid="{00000000-0002-0000-0500-000000000000}">
      <formula1>"موظف,مستفيد"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1000000}">
          <x14:formula1>
            <xm:f>'القوائم المرجعية'!$R$5:$R$24</xm:f>
          </x14:formula1>
          <xm:sqref>G2:G1048576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1"/>
  <sheetViews>
    <sheetView rightToLeft="1" workbookViewId="0">
      <selection activeCell="D23" sqref="D23"/>
    </sheetView>
  </sheetViews>
  <sheetFormatPr defaultRowHeight="14.25" x14ac:dyDescent="0.2"/>
  <cols>
    <col min="1" max="1" width="3.875" bestFit="1" customWidth="1"/>
    <col min="2" max="2" width="13.75" bestFit="1" customWidth="1"/>
    <col min="3" max="3" width="13.75" customWidth="1"/>
    <col min="4" max="4" width="38.25" bestFit="1" customWidth="1"/>
    <col min="5" max="5" width="12" customWidth="1"/>
    <col min="6" max="6" width="7" customWidth="1"/>
    <col min="7" max="7" width="14.25" bestFit="1" customWidth="1"/>
    <col min="8" max="8" width="19.75" customWidth="1"/>
  </cols>
  <sheetData>
    <row r="1" spans="1:8" x14ac:dyDescent="0.2">
      <c r="A1" t="s">
        <v>356</v>
      </c>
      <c r="B1" t="s">
        <v>532</v>
      </c>
      <c r="C1" t="s">
        <v>55</v>
      </c>
      <c r="D1" t="s">
        <v>569</v>
      </c>
      <c r="E1" t="s">
        <v>70</v>
      </c>
      <c r="F1" t="s">
        <v>72</v>
      </c>
      <c r="G1" t="s">
        <v>73</v>
      </c>
      <c r="H1" t="s">
        <v>53</v>
      </c>
    </row>
    <row r="2" spans="1:8" x14ac:dyDescent="0.2">
      <c r="A2" s="1">
        <v>1</v>
      </c>
      <c r="B2" s="1">
        <v>1883810977</v>
      </c>
      <c r="C2" t="str">
        <f>IFERROR(IF(B2="","",VLOOKUP(B2,المستفيدين!$B:$C,2,FALSE)),"")</f>
        <v>مستفيد139</v>
      </c>
      <c r="D2" t="str">
        <f>IFERROR(IF(B2="","",VLOOKUP(B2,المستفيدين!$B:$F,5,FALSE)),"")</f>
        <v>مدرسة إرادة وتمكين لمتلازمة داون (نجد)</v>
      </c>
      <c r="E2" s="3">
        <v>45296</v>
      </c>
      <c r="F2" s="33">
        <v>850</v>
      </c>
      <c r="G2" s="1" t="s">
        <v>530</v>
      </c>
      <c r="H2" s="1" t="s">
        <v>534</v>
      </c>
    </row>
    <row r="3" spans="1:8" x14ac:dyDescent="0.2">
      <c r="A3" s="1">
        <v>2</v>
      </c>
      <c r="B3" s="1">
        <v>1234479307</v>
      </c>
      <c r="C3" t="str">
        <f>IFERROR(IF(B3="","",VLOOKUP(B3,المستفيدين!$B:$C,2,FALSE)),"")</f>
        <v>مستفيد136</v>
      </c>
      <c r="D3" t="str">
        <f>IFERROR(IF(B3="","",VLOOKUP(B3,المستفيدين!$B:$F,5,FALSE)),"")</f>
        <v>مركز إرادة وتمكين لمتلازمة داون (نجد)</v>
      </c>
      <c r="E3" s="3">
        <v>45296</v>
      </c>
      <c r="F3" s="33">
        <v>550</v>
      </c>
      <c r="G3" s="1" t="s">
        <v>530</v>
      </c>
      <c r="H3" s="1" t="s">
        <v>538</v>
      </c>
    </row>
    <row r="4" spans="1:8" x14ac:dyDescent="0.2">
      <c r="A4" s="1">
        <v>3</v>
      </c>
      <c r="B4" s="1">
        <v>1265180355</v>
      </c>
      <c r="C4" t="str">
        <f>IFERROR(IF(B4="","",VLOOKUP(B4,المستفيدين!$B:$C,2,FALSE)),"")</f>
        <v>مستفيد157</v>
      </c>
      <c r="D4" t="str">
        <f>IFERROR(IF(B4="","",VLOOKUP(B4,المستفيدين!$B:$F,5,FALSE)),"")</f>
        <v>مدرسة إرادة للتعليم (مكة)</v>
      </c>
      <c r="E4" s="3">
        <v>45309</v>
      </c>
      <c r="F4" s="33">
        <v>3500</v>
      </c>
      <c r="G4" s="1" t="s">
        <v>530</v>
      </c>
      <c r="H4" s="1" t="s">
        <v>535</v>
      </c>
    </row>
    <row r="5" spans="1:8" x14ac:dyDescent="0.2">
      <c r="A5" s="1">
        <v>4</v>
      </c>
      <c r="B5" s="1">
        <v>1229115953</v>
      </c>
      <c r="C5" t="str">
        <f>IFERROR(IF(B5="","",VLOOKUP(B5,المستفيدين!$B:$C,2,FALSE)),"")</f>
        <v>مستفيد198</v>
      </c>
      <c r="D5" t="str">
        <f>IFERROR(IF(B5="","",VLOOKUP(B5,المستفيدين!$B:$F,5,FALSE)),"")</f>
        <v>مركز إرادة وتمكين للرعاية النهارية (القدس)</v>
      </c>
      <c r="E5" s="3">
        <v>45310</v>
      </c>
      <c r="F5" s="33">
        <v>3000</v>
      </c>
      <c r="G5" s="1" t="s">
        <v>530</v>
      </c>
      <c r="H5" s="1"/>
    </row>
    <row r="6" spans="1:8" x14ac:dyDescent="0.2">
      <c r="A6" s="1">
        <v>5</v>
      </c>
      <c r="B6" s="1">
        <v>1009443870</v>
      </c>
      <c r="C6" t="str">
        <f>IFERROR(IF(B6="","",VLOOKUP(B6,المستفيدين!$B:$C,2,FALSE)),"")</f>
        <v>مستفيد42</v>
      </c>
      <c r="D6" t="str">
        <f>IFERROR(IF(B6="","",VLOOKUP(B6,المستفيدين!$B:$F,5,FALSE)),"")</f>
        <v>مركز إرادة وتمكين لمتلازمة داون (نجد)</v>
      </c>
      <c r="E6" s="3">
        <v>45315</v>
      </c>
      <c r="F6" s="33">
        <v>700</v>
      </c>
      <c r="G6" s="1" t="s">
        <v>530</v>
      </c>
      <c r="H6" s="1"/>
    </row>
    <row r="7" spans="1:8" x14ac:dyDescent="0.2">
      <c r="A7" s="1">
        <v>6</v>
      </c>
      <c r="B7" s="1">
        <v>1096348523</v>
      </c>
      <c r="C7" t="str">
        <f>IFERROR(IF(B7="","",VLOOKUP(B7,المستفيدين!$B:$C,2,FALSE)),"")</f>
        <v>مستفيد4</v>
      </c>
      <c r="D7" t="str">
        <f>IFERROR(IF(B7="","",VLOOKUP(B7,المستفيدين!$B:$F,5,FALSE)),"")</f>
        <v>مدرسة إرادة للتعليم (مكة)</v>
      </c>
      <c r="E7" s="3">
        <v>45317</v>
      </c>
      <c r="F7" s="33">
        <v>350</v>
      </c>
      <c r="G7" s="1" t="s">
        <v>530</v>
      </c>
      <c r="H7" s="1"/>
    </row>
    <row r="8" spans="1:8" x14ac:dyDescent="0.2">
      <c r="A8" s="1">
        <v>7</v>
      </c>
      <c r="B8" s="1">
        <v>1668099269</v>
      </c>
      <c r="C8" t="str">
        <f>IFERROR(IF(B8="","",VLOOKUP(B8,المستفيدين!$B:$C,2,FALSE)),"")</f>
        <v>مستفيد20</v>
      </c>
      <c r="D8" t="str">
        <f>IFERROR(IF(B8="","",VLOOKUP(B8,المستفيدين!$B:$F,5,FALSE)),"")</f>
        <v>مركز إرادة وتمكين لرعاية ذوي الاحتياجات الخاصة (جلمودة)</v>
      </c>
      <c r="E8" s="3">
        <v>45318</v>
      </c>
      <c r="F8" s="33">
        <v>1500</v>
      </c>
      <c r="G8" s="1" t="s">
        <v>531</v>
      </c>
      <c r="H8" s="1" t="s">
        <v>540</v>
      </c>
    </row>
    <row r="9" spans="1:8" x14ac:dyDescent="0.2">
      <c r="A9" s="1">
        <v>8</v>
      </c>
      <c r="B9" s="1">
        <v>1207180707</v>
      </c>
      <c r="C9" t="str">
        <f>IFERROR(IF(B9="","",VLOOKUP(B9,المستفيدين!$B:$C,2,FALSE)),"")</f>
        <v>مستفيد182</v>
      </c>
      <c r="D9" t="str">
        <f>IFERROR(IF(B9="","",VLOOKUP(B9,المستفيدين!$B:$F,5,FALSE)),"")</f>
        <v>مدرسة إرادة للتعليم (مكة)</v>
      </c>
      <c r="E9" s="3">
        <v>45320</v>
      </c>
      <c r="F9" s="33">
        <v>3500</v>
      </c>
      <c r="G9" s="1" t="s">
        <v>531</v>
      </c>
      <c r="H9" s="1" t="s">
        <v>41</v>
      </c>
    </row>
    <row r="10" spans="1:8" x14ac:dyDescent="0.2">
      <c r="A10" s="1">
        <v>9</v>
      </c>
      <c r="B10" s="1">
        <v>1371671971</v>
      </c>
      <c r="C10" t="str">
        <f>IFERROR(IF(B10="","",VLOOKUP(B10,المستفيدين!$B:$C,2,FALSE)),"")</f>
        <v>مستفيد91</v>
      </c>
      <c r="D10" t="str">
        <f>IFERROR(IF(B10="","",VLOOKUP(B10,المستفيدين!$B:$F,5,FALSE)),"")</f>
        <v>مركز إرادة وتمكين لرعاية ذوي الاحتياجات الخاصة (جلمودة)</v>
      </c>
      <c r="E10" s="3">
        <v>45323</v>
      </c>
      <c r="F10" s="33">
        <v>350</v>
      </c>
      <c r="G10" s="1" t="s">
        <v>530</v>
      </c>
      <c r="H10" s="1"/>
    </row>
    <row r="11" spans="1:8" x14ac:dyDescent="0.2">
      <c r="A11" s="1">
        <v>10</v>
      </c>
      <c r="B11" s="1">
        <v>1548238329</v>
      </c>
      <c r="C11" t="str">
        <f>IFERROR(IF(B11="","",VLOOKUP(B11,المستفيدين!$B:$C,2,FALSE)),"")</f>
        <v>مستفيد178</v>
      </c>
      <c r="D11" t="str">
        <f>IFERROR(IF(B11="","",VLOOKUP(B11,المستفيدين!$B:$F,5,FALSE)),"")</f>
        <v>مركز إرادة وتمكين لمتلازمة داون (نجد)</v>
      </c>
      <c r="E11" s="3">
        <v>45323</v>
      </c>
      <c r="F11" s="33">
        <v>650</v>
      </c>
      <c r="G11" s="1" t="s">
        <v>530</v>
      </c>
      <c r="H11" s="1"/>
    </row>
    <row r="12" spans="1:8" x14ac:dyDescent="0.2">
      <c r="A12" s="1">
        <v>11</v>
      </c>
      <c r="B12" s="1">
        <v>1519714037</v>
      </c>
      <c r="C12" t="str">
        <f>IFERROR(IF(B12="","",VLOOKUP(B12,المستفيدين!$B:$C,2,FALSE)),"")</f>
        <v>مستفيد74</v>
      </c>
      <c r="D12" t="str">
        <f>IFERROR(IF(B12="","",VLOOKUP(B12,المستفيدين!$B:$F,5,FALSE)),"")</f>
        <v>مركز إرادة وتمكين لرعاية ذوي الاحتياجات الخاصة (جلمودة)</v>
      </c>
      <c r="E12" s="3">
        <v>45326</v>
      </c>
      <c r="F12" s="33">
        <v>1100</v>
      </c>
      <c r="G12" s="1" t="s">
        <v>530</v>
      </c>
      <c r="H12" s="1" t="s">
        <v>537</v>
      </c>
    </row>
    <row r="13" spans="1:8" x14ac:dyDescent="0.2">
      <c r="A13" s="1">
        <v>12</v>
      </c>
      <c r="B13" s="1">
        <v>1113590304</v>
      </c>
      <c r="C13" t="str">
        <f>IFERROR(IF(B13="","",VLOOKUP(B13,المستفيدين!$B:$C,2,FALSE)),"")</f>
        <v>مستفيد186</v>
      </c>
      <c r="D13" t="str">
        <f>IFERROR(IF(B13="","",VLOOKUP(B13,المستفيدين!$B:$F,5,FALSE)),"")</f>
        <v>مركز إرادة وتمكين لمتلازمة داون (نجد)</v>
      </c>
      <c r="E13" s="3">
        <v>45329</v>
      </c>
      <c r="F13" s="33">
        <v>700</v>
      </c>
      <c r="G13" s="1" t="s">
        <v>531</v>
      </c>
      <c r="H13" s="1" t="s">
        <v>539</v>
      </c>
    </row>
    <row r="14" spans="1:8" x14ac:dyDescent="0.2">
      <c r="A14" s="1">
        <v>13</v>
      </c>
      <c r="B14" s="1">
        <v>1098792726</v>
      </c>
      <c r="C14" t="str">
        <f>IFERROR(IF(B14="","",VLOOKUP(B14,المستفيدين!$B:$C,2,FALSE)),"")</f>
        <v>مستفيد140</v>
      </c>
      <c r="D14" t="str">
        <f>IFERROR(IF(B14="","",VLOOKUP(B14,المستفيدين!$B:$F,5,FALSE)),"")</f>
        <v>مدرسة إرادة وتمكين لمتلازمة داون (نجد)</v>
      </c>
      <c r="E14" s="3">
        <v>45332</v>
      </c>
      <c r="F14" s="33">
        <v>4000</v>
      </c>
      <c r="G14" s="1" t="s">
        <v>530</v>
      </c>
      <c r="H14" s="1" t="s">
        <v>534</v>
      </c>
    </row>
    <row r="15" spans="1:8" x14ac:dyDescent="0.2">
      <c r="A15" s="1">
        <v>14</v>
      </c>
      <c r="B15" s="1">
        <v>1614242749</v>
      </c>
      <c r="C15" t="str">
        <f>IFERROR(IF(B15="","",VLOOKUP(B15,المستفيدين!$B:$C,2,FALSE)),"")</f>
        <v>مستفيد114</v>
      </c>
      <c r="D15" t="str">
        <f>IFERROR(IF(B15="","",VLOOKUP(B15,المستفيدين!$B:$F,5,FALSE)),"")</f>
        <v>مدرسة إرادة للتعليم (مكة)</v>
      </c>
      <c r="E15" s="3">
        <v>45332</v>
      </c>
      <c r="F15" s="33">
        <v>2200</v>
      </c>
      <c r="G15" s="1" t="s">
        <v>530</v>
      </c>
      <c r="H15" s="1" t="s">
        <v>537</v>
      </c>
    </row>
    <row r="16" spans="1:8" x14ac:dyDescent="0.2">
      <c r="A16" s="1">
        <v>15</v>
      </c>
      <c r="B16" s="1">
        <v>1773160728</v>
      </c>
      <c r="C16" t="str">
        <f>IFERROR(IF(B16="","",VLOOKUP(B16,المستفيدين!$B:$C,2,FALSE)),"")</f>
        <v>مستفيد161</v>
      </c>
      <c r="D16" t="str">
        <f>IFERROR(IF(B16="","",VLOOKUP(B16,المستفيدين!$B:$F,5,FALSE)),"")</f>
        <v>مركز إرادة وتمكين لمتلازمة داون (نجد)</v>
      </c>
      <c r="E16" s="3">
        <v>45332</v>
      </c>
      <c r="F16" s="33">
        <v>1600</v>
      </c>
      <c r="G16" s="1" t="s">
        <v>530</v>
      </c>
      <c r="H16" s="1" t="s">
        <v>536</v>
      </c>
    </row>
    <row r="17" spans="1:8" x14ac:dyDescent="0.2">
      <c r="A17" s="1">
        <v>16</v>
      </c>
      <c r="B17" s="1">
        <v>1838907615</v>
      </c>
      <c r="C17" t="str">
        <f>IFERROR(IF(B17="","",VLOOKUP(B17,المستفيدين!$B:$C,2,FALSE)),"")</f>
        <v>مستفيد29</v>
      </c>
      <c r="D17" t="str">
        <f>IFERROR(IF(B17="","",VLOOKUP(B17,المستفيدين!$B:$F,5,FALSE)),"")</f>
        <v>مركز إرادة وتمكين لرعاية ذوي الاحتياجات الخاصة (جلمودة)</v>
      </c>
      <c r="E17" s="3">
        <v>45333</v>
      </c>
      <c r="F17" s="33">
        <v>1500</v>
      </c>
      <c r="G17" s="1" t="s">
        <v>530</v>
      </c>
      <c r="H17" s="1" t="s">
        <v>535</v>
      </c>
    </row>
    <row r="18" spans="1:8" x14ac:dyDescent="0.2">
      <c r="A18" s="1">
        <v>17</v>
      </c>
      <c r="B18" s="1">
        <v>1130166119</v>
      </c>
      <c r="C18" t="str">
        <f>IFERROR(IF(B18="","",VLOOKUP(B18,المستفيدين!$B:$C,2,FALSE)),"")</f>
        <v>مستفيد103</v>
      </c>
      <c r="D18" t="str">
        <f>IFERROR(IF(B18="","",VLOOKUP(B18,المستفيدين!$B:$F,5,FALSE)),"")</f>
        <v>مركز إرادة وتمكين لمتلازمة داون (نجد)</v>
      </c>
      <c r="E18" s="3">
        <v>45333</v>
      </c>
      <c r="F18" s="33">
        <v>3500</v>
      </c>
      <c r="G18" s="1" t="s">
        <v>530</v>
      </c>
      <c r="H18" s="1"/>
    </row>
    <row r="19" spans="1:8" x14ac:dyDescent="0.2">
      <c r="A19" s="1">
        <v>18</v>
      </c>
      <c r="B19" s="1">
        <v>1256720953</v>
      </c>
      <c r="C19" t="str">
        <f>IFERROR(IF(B19="","",VLOOKUP(B19,المستفيدين!$B:$C,2,FALSE)),"")</f>
        <v>مستفيد53</v>
      </c>
      <c r="D19" t="str">
        <f>IFERROR(IF(B19="","",VLOOKUP(B19,المستفيدين!$B:$F,5,FALSE)),"")</f>
        <v>مركز إرادة وتمكين لمتلازمة داون (نجد)</v>
      </c>
      <c r="E19" s="3">
        <v>45333</v>
      </c>
      <c r="F19" s="33">
        <v>2900</v>
      </c>
      <c r="G19" s="1" t="s">
        <v>530</v>
      </c>
      <c r="H19" s="1" t="s">
        <v>537</v>
      </c>
    </row>
    <row r="20" spans="1:8" x14ac:dyDescent="0.2">
      <c r="A20" s="1">
        <v>19</v>
      </c>
      <c r="B20" s="1">
        <v>1994984803</v>
      </c>
      <c r="C20" t="str">
        <f>IFERROR(IF(B20="","",VLOOKUP(B20,المستفيدين!$B:$C,2,FALSE)),"")</f>
        <v>مستفيد122</v>
      </c>
      <c r="D20" t="str">
        <f>IFERROR(IF(B20="","",VLOOKUP(B20,المستفيدين!$B:$F,5,FALSE)),"")</f>
        <v>مركز إرادة وتمكين للرعاية النهارية (القدس)</v>
      </c>
      <c r="E20" s="3">
        <v>45334</v>
      </c>
      <c r="F20" s="33">
        <v>3000</v>
      </c>
      <c r="G20" s="1" t="s">
        <v>530</v>
      </c>
      <c r="H20" s="1" t="s">
        <v>538</v>
      </c>
    </row>
    <row r="21" spans="1:8" x14ac:dyDescent="0.2">
      <c r="A21" s="1">
        <v>20</v>
      </c>
      <c r="B21" s="1">
        <v>1049921311</v>
      </c>
      <c r="C21" t="str">
        <f>IFERROR(IF(B21="","",VLOOKUP(B21,المستفيدين!$B:$C,2,FALSE)),"")</f>
        <v>مستفيد133</v>
      </c>
      <c r="D21" t="str">
        <f>IFERROR(IF(B21="","",VLOOKUP(B21,المستفيدين!$B:$F,5,FALSE)),"")</f>
        <v>مدرسة إرادة للتعليم (مكة)</v>
      </c>
      <c r="E21" s="3">
        <v>45334</v>
      </c>
      <c r="F21" s="33">
        <v>700</v>
      </c>
      <c r="G21" s="1" t="s">
        <v>531</v>
      </c>
      <c r="H21" s="1" t="s">
        <v>541</v>
      </c>
    </row>
    <row r="22" spans="1:8" x14ac:dyDescent="0.2">
      <c r="A22" s="1">
        <v>21</v>
      </c>
      <c r="B22" s="1">
        <v>1087747431</v>
      </c>
      <c r="C22" t="str">
        <f>IFERROR(IF(B22="","",VLOOKUP(B22,المستفيدين!$B:$C,2,FALSE)),"")</f>
        <v>مستفيد108</v>
      </c>
      <c r="D22" t="str">
        <f>IFERROR(IF(B22="","",VLOOKUP(B22,المستفيدين!$B:$F,5,FALSE)),"")</f>
        <v>مركز إرادة وتمكين لمتلازمة داون (نجد)</v>
      </c>
      <c r="E22" s="3">
        <v>45338</v>
      </c>
      <c r="F22" s="33">
        <v>1200</v>
      </c>
      <c r="G22" s="1" t="s">
        <v>530</v>
      </c>
      <c r="H22" s="1" t="s">
        <v>533</v>
      </c>
    </row>
    <row r="23" spans="1:8" x14ac:dyDescent="0.2">
      <c r="A23" s="1">
        <v>22</v>
      </c>
      <c r="B23" s="1">
        <v>1228939605</v>
      </c>
      <c r="C23" t="str">
        <f>IFERROR(IF(B23="","",VLOOKUP(B23,المستفيدين!$B:$C,2,FALSE)),"")</f>
        <v>مستفيد54</v>
      </c>
      <c r="D23" t="str">
        <f>IFERROR(IF(B23="","",VLOOKUP(B23,المستفيدين!$B:$F,5,FALSE)),"")</f>
        <v>مدرسة إرادة للتعليم (مكة)</v>
      </c>
      <c r="E23" s="3">
        <v>45339</v>
      </c>
      <c r="F23" s="33">
        <v>1400</v>
      </c>
      <c r="G23" s="1" t="s">
        <v>530</v>
      </c>
      <c r="H23" s="1" t="s">
        <v>537</v>
      </c>
    </row>
    <row r="24" spans="1:8" x14ac:dyDescent="0.2">
      <c r="A24" s="1">
        <v>23</v>
      </c>
      <c r="B24" s="1">
        <v>1135186222</v>
      </c>
      <c r="C24" t="str">
        <f>IFERROR(IF(B24="","",VLOOKUP(B24,المستفيدين!$B:$C,2,FALSE)),"")</f>
        <v>مستفيد106</v>
      </c>
      <c r="D24" t="str">
        <f>IFERROR(IF(B24="","",VLOOKUP(B24,المستفيدين!$B:$F,5,FALSE)),"")</f>
        <v>مدرسة إرادة وتمكين لمتلازمة داون (نجد)</v>
      </c>
      <c r="E24" s="3">
        <v>45345</v>
      </c>
      <c r="F24" s="33">
        <v>2500</v>
      </c>
      <c r="G24" s="1" t="s">
        <v>531</v>
      </c>
      <c r="H24" s="1" t="s">
        <v>540</v>
      </c>
    </row>
    <row r="25" spans="1:8" x14ac:dyDescent="0.2">
      <c r="A25" s="1">
        <v>24</v>
      </c>
      <c r="B25" s="1">
        <v>1009443870</v>
      </c>
      <c r="C25" t="str">
        <f>IFERROR(IF(B25="","",VLOOKUP(B25,المستفيدين!$B:$C,2,FALSE)),"")</f>
        <v>مستفيد42</v>
      </c>
      <c r="D25" t="str">
        <f>IFERROR(IF(B25="","",VLOOKUP(B25,المستفيدين!$B:$F,5,FALSE)),"")</f>
        <v>مركز إرادة وتمكين لمتلازمة داون (نجد)</v>
      </c>
      <c r="E25" s="3">
        <v>45349</v>
      </c>
      <c r="F25" s="33">
        <v>1350</v>
      </c>
      <c r="G25" s="1" t="s">
        <v>530</v>
      </c>
      <c r="H25" s="1" t="s">
        <v>534</v>
      </c>
    </row>
    <row r="26" spans="1:8" x14ac:dyDescent="0.2">
      <c r="A26" s="1">
        <v>25</v>
      </c>
      <c r="B26" s="1">
        <v>1224071000</v>
      </c>
      <c r="C26" t="str">
        <f>IFERROR(IF(B26="","",VLOOKUP(B26,المستفيدين!$B:$C,2,FALSE)),"")</f>
        <v>مستفيد150</v>
      </c>
      <c r="D26" t="str">
        <f>IFERROR(IF(B26="","",VLOOKUP(B26,المستفيدين!$B:$F,5,FALSE)),"")</f>
        <v>مركز إرادة وتمكين لمتلازمة داون (نجد)</v>
      </c>
      <c r="E26" s="3">
        <v>45349</v>
      </c>
      <c r="F26" s="33">
        <v>900</v>
      </c>
      <c r="G26" s="1" t="s">
        <v>530</v>
      </c>
      <c r="H26" s="1"/>
    </row>
    <row r="27" spans="1:8" x14ac:dyDescent="0.2">
      <c r="A27" s="1">
        <v>26</v>
      </c>
      <c r="B27" s="1">
        <v>1009443870</v>
      </c>
      <c r="C27" t="str">
        <f>IFERROR(IF(B27="","",VLOOKUP(B27,المستفيدين!$B:$C,2,FALSE)),"")</f>
        <v>مستفيد42</v>
      </c>
      <c r="D27" t="str">
        <f>IFERROR(IF(B27="","",VLOOKUP(B27,المستفيدين!$B:$F,5,FALSE)),"")</f>
        <v>مركز إرادة وتمكين لمتلازمة داون (نجد)</v>
      </c>
      <c r="E27" s="3">
        <v>45355</v>
      </c>
      <c r="F27" s="33">
        <v>950</v>
      </c>
      <c r="G27" s="1" t="s">
        <v>530</v>
      </c>
      <c r="H27" s="1" t="s">
        <v>538</v>
      </c>
    </row>
    <row r="28" spans="1:8" x14ac:dyDescent="0.2">
      <c r="A28" s="1">
        <v>27</v>
      </c>
      <c r="B28" s="1">
        <v>1983951447</v>
      </c>
      <c r="C28" t="str">
        <f>IFERROR(IF(B28="","",VLOOKUP(B28,المستفيدين!$B:$C,2,FALSE)),"")</f>
        <v>مستفيد72</v>
      </c>
      <c r="D28" t="str">
        <f>IFERROR(IF(B28="","",VLOOKUP(B28,المستفيدين!$B:$F,5,FALSE)),"")</f>
        <v>مركز إرادة وتمكين لرعاية ذوي الاحتياجات الخاصة (جلمودة)</v>
      </c>
      <c r="E28" s="3">
        <v>45356</v>
      </c>
      <c r="F28" s="33">
        <v>2500</v>
      </c>
      <c r="G28" s="1" t="s">
        <v>530</v>
      </c>
      <c r="H28" s="1" t="s">
        <v>533</v>
      </c>
    </row>
    <row r="29" spans="1:8" x14ac:dyDescent="0.2">
      <c r="A29" s="1">
        <v>28</v>
      </c>
      <c r="B29" s="1">
        <v>1998973443</v>
      </c>
      <c r="C29" t="str">
        <f>IFERROR(IF(B29="","",VLOOKUP(B29,المستفيدين!$B:$C,2,FALSE)),"")</f>
        <v>مستفيد28</v>
      </c>
      <c r="D29" t="str">
        <f>IFERROR(IF(B29="","",VLOOKUP(B29,المستفيدين!$B:$F,5,FALSE)),"")</f>
        <v>مدرسة إرادة وتمكين لمتلازمة داون (نجد)</v>
      </c>
      <c r="E29" s="3">
        <v>45361</v>
      </c>
      <c r="F29" s="33">
        <v>900</v>
      </c>
      <c r="G29" s="1" t="s">
        <v>530</v>
      </c>
      <c r="H29" s="1" t="s">
        <v>534</v>
      </c>
    </row>
    <row r="30" spans="1:8" x14ac:dyDescent="0.2">
      <c r="A30" s="1">
        <v>29</v>
      </c>
      <c r="B30" s="1">
        <v>1224071000</v>
      </c>
      <c r="C30" t="str">
        <f>IFERROR(IF(B30="","",VLOOKUP(B30,المستفيدين!$B:$C,2,FALSE)),"")</f>
        <v>مستفيد150</v>
      </c>
      <c r="D30" t="str">
        <f>IFERROR(IF(B30="","",VLOOKUP(B30,المستفيدين!$B:$F,5,FALSE)),"")</f>
        <v>مركز إرادة وتمكين لمتلازمة داون (نجد)</v>
      </c>
      <c r="E30" s="3">
        <v>45362</v>
      </c>
      <c r="F30" s="33">
        <v>600</v>
      </c>
      <c r="G30" s="1" t="s">
        <v>531</v>
      </c>
      <c r="H30" s="1" t="s">
        <v>539</v>
      </c>
    </row>
    <row r="31" spans="1:8" x14ac:dyDescent="0.2">
      <c r="A31" s="1">
        <v>30</v>
      </c>
      <c r="B31" s="1">
        <v>1744297633</v>
      </c>
      <c r="C31" t="str">
        <f>IFERROR(IF(B31="","",VLOOKUP(B31,المستفيدين!$B:$C,2,FALSE)),"")</f>
        <v>مستفيد153</v>
      </c>
      <c r="D31" t="str">
        <f>IFERROR(IF(B31="","",VLOOKUP(B31,المستفيدين!$B:$F,5,FALSE)),"")</f>
        <v>مدرسة إرادة للتعليم (مكة)</v>
      </c>
      <c r="E31" s="3">
        <v>45363</v>
      </c>
      <c r="F31" s="33">
        <v>3000</v>
      </c>
      <c r="G31" s="1" t="s">
        <v>530</v>
      </c>
      <c r="H31" s="1"/>
    </row>
    <row r="32" spans="1:8" x14ac:dyDescent="0.2">
      <c r="A32" s="1">
        <v>31</v>
      </c>
      <c r="B32" s="1">
        <v>1241445275</v>
      </c>
      <c r="C32" t="str">
        <f>IFERROR(IF(B32="","",VLOOKUP(B32,المستفيدين!$B:$C,2,FALSE)),"")</f>
        <v>مستفيد67</v>
      </c>
      <c r="D32" t="str">
        <f>IFERROR(IF(B32="","",VLOOKUP(B32,المستفيدين!$B:$F,5,FALSE)),"")</f>
        <v>مركز إرادة وتمكين للرعاية النهارية (القدس)</v>
      </c>
      <c r="E32" s="3">
        <v>45364</v>
      </c>
      <c r="F32" s="33">
        <v>1400</v>
      </c>
      <c r="G32" s="1" t="s">
        <v>530</v>
      </c>
      <c r="H32" s="1"/>
    </row>
    <row r="33" spans="1:8" x14ac:dyDescent="0.2">
      <c r="A33" s="1">
        <v>32</v>
      </c>
      <c r="B33" s="1">
        <v>1491276005</v>
      </c>
      <c r="C33" t="str">
        <f>IFERROR(IF(B33="","",VLOOKUP(B33,المستفيدين!$B:$C,2,FALSE)),"")</f>
        <v>مستفيد73</v>
      </c>
      <c r="D33" t="str">
        <f>IFERROR(IF(B33="","",VLOOKUP(B33,المستفيدين!$B:$F,5,FALSE)),"")</f>
        <v>مدرسة إرادة للتعليم (مكة)</v>
      </c>
      <c r="E33" s="3">
        <v>45366</v>
      </c>
      <c r="F33" s="33">
        <v>250</v>
      </c>
      <c r="G33" s="1" t="s">
        <v>530</v>
      </c>
      <c r="H33" s="1"/>
    </row>
    <row r="34" spans="1:8" x14ac:dyDescent="0.2">
      <c r="A34" s="1">
        <v>33</v>
      </c>
      <c r="B34" s="1">
        <v>1590142031</v>
      </c>
      <c r="C34" t="str">
        <f>IFERROR(IF(B34="","",VLOOKUP(B34,المستفيدين!$B:$C,2,FALSE)),"")</f>
        <v>مستفيد123</v>
      </c>
      <c r="D34" t="str">
        <f>IFERROR(IF(B34="","",VLOOKUP(B34,المستفيدين!$B:$F,5,FALSE)),"")</f>
        <v>مركز إرادة وتمكين لرعاية ذوي الاحتياجات الخاصة (جلمودة)</v>
      </c>
      <c r="E34" s="3">
        <v>45367</v>
      </c>
      <c r="F34" s="33">
        <v>3000</v>
      </c>
      <c r="G34" s="1" t="s">
        <v>530</v>
      </c>
      <c r="H34" s="1" t="s">
        <v>535</v>
      </c>
    </row>
    <row r="35" spans="1:8" x14ac:dyDescent="0.2">
      <c r="A35" s="1">
        <v>34</v>
      </c>
      <c r="B35" s="1">
        <v>1909062660</v>
      </c>
      <c r="C35" t="str">
        <f>IFERROR(IF(B35="","",VLOOKUP(B35,المستفيدين!$B:$C,2,FALSE)),"")</f>
        <v>مستفيد195</v>
      </c>
      <c r="D35" t="str">
        <f>IFERROR(IF(B35="","",VLOOKUP(B35,المستفيدين!$B:$F,5,FALSE)),"")</f>
        <v>مدرسة إرادة للتعليم (مكة)</v>
      </c>
      <c r="E35" s="3">
        <v>45373</v>
      </c>
      <c r="F35" s="33">
        <v>4000</v>
      </c>
      <c r="G35" s="1" t="s">
        <v>530</v>
      </c>
      <c r="H35" s="1" t="s">
        <v>535</v>
      </c>
    </row>
    <row r="36" spans="1:8" x14ac:dyDescent="0.2">
      <c r="A36" s="1">
        <v>35</v>
      </c>
      <c r="B36" s="1">
        <v>1911132783</v>
      </c>
      <c r="C36" t="str">
        <f>IFERROR(IF(B36="","",VLOOKUP(B36,المستفيدين!$B:$C,2,FALSE)),"")</f>
        <v>مستفيد59</v>
      </c>
      <c r="D36" t="str">
        <f>IFERROR(IF(B36="","",VLOOKUP(B36,المستفيدين!$B:$F,5,FALSE)),"")</f>
        <v>مركز إرادة وتمكين للرعاية النهارية (القدس)</v>
      </c>
      <c r="E36" s="3">
        <v>45373</v>
      </c>
      <c r="F36" s="33">
        <v>1250</v>
      </c>
      <c r="G36" s="1" t="s">
        <v>530</v>
      </c>
      <c r="H36" s="1" t="s">
        <v>536</v>
      </c>
    </row>
    <row r="37" spans="1:8" x14ac:dyDescent="0.2">
      <c r="A37" s="1">
        <v>36</v>
      </c>
      <c r="B37" s="1">
        <v>1611059558</v>
      </c>
      <c r="C37" t="str">
        <f>IFERROR(IF(B37="","",VLOOKUP(B37,المستفيدين!$B:$C,2,FALSE)),"")</f>
        <v>مستفيد22</v>
      </c>
      <c r="D37" t="str">
        <f>IFERROR(IF(B37="","",VLOOKUP(B37,المستفيدين!$B:$F,5,FALSE)),"")</f>
        <v>مركز إرادة وتمكين لمتلازمة داون (نجد)</v>
      </c>
      <c r="E37" s="3">
        <v>45378</v>
      </c>
      <c r="F37" s="33">
        <v>450</v>
      </c>
      <c r="G37" s="1" t="s">
        <v>530</v>
      </c>
      <c r="H37" s="1"/>
    </row>
    <row r="38" spans="1:8" x14ac:dyDescent="0.2">
      <c r="A38" s="1">
        <v>37</v>
      </c>
      <c r="B38" s="1">
        <v>1998973443</v>
      </c>
      <c r="C38" t="str">
        <f>IFERROR(IF(B38="","",VLOOKUP(B38,المستفيدين!$B:$C,2,FALSE)),"")</f>
        <v>مستفيد28</v>
      </c>
      <c r="D38" t="str">
        <f>IFERROR(IF(B38="","",VLOOKUP(B38,المستفيدين!$B:$F,5,FALSE)),"")</f>
        <v>مدرسة إرادة وتمكين لمتلازمة داون (نجد)</v>
      </c>
      <c r="E38" s="3">
        <v>45379</v>
      </c>
      <c r="F38" s="33">
        <v>1600</v>
      </c>
      <c r="G38" s="1" t="s">
        <v>530</v>
      </c>
      <c r="H38" s="1" t="s">
        <v>538</v>
      </c>
    </row>
    <row r="39" spans="1:8" x14ac:dyDescent="0.2">
      <c r="A39" s="1">
        <v>38</v>
      </c>
      <c r="B39" s="1">
        <v>1980725694</v>
      </c>
      <c r="C39" t="str">
        <f>IFERROR(IF(B39="","",VLOOKUP(B39,المستفيدين!$B:$C,2,FALSE)),"")</f>
        <v>مستفيد189</v>
      </c>
      <c r="D39" t="str">
        <f>IFERROR(IF(B39="","",VLOOKUP(B39,المستفيدين!$B:$F,5,FALSE)),"")</f>
        <v>مدرسة إرادة للتعليم (مكة)</v>
      </c>
      <c r="E39" s="3">
        <v>45381</v>
      </c>
      <c r="F39" s="33">
        <v>700</v>
      </c>
      <c r="G39" s="1" t="s">
        <v>530</v>
      </c>
      <c r="H39" s="1"/>
    </row>
    <row r="40" spans="1:8" x14ac:dyDescent="0.2">
      <c r="A40" s="1">
        <v>39</v>
      </c>
      <c r="B40" s="1">
        <v>1980725694</v>
      </c>
      <c r="C40" t="str">
        <f>IFERROR(IF(B40="","",VLOOKUP(B40,المستفيدين!$B:$C,2,FALSE)),"")</f>
        <v>مستفيد189</v>
      </c>
      <c r="D40" t="str">
        <f>IFERROR(IF(B40="","",VLOOKUP(B40,المستفيدين!$B:$F,5,FALSE)),"")</f>
        <v>مدرسة إرادة للتعليم (مكة)</v>
      </c>
      <c r="E40" s="3">
        <v>45387</v>
      </c>
      <c r="F40" s="33">
        <v>900</v>
      </c>
      <c r="G40" s="1" t="s">
        <v>530</v>
      </c>
      <c r="H40" s="1"/>
    </row>
    <row r="41" spans="1:8" x14ac:dyDescent="0.2">
      <c r="A41" s="1">
        <v>40</v>
      </c>
      <c r="B41" s="1">
        <v>1252971687</v>
      </c>
      <c r="C41" t="str">
        <f>IFERROR(IF(B41="","",VLOOKUP(B41,المستفيدين!$B:$C,2,FALSE)),"")</f>
        <v>مستفيد30</v>
      </c>
      <c r="D41" t="str">
        <f>IFERROR(IF(B41="","",VLOOKUP(B41,المستفيدين!$B:$F,5,FALSE)),"")</f>
        <v>مدرسة إرادة للتعليم (مكة)</v>
      </c>
      <c r="E41" s="3">
        <v>45388</v>
      </c>
      <c r="F41" s="33">
        <v>250</v>
      </c>
      <c r="G41" s="1" t="s">
        <v>530</v>
      </c>
      <c r="H41" s="1" t="s">
        <v>536</v>
      </c>
    </row>
    <row r="42" spans="1:8" x14ac:dyDescent="0.2">
      <c r="A42" s="1">
        <v>41</v>
      </c>
      <c r="B42" s="1">
        <v>1854312995</v>
      </c>
      <c r="C42" t="str">
        <f>IFERROR(IF(B42="","",VLOOKUP(B42,المستفيدين!$B:$C,2,FALSE)),"")</f>
        <v>مستفيد7</v>
      </c>
      <c r="D42" t="str">
        <f>IFERROR(IF(B42="","",VLOOKUP(B42,المستفيدين!$B:$F,5,FALSE)),"")</f>
        <v>مدرسة إرادة وتمكين لمتلازمة داون (نجد)</v>
      </c>
      <c r="E42" s="3">
        <v>45388</v>
      </c>
      <c r="F42" s="33">
        <v>1700</v>
      </c>
      <c r="G42" s="1" t="s">
        <v>530</v>
      </c>
      <c r="H42" s="1" t="s">
        <v>535</v>
      </c>
    </row>
    <row r="43" spans="1:8" x14ac:dyDescent="0.2">
      <c r="A43" s="1">
        <v>42</v>
      </c>
      <c r="B43" s="1">
        <v>1751252727</v>
      </c>
      <c r="C43" t="str">
        <f>IFERROR(IF(B43="","",VLOOKUP(B43,المستفيدين!$B:$C,2,FALSE)),"")</f>
        <v>مستفيد131</v>
      </c>
      <c r="D43" t="str">
        <f>IFERROR(IF(B43="","",VLOOKUP(B43,المستفيدين!$B:$F,5,FALSE)),"")</f>
        <v>مركز إرادة وتمكين للرعاية النهارية (القدس)</v>
      </c>
      <c r="E43" s="3">
        <v>45392</v>
      </c>
      <c r="F43" s="33">
        <v>2000</v>
      </c>
      <c r="G43" s="1" t="s">
        <v>530</v>
      </c>
      <c r="H43" s="1"/>
    </row>
    <row r="44" spans="1:8" x14ac:dyDescent="0.2">
      <c r="A44" s="1">
        <v>43</v>
      </c>
      <c r="B44" s="1">
        <v>1762847665</v>
      </c>
      <c r="C44" t="str">
        <f>IFERROR(IF(B44="","",VLOOKUP(B44,المستفيدين!$B:$C,2,FALSE)),"")</f>
        <v>مستفيد138</v>
      </c>
      <c r="D44" t="str">
        <f>IFERROR(IF(B44="","",VLOOKUP(B44,المستفيدين!$B:$F,5,FALSE)),"")</f>
        <v>مدرسة إرادة وتمكين لمتلازمة داون (نجد)</v>
      </c>
      <c r="E44" s="3">
        <v>45392</v>
      </c>
      <c r="F44" s="33">
        <v>3000</v>
      </c>
      <c r="G44" s="1" t="s">
        <v>530</v>
      </c>
      <c r="H44" s="1" t="s">
        <v>535</v>
      </c>
    </row>
    <row r="45" spans="1:8" x14ac:dyDescent="0.2">
      <c r="A45" s="1">
        <v>44</v>
      </c>
      <c r="B45" s="1">
        <v>1532697741</v>
      </c>
      <c r="C45" t="str">
        <f>IFERROR(IF(B45="","",VLOOKUP(B45,المستفيدين!$B:$C,2,FALSE)),"")</f>
        <v>مستفيد93</v>
      </c>
      <c r="D45" t="str">
        <f>IFERROR(IF(B45="","",VLOOKUP(B45,المستفيدين!$B:$F,5,FALSE)),"")</f>
        <v>مركز إرادة وتمكين للرعاية النهارية (القدس)</v>
      </c>
      <c r="E45" s="3">
        <v>45395</v>
      </c>
      <c r="F45" s="33">
        <v>1000</v>
      </c>
      <c r="G45" s="1" t="s">
        <v>530</v>
      </c>
      <c r="H45" s="1"/>
    </row>
    <row r="46" spans="1:8" x14ac:dyDescent="0.2">
      <c r="A46" s="1">
        <v>45</v>
      </c>
      <c r="B46" s="1">
        <v>1330656105</v>
      </c>
      <c r="C46" t="str">
        <f>IFERROR(IF(B46="","",VLOOKUP(B46,المستفيدين!$B:$C,2,FALSE)),"")</f>
        <v>مستفيد45</v>
      </c>
      <c r="D46" t="str">
        <f>IFERROR(IF(B46="","",VLOOKUP(B46,المستفيدين!$B:$F,5,FALSE)),"")</f>
        <v>مركز إرادة وتمكين لمتلازمة داون (نجد)</v>
      </c>
      <c r="E46" s="3">
        <v>45396</v>
      </c>
      <c r="F46" s="33">
        <v>1250</v>
      </c>
      <c r="G46" s="1" t="s">
        <v>531</v>
      </c>
      <c r="H46" s="1" t="s">
        <v>539</v>
      </c>
    </row>
    <row r="47" spans="1:8" x14ac:dyDescent="0.2">
      <c r="A47" s="1">
        <v>46</v>
      </c>
      <c r="B47" s="1">
        <v>1090991477</v>
      </c>
      <c r="C47" t="str">
        <f>IFERROR(IF(B47="","",VLOOKUP(B47,المستفيدين!$B:$C,2,FALSE)),"")</f>
        <v>مستفيد135</v>
      </c>
      <c r="D47" t="str">
        <f>IFERROR(IF(B47="","",VLOOKUP(B47,المستفيدين!$B:$F,5,FALSE)),"")</f>
        <v>مركز إرادة وتمكين للرعاية النهارية (القدس)</v>
      </c>
      <c r="E47" s="3">
        <v>45402</v>
      </c>
      <c r="F47" s="33">
        <v>1500</v>
      </c>
      <c r="G47" s="1" t="s">
        <v>530</v>
      </c>
      <c r="H47" s="1"/>
    </row>
    <row r="48" spans="1:8" x14ac:dyDescent="0.2">
      <c r="A48" s="1">
        <v>47</v>
      </c>
      <c r="B48" s="1">
        <v>1617014847</v>
      </c>
      <c r="C48" t="str">
        <f>IFERROR(IF(B48="","",VLOOKUP(B48,المستفيدين!$B:$C,2,FALSE)),"")</f>
        <v>مستفيد15</v>
      </c>
      <c r="D48" t="str">
        <f>IFERROR(IF(B48="","",VLOOKUP(B48,المستفيدين!$B:$F,5,FALSE)),"")</f>
        <v>مدرسة إرادة للتعليم (مكة)</v>
      </c>
      <c r="E48" s="3">
        <v>45405</v>
      </c>
      <c r="F48" s="33">
        <v>1000</v>
      </c>
      <c r="G48" s="1" t="s">
        <v>530</v>
      </c>
      <c r="H48" s="1" t="s">
        <v>537</v>
      </c>
    </row>
    <row r="49" spans="1:8" x14ac:dyDescent="0.2">
      <c r="A49" s="1">
        <v>48</v>
      </c>
      <c r="B49" s="1">
        <v>1511480692</v>
      </c>
      <c r="C49" t="str">
        <f>IFERROR(IF(B49="","",VLOOKUP(B49,المستفيدين!$B:$C,2,FALSE)),"")</f>
        <v>مستفيد37</v>
      </c>
      <c r="D49" t="str">
        <f>IFERROR(IF(B49="","",VLOOKUP(B49,المستفيدين!$B:$F,5,FALSE)),"")</f>
        <v>مدرسة إرادة وتمكين لمتلازمة داون (نجد)</v>
      </c>
      <c r="E49" s="3">
        <v>45406</v>
      </c>
      <c r="F49" s="33">
        <v>350</v>
      </c>
      <c r="G49" s="1" t="s">
        <v>530</v>
      </c>
      <c r="H49" s="1"/>
    </row>
    <row r="50" spans="1:8" x14ac:dyDescent="0.2">
      <c r="A50" s="1">
        <v>49</v>
      </c>
      <c r="B50" s="1">
        <v>1017688451</v>
      </c>
      <c r="C50" t="str">
        <f>IFERROR(IF(B50="","",VLOOKUP(B50,المستفيدين!$B:$C,2,FALSE)),"")</f>
        <v>مستفيد52</v>
      </c>
      <c r="D50" t="str">
        <f>IFERROR(IF(B50="","",VLOOKUP(B50,المستفيدين!$B:$F,5,FALSE)),"")</f>
        <v>مركز إرادة وتمكين لرعاية ذوي الاحتياجات الخاصة (جلمودة)</v>
      </c>
      <c r="E50" s="3">
        <v>45409</v>
      </c>
      <c r="F50" s="33">
        <v>1500</v>
      </c>
      <c r="G50" s="1" t="s">
        <v>530</v>
      </c>
      <c r="H50" s="1" t="s">
        <v>536</v>
      </c>
    </row>
    <row r="51" spans="1:8" x14ac:dyDescent="0.2">
      <c r="A51" s="1">
        <v>50</v>
      </c>
      <c r="B51" s="1">
        <v>1911743491</v>
      </c>
      <c r="C51" t="str">
        <f>IFERROR(IF(B51="","",VLOOKUP(B51,المستفيدين!$B:$C,2,FALSE)),"")</f>
        <v>مستفيد8</v>
      </c>
      <c r="D51" t="str">
        <f>IFERROR(IF(B51="","",VLOOKUP(B51,المستفيدين!$B:$F,5,FALSE)),"")</f>
        <v>مركز إرادة وتمكين لمتلازمة داون (نجد)</v>
      </c>
      <c r="E51" s="3">
        <v>45409</v>
      </c>
      <c r="F51" s="33">
        <v>1250</v>
      </c>
      <c r="G51" s="1" t="s">
        <v>530</v>
      </c>
      <c r="H51" s="1" t="s">
        <v>536</v>
      </c>
    </row>
    <row r="52" spans="1:8" x14ac:dyDescent="0.2">
      <c r="A52" s="1">
        <v>51</v>
      </c>
      <c r="B52" s="1">
        <v>1883810977</v>
      </c>
      <c r="C52" t="str">
        <f>IFERROR(IF(B52="","",VLOOKUP(B52,المستفيدين!$B:$C,2,FALSE)),"")</f>
        <v>مستفيد139</v>
      </c>
      <c r="D52" t="str">
        <f>IFERROR(IF(B52="","",VLOOKUP(B52,المستفيدين!$B:$F,5,FALSE)),"")</f>
        <v>مدرسة إرادة وتمكين لمتلازمة داون (نجد)</v>
      </c>
      <c r="E52" s="3">
        <v>45413</v>
      </c>
      <c r="F52" s="33">
        <v>550</v>
      </c>
      <c r="G52" s="1" t="s">
        <v>530</v>
      </c>
      <c r="H52" s="1" t="s">
        <v>538</v>
      </c>
    </row>
    <row r="53" spans="1:8" x14ac:dyDescent="0.2">
      <c r="A53" s="1">
        <v>52</v>
      </c>
      <c r="B53" s="1">
        <v>1228939605</v>
      </c>
      <c r="C53" t="str">
        <f>IFERROR(IF(B53="","",VLOOKUP(B53,المستفيدين!$B:$C,2,FALSE)),"")</f>
        <v>مستفيد54</v>
      </c>
      <c r="D53" t="str">
        <f>IFERROR(IF(B53="","",VLOOKUP(B53,المستفيدين!$B:$F,5,FALSE)),"")</f>
        <v>مدرسة إرادة للتعليم (مكة)</v>
      </c>
      <c r="E53" s="3">
        <v>45414</v>
      </c>
      <c r="F53" s="33">
        <v>2600</v>
      </c>
      <c r="G53" s="1" t="s">
        <v>530</v>
      </c>
      <c r="H53" s="1" t="s">
        <v>535</v>
      </c>
    </row>
    <row r="54" spans="1:8" x14ac:dyDescent="0.2">
      <c r="A54" s="1">
        <v>53</v>
      </c>
      <c r="B54" s="1">
        <v>1508553395</v>
      </c>
      <c r="C54" t="str">
        <f>IFERROR(IF(B54="","",VLOOKUP(B54,المستفيدين!$B:$C,2,FALSE)),"")</f>
        <v>مستفيد129</v>
      </c>
      <c r="D54" t="str">
        <f>IFERROR(IF(B54="","",VLOOKUP(B54,المستفيدين!$B:$F,5,FALSE)),"")</f>
        <v>مدرسة إرادة وتمكين لمتلازمة داون (نجد)</v>
      </c>
      <c r="E54" s="3">
        <v>45414</v>
      </c>
      <c r="F54" s="33">
        <v>3500</v>
      </c>
      <c r="G54" s="1" t="s">
        <v>530</v>
      </c>
      <c r="H54" s="1" t="s">
        <v>537</v>
      </c>
    </row>
    <row r="55" spans="1:8" x14ac:dyDescent="0.2">
      <c r="A55" s="1">
        <v>54</v>
      </c>
      <c r="B55" s="1">
        <v>1919727514</v>
      </c>
      <c r="C55" t="str">
        <f>IFERROR(IF(B55="","",VLOOKUP(B55,المستفيدين!$B:$C,2,FALSE)),"")</f>
        <v>مستفيد170</v>
      </c>
      <c r="D55" t="str">
        <f>IFERROR(IF(B55="","",VLOOKUP(B55,المستفيدين!$B:$F,5,FALSE)),"")</f>
        <v>مركز إرادة وتمكين لمتلازمة داون (نجد)</v>
      </c>
      <c r="E55" s="3">
        <v>45417</v>
      </c>
      <c r="F55" s="33">
        <v>650</v>
      </c>
      <c r="G55" s="1" t="s">
        <v>530</v>
      </c>
      <c r="H55" s="1"/>
    </row>
    <row r="56" spans="1:8" x14ac:dyDescent="0.2">
      <c r="A56" s="1">
        <v>55</v>
      </c>
      <c r="B56" s="1">
        <v>1098673354</v>
      </c>
      <c r="C56" t="str">
        <f>IFERROR(IF(B56="","",VLOOKUP(B56,المستفيدين!$B:$C,2,FALSE)),"")</f>
        <v>مستفيد120</v>
      </c>
      <c r="D56" t="str">
        <f>IFERROR(IF(B56="","",VLOOKUP(B56,المستفيدين!$B:$F,5,FALSE)),"")</f>
        <v>مدرسة إرادة وتمكين لمتلازمة داون (نجد)</v>
      </c>
      <c r="E56" s="3">
        <v>45422</v>
      </c>
      <c r="F56" s="33">
        <v>2600</v>
      </c>
      <c r="G56" s="1" t="s">
        <v>531</v>
      </c>
      <c r="H56" s="1" t="s">
        <v>41</v>
      </c>
    </row>
    <row r="57" spans="1:8" x14ac:dyDescent="0.2">
      <c r="A57" s="1">
        <v>56</v>
      </c>
      <c r="B57" s="1">
        <v>1914106815</v>
      </c>
      <c r="C57" t="str">
        <f>IFERROR(IF(B57="","",VLOOKUP(B57,المستفيدين!$B:$C,2,FALSE)),"")</f>
        <v>مستفيد174</v>
      </c>
      <c r="D57" t="str">
        <f>IFERROR(IF(B57="","",VLOOKUP(B57,المستفيدين!$B:$F,5,FALSE)),"")</f>
        <v>مدرسة إرادة للتعليم (مكة)</v>
      </c>
      <c r="E57" s="3">
        <v>45435</v>
      </c>
      <c r="F57" s="33">
        <v>3000</v>
      </c>
      <c r="G57" s="1" t="s">
        <v>530</v>
      </c>
      <c r="H57" s="1"/>
    </row>
    <row r="58" spans="1:8" x14ac:dyDescent="0.2">
      <c r="A58" s="1">
        <v>57</v>
      </c>
      <c r="B58" s="1">
        <v>1065397512</v>
      </c>
      <c r="C58" t="str">
        <f>IFERROR(IF(B58="","",VLOOKUP(B58,المستفيدين!$B:$C,2,FALSE)),"")</f>
        <v>مستفيد2</v>
      </c>
      <c r="D58" t="str">
        <f>IFERROR(IF(B58="","",VLOOKUP(B58,المستفيدين!$B:$F,5,FALSE)),"")</f>
        <v>مدرسة إرادة وتمكين لمتلازمة داون (نجد)</v>
      </c>
      <c r="E58" s="3">
        <v>45436</v>
      </c>
      <c r="F58" s="33">
        <v>1350</v>
      </c>
      <c r="G58" s="1" t="s">
        <v>530</v>
      </c>
      <c r="H58" s="1"/>
    </row>
    <row r="59" spans="1:8" x14ac:dyDescent="0.2">
      <c r="A59" s="1">
        <v>58</v>
      </c>
      <c r="B59" s="1">
        <v>1696333011</v>
      </c>
      <c r="C59" t="str">
        <f>IFERROR(IF(B59="","",VLOOKUP(B59,المستفيدين!$B:$C,2,FALSE)),"")</f>
        <v>مستفيد175</v>
      </c>
      <c r="D59" t="str">
        <f>IFERROR(IF(B59="","",VLOOKUP(B59,المستفيدين!$B:$F,5,FALSE)),"")</f>
        <v>مركز إرادة وتمكين للرعاية النهارية (القدس)</v>
      </c>
      <c r="E59" s="3">
        <v>45437</v>
      </c>
      <c r="F59" s="33">
        <v>1450</v>
      </c>
      <c r="G59" s="1" t="s">
        <v>531</v>
      </c>
      <c r="H59" s="1" t="s">
        <v>540</v>
      </c>
    </row>
    <row r="60" spans="1:8" x14ac:dyDescent="0.2">
      <c r="A60" s="1">
        <v>59</v>
      </c>
      <c r="B60" s="1">
        <v>1076683920</v>
      </c>
      <c r="C60" t="str">
        <f>IFERROR(IF(B60="","",VLOOKUP(B60,المستفيدين!$B:$C,2,FALSE)),"")</f>
        <v>مستفيد92</v>
      </c>
      <c r="D60" t="str">
        <f>IFERROR(IF(B60="","",VLOOKUP(B60,المستفيدين!$B:$F,5,FALSE)),"")</f>
        <v>مركز إرادة وتمكين للرعاية النهارية (القدس)</v>
      </c>
      <c r="E60" s="3">
        <v>45438</v>
      </c>
      <c r="F60" s="33">
        <v>1650</v>
      </c>
      <c r="G60" s="1" t="s">
        <v>531</v>
      </c>
      <c r="H60" s="1" t="s">
        <v>41</v>
      </c>
    </row>
    <row r="61" spans="1:8" x14ac:dyDescent="0.2">
      <c r="A61" s="1">
        <v>60</v>
      </c>
      <c r="B61" s="1">
        <v>1049921311</v>
      </c>
      <c r="C61" t="str">
        <f>IFERROR(IF(B61="","",VLOOKUP(B61,المستفيدين!$B:$C,2,FALSE)),"")</f>
        <v>مستفيد133</v>
      </c>
      <c r="D61" t="str">
        <f>IFERROR(IF(B61="","",VLOOKUP(B61,المستفيدين!$B:$F,5,FALSE)),"")</f>
        <v>مدرسة إرادة للتعليم (مكة)</v>
      </c>
      <c r="E61" s="3">
        <v>45441</v>
      </c>
      <c r="F61" s="33">
        <v>550</v>
      </c>
      <c r="G61" s="1" t="s">
        <v>530</v>
      </c>
      <c r="H61" s="1"/>
    </row>
    <row r="62" spans="1:8" x14ac:dyDescent="0.2">
      <c r="A62" s="1">
        <v>61</v>
      </c>
      <c r="B62" s="1">
        <v>1917178608</v>
      </c>
      <c r="C62" t="str">
        <f>IFERROR(IF(B62="","",VLOOKUP(B62,المستفيدين!$B:$C,2,FALSE)),"")</f>
        <v>مستفيد90</v>
      </c>
      <c r="D62" t="str">
        <f>IFERROR(IF(B62="","",VLOOKUP(B62,المستفيدين!$B:$F,5,FALSE)),"")</f>
        <v>مركز إرادة وتمكين للرعاية النهارية (القدس)</v>
      </c>
      <c r="E62" s="3">
        <v>45442</v>
      </c>
      <c r="F62" s="33">
        <v>2600</v>
      </c>
      <c r="G62" s="1" t="s">
        <v>531</v>
      </c>
      <c r="H62" s="1" t="s">
        <v>41</v>
      </c>
    </row>
    <row r="63" spans="1:8" x14ac:dyDescent="0.2">
      <c r="A63" s="1">
        <v>62</v>
      </c>
      <c r="B63" s="1">
        <v>1061601642</v>
      </c>
      <c r="C63" t="str">
        <f>IFERROR(IF(B63="","",VLOOKUP(B63,المستفيدين!$B:$C,2,FALSE)),"")</f>
        <v>مستفيد39</v>
      </c>
      <c r="D63" t="str">
        <f>IFERROR(IF(B63="","",VLOOKUP(B63,المستفيدين!$B:$F,5,FALSE)),"")</f>
        <v>مركز إرادة وتمكين لمتلازمة داون (نجد)</v>
      </c>
      <c r="E63" s="3">
        <v>45442</v>
      </c>
      <c r="F63" s="33">
        <v>2500</v>
      </c>
      <c r="G63" s="1" t="s">
        <v>530</v>
      </c>
      <c r="H63" s="1"/>
    </row>
    <row r="64" spans="1:8" x14ac:dyDescent="0.2">
      <c r="A64" s="1">
        <v>63</v>
      </c>
      <c r="B64" s="1">
        <v>1067325708</v>
      </c>
      <c r="C64" t="str">
        <f>IFERROR(IF(B64="","",VLOOKUP(B64,المستفيدين!$B:$C,2,FALSE)),"")</f>
        <v>مستفيد83</v>
      </c>
      <c r="D64" t="str">
        <f>IFERROR(IF(B64="","",VLOOKUP(B64,المستفيدين!$B:$F,5,FALSE)),"")</f>
        <v>مدرسة إرادة وتمكين لمتلازمة داون (نجد)</v>
      </c>
      <c r="E64" s="3">
        <v>45445</v>
      </c>
      <c r="F64" s="33">
        <v>1000</v>
      </c>
      <c r="G64" s="1" t="s">
        <v>530</v>
      </c>
      <c r="H64" s="1"/>
    </row>
    <row r="65" spans="1:8" x14ac:dyDescent="0.2">
      <c r="A65" s="1">
        <v>64</v>
      </c>
      <c r="B65" s="1">
        <v>1113590304</v>
      </c>
      <c r="C65" t="str">
        <f>IFERROR(IF(B65="","",VLOOKUP(B65,المستفيدين!$B:$C,2,FALSE)),"")</f>
        <v>مستفيد186</v>
      </c>
      <c r="D65" t="str">
        <f>IFERROR(IF(B65="","",VLOOKUP(B65,المستفيدين!$B:$F,5,FALSE)),"")</f>
        <v>مركز إرادة وتمكين لمتلازمة داون (نجد)</v>
      </c>
      <c r="E65" s="3">
        <v>45448</v>
      </c>
      <c r="F65" s="33">
        <v>2900</v>
      </c>
      <c r="G65" s="1" t="s">
        <v>531</v>
      </c>
      <c r="H65" s="1" t="s">
        <v>539</v>
      </c>
    </row>
    <row r="66" spans="1:8" x14ac:dyDescent="0.2">
      <c r="A66" s="1">
        <v>65</v>
      </c>
      <c r="B66" s="1">
        <v>1715340689</v>
      </c>
      <c r="C66" t="str">
        <f>IFERROR(IF(B66="","",VLOOKUP(B66,المستفيدين!$B:$C,2,FALSE)),"")</f>
        <v>مستفيد102</v>
      </c>
      <c r="D66" t="str">
        <f>IFERROR(IF(B66="","",VLOOKUP(B66,المستفيدين!$B:$F,5,FALSE)),"")</f>
        <v>مدرسة إرادة للتعليم (مكة)</v>
      </c>
      <c r="E66" s="3">
        <v>45450</v>
      </c>
      <c r="F66" s="33">
        <v>2000</v>
      </c>
      <c r="G66" s="1" t="s">
        <v>530</v>
      </c>
      <c r="H66" s="1" t="s">
        <v>533</v>
      </c>
    </row>
    <row r="67" spans="1:8" x14ac:dyDescent="0.2">
      <c r="A67" s="1">
        <v>66</v>
      </c>
      <c r="B67" s="1">
        <v>1239383239</v>
      </c>
      <c r="C67" t="str">
        <f>IFERROR(IF(B67="","",VLOOKUP(B67,المستفيدين!$B:$C,2,FALSE)),"")</f>
        <v>مستفيد13</v>
      </c>
      <c r="D67" t="str">
        <f>IFERROR(IF(B67="","",VLOOKUP(B67,المستفيدين!$B:$F,5,FALSE)),"")</f>
        <v>مركز إرادة وتمكين لرعاية ذوي الاحتياجات الخاصة (جلمودة)</v>
      </c>
      <c r="E67" s="3">
        <v>45453</v>
      </c>
      <c r="F67" s="33">
        <v>2000</v>
      </c>
      <c r="G67" s="1" t="s">
        <v>530</v>
      </c>
      <c r="H67" s="1"/>
    </row>
    <row r="68" spans="1:8" x14ac:dyDescent="0.2">
      <c r="A68" s="1">
        <v>67</v>
      </c>
      <c r="B68" s="1">
        <v>1285427152</v>
      </c>
      <c r="C68" t="str">
        <f>IFERROR(IF(B68="","",VLOOKUP(B68,المستفيدين!$B:$C,2,FALSE)),"")</f>
        <v>مستفيد66</v>
      </c>
      <c r="D68" t="str">
        <f>IFERROR(IF(B68="","",VLOOKUP(B68,المستفيدين!$B:$F,5,FALSE)),"")</f>
        <v>مدرسة إرادة وتمكين لمتلازمة داون (نجد)</v>
      </c>
      <c r="E68" s="3">
        <v>45454</v>
      </c>
      <c r="F68" s="33">
        <v>2500</v>
      </c>
      <c r="G68" s="1" t="s">
        <v>530</v>
      </c>
      <c r="H68" s="1"/>
    </row>
    <row r="69" spans="1:8" x14ac:dyDescent="0.2">
      <c r="A69" s="1">
        <v>68</v>
      </c>
      <c r="B69" s="1">
        <v>1374392968</v>
      </c>
      <c r="C69" t="str">
        <f>IFERROR(IF(B69="","",VLOOKUP(B69,المستفيدين!$B:$C,2,FALSE)),"")</f>
        <v>مستفيد190</v>
      </c>
      <c r="D69" t="str">
        <f>IFERROR(IF(B69="","",VLOOKUP(B69,المستفيدين!$B:$F,5,FALSE)),"")</f>
        <v>مدرسة إرادة وتمكين لمتلازمة داون (نجد)</v>
      </c>
      <c r="E69" s="3">
        <v>45460</v>
      </c>
      <c r="F69" s="33">
        <v>1850</v>
      </c>
      <c r="G69" s="1" t="s">
        <v>530</v>
      </c>
      <c r="H69" s="1" t="s">
        <v>536</v>
      </c>
    </row>
    <row r="70" spans="1:8" x14ac:dyDescent="0.2">
      <c r="A70" s="1">
        <v>69</v>
      </c>
      <c r="B70" s="1">
        <v>1643206666</v>
      </c>
      <c r="C70" t="str">
        <f>IFERROR(IF(B70="","",VLOOKUP(B70,المستفيدين!$B:$C,2,FALSE)),"")</f>
        <v>مستفيد95</v>
      </c>
      <c r="D70" t="str">
        <f>IFERROR(IF(B70="","",VLOOKUP(B70,المستفيدين!$B:$F,5,FALSE)),"")</f>
        <v>مركز إرادة وتمكين لمتلازمة داون (نجد)</v>
      </c>
      <c r="E70" s="3">
        <v>45469</v>
      </c>
      <c r="F70" s="33">
        <v>3500</v>
      </c>
      <c r="G70" s="1" t="s">
        <v>530</v>
      </c>
      <c r="H70" s="1" t="s">
        <v>538</v>
      </c>
    </row>
    <row r="71" spans="1:8" x14ac:dyDescent="0.2">
      <c r="A71" s="1">
        <v>70</v>
      </c>
      <c r="B71" s="1">
        <v>1205178191</v>
      </c>
      <c r="C71" t="str">
        <f>IFERROR(IF(B71="","",VLOOKUP(B71,المستفيدين!$B:$C,2,FALSE)),"")</f>
        <v>مستفيد194</v>
      </c>
      <c r="D71" t="str">
        <f>IFERROR(IF(B71="","",VLOOKUP(B71,المستفيدين!$B:$F,5,FALSE)),"")</f>
        <v>مدرسة إرادة للتعليم (مكة)</v>
      </c>
      <c r="E71" s="3">
        <v>45469</v>
      </c>
      <c r="F71" s="33">
        <v>800</v>
      </c>
      <c r="G71" s="1" t="s">
        <v>530</v>
      </c>
      <c r="H71" s="1" t="s">
        <v>537</v>
      </c>
    </row>
    <row r="72" spans="1:8" x14ac:dyDescent="0.2">
      <c r="A72" s="1">
        <v>71</v>
      </c>
      <c r="B72" s="1">
        <v>1313917845</v>
      </c>
      <c r="C72" t="str">
        <f>IFERROR(IF(B72="","",VLOOKUP(B72,المستفيدين!$B:$C,2,FALSE)),"")</f>
        <v>مستفيد51</v>
      </c>
      <c r="D72" t="str">
        <f>IFERROR(IF(B72="","",VLOOKUP(B72,المستفيدين!$B:$F,5,FALSE)),"")</f>
        <v>مركز إرادة وتمكين للرعاية النهارية (القدس)</v>
      </c>
      <c r="E72" s="3">
        <v>45470</v>
      </c>
      <c r="F72" s="33">
        <v>1500</v>
      </c>
      <c r="G72" s="1" t="s">
        <v>530</v>
      </c>
      <c r="H72" s="1"/>
    </row>
    <row r="73" spans="1:8" x14ac:dyDescent="0.2">
      <c r="A73" s="1">
        <v>72</v>
      </c>
      <c r="B73" s="1">
        <v>1976051713</v>
      </c>
      <c r="C73" t="str">
        <f>IFERROR(IF(B73="","",VLOOKUP(B73,المستفيدين!$B:$C,2,FALSE)),"")</f>
        <v>مستفيد118</v>
      </c>
      <c r="D73" t="str">
        <f>IFERROR(IF(B73="","",VLOOKUP(B73,المستفيدين!$B:$F,5,FALSE)),"")</f>
        <v>مدرسة إرادة وتمكين لمتلازمة داون (نجد)</v>
      </c>
      <c r="E73" s="3">
        <v>45470</v>
      </c>
      <c r="F73" s="33">
        <v>2000</v>
      </c>
      <c r="G73" s="1" t="s">
        <v>530</v>
      </c>
      <c r="H73" s="1" t="s">
        <v>536</v>
      </c>
    </row>
    <row r="74" spans="1:8" x14ac:dyDescent="0.2">
      <c r="A74" s="1">
        <v>73</v>
      </c>
      <c r="B74" s="1">
        <v>1371671971</v>
      </c>
      <c r="C74" t="str">
        <f>IFERROR(IF(B74="","",VLOOKUP(B74,المستفيدين!$B:$C,2,FALSE)),"")</f>
        <v>مستفيد91</v>
      </c>
      <c r="D74" t="str">
        <f>IFERROR(IF(B74="","",VLOOKUP(B74,المستفيدين!$B:$F,5,FALSE)),"")</f>
        <v>مركز إرادة وتمكين لرعاية ذوي الاحتياجات الخاصة (جلمودة)</v>
      </c>
      <c r="E74" s="3">
        <v>45473</v>
      </c>
      <c r="F74" s="33">
        <v>900</v>
      </c>
      <c r="G74" s="1" t="s">
        <v>530</v>
      </c>
      <c r="H74" s="1" t="s">
        <v>537</v>
      </c>
    </row>
    <row r="75" spans="1:8" x14ac:dyDescent="0.2">
      <c r="A75" s="1">
        <v>74</v>
      </c>
      <c r="B75" s="1">
        <v>1980725694</v>
      </c>
      <c r="C75" t="str">
        <f>IFERROR(IF(B75="","",VLOOKUP(B75,المستفيدين!$B:$C,2,FALSE)),"")</f>
        <v>مستفيد189</v>
      </c>
      <c r="D75" t="str">
        <f>IFERROR(IF(B75="","",VLOOKUP(B75,المستفيدين!$B:$F,5,FALSE)),"")</f>
        <v>مدرسة إرادة للتعليم (مكة)</v>
      </c>
      <c r="E75" s="3">
        <v>45482</v>
      </c>
      <c r="F75" s="33">
        <v>750</v>
      </c>
      <c r="G75" s="1" t="s">
        <v>530</v>
      </c>
      <c r="H75" s="1" t="s">
        <v>538</v>
      </c>
    </row>
    <row r="76" spans="1:8" x14ac:dyDescent="0.2">
      <c r="A76" s="1">
        <v>75</v>
      </c>
      <c r="B76" s="1">
        <v>1889143921</v>
      </c>
      <c r="C76" t="str">
        <f>IFERROR(IF(B76="","",VLOOKUP(B76,المستفيدين!$B:$C,2,FALSE)),"")</f>
        <v>مستفيد6</v>
      </c>
      <c r="D76" t="str">
        <f>IFERROR(IF(B76="","",VLOOKUP(B76,المستفيدين!$B:$F,5,FALSE)),"")</f>
        <v>مركز إرادة وتمكين لرعاية ذوي الاحتياجات الخاصة (جلمودة)</v>
      </c>
      <c r="E76" s="3">
        <v>45483</v>
      </c>
      <c r="F76" s="33">
        <v>1050</v>
      </c>
      <c r="G76" s="1" t="s">
        <v>530</v>
      </c>
      <c r="H76" s="1"/>
    </row>
    <row r="77" spans="1:8" x14ac:dyDescent="0.2">
      <c r="A77" s="1">
        <v>76</v>
      </c>
      <c r="B77" s="1">
        <v>1752444255</v>
      </c>
      <c r="C77" t="str">
        <f>IFERROR(IF(B77="","",VLOOKUP(B77,المستفيدين!$B:$C,2,FALSE)),"")</f>
        <v>مستفيد81</v>
      </c>
      <c r="D77" t="str">
        <f>IFERROR(IF(B77="","",VLOOKUP(B77,المستفيدين!$B:$F,5,FALSE)),"")</f>
        <v>مركز إرادة وتمكين لرعاية ذوي الاحتياجات الخاصة (جلمودة)</v>
      </c>
      <c r="E77" s="3">
        <v>45486</v>
      </c>
      <c r="F77" s="33">
        <v>1200</v>
      </c>
      <c r="G77" s="1" t="s">
        <v>530</v>
      </c>
      <c r="H77" s="1" t="s">
        <v>533</v>
      </c>
    </row>
    <row r="78" spans="1:8" x14ac:dyDescent="0.2">
      <c r="A78" s="1">
        <v>77</v>
      </c>
      <c r="B78" s="1">
        <v>1859263783</v>
      </c>
      <c r="C78" t="str">
        <f>IFERROR(IF(B78="","",VLOOKUP(B78,المستفيدين!$B:$C,2,FALSE)),"")</f>
        <v>مستفيد33</v>
      </c>
      <c r="D78" t="str">
        <f>IFERROR(IF(B78="","",VLOOKUP(B78,المستفيدين!$B:$F,5,FALSE)),"")</f>
        <v>مدرسة إرادة للتعليم (مكة)</v>
      </c>
      <c r="E78" s="3">
        <v>45492</v>
      </c>
      <c r="F78" s="33">
        <v>1500</v>
      </c>
      <c r="G78" s="1" t="s">
        <v>530</v>
      </c>
      <c r="H78" s="1" t="s">
        <v>538</v>
      </c>
    </row>
    <row r="79" spans="1:8" x14ac:dyDescent="0.2">
      <c r="A79" s="1">
        <v>78</v>
      </c>
      <c r="B79" s="1">
        <v>1639332291</v>
      </c>
      <c r="C79" t="str">
        <f>IFERROR(IF(B79="","",VLOOKUP(B79,المستفيدين!$B:$C,2,FALSE)),"")</f>
        <v>مستفيد199</v>
      </c>
      <c r="D79" t="str">
        <f>IFERROR(IF(B79="","",VLOOKUP(B79,المستفيدين!$B:$F,5,FALSE)),"")</f>
        <v>مدرسة إرادة وتمكين لمتلازمة داون (نجد)</v>
      </c>
      <c r="E79" s="3">
        <v>45498</v>
      </c>
      <c r="F79" s="33">
        <v>1450</v>
      </c>
      <c r="G79" s="1" t="s">
        <v>530</v>
      </c>
      <c r="H79" s="1" t="s">
        <v>538</v>
      </c>
    </row>
    <row r="80" spans="1:8" x14ac:dyDescent="0.2">
      <c r="A80" s="1">
        <v>79</v>
      </c>
      <c r="B80" s="1">
        <v>1098673354</v>
      </c>
      <c r="C80" t="str">
        <f>IFERROR(IF(B80="","",VLOOKUP(B80,المستفيدين!$B:$C,2,FALSE)),"")</f>
        <v>مستفيد120</v>
      </c>
      <c r="D80" t="str">
        <f>IFERROR(IF(B80="","",VLOOKUP(B80,المستفيدين!$B:$F,5,FALSE)),"")</f>
        <v>مدرسة إرادة وتمكين لمتلازمة داون (نجد)</v>
      </c>
      <c r="E80" s="3">
        <v>45504</v>
      </c>
      <c r="F80" s="33">
        <v>900</v>
      </c>
      <c r="G80" s="1" t="s">
        <v>530</v>
      </c>
      <c r="H80" s="1"/>
    </row>
    <row r="81" spans="1:8" x14ac:dyDescent="0.2">
      <c r="A81" s="1">
        <v>80</v>
      </c>
      <c r="B81" s="1">
        <v>1253511077</v>
      </c>
      <c r="C81" t="str">
        <f>IFERROR(IF(B81="","",VLOOKUP(B81,المستفيدين!$B:$C,2,FALSE)),"")</f>
        <v>مستفيد64</v>
      </c>
      <c r="D81" t="str">
        <f>IFERROR(IF(B81="","",VLOOKUP(B81,المستفيدين!$B:$F,5,FALSE)),"")</f>
        <v>مدرسة إرادة للتعليم (مكة)</v>
      </c>
      <c r="E81" s="3">
        <v>45506</v>
      </c>
      <c r="F81" s="33">
        <v>4000</v>
      </c>
      <c r="G81" s="1" t="s">
        <v>530</v>
      </c>
      <c r="H81" s="1"/>
    </row>
    <row r="82" spans="1:8" x14ac:dyDescent="0.2">
      <c r="A82" s="1">
        <v>81</v>
      </c>
      <c r="B82" s="1">
        <v>1754717023</v>
      </c>
      <c r="C82" t="str">
        <f>IFERROR(IF(B82="","",VLOOKUP(B82,المستفيدين!$B:$C,2,FALSE)),"")</f>
        <v>مستفيد57</v>
      </c>
      <c r="D82" t="str">
        <f>IFERROR(IF(B82="","",VLOOKUP(B82,المستفيدين!$B:$F,5,FALSE)),"")</f>
        <v>مركز إرادة وتمكين لمتلازمة داون (نجد)</v>
      </c>
      <c r="E82" s="3">
        <v>45508</v>
      </c>
      <c r="F82" s="33">
        <v>650</v>
      </c>
      <c r="G82" s="1" t="s">
        <v>530</v>
      </c>
      <c r="H82" s="1" t="s">
        <v>538</v>
      </c>
    </row>
    <row r="83" spans="1:8" x14ac:dyDescent="0.2">
      <c r="A83" s="1">
        <v>82</v>
      </c>
      <c r="B83" s="1">
        <v>1054240869</v>
      </c>
      <c r="C83" t="str">
        <f>IFERROR(IF(B83="","",VLOOKUP(B83,المستفيدين!$B:$C,2,FALSE)),"")</f>
        <v>مستفيد121</v>
      </c>
      <c r="D83" t="str">
        <f>IFERROR(IF(B83="","",VLOOKUP(B83,المستفيدين!$B:$F,5,FALSE)),"")</f>
        <v>مركز إرادة وتمكين لمتلازمة داون (نجد)</v>
      </c>
      <c r="E83" s="3">
        <v>45509</v>
      </c>
      <c r="F83" s="33">
        <v>1100</v>
      </c>
      <c r="G83" s="1" t="s">
        <v>530</v>
      </c>
      <c r="H83" s="1"/>
    </row>
    <row r="84" spans="1:8" x14ac:dyDescent="0.2">
      <c r="A84" s="1">
        <v>83</v>
      </c>
      <c r="B84" s="1">
        <v>1590618188</v>
      </c>
      <c r="C84" t="str">
        <f>IFERROR(IF(B84="","",VLOOKUP(B84,المستفيدين!$B:$C,2,FALSE)),"")</f>
        <v>مستفيد27</v>
      </c>
      <c r="D84" t="str">
        <f>IFERROR(IF(B84="","",VLOOKUP(B84,المستفيدين!$B:$F,5,FALSE)),"")</f>
        <v>مدرسة إرادة وتمكين لمتلازمة داون (نجد)</v>
      </c>
      <c r="E84" s="3">
        <v>45512</v>
      </c>
      <c r="F84" s="33">
        <v>2000</v>
      </c>
      <c r="G84" s="1" t="s">
        <v>530</v>
      </c>
      <c r="H84" s="1"/>
    </row>
    <row r="85" spans="1:8" x14ac:dyDescent="0.2">
      <c r="A85" s="1">
        <v>84</v>
      </c>
      <c r="B85" s="1">
        <v>1617014847</v>
      </c>
      <c r="C85" t="str">
        <f>IFERROR(IF(B85="","",VLOOKUP(B85,المستفيدين!$B:$C,2,FALSE)),"")</f>
        <v>مستفيد15</v>
      </c>
      <c r="D85" t="str">
        <f>IFERROR(IF(B85="","",VLOOKUP(B85,المستفيدين!$B:$F,5,FALSE)),"")</f>
        <v>مدرسة إرادة للتعليم (مكة)</v>
      </c>
      <c r="E85" s="3">
        <v>45515</v>
      </c>
      <c r="F85" s="33">
        <v>500</v>
      </c>
      <c r="G85" s="1" t="s">
        <v>530</v>
      </c>
      <c r="H85" s="1" t="s">
        <v>538</v>
      </c>
    </row>
    <row r="86" spans="1:8" x14ac:dyDescent="0.2">
      <c r="A86" s="1">
        <v>85</v>
      </c>
      <c r="B86" s="1">
        <v>1612775609</v>
      </c>
      <c r="C86" t="str">
        <f>IFERROR(IF(B86="","",VLOOKUP(B86,المستفيدين!$B:$C,2,FALSE)),"")</f>
        <v>مستفيد158</v>
      </c>
      <c r="D86" t="str">
        <f>IFERROR(IF(B86="","",VLOOKUP(B86,المستفيدين!$B:$F,5,FALSE)),"")</f>
        <v>مركز إرادة وتمكين لمتلازمة داون (نجد)</v>
      </c>
      <c r="E86" s="3">
        <v>45515</v>
      </c>
      <c r="F86" s="33">
        <v>2800</v>
      </c>
      <c r="G86" s="1" t="s">
        <v>530</v>
      </c>
      <c r="H86" s="1" t="s">
        <v>538</v>
      </c>
    </row>
    <row r="87" spans="1:8" x14ac:dyDescent="0.2">
      <c r="A87" s="1">
        <v>86</v>
      </c>
      <c r="B87" s="1">
        <v>1110215725</v>
      </c>
      <c r="C87" t="str">
        <f>IFERROR(IF(B87="","",VLOOKUP(B87,المستفيدين!$B:$C,2,FALSE)),"")</f>
        <v>مستفيد34</v>
      </c>
      <c r="D87" t="str">
        <f>IFERROR(IF(B87="","",VLOOKUP(B87,المستفيدين!$B:$F,5,FALSE)),"")</f>
        <v>مركز إرادة وتمكين لرعاية ذوي الاحتياجات الخاصة (جلمودة)</v>
      </c>
      <c r="E87" s="3">
        <v>45517</v>
      </c>
      <c r="F87" s="33">
        <v>2750</v>
      </c>
      <c r="G87" s="1" t="s">
        <v>530</v>
      </c>
      <c r="H87" s="1" t="s">
        <v>534</v>
      </c>
    </row>
    <row r="88" spans="1:8" x14ac:dyDescent="0.2">
      <c r="A88" s="1">
        <v>87</v>
      </c>
      <c r="B88" s="1">
        <v>1379794895</v>
      </c>
      <c r="C88" t="str">
        <f>IFERROR(IF(B88="","",VLOOKUP(B88,المستفيدين!$B:$C,2,FALSE)),"")</f>
        <v>مستفيد78</v>
      </c>
      <c r="D88" t="str">
        <f>IFERROR(IF(B88="","",VLOOKUP(B88,المستفيدين!$B:$F,5,FALSE)),"")</f>
        <v>مركز إرادة وتمكين للرعاية النهارية (القدس)</v>
      </c>
      <c r="E88" s="3">
        <v>45526</v>
      </c>
      <c r="F88" s="33">
        <v>2400</v>
      </c>
      <c r="G88" s="1" t="s">
        <v>530</v>
      </c>
      <c r="H88" s="1" t="s">
        <v>535</v>
      </c>
    </row>
    <row r="89" spans="1:8" x14ac:dyDescent="0.2">
      <c r="A89" s="1">
        <v>88</v>
      </c>
      <c r="B89" s="1">
        <v>1256720953</v>
      </c>
      <c r="C89" t="str">
        <f>IFERROR(IF(B89="","",VLOOKUP(B89,المستفيدين!$B:$C,2,FALSE)),"")</f>
        <v>مستفيد53</v>
      </c>
      <c r="D89" t="str">
        <f>IFERROR(IF(B89="","",VLOOKUP(B89,المستفيدين!$B:$F,5,FALSE)),"")</f>
        <v>مركز إرادة وتمكين لمتلازمة داون (نجد)</v>
      </c>
      <c r="E89" s="3">
        <v>45531</v>
      </c>
      <c r="F89" s="33">
        <v>1100</v>
      </c>
      <c r="G89" s="1" t="s">
        <v>530</v>
      </c>
      <c r="H89" s="1" t="s">
        <v>535</v>
      </c>
    </row>
    <row r="90" spans="1:8" x14ac:dyDescent="0.2">
      <c r="A90" s="1">
        <v>89</v>
      </c>
      <c r="B90" s="1">
        <v>1035556284</v>
      </c>
      <c r="C90" t="str">
        <f>IFERROR(IF(B90="","",VLOOKUP(B90,المستفيدين!$B:$C,2,FALSE)),"")</f>
        <v>مستفيد40</v>
      </c>
      <c r="D90" t="str">
        <f>IFERROR(IF(B90="","",VLOOKUP(B90,المستفيدين!$B:$F,5,FALSE)),"")</f>
        <v>مركز إرادة وتمكين لرعاية ذوي الاحتياجات الخاصة (جلمودة)</v>
      </c>
      <c r="E90" s="3">
        <v>45531</v>
      </c>
      <c r="F90" s="33">
        <v>4000</v>
      </c>
      <c r="G90" s="1" t="s">
        <v>530</v>
      </c>
      <c r="H90" s="1" t="s">
        <v>533</v>
      </c>
    </row>
    <row r="91" spans="1:8" x14ac:dyDescent="0.2">
      <c r="A91" s="1">
        <v>90</v>
      </c>
      <c r="B91" s="1">
        <v>1707584852</v>
      </c>
      <c r="C91" t="str">
        <f>IFERROR(IF(B91="","",VLOOKUP(B91,المستفيدين!$B:$C,2,FALSE)),"")</f>
        <v>مستفيد115</v>
      </c>
      <c r="D91" t="str">
        <f>IFERROR(IF(B91="","",VLOOKUP(B91,المستفيدين!$B:$F,5,FALSE)),"")</f>
        <v>مدرسة إرادة للتعليم (مكة)</v>
      </c>
      <c r="E91" s="3">
        <v>45538</v>
      </c>
      <c r="F91" s="33">
        <v>2000</v>
      </c>
      <c r="G91" s="1" t="s">
        <v>530</v>
      </c>
      <c r="H91" s="1"/>
    </row>
    <row r="92" spans="1:8" x14ac:dyDescent="0.2">
      <c r="A92" s="1">
        <v>91</v>
      </c>
      <c r="B92" s="1">
        <v>1392511676</v>
      </c>
      <c r="C92" t="str">
        <f>IFERROR(IF(B92="","",VLOOKUP(B92,المستفيدين!$B:$C,2,FALSE)),"")</f>
        <v>مستفيد179</v>
      </c>
      <c r="D92" t="str">
        <f>IFERROR(IF(B92="","",VLOOKUP(B92,المستفيدين!$B:$F,5,FALSE)),"")</f>
        <v>مركز إرادة وتمكين للرعاية النهارية (القدس)</v>
      </c>
      <c r="E92" s="3">
        <v>45541</v>
      </c>
      <c r="F92" s="33">
        <v>1650</v>
      </c>
      <c r="G92" s="1" t="s">
        <v>531</v>
      </c>
      <c r="H92" s="1" t="s">
        <v>541</v>
      </c>
    </row>
    <row r="93" spans="1:8" x14ac:dyDescent="0.2">
      <c r="A93" s="1">
        <v>92</v>
      </c>
      <c r="B93" s="1">
        <v>1814840095</v>
      </c>
      <c r="C93" t="str">
        <f>IFERROR(IF(B93="","",VLOOKUP(B93,المستفيدين!$B:$C,2,FALSE)),"")</f>
        <v>مستفيد25</v>
      </c>
      <c r="D93" t="str">
        <f>IFERROR(IF(B93="","",VLOOKUP(B93,المستفيدين!$B:$F,5,FALSE)),"")</f>
        <v>مركز إرادة وتمكين للرعاية النهارية (القدس)</v>
      </c>
      <c r="E93" s="3">
        <v>45544</v>
      </c>
      <c r="F93" s="33">
        <v>1350</v>
      </c>
      <c r="G93" s="1" t="s">
        <v>530</v>
      </c>
      <c r="H93" s="1"/>
    </row>
    <row r="94" spans="1:8" x14ac:dyDescent="0.2">
      <c r="A94" s="1">
        <v>93</v>
      </c>
      <c r="B94" s="1">
        <v>1362300746</v>
      </c>
      <c r="C94" t="str">
        <f>IFERROR(IF(B94="","",VLOOKUP(B94,المستفيدين!$B:$C,2,FALSE)),"")</f>
        <v>مستفيد113</v>
      </c>
      <c r="D94" t="str">
        <f>IFERROR(IF(B94="","",VLOOKUP(B94,المستفيدين!$B:$F,5,FALSE)),"")</f>
        <v>مركز إرادة وتمكين لمتلازمة داون (نجد)</v>
      </c>
      <c r="E94" s="3">
        <v>45545</v>
      </c>
      <c r="F94" s="33">
        <v>2000</v>
      </c>
      <c r="G94" s="1" t="s">
        <v>531</v>
      </c>
      <c r="H94" s="1" t="s">
        <v>540</v>
      </c>
    </row>
    <row r="95" spans="1:8" x14ac:dyDescent="0.2">
      <c r="A95" s="1">
        <v>94</v>
      </c>
      <c r="B95" s="1">
        <v>1176757752</v>
      </c>
      <c r="C95" t="str">
        <f>IFERROR(IF(B95="","",VLOOKUP(B95,المستفيدين!$B:$C,2,FALSE)),"")</f>
        <v>مستفيد112</v>
      </c>
      <c r="D95" t="str">
        <f>IFERROR(IF(B95="","",VLOOKUP(B95,المستفيدين!$B:$F,5,FALSE)),"")</f>
        <v>مدرسة إرادة وتمكين لمتلازمة داون (نجد)</v>
      </c>
      <c r="E95" s="3">
        <v>45550</v>
      </c>
      <c r="F95" s="33">
        <v>3500</v>
      </c>
      <c r="G95" s="1" t="s">
        <v>530</v>
      </c>
      <c r="H95" s="1" t="s">
        <v>535</v>
      </c>
    </row>
    <row r="96" spans="1:8" x14ac:dyDescent="0.2">
      <c r="A96" s="1">
        <v>95</v>
      </c>
      <c r="B96" s="1">
        <v>1065080091</v>
      </c>
      <c r="C96" t="str">
        <f>IFERROR(IF(B96="","",VLOOKUP(B96,المستفيدين!$B:$C,2,FALSE)),"")</f>
        <v>مستفيد88</v>
      </c>
      <c r="D96" t="str">
        <f>IFERROR(IF(B96="","",VLOOKUP(B96,المستفيدين!$B:$F,5,FALSE)),"")</f>
        <v>مركز إرادة وتمكين للرعاية النهارية (القدس)</v>
      </c>
      <c r="E96" s="3">
        <v>45553</v>
      </c>
      <c r="F96" s="33">
        <v>1500</v>
      </c>
      <c r="G96" s="1" t="s">
        <v>530</v>
      </c>
      <c r="H96" s="1"/>
    </row>
    <row r="97" spans="1:8" x14ac:dyDescent="0.2">
      <c r="A97" s="1">
        <v>96</v>
      </c>
      <c r="B97" s="1">
        <v>1345489113</v>
      </c>
      <c r="C97" t="str">
        <f>IFERROR(IF(B97="","",VLOOKUP(B97,المستفيدين!$B:$C,2,FALSE)),"")</f>
        <v>مستفيد124</v>
      </c>
      <c r="D97" t="str">
        <f>IFERROR(IF(B97="","",VLOOKUP(B97,المستفيدين!$B:$F,5,FALSE)),"")</f>
        <v>مركز إرادة وتمكين لرعاية ذوي الاحتياجات الخاصة (جلمودة)</v>
      </c>
      <c r="E97" s="3">
        <v>45554</v>
      </c>
      <c r="F97" s="33">
        <v>650</v>
      </c>
      <c r="G97" s="1" t="s">
        <v>530</v>
      </c>
      <c r="H97" s="1" t="s">
        <v>537</v>
      </c>
    </row>
    <row r="98" spans="1:8" x14ac:dyDescent="0.2">
      <c r="A98" s="1">
        <v>97</v>
      </c>
      <c r="B98" s="1">
        <v>1358470403</v>
      </c>
      <c r="C98" t="str">
        <f>IFERROR(IF(B98="","",VLOOKUP(B98,المستفيدين!$B:$C,2,FALSE)),"")</f>
        <v>مستفيد200</v>
      </c>
      <c r="D98" t="str">
        <f>IFERROR(IF(B98="","",VLOOKUP(B98,المستفيدين!$B:$F,5,FALSE)),"")</f>
        <v>مركز إرادة وتمكين للرعاية النهارية (القدس)</v>
      </c>
      <c r="E98" s="3">
        <v>45556</v>
      </c>
      <c r="F98" s="33">
        <v>1500</v>
      </c>
      <c r="G98" s="1" t="s">
        <v>531</v>
      </c>
      <c r="H98" s="1" t="s">
        <v>41</v>
      </c>
    </row>
    <row r="99" spans="1:8" x14ac:dyDescent="0.2">
      <c r="A99" s="1">
        <v>98</v>
      </c>
      <c r="B99" s="1">
        <v>1754717023</v>
      </c>
      <c r="C99" t="str">
        <f>IFERROR(IF(B99="","",VLOOKUP(B99,المستفيدين!$B:$C,2,FALSE)),"")</f>
        <v>مستفيد57</v>
      </c>
      <c r="D99" t="str">
        <f>IFERROR(IF(B99="","",VLOOKUP(B99,المستفيدين!$B:$F,5,FALSE)),"")</f>
        <v>مركز إرادة وتمكين لمتلازمة داون (نجد)</v>
      </c>
      <c r="E99" s="3">
        <v>45561</v>
      </c>
      <c r="F99" s="33">
        <v>2400</v>
      </c>
      <c r="G99" s="1" t="s">
        <v>530</v>
      </c>
      <c r="H99" s="1" t="s">
        <v>533</v>
      </c>
    </row>
    <row r="100" spans="1:8" x14ac:dyDescent="0.2">
      <c r="A100" s="1">
        <v>99</v>
      </c>
      <c r="B100" s="1">
        <v>1511480692</v>
      </c>
      <c r="C100" t="str">
        <f>IFERROR(IF(B100="","",VLOOKUP(B100,المستفيدين!$B:$C,2,FALSE)),"")</f>
        <v>مستفيد37</v>
      </c>
      <c r="D100" t="str">
        <f>IFERROR(IF(B100="","",VLOOKUP(B100,المستفيدين!$B:$F,5,FALSE)),"")</f>
        <v>مدرسة إرادة وتمكين لمتلازمة داون (نجد)</v>
      </c>
      <c r="E100" s="3">
        <v>45564</v>
      </c>
      <c r="F100" s="33">
        <v>150</v>
      </c>
      <c r="G100" s="1" t="s">
        <v>531</v>
      </c>
      <c r="H100" s="1" t="s">
        <v>41</v>
      </c>
    </row>
    <row r="101" spans="1:8" x14ac:dyDescent="0.2">
      <c r="A101" s="1">
        <v>100</v>
      </c>
      <c r="B101" s="1">
        <v>1116222487</v>
      </c>
      <c r="C101" t="str">
        <f>IFERROR(IF(B101="","",VLOOKUP(B101,المستفيدين!$B:$C,2,FALSE)),"")</f>
        <v>مستفيد61</v>
      </c>
      <c r="D101" t="str">
        <f>IFERROR(IF(B101="","",VLOOKUP(B101,المستفيدين!$B:$F,5,FALSE)),"")</f>
        <v>مركز إرادة وتمكين لمتلازمة داون (نجد)</v>
      </c>
      <c r="E101" s="3">
        <v>45570</v>
      </c>
      <c r="F101" s="33">
        <v>750</v>
      </c>
      <c r="G101" s="1" t="s">
        <v>530</v>
      </c>
      <c r="H101" s="1" t="s">
        <v>537</v>
      </c>
    </row>
    <row r="102" spans="1:8" x14ac:dyDescent="0.2">
      <c r="A102" s="1">
        <v>101</v>
      </c>
      <c r="B102" s="1">
        <v>1284752099</v>
      </c>
      <c r="C102" t="str">
        <f>IFERROR(IF(B102="","",VLOOKUP(B102,المستفيدين!$B:$C,2,FALSE)),"")</f>
        <v>مستفيد19</v>
      </c>
      <c r="D102" t="str">
        <f>IFERROR(IF(B102="","",VLOOKUP(B102,المستفيدين!$B:$F,5,FALSE)),"")</f>
        <v>مركز إرادة وتمكين لمتلازمة داون (نجد)</v>
      </c>
      <c r="E102" s="3">
        <v>45572</v>
      </c>
      <c r="F102" s="33">
        <v>1350</v>
      </c>
      <c r="G102" s="1" t="s">
        <v>531</v>
      </c>
      <c r="H102" s="1" t="s">
        <v>41</v>
      </c>
    </row>
    <row r="103" spans="1:8" x14ac:dyDescent="0.2">
      <c r="A103" s="1">
        <v>102</v>
      </c>
      <c r="B103" s="1">
        <v>1291395270</v>
      </c>
      <c r="C103" t="str">
        <f>IFERROR(IF(B103="","",VLOOKUP(B103,المستفيدين!$B:$C,2,FALSE)),"")</f>
        <v>مستفيد119</v>
      </c>
      <c r="D103" t="str">
        <f>IFERROR(IF(B103="","",VLOOKUP(B103,المستفيدين!$B:$F,5,FALSE)),"")</f>
        <v>مركز إرادة وتمكين لمتلازمة داون (نجد)</v>
      </c>
      <c r="E103" s="3">
        <v>45574</v>
      </c>
      <c r="F103" s="33">
        <v>4000</v>
      </c>
      <c r="G103" s="1" t="s">
        <v>530</v>
      </c>
      <c r="H103" s="1" t="s">
        <v>534</v>
      </c>
    </row>
    <row r="104" spans="1:8" x14ac:dyDescent="0.2">
      <c r="A104" s="1">
        <v>103</v>
      </c>
      <c r="B104" s="1">
        <v>1580476879</v>
      </c>
      <c r="C104" t="str">
        <f>IFERROR(IF(B104="","",VLOOKUP(B104,المستفيدين!$B:$C,2,FALSE)),"")</f>
        <v>مستفيد82</v>
      </c>
      <c r="D104" t="str">
        <f>IFERROR(IF(B104="","",VLOOKUP(B104,المستفيدين!$B:$F,5,FALSE)),"")</f>
        <v>مدرسة إرادة للتعليم (مكة)</v>
      </c>
      <c r="E104" s="3">
        <v>45580</v>
      </c>
      <c r="F104" s="33">
        <v>850</v>
      </c>
      <c r="G104" s="1" t="s">
        <v>530</v>
      </c>
      <c r="H104" s="1" t="s">
        <v>537</v>
      </c>
    </row>
    <row r="105" spans="1:8" x14ac:dyDescent="0.2">
      <c r="A105" s="1">
        <v>104</v>
      </c>
      <c r="B105" s="1">
        <v>1441451242</v>
      </c>
      <c r="C105" t="str">
        <f>IFERROR(IF(B105="","",VLOOKUP(B105,المستفيدين!$B:$C,2,FALSE)),"")</f>
        <v>مستفيد96</v>
      </c>
      <c r="D105" t="str">
        <f>IFERROR(IF(B105="","",VLOOKUP(B105,المستفيدين!$B:$F,5,FALSE)),"")</f>
        <v>مدرسة إرادة للتعليم (مكة)</v>
      </c>
      <c r="E105" s="3">
        <v>45582</v>
      </c>
      <c r="F105" s="33">
        <v>2250</v>
      </c>
      <c r="G105" s="1" t="s">
        <v>531</v>
      </c>
      <c r="H105" s="1" t="s">
        <v>539</v>
      </c>
    </row>
    <row r="106" spans="1:8" x14ac:dyDescent="0.2">
      <c r="A106" s="1">
        <v>105</v>
      </c>
      <c r="B106" s="1">
        <v>1672405739</v>
      </c>
      <c r="C106" t="str">
        <f>IFERROR(IF(B106="","",VLOOKUP(B106,المستفيدين!$B:$C,2,FALSE)),"")</f>
        <v>مستفيد143</v>
      </c>
      <c r="D106" t="str">
        <f>IFERROR(IF(B106="","",VLOOKUP(B106,المستفيدين!$B:$F,5,FALSE)),"")</f>
        <v>مدرسة إرادة وتمكين لمتلازمة داون (نجد)</v>
      </c>
      <c r="E106" s="3">
        <v>45584</v>
      </c>
      <c r="F106" s="33">
        <v>4000</v>
      </c>
      <c r="G106" s="1" t="s">
        <v>530</v>
      </c>
      <c r="H106" s="1" t="s">
        <v>536</v>
      </c>
    </row>
    <row r="107" spans="1:8" x14ac:dyDescent="0.2">
      <c r="A107" s="1">
        <v>106</v>
      </c>
      <c r="B107" s="1">
        <v>1977823774</v>
      </c>
      <c r="C107" t="str">
        <f>IFERROR(IF(B107="","",VLOOKUP(B107,المستفيدين!$B:$C,2,FALSE)),"")</f>
        <v>مستفيد46</v>
      </c>
      <c r="D107" t="str">
        <f>IFERROR(IF(B107="","",VLOOKUP(B107,المستفيدين!$B:$F,5,FALSE)),"")</f>
        <v>مركز إرادة وتمكين لرعاية ذوي الاحتياجات الخاصة (جلمودة)</v>
      </c>
      <c r="E107" s="3">
        <v>45584</v>
      </c>
      <c r="F107" s="33">
        <v>2200</v>
      </c>
      <c r="G107" s="1" t="s">
        <v>530</v>
      </c>
      <c r="H107" s="1"/>
    </row>
    <row r="108" spans="1:8" x14ac:dyDescent="0.2">
      <c r="A108" s="1">
        <v>107</v>
      </c>
      <c r="B108" s="1">
        <v>1151017514</v>
      </c>
      <c r="C108" t="str">
        <f>IFERROR(IF(B108="","",VLOOKUP(B108,المستفيدين!$B:$C,2,FALSE)),"")</f>
        <v>مستفيد24</v>
      </c>
      <c r="D108" t="str">
        <f>IFERROR(IF(B108="","",VLOOKUP(B108,المستفيدين!$B:$F,5,FALSE)),"")</f>
        <v>مركز إرادة وتمكين للرعاية النهارية (القدس)</v>
      </c>
      <c r="E108" s="3">
        <v>45585</v>
      </c>
      <c r="F108" s="33">
        <v>1500</v>
      </c>
      <c r="G108" s="1" t="s">
        <v>531</v>
      </c>
      <c r="H108" s="1" t="s">
        <v>539</v>
      </c>
    </row>
    <row r="109" spans="1:8" x14ac:dyDescent="0.2">
      <c r="A109" s="1">
        <v>108</v>
      </c>
      <c r="B109" s="1">
        <v>1369201926</v>
      </c>
      <c r="C109" t="str">
        <f>IFERROR(IF(B109="","",VLOOKUP(B109,المستفيدين!$B:$C,2,FALSE)),"")</f>
        <v>مستفيد168</v>
      </c>
      <c r="D109" t="str">
        <f>IFERROR(IF(B109="","",VLOOKUP(B109,المستفيدين!$B:$F,5,FALSE)),"")</f>
        <v>مركز إرادة وتمكين لمتلازمة داون (نجد)</v>
      </c>
      <c r="E109" s="3">
        <v>45590</v>
      </c>
      <c r="F109" s="33">
        <v>650</v>
      </c>
      <c r="G109" s="1" t="s">
        <v>530</v>
      </c>
      <c r="H109" s="1" t="s">
        <v>537</v>
      </c>
    </row>
    <row r="110" spans="1:8" x14ac:dyDescent="0.2">
      <c r="A110" s="1">
        <v>109</v>
      </c>
      <c r="B110" s="1">
        <v>1093177984</v>
      </c>
      <c r="C110" t="str">
        <f>IFERROR(IF(B110="","",VLOOKUP(B110,المستفيدين!$B:$C,2,FALSE)),"")</f>
        <v>مستفيد159</v>
      </c>
      <c r="D110" t="str">
        <f>IFERROR(IF(B110="","",VLOOKUP(B110,المستفيدين!$B:$F,5,FALSE)),"")</f>
        <v>مدرسة إرادة وتمكين لمتلازمة داون (نجد)</v>
      </c>
      <c r="E110" s="3">
        <v>45591</v>
      </c>
      <c r="F110" s="33">
        <v>1050</v>
      </c>
      <c r="G110" s="1" t="s">
        <v>531</v>
      </c>
      <c r="H110" s="1" t="s">
        <v>541</v>
      </c>
    </row>
    <row r="111" spans="1:8" x14ac:dyDescent="0.2">
      <c r="A111" s="1">
        <v>110</v>
      </c>
      <c r="B111" s="1">
        <v>1502704604</v>
      </c>
      <c r="C111" t="str">
        <f>IFERROR(IF(B111="","",VLOOKUP(B111,المستفيدين!$B:$C,2,FALSE)),"")</f>
        <v>مستفيد180</v>
      </c>
      <c r="D111" t="str">
        <f>IFERROR(IF(B111="","",VLOOKUP(B111,المستفيدين!$B:$F,5,FALSE)),"")</f>
        <v>مدرسة إرادة وتمكين لمتلازمة داون (نجد)</v>
      </c>
      <c r="E111" s="3">
        <v>45600</v>
      </c>
      <c r="F111" s="33">
        <v>1500</v>
      </c>
      <c r="G111" s="1" t="s">
        <v>530</v>
      </c>
      <c r="H111" s="1" t="s">
        <v>536</v>
      </c>
    </row>
    <row r="112" spans="1:8" x14ac:dyDescent="0.2">
      <c r="A112" s="1">
        <v>111</v>
      </c>
      <c r="B112" s="1">
        <v>1742902647</v>
      </c>
      <c r="C112" t="str">
        <f>IFERROR(IF(B112="","",VLOOKUP(B112,المستفيدين!$B:$C,2,FALSE)),"")</f>
        <v>مستفيد109</v>
      </c>
      <c r="D112" t="str">
        <f>IFERROR(IF(B112="","",VLOOKUP(B112,المستفيدين!$B:$F,5,FALSE)),"")</f>
        <v>مركز إرادة وتمكين لرعاية ذوي الاحتياجات الخاصة (جلمودة)</v>
      </c>
      <c r="E112" s="3">
        <v>45601</v>
      </c>
      <c r="F112" s="33">
        <v>3500</v>
      </c>
      <c r="G112" s="1" t="s">
        <v>530</v>
      </c>
      <c r="H112" s="1" t="s">
        <v>535</v>
      </c>
    </row>
    <row r="113" spans="1:8" x14ac:dyDescent="0.2">
      <c r="A113" s="1">
        <v>112</v>
      </c>
      <c r="B113" s="1">
        <v>1392511676</v>
      </c>
      <c r="C113" t="str">
        <f>IFERROR(IF(B113="","",VLOOKUP(B113,المستفيدين!$B:$C,2,FALSE)),"")</f>
        <v>مستفيد179</v>
      </c>
      <c r="D113" t="str">
        <f>IFERROR(IF(B113="","",VLOOKUP(B113,المستفيدين!$B:$F,5,FALSE)),"")</f>
        <v>مركز إرادة وتمكين للرعاية النهارية (القدس)</v>
      </c>
      <c r="E113" s="3">
        <v>45615</v>
      </c>
      <c r="F113" s="33">
        <v>1100</v>
      </c>
      <c r="G113" s="1" t="s">
        <v>530</v>
      </c>
      <c r="H113" s="1"/>
    </row>
    <row r="114" spans="1:8" x14ac:dyDescent="0.2">
      <c r="A114" s="1">
        <v>113</v>
      </c>
      <c r="B114" s="1">
        <v>1699191393</v>
      </c>
      <c r="C114" t="str">
        <f>IFERROR(IF(B114="","",VLOOKUP(B114,المستفيدين!$B:$C,2,FALSE)),"")</f>
        <v>مستفيد116</v>
      </c>
      <c r="D114" t="str">
        <f>IFERROR(IF(B114="","",VLOOKUP(B114,المستفيدين!$B:$F,5,FALSE)),"")</f>
        <v>مركز إرادة وتمكين لرعاية ذوي الاحتياجات الخاصة (جلمودة)</v>
      </c>
      <c r="E114" s="3">
        <v>45620</v>
      </c>
      <c r="F114" s="33">
        <v>2500</v>
      </c>
      <c r="G114" s="1" t="s">
        <v>530</v>
      </c>
      <c r="H114" s="1" t="s">
        <v>537</v>
      </c>
    </row>
    <row r="115" spans="1:8" x14ac:dyDescent="0.2">
      <c r="A115" s="1">
        <v>114</v>
      </c>
      <c r="B115" s="1">
        <v>1234479307</v>
      </c>
      <c r="C115" t="str">
        <f>IFERROR(IF(B115="","",VLOOKUP(B115,المستفيدين!$B:$C,2,FALSE)),"")</f>
        <v>مستفيد136</v>
      </c>
      <c r="D115" t="str">
        <f>IFERROR(IF(B115="","",VLOOKUP(B115,المستفيدين!$B:$F,5,FALSE)),"")</f>
        <v>مركز إرادة وتمكين لمتلازمة داون (نجد)</v>
      </c>
      <c r="E115" s="3">
        <v>45626</v>
      </c>
      <c r="F115" s="33">
        <v>650</v>
      </c>
      <c r="G115" s="1" t="s">
        <v>530</v>
      </c>
      <c r="H115" s="1"/>
    </row>
    <row r="116" spans="1:8" x14ac:dyDescent="0.2">
      <c r="A116" s="1">
        <v>115</v>
      </c>
      <c r="B116" s="1">
        <v>1252971687</v>
      </c>
      <c r="C116" t="str">
        <f>IFERROR(IF(B116="","",VLOOKUP(B116,المستفيدين!$B:$C,2,FALSE)),"")</f>
        <v>مستفيد30</v>
      </c>
      <c r="D116" t="str">
        <f>IFERROR(IF(B116="","",VLOOKUP(B116,المستفيدين!$B:$F,5,FALSE)),"")</f>
        <v>مدرسة إرادة للتعليم (مكة)</v>
      </c>
      <c r="E116" s="3">
        <v>45627</v>
      </c>
      <c r="F116" s="33">
        <v>700</v>
      </c>
      <c r="G116" s="1" t="s">
        <v>530</v>
      </c>
      <c r="H116" s="1" t="s">
        <v>536</v>
      </c>
    </row>
    <row r="117" spans="1:8" x14ac:dyDescent="0.2">
      <c r="A117" s="1">
        <v>116</v>
      </c>
      <c r="B117" s="1">
        <v>1905329493</v>
      </c>
      <c r="C117" t="str">
        <f>IFERROR(IF(B117="","",VLOOKUP(B117,المستفيدين!$B:$C,2,FALSE)),"")</f>
        <v>مستفيد155</v>
      </c>
      <c r="D117" t="str">
        <f>IFERROR(IF(B117="","",VLOOKUP(B117,المستفيدين!$B:$F,5,FALSE)),"")</f>
        <v>مركز إرادة وتمكين للرعاية النهارية (القدس)</v>
      </c>
      <c r="E117" s="3">
        <v>45633</v>
      </c>
      <c r="F117" s="33">
        <v>3000</v>
      </c>
      <c r="G117" s="1" t="s">
        <v>530</v>
      </c>
      <c r="H117" s="1" t="s">
        <v>533</v>
      </c>
    </row>
    <row r="118" spans="1:8" x14ac:dyDescent="0.2">
      <c r="A118" s="1">
        <v>117</v>
      </c>
      <c r="B118" s="1">
        <v>1480462141</v>
      </c>
      <c r="C118" t="str">
        <f>IFERROR(IF(B118="","",VLOOKUP(B118,المستفيدين!$B:$C,2,FALSE)),"")</f>
        <v>مستفيد69</v>
      </c>
      <c r="D118" t="str">
        <f>IFERROR(IF(B118="","",VLOOKUP(B118,المستفيدين!$B:$F,5,FALSE)),"")</f>
        <v>مركز إرادة وتمكين لمتلازمة داون (نجد)</v>
      </c>
      <c r="E118" s="3">
        <v>45633</v>
      </c>
      <c r="F118" s="33">
        <v>700</v>
      </c>
      <c r="G118" s="1" t="s">
        <v>530</v>
      </c>
      <c r="H118" s="1" t="s">
        <v>537</v>
      </c>
    </row>
    <row r="119" spans="1:8" x14ac:dyDescent="0.2">
      <c r="A119" s="1">
        <v>118</v>
      </c>
      <c r="B119" s="1">
        <v>1777789161</v>
      </c>
      <c r="C119" t="str">
        <f>IFERROR(IF(B119="","",VLOOKUP(B119,المستفيدين!$B:$C,2,FALSE)),"")</f>
        <v>مستفيد12</v>
      </c>
      <c r="D119" t="str">
        <f>IFERROR(IF(B119="","",VLOOKUP(B119,المستفيدين!$B:$F,5,FALSE)),"")</f>
        <v>مدرسة إرادة للتعليم (مكة)</v>
      </c>
      <c r="E119" s="3">
        <v>45638</v>
      </c>
      <c r="F119" s="33">
        <v>2400</v>
      </c>
      <c r="G119" s="1" t="s">
        <v>530</v>
      </c>
      <c r="H119" s="1" t="s">
        <v>533</v>
      </c>
    </row>
    <row r="120" spans="1:8" x14ac:dyDescent="0.2">
      <c r="A120" s="1">
        <v>119</v>
      </c>
      <c r="B120" s="1">
        <v>1839924869</v>
      </c>
      <c r="C120" t="str">
        <f>IFERROR(IF(B120="","",VLOOKUP(B120,المستفيدين!$B:$C,2,FALSE)),"")</f>
        <v>مستفيد14</v>
      </c>
      <c r="D120" t="str">
        <f>IFERROR(IF(B120="","",VLOOKUP(B120,المستفيدين!$B:$F,5,FALSE)),"")</f>
        <v>مدرسة إرادة وتمكين لمتلازمة داون (نجد)</v>
      </c>
      <c r="E120" s="3">
        <v>45639</v>
      </c>
      <c r="F120" s="33">
        <v>3000</v>
      </c>
      <c r="G120" s="1" t="s">
        <v>531</v>
      </c>
      <c r="H120" s="1" t="s">
        <v>539</v>
      </c>
    </row>
    <row r="121" spans="1:8" x14ac:dyDescent="0.2">
      <c r="A121" s="1">
        <v>120</v>
      </c>
      <c r="B121" s="1">
        <v>1511480692</v>
      </c>
      <c r="C121" t="str">
        <f>IFERROR(IF(B121="","",VLOOKUP(B121,المستفيدين!$B:$C,2,FALSE)),"")</f>
        <v>مستفيد37</v>
      </c>
      <c r="D121" t="str">
        <f>IFERROR(IF(B121="","",VLOOKUP(B121,المستفيدين!$B:$F,5,FALSE)),"")</f>
        <v>مدرسة إرادة وتمكين لمتلازمة داون (نجد)</v>
      </c>
      <c r="E121" s="3">
        <v>45640</v>
      </c>
      <c r="F121" s="33">
        <v>1500</v>
      </c>
      <c r="G121" s="1" t="s">
        <v>531</v>
      </c>
      <c r="H121" s="1" t="s">
        <v>539</v>
      </c>
    </row>
    <row r="122" spans="1:8" x14ac:dyDescent="0.2">
      <c r="A122" s="1">
        <v>121</v>
      </c>
      <c r="B122" s="1">
        <v>1531942049</v>
      </c>
      <c r="C122" t="str">
        <f>IFERROR(IF(B122="","",VLOOKUP(B122,المستفيدين!$B:$C,2,FALSE)),"")</f>
        <v>مستفيد35</v>
      </c>
      <c r="D122" t="str">
        <f>IFERROR(IF(B122="","",VLOOKUP(B122,المستفيدين!$B:$F,5,FALSE)),"")</f>
        <v>مدرسة إرادة وتمكين لمتلازمة داون (نجد)</v>
      </c>
      <c r="E122" s="3">
        <v>45640</v>
      </c>
      <c r="F122" s="33">
        <v>3000</v>
      </c>
      <c r="G122" s="1" t="s">
        <v>530</v>
      </c>
      <c r="H122" s="1"/>
    </row>
    <row r="123" spans="1:8" x14ac:dyDescent="0.2">
      <c r="A123" s="1">
        <v>122</v>
      </c>
      <c r="B123" s="1">
        <v>1635473065</v>
      </c>
      <c r="C123" t="str">
        <f>IFERROR(IF(B123="","",VLOOKUP(B123,المستفيدين!$B:$C,2,FALSE)),"")</f>
        <v>مستفيد98</v>
      </c>
      <c r="D123" t="str">
        <f>IFERROR(IF(B123="","",VLOOKUP(B123,المستفيدين!$B:$F,5,FALSE)),"")</f>
        <v>مدرسة إرادة وتمكين لمتلازمة داون (نجد)</v>
      </c>
      <c r="E123" s="3">
        <v>45642</v>
      </c>
      <c r="F123" s="33">
        <v>350</v>
      </c>
      <c r="G123" s="1" t="s">
        <v>530</v>
      </c>
      <c r="H123" s="1"/>
    </row>
    <row r="124" spans="1:8" x14ac:dyDescent="0.2">
      <c r="A124" s="1">
        <v>123</v>
      </c>
      <c r="B124" s="1">
        <v>1489760898</v>
      </c>
      <c r="C124" t="str">
        <f>IFERROR(IF(B124="","",VLOOKUP(B124,المستفيدين!$B:$C,2,FALSE)),"")</f>
        <v>مستفيد172</v>
      </c>
      <c r="D124" t="str">
        <f>IFERROR(IF(B124="","",VLOOKUP(B124,المستفيدين!$B:$F,5,FALSE)),"")</f>
        <v>مدرسة إرادة وتمكين لمتلازمة داون (نجد)</v>
      </c>
      <c r="E124" s="3">
        <v>45646</v>
      </c>
      <c r="F124" s="33">
        <v>3500</v>
      </c>
      <c r="G124" s="1" t="s">
        <v>530</v>
      </c>
      <c r="H124" s="1" t="s">
        <v>535</v>
      </c>
    </row>
    <row r="125" spans="1:8" x14ac:dyDescent="0.2">
      <c r="A125" s="1">
        <v>124</v>
      </c>
      <c r="B125" s="1">
        <v>1491276005</v>
      </c>
      <c r="C125" t="str">
        <f>IFERROR(IF(B125="","",VLOOKUP(B125,المستفيدين!$B:$C,2,FALSE)),"")</f>
        <v>مستفيد73</v>
      </c>
      <c r="D125" t="str">
        <f>IFERROR(IF(B125="","",VLOOKUP(B125,المستفيدين!$B:$F,5,FALSE)),"")</f>
        <v>مدرسة إرادة للتعليم (مكة)</v>
      </c>
      <c r="E125" s="3">
        <v>45647</v>
      </c>
      <c r="F125" s="33">
        <v>1350</v>
      </c>
      <c r="G125" s="1" t="s">
        <v>530</v>
      </c>
      <c r="H125" s="1"/>
    </row>
    <row r="126" spans="1:8" x14ac:dyDescent="0.2">
      <c r="A126" s="1">
        <v>125</v>
      </c>
      <c r="B126" s="1">
        <v>1285596817</v>
      </c>
      <c r="C126" t="str">
        <f>IFERROR(IF(B126="","",VLOOKUP(B126,المستفيدين!$B:$C,2,FALSE)),"")</f>
        <v>مستفيد188</v>
      </c>
      <c r="D126" t="str">
        <f>IFERROR(IF(B126="","",VLOOKUP(B126,المستفيدين!$B:$F,5,FALSE)),"")</f>
        <v>مركز إرادة وتمكين لمتلازمة داون (نجد)</v>
      </c>
      <c r="E126" s="3">
        <v>45647</v>
      </c>
      <c r="F126" s="33">
        <v>800</v>
      </c>
      <c r="G126" s="1" t="s">
        <v>530</v>
      </c>
      <c r="H126" s="1" t="s">
        <v>536</v>
      </c>
    </row>
    <row r="127" spans="1:8" x14ac:dyDescent="0.2">
      <c r="A127" s="1">
        <v>126</v>
      </c>
      <c r="B127" s="1">
        <v>1055787167</v>
      </c>
      <c r="C127" t="str">
        <f>IFERROR(IF(B127="","",VLOOKUP(B127,المستفيدين!$B:$C,2,FALSE)),"")</f>
        <v>مستفيد134</v>
      </c>
      <c r="D127" t="str">
        <f>IFERROR(IF(B127="","",VLOOKUP(B127,المستفيدين!$B:$F,5,FALSE)),"")</f>
        <v>مركز إرادة وتمكين لرعاية ذوي الاحتياجات الخاصة (جلمودة)</v>
      </c>
      <c r="E127" s="3">
        <v>45648</v>
      </c>
      <c r="F127" s="33">
        <v>2200</v>
      </c>
      <c r="G127" s="1" t="s">
        <v>530</v>
      </c>
      <c r="H127" s="1" t="s">
        <v>535</v>
      </c>
    </row>
    <row r="128" spans="1:8" x14ac:dyDescent="0.2">
      <c r="A128" s="1">
        <v>127</v>
      </c>
      <c r="B128" s="1">
        <v>1491276005</v>
      </c>
      <c r="C128" t="str">
        <f>IFERROR(IF(B128="","",VLOOKUP(B128,المستفيدين!$B:$C,2,FALSE)),"")</f>
        <v>مستفيد73</v>
      </c>
      <c r="D128" t="str">
        <f>IFERROR(IF(B128="","",VLOOKUP(B128,المستفيدين!$B:$F,5,FALSE)),"")</f>
        <v>مدرسة إرادة للتعليم (مكة)</v>
      </c>
      <c r="E128" s="3">
        <v>45652</v>
      </c>
      <c r="F128" s="33">
        <v>400</v>
      </c>
      <c r="G128" s="1" t="s">
        <v>530</v>
      </c>
      <c r="H128" s="1" t="s">
        <v>533</v>
      </c>
    </row>
    <row r="129" spans="1:8" x14ac:dyDescent="0.2">
      <c r="A129" s="1">
        <v>128</v>
      </c>
      <c r="B129" s="1">
        <v>1580476879</v>
      </c>
      <c r="C129" t="str">
        <f>IFERROR(IF(B129="","",VLOOKUP(B129,المستفيدين!$B:$C,2,FALSE)),"")</f>
        <v>مستفيد82</v>
      </c>
      <c r="D129" t="str">
        <f>IFERROR(IF(B129="","",VLOOKUP(B129,المستفيدين!$B:$F,5,FALSE)),"")</f>
        <v>مدرسة إرادة للتعليم (مكة)</v>
      </c>
      <c r="E129" s="3">
        <v>45653</v>
      </c>
      <c r="F129" s="33">
        <v>350</v>
      </c>
      <c r="G129" s="1" t="s">
        <v>531</v>
      </c>
      <c r="H129" s="1" t="s">
        <v>540</v>
      </c>
    </row>
    <row r="130" spans="1:8" x14ac:dyDescent="0.2">
      <c r="A130" s="1">
        <v>129</v>
      </c>
      <c r="B130" s="1">
        <v>1183545493</v>
      </c>
      <c r="C130" t="str">
        <f>IFERROR(IF(B130="","",VLOOKUP(B130,المستفيدين!$B:$C,2,FALSE)),"")</f>
        <v>مستفيد162</v>
      </c>
      <c r="D130" t="str">
        <f>IFERROR(IF(B130="","",VLOOKUP(B130,المستفيدين!$B:$F,5,FALSE)),"")</f>
        <v>مركز إرادة وتمكين لرعاية ذوي الاحتياجات الخاصة (جلمودة)</v>
      </c>
      <c r="E130" s="3">
        <v>45654</v>
      </c>
      <c r="F130" s="33">
        <v>3500</v>
      </c>
      <c r="G130" s="1" t="s">
        <v>530</v>
      </c>
      <c r="H130" s="1" t="s">
        <v>536</v>
      </c>
    </row>
    <row r="131" spans="1:8" x14ac:dyDescent="0.2">
      <c r="A131" s="1">
        <v>130</v>
      </c>
      <c r="B131" s="1">
        <v>1653450224</v>
      </c>
      <c r="C131" t="str">
        <f>IFERROR(IF(B131="","",VLOOKUP(B131,المستفيدين!$B:$C,2,FALSE)),"")</f>
        <v>مستفيد99</v>
      </c>
      <c r="D131" t="str">
        <f>IFERROR(IF(B131="","",VLOOKUP(B131,المستفيدين!$B:$F,5,FALSE)),"")</f>
        <v>مركز إرادة وتمكين لمتلازمة داون (نجد)</v>
      </c>
      <c r="E131" s="3">
        <v>45656</v>
      </c>
      <c r="F131" s="33">
        <v>2500</v>
      </c>
      <c r="G131" s="1" t="s">
        <v>531</v>
      </c>
      <c r="H131" s="1" t="s">
        <v>41</v>
      </c>
    </row>
    <row r="132" spans="1:8" x14ac:dyDescent="0.2">
      <c r="A132" s="1">
        <v>131</v>
      </c>
      <c r="B132" s="1">
        <v>1402220485</v>
      </c>
      <c r="C132" t="str">
        <f>IFERROR(IF(B132="","",VLOOKUP(B132,المستفيدين!$B:$C,2,FALSE)),"")</f>
        <v>مستفيد41</v>
      </c>
      <c r="D132" t="str">
        <f>IFERROR(IF(B132="","",VLOOKUP(B132,المستفيدين!$B:$F,5,FALSE)),"")</f>
        <v>مدرسة إرادة وتمكين لمتلازمة داون (نجد)</v>
      </c>
      <c r="E132" s="3">
        <v>45657</v>
      </c>
      <c r="F132" s="33">
        <v>1000</v>
      </c>
      <c r="G132" s="1" t="s">
        <v>530</v>
      </c>
      <c r="H132" s="1"/>
    </row>
    <row r="133" spans="1:8" x14ac:dyDescent="0.2">
      <c r="A133" s="1">
        <v>132</v>
      </c>
      <c r="B133" s="1">
        <v>1463642752</v>
      </c>
      <c r="C133" t="str">
        <f>IFERROR(IF(B133="","",VLOOKUP(B133,المستفيدين!$B:$C,2,FALSE)),"")</f>
        <v>مستفيد86</v>
      </c>
      <c r="D133" t="str">
        <f>IFERROR(IF(B133="","",VLOOKUP(B133,المستفيدين!$B:$F,5,FALSE)),"")</f>
        <v>مدرسة إرادة وتمكين لمتلازمة داون (نجد)</v>
      </c>
      <c r="E133" s="3">
        <v>45658</v>
      </c>
      <c r="F133" s="33">
        <v>1000</v>
      </c>
      <c r="G133" s="1" t="s">
        <v>530</v>
      </c>
      <c r="H133" s="1" t="s">
        <v>538</v>
      </c>
    </row>
    <row r="134" spans="1:8" x14ac:dyDescent="0.2">
      <c r="A134" s="1">
        <v>133</v>
      </c>
      <c r="B134" s="1">
        <v>1508168375</v>
      </c>
      <c r="C134" t="str">
        <f>IFERROR(IF(B134="","",VLOOKUP(B134,المستفيدين!$B:$C,2,FALSE)),"")</f>
        <v>مستفيد111</v>
      </c>
      <c r="D134" t="str">
        <f>IFERROR(IF(B134="","",VLOOKUP(B134,المستفيدين!$B:$F,5,FALSE)),"")</f>
        <v>مركز إرادة وتمكين لمتلازمة داون (نجد)</v>
      </c>
      <c r="E134" s="3">
        <v>45659</v>
      </c>
      <c r="F134" s="33">
        <v>3500</v>
      </c>
      <c r="G134" s="1" t="s">
        <v>530</v>
      </c>
      <c r="H134" s="1"/>
    </row>
    <row r="135" spans="1:8" x14ac:dyDescent="0.2">
      <c r="A135" s="1">
        <v>134</v>
      </c>
      <c r="B135" s="1">
        <v>1473361734</v>
      </c>
      <c r="C135" t="str">
        <f>IFERROR(IF(B135="","",VLOOKUP(B135,المستفيدين!$B:$C,2,FALSE)),"")</f>
        <v>مستفيد63</v>
      </c>
      <c r="D135" t="str">
        <f>IFERROR(IF(B135="","",VLOOKUP(B135,المستفيدين!$B:$F,5,FALSE)),"")</f>
        <v>مدرسة إرادة للتعليم (مكة)</v>
      </c>
      <c r="E135" s="3">
        <v>45661</v>
      </c>
      <c r="F135" s="33">
        <v>3000</v>
      </c>
      <c r="G135" s="1" t="s">
        <v>530</v>
      </c>
      <c r="H135" s="1" t="s">
        <v>535</v>
      </c>
    </row>
    <row r="136" spans="1:8" x14ac:dyDescent="0.2">
      <c r="A136" s="1">
        <v>135</v>
      </c>
      <c r="B136" s="1">
        <v>1076683920</v>
      </c>
      <c r="C136" t="str">
        <f>IFERROR(IF(B136="","",VLOOKUP(B136,المستفيدين!$B:$C,2,FALSE)),"")</f>
        <v>مستفيد92</v>
      </c>
      <c r="D136" t="str">
        <f>IFERROR(IF(B136="","",VLOOKUP(B136,المستفيدين!$B:$F,5,FALSE)),"")</f>
        <v>مركز إرادة وتمكين للرعاية النهارية (القدس)</v>
      </c>
      <c r="E136" s="3">
        <v>45662</v>
      </c>
      <c r="F136" s="33">
        <v>850</v>
      </c>
      <c r="G136" s="1" t="s">
        <v>530</v>
      </c>
      <c r="H136" s="1"/>
    </row>
    <row r="137" spans="1:8" x14ac:dyDescent="0.2">
      <c r="A137" s="1">
        <v>136</v>
      </c>
      <c r="B137" s="1">
        <v>1222363290</v>
      </c>
      <c r="C137" t="str">
        <f>IFERROR(IF(B137="","",VLOOKUP(B137,المستفيدين!$B:$C,2,FALSE)),"")</f>
        <v>مستفيد125</v>
      </c>
      <c r="D137" t="str">
        <f>IFERROR(IF(B137="","",VLOOKUP(B137,المستفيدين!$B:$F,5,FALSE)),"")</f>
        <v>مركز إرادة وتمكين لرعاية ذوي الاحتياجات الخاصة (جلمودة)</v>
      </c>
      <c r="E137" s="3">
        <v>45663</v>
      </c>
      <c r="F137" s="33">
        <v>1250</v>
      </c>
      <c r="G137" s="1" t="s">
        <v>530</v>
      </c>
      <c r="H137" s="1" t="s">
        <v>535</v>
      </c>
    </row>
    <row r="138" spans="1:8" x14ac:dyDescent="0.2">
      <c r="A138" s="1">
        <v>137</v>
      </c>
      <c r="B138" s="1">
        <v>1752444255</v>
      </c>
      <c r="C138" t="str">
        <f>IFERROR(IF(B138="","",VLOOKUP(B138,المستفيدين!$B:$C,2,FALSE)),"")</f>
        <v>مستفيد81</v>
      </c>
      <c r="D138" t="str">
        <f>IFERROR(IF(B138="","",VLOOKUP(B138,المستفيدين!$B:$F,5,FALSE)),"")</f>
        <v>مركز إرادة وتمكين لرعاية ذوي الاحتياجات الخاصة (جلمودة)</v>
      </c>
      <c r="E138" s="3">
        <v>45665</v>
      </c>
      <c r="F138" s="33">
        <v>450</v>
      </c>
      <c r="G138" s="1" t="s">
        <v>531</v>
      </c>
      <c r="H138" s="1" t="s">
        <v>539</v>
      </c>
    </row>
    <row r="139" spans="1:8" x14ac:dyDescent="0.2">
      <c r="A139" s="1">
        <v>138</v>
      </c>
      <c r="B139" s="1">
        <v>1919727514</v>
      </c>
      <c r="C139" t="str">
        <f>IFERROR(IF(B139="","",VLOOKUP(B139,المستفيدين!$B:$C,2,FALSE)),"")</f>
        <v>مستفيد170</v>
      </c>
      <c r="D139" t="str">
        <f>IFERROR(IF(B139="","",VLOOKUP(B139,المستفيدين!$B:$F,5,FALSE)),"")</f>
        <v>مركز إرادة وتمكين لمتلازمة داون (نجد)</v>
      </c>
      <c r="E139" s="3">
        <v>45666</v>
      </c>
      <c r="F139" s="33">
        <v>1350</v>
      </c>
      <c r="G139" s="1" t="s">
        <v>530</v>
      </c>
      <c r="H139" s="1" t="s">
        <v>533</v>
      </c>
    </row>
    <row r="140" spans="1:8" x14ac:dyDescent="0.2">
      <c r="A140" s="1">
        <v>139</v>
      </c>
      <c r="B140" s="1">
        <v>1228837751</v>
      </c>
      <c r="C140" t="str">
        <f>IFERROR(IF(B140="","",VLOOKUP(B140,المستفيدين!$B:$C,2,FALSE)),"")</f>
        <v>مستفيد58</v>
      </c>
      <c r="D140" t="str">
        <f>IFERROR(IF(B140="","",VLOOKUP(B140,المستفيدين!$B:$F,5,FALSE)),"")</f>
        <v>مدرسة إرادة وتمكين لمتلازمة داون (نجد)</v>
      </c>
      <c r="E140" s="3">
        <v>45670</v>
      </c>
      <c r="F140" s="33">
        <v>1500</v>
      </c>
      <c r="G140" s="1" t="s">
        <v>530</v>
      </c>
      <c r="H140" s="1"/>
    </row>
    <row r="141" spans="1:8" x14ac:dyDescent="0.2">
      <c r="A141" s="1">
        <v>140</v>
      </c>
      <c r="B141" s="1">
        <v>1480462141</v>
      </c>
      <c r="C141" t="str">
        <f>IFERROR(IF(B141="","",VLOOKUP(B141,المستفيدين!$B:$C,2,FALSE)),"")</f>
        <v>مستفيد69</v>
      </c>
      <c r="D141" t="str">
        <f>IFERROR(IF(B141="","",VLOOKUP(B141,المستفيدين!$B:$F,5,FALSE)),"")</f>
        <v>مركز إرادة وتمكين لمتلازمة داون (نجد)</v>
      </c>
      <c r="E141" s="3">
        <v>45675</v>
      </c>
      <c r="F141" s="33">
        <v>800</v>
      </c>
      <c r="G141" s="1" t="s">
        <v>530</v>
      </c>
      <c r="H141" s="1"/>
    </row>
    <row r="142" spans="1:8" x14ac:dyDescent="0.2">
      <c r="A142" s="1">
        <v>141</v>
      </c>
      <c r="B142" s="1">
        <v>1714015460</v>
      </c>
      <c r="C142" t="str">
        <f>IFERROR(IF(B142="","",VLOOKUP(B142,المستفيدين!$B:$C,2,FALSE)),"")</f>
        <v>مستفيد151</v>
      </c>
      <c r="D142" t="str">
        <f>IFERROR(IF(B142="","",VLOOKUP(B142,المستفيدين!$B:$F,5,FALSE)),"")</f>
        <v>مركز إرادة وتمكين للرعاية النهارية (القدس)</v>
      </c>
      <c r="E142" s="3">
        <v>45677</v>
      </c>
      <c r="F142" s="33">
        <v>3500</v>
      </c>
      <c r="G142" s="1" t="s">
        <v>530</v>
      </c>
      <c r="H142" s="1"/>
    </row>
    <row r="143" spans="1:8" x14ac:dyDescent="0.2">
      <c r="A143" s="1">
        <v>142</v>
      </c>
      <c r="B143" s="1">
        <v>1639332291</v>
      </c>
      <c r="C143" t="str">
        <f>IFERROR(IF(B143="","",VLOOKUP(B143,المستفيدين!$B:$C,2,FALSE)),"")</f>
        <v>مستفيد199</v>
      </c>
      <c r="D143" t="str">
        <f>IFERROR(IF(B143="","",VLOOKUP(B143,المستفيدين!$B:$F,5,FALSE)),"")</f>
        <v>مدرسة إرادة وتمكين لمتلازمة داون (نجد)</v>
      </c>
      <c r="E143" s="3">
        <v>45677</v>
      </c>
      <c r="F143" s="33">
        <v>1050</v>
      </c>
      <c r="G143" s="1" t="s">
        <v>530</v>
      </c>
      <c r="H143" s="1" t="s">
        <v>535</v>
      </c>
    </row>
    <row r="144" spans="1:8" x14ac:dyDescent="0.2">
      <c r="A144" s="1">
        <v>143</v>
      </c>
      <c r="B144" s="1">
        <v>1680947465</v>
      </c>
      <c r="C144" t="str">
        <f>IFERROR(IF(B144="","",VLOOKUP(B144,المستفيدين!$B:$C,2,FALSE)),"")</f>
        <v>مستفيد84</v>
      </c>
      <c r="D144" t="str">
        <f>IFERROR(IF(B144="","",VLOOKUP(B144,المستفيدين!$B:$F,5,FALSE)),"")</f>
        <v>مركز إرادة وتمكين لمتلازمة داون (نجد)</v>
      </c>
      <c r="E144" s="3">
        <v>45677</v>
      </c>
      <c r="F144" s="33">
        <v>2100</v>
      </c>
      <c r="G144" s="1" t="s">
        <v>531</v>
      </c>
      <c r="H144" s="1" t="s">
        <v>41</v>
      </c>
    </row>
    <row r="145" spans="1:8" x14ac:dyDescent="0.2">
      <c r="A145" s="1">
        <v>144</v>
      </c>
      <c r="B145" s="1">
        <v>1519714037</v>
      </c>
      <c r="C145" t="str">
        <f>IFERROR(IF(B145="","",VLOOKUP(B145,المستفيدين!$B:$C,2,FALSE)),"")</f>
        <v>مستفيد74</v>
      </c>
      <c r="D145" t="str">
        <f>IFERROR(IF(B145="","",VLOOKUP(B145,المستفيدين!$B:$F,5,FALSE)),"")</f>
        <v>مركز إرادة وتمكين لرعاية ذوي الاحتياجات الخاصة (جلمودة)</v>
      </c>
      <c r="E145" s="3">
        <v>45681</v>
      </c>
      <c r="F145" s="33">
        <v>2400</v>
      </c>
      <c r="G145" s="1" t="s">
        <v>530</v>
      </c>
      <c r="H145" s="1" t="s">
        <v>534</v>
      </c>
    </row>
    <row r="146" spans="1:8" x14ac:dyDescent="0.2">
      <c r="A146" s="1">
        <v>145</v>
      </c>
      <c r="B146" s="1">
        <v>1863051572</v>
      </c>
      <c r="C146" t="str">
        <f>IFERROR(IF(B146="","",VLOOKUP(B146,المستفيدين!$B:$C,2,FALSE)),"")</f>
        <v>مستفيد47</v>
      </c>
      <c r="D146" t="str">
        <f>IFERROR(IF(B146="","",VLOOKUP(B146,المستفيدين!$B:$F,5,FALSE)),"")</f>
        <v>مركز إرادة وتمكين للرعاية النهارية (القدس)</v>
      </c>
      <c r="E146" s="3">
        <v>45682</v>
      </c>
      <c r="F146" s="33">
        <v>4000</v>
      </c>
      <c r="G146" s="1" t="s">
        <v>530</v>
      </c>
      <c r="H146" s="1" t="s">
        <v>535</v>
      </c>
    </row>
    <row r="147" spans="1:8" x14ac:dyDescent="0.2">
      <c r="A147" s="1">
        <v>146</v>
      </c>
      <c r="B147" s="1">
        <v>1640872800</v>
      </c>
      <c r="C147" t="str">
        <f>IFERROR(IF(B147="","",VLOOKUP(B147,المستفيدين!$B:$C,2,FALSE)),"")</f>
        <v>مستفيد173</v>
      </c>
      <c r="D147" t="str">
        <f>IFERROR(IF(B147="","",VLOOKUP(B147,المستفيدين!$B:$F,5,FALSE)),"")</f>
        <v>مركز إرادة وتمكين لرعاية ذوي الاحتياجات الخاصة (جلمودة)</v>
      </c>
      <c r="E147" s="3">
        <v>45687</v>
      </c>
      <c r="F147" s="33">
        <v>1100</v>
      </c>
      <c r="G147" s="1" t="s">
        <v>531</v>
      </c>
      <c r="H147" s="1" t="s">
        <v>539</v>
      </c>
    </row>
    <row r="148" spans="1:8" x14ac:dyDescent="0.2">
      <c r="A148" s="1">
        <v>147</v>
      </c>
      <c r="B148" s="1">
        <v>1525548329</v>
      </c>
      <c r="C148" t="str">
        <f>IFERROR(IF(B148="","",VLOOKUP(B148,المستفيدين!$B:$C,2,FALSE)),"")</f>
        <v>مستفيد187</v>
      </c>
      <c r="D148" t="str">
        <f>IFERROR(IF(B148="","",VLOOKUP(B148,المستفيدين!$B:$F,5,FALSE)),"")</f>
        <v>مركز إرادة وتمكين لرعاية ذوي الاحتياجات الخاصة (جلمودة)</v>
      </c>
      <c r="E148" s="3">
        <v>45691</v>
      </c>
      <c r="F148" s="33">
        <v>2000</v>
      </c>
      <c r="G148" s="1" t="s">
        <v>530</v>
      </c>
      <c r="H148" s="1" t="s">
        <v>533</v>
      </c>
    </row>
    <row r="149" spans="1:8" x14ac:dyDescent="0.2">
      <c r="A149" s="1">
        <v>148</v>
      </c>
      <c r="B149" s="1">
        <v>1614390911</v>
      </c>
      <c r="C149" t="str">
        <f>IFERROR(IF(B149="","",VLOOKUP(B149,المستفيدين!$B:$C,2,FALSE)),"")</f>
        <v>مستفيد149</v>
      </c>
      <c r="D149" t="str">
        <f>IFERROR(IF(B149="","",VLOOKUP(B149,المستفيدين!$B:$F,5,FALSE)),"")</f>
        <v>مدرسة إرادة للتعليم (مكة)</v>
      </c>
      <c r="E149" s="3">
        <v>45693</v>
      </c>
      <c r="F149" s="33">
        <v>2500</v>
      </c>
      <c r="G149" s="1" t="s">
        <v>530</v>
      </c>
      <c r="H149" s="1" t="s">
        <v>535</v>
      </c>
    </row>
    <row r="150" spans="1:8" x14ac:dyDescent="0.2">
      <c r="A150" s="1">
        <v>149</v>
      </c>
      <c r="B150" s="1">
        <v>1817449144</v>
      </c>
      <c r="C150" t="str">
        <f>IFERROR(IF(B150="","",VLOOKUP(B150,المستفيدين!$B:$C,2,FALSE)),"")</f>
        <v>مستفيد177</v>
      </c>
      <c r="D150" t="str">
        <f>IFERROR(IF(B150="","",VLOOKUP(B150,المستفيدين!$B:$F,5,FALSE)),"")</f>
        <v>مركز إرادة وتمكين لرعاية ذوي الاحتياجات الخاصة (جلمودة)</v>
      </c>
      <c r="E150" s="3">
        <v>45704</v>
      </c>
      <c r="F150" s="33">
        <v>2000</v>
      </c>
      <c r="G150" s="1" t="s">
        <v>530</v>
      </c>
      <c r="H150" s="1"/>
    </row>
    <row r="151" spans="1:8" x14ac:dyDescent="0.2">
      <c r="A151" s="1">
        <v>150</v>
      </c>
      <c r="B151" s="1">
        <v>1672893974</v>
      </c>
      <c r="C151" t="str">
        <f>IFERROR(IF(B151="","",VLOOKUP(B151,المستفيدين!$B:$C,2,FALSE)),"")</f>
        <v>مستفيد148</v>
      </c>
      <c r="D151" t="str">
        <f>IFERROR(IF(B151="","",VLOOKUP(B151,المستفيدين!$B:$F,5,FALSE)),"")</f>
        <v>مركز إرادة وتمكين لمتلازمة داون (نجد)</v>
      </c>
      <c r="E151" s="3">
        <v>45711</v>
      </c>
      <c r="F151" s="33">
        <v>4000</v>
      </c>
      <c r="G151" s="1" t="s">
        <v>530</v>
      </c>
      <c r="H151" s="1" t="s">
        <v>536</v>
      </c>
    </row>
    <row r="152" spans="1:8" x14ac:dyDescent="0.2">
      <c r="A152" s="1">
        <v>151</v>
      </c>
      <c r="B152" s="1">
        <v>1074930603</v>
      </c>
      <c r="C152" t="str">
        <f>IFERROR(IF(B152="","",VLOOKUP(B152,المستفيدين!$B:$C,2,FALSE)),"")</f>
        <v>مستفيد50</v>
      </c>
      <c r="D152" t="str">
        <f>IFERROR(IF(B152="","",VLOOKUP(B152,المستفيدين!$B:$F,5,FALSE)),"")</f>
        <v>مركز إرادة وتمكين لمتلازمة داون (نجد)</v>
      </c>
      <c r="E152" s="3">
        <v>45711</v>
      </c>
      <c r="F152" s="33">
        <v>3500</v>
      </c>
      <c r="G152" s="1" t="s">
        <v>530</v>
      </c>
      <c r="H152" s="1" t="s">
        <v>534</v>
      </c>
    </row>
    <row r="153" spans="1:8" x14ac:dyDescent="0.2">
      <c r="A153" s="1">
        <v>152</v>
      </c>
      <c r="B153" s="1">
        <v>1234479307</v>
      </c>
      <c r="C153" t="str">
        <f>IFERROR(IF(B153="","",VLOOKUP(B153,المستفيدين!$B:$C,2,FALSE)),"")</f>
        <v>مستفيد136</v>
      </c>
      <c r="D153" t="str">
        <f>IFERROR(IF(B153="","",VLOOKUP(B153,المستفيدين!$B:$F,5,FALSE)),"")</f>
        <v>مركز إرادة وتمكين لمتلازمة داون (نجد)</v>
      </c>
      <c r="E153" s="3">
        <v>45720</v>
      </c>
      <c r="F153" s="33">
        <v>950</v>
      </c>
      <c r="G153" s="1" t="s">
        <v>530</v>
      </c>
      <c r="H153" s="1" t="s">
        <v>535</v>
      </c>
    </row>
    <row r="154" spans="1:8" x14ac:dyDescent="0.2">
      <c r="A154" s="1">
        <v>153</v>
      </c>
      <c r="B154" s="1">
        <v>1905329493</v>
      </c>
      <c r="C154" t="str">
        <f>IFERROR(IF(B154="","",VLOOKUP(B154,المستفيدين!$B:$C,2,FALSE)),"")</f>
        <v>مستفيد155</v>
      </c>
      <c r="D154" t="str">
        <f>IFERROR(IF(B154="","",VLOOKUP(B154,المستفيدين!$B:$F,5,FALSE)),"")</f>
        <v>مركز إرادة وتمكين للرعاية النهارية (القدس)</v>
      </c>
      <c r="E154" s="3">
        <v>45722</v>
      </c>
      <c r="F154" s="33">
        <v>300</v>
      </c>
      <c r="G154" s="1" t="s">
        <v>531</v>
      </c>
      <c r="H154" s="1" t="s">
        <v>41</v>
      </c>
    </row>
    <row r="155" spans="1:8" x14ac:dyDescent="0.2">
      <c r="A155" s="1">
        <v>154</v>
      </c>
      <c r="B155" s="1">
        <v>1216832990</v>
      </c>
      <c r="C155" t="str">
        <f>IFERROR(IF(B155="","",VLOOKUP(B155,المستفيدين!$B:$C,2,FALSE)),"")</f>
        <v>مستفيد176</v>
      </c>
      <c r="D155" t="str">
        <f>IFERROR(IF(B155="","",VLOOKUP(B155,المستفيدين!$B:$F,5,FALSE)),"")</f>
        <v>مركز إرادة وتمكين للرعاية النهارية (القدس)</v>
      </c>
      <c r="E155" s="3">
        <v>45726</v>
      </c>
      <c r="F155" s="33">
        <v>3000</v>
      </c>
      <c r="G155" s="1" t="s">
        <v>531</v>
      </c>
      <c r="H155" s="1" t="s">
        <v>41</v>
      </c>
    </row>
    <row r="156" spans="1:8" x14ac:dyDescent="0.2">
      <c r="A156" s="1">
        <v>155</v>
      </c>
      <c r="B156" s="1">
        <v>1062866233</v>
      </c>
      <c r="C156" t="str">
        <f>IFERROR(IF(B156="","",VLOOKUP(B156,المستفيدين!$B:$C,2,FALSE)),"")</f>
        <v>مستفيد71</v>
      </c>
      <c r="D156" t="str">
        <f>IFERROR(IF(B156="","",VLOOKUP(B156,المستفيدين!$B:$F,5,FALSE)),"")</f>
        <v>مركز إرادة وتمكين لرعاية ذوي الاحتياجات الخاصة (جلمودة)</v>
      </c>
      <c r="E156" s="3">
        <v>45727</v>
      </c>
      <c r="F156" s="33">
        <v>1400</v>
      </c>
      <c r="G156" s="1" t="s">
        <v>530</v>
      </c>
      <c r="H156" s="1" t="s">
        <v>537</v>
      </c>
    </row>
    <row r="157" spans="1:8" x14ac:dyDescent="0.2">
      <c r="A157" s="1">
        <v>156</v>
      </c>
      <c r="B157" s="1">
        <v>1065397512</v>
      </c>
      <c r="C157" t="str">
        <f>IFERROR(IF(B157="","",VLOOKUP(B157,المستفيدين!$B:$C,2,FALSE)),"")</f>
        <v>مستفيد2</v>
      </c>
      <c r="D157" t="str">
        <f>IFERROR(IF(B157="","",VLOOKUP(B157,المستفيدين!$B:$F,5,FALSE)),"")</f>
        <v>مدرسة إرادة وتمكين لمتلازمة داون (نجد)</v>
      </c>
      <c r="E157" s="3">
        <v>45728</v>
      </c>
      <c r="F157" s="33">
        <v>600</v>
      </c>
      <c r="G157" s="1" t="s">
        <v>530</v>
      </c>
      <c r="H157" s="1" t="s">
        <v>534</v>
      </c>
    </row>
    <row r="158" spans="1:8" x14ac:dyDescent="0.2">
      <c r="A158" s="1">
        <v>157</v>
      </c>
      <c r="B158" s="1">
        <v>1690864686</v>
      </c>
      <c r="C158" t="str">
        <f>IFERROR(IF(B158="","",VLOOKUP(B158,المستفيدين!$B:$C,2,FALSE)),"")</f>
        <v>مستفيد141</v>
      </c>
      <c r="D158" t="str">
        <f>IFERROR(IF(B158="","",VLOOKUP(B158,المستفيدين!$B:$F,5,FALSE)),"")</f>
        <v>مدرسة إرادة وتمكين لمتلازمة داون (نجد)</v>
      </c>
      <c r="E158" s="3">
        <v>45733</v>
      </c>
      <c r="F158" s="33">
        <v>2500</v>
      </c>
      <c r="G158" s="1" t="s">
        <v>530</v>
      </c>
      <c r="H158" s="1"/>
    </row>
    <row r="159" spans="1:8" x14ac:dyDescent="0.2">
      <c r="A159" s="1">
        <v>158</v>
      </c>
      <c r="B159" s="1">
        <v>1588971066</v>
      </c>
      <c r="C159" t="str">
        <f>IFERROR(IF(B159="","",VLOOKUP(B159,المستفيدين!$B:$C,2,FALSE)),"")</f>
        <v>مستفيد48</v>
      </c>
      <c r="D159" t="str">
        <f>IFERROR(IF(B159="","",VLOOKUP(B159,المستفيدين!$B:$F,5,FALSE)),"")</f>
        <v>مركز إرادة وتمكين للرعاية النهارية (القدس)</v>
      </c>
      <c r="E159" s="3">
        <v>45734</v>
      </c>
      <c r="F159" s="33">
        <v>950</v>
      </c>
      <c r="G159" s="1" t="s">
        <v>530</v>
      </c>
      <c r="H159" s="1" t="s">
        <v>538</v>
      </c>
    </row>
    <row r="160" spans="1:8" x14ac:dyDescent="0.2">
      <c r="A160" s="1">
        <v>159</v>
      </c>
      <c r="B160" s="1">
        <v>1526290370</v>
      </c>
      <c r="C160" t="str">
        <f>IFERROR(IF(B160="","",VLOOKUP(B160,المستفيدين!$B:$C,2,FALSE)),"")</f>
        <v>مستفيد197</v>
      </c>
      <c r="D160" t="str">
        <f>IFERROR(IF(B160="","",VLOOKUP(B160,المستفيدين!$B:$F,5,FALSE)),"")</f>
        <v>مدرسة إرادة وتمكين لمتلازمة داون (نجد)</v>
      </c>
      <c r="E160" s="3">
        <v>45734</v>
      </c>
      <c r="F160" s="33">
        <v>800</v>
      </c>
      <c r="G160" s="1" t="s">
        <v>530</v>
      </c>
      <c r="H160" s="1"/>
    </row>
    <row r="161" spans="1:8" x14ac:dyDescent="0.2">
      <c r="A161" s="1">
        <v>160</v>
      </c>
      <c r="B161" s="1">
        <v>1845701828</v>
      </c>
      <c r="C161" t="str">
        <f>IFERROR(IF(B161="","",VLOOKUP(B161,المستفيدين!$B:$C,2,FALSE)),"")</f>
        <v>مستفيد192</v>
      </c>
      <c r="D161" t="str">
        <f>IFERROR(IF(B161="","",VLOOKUP(B161,المستفيدين!$B:$F,5,FALSE)),"")</f>
        <v>مركز إرادة وتمكين للرعاية النهارية (القدس)</v>
      </c>
      <c r="E161" s="3">
        <v>45735</v>
      </c>
      <c r="F161" s="33">
        <v>500</v>
      </c>
      <c r="G161" s="1" t="s">
        <v>530</v>
      </c>
      <c r="H161" s="1"/>
    </row>
    <row r="162" spans="1:8" x14ac:dyDescent="0.2">
      <c r="A162" s="1">
        <v>161</v>
      </c>
      <c r="B162" s="1">
        <v>1526290370</v>
      </c>
      <c r="C162" t="str">
        <f>IFERROR(IF(B162="","",VLOOKUP(B162,المستفيدين!$B:$C,2,FALSE)),"")</f>
        <v>مستفيد197</v>
      </c>
      <c r="D162" t="str">
        <f>IFERROR(IF(B162="","",VLOOKUP(B162,المستفيدين!$B:$F,5,FALSE)),"")</f>
        <v>مدرسة إرادة وتمكين لمتلازمة داون (نجد)</v>
      </c>
      <c r="E162" s="3">
        <v>45735</v>
      </c>
      <c r="F162" s="33">
        <v>1300</v>
      </c>
      <c r="G162" s="1" t="s">
        <v>530</v>
      </c>
      <c r="H162" s="1"/>
    </row>
    <row r="163" spans="1:8" x14ac:dyDescent="0.2">
      <c r="A163" s="1">
        <v>162</v>
      </c>
      <c r="B163" s="1">
        <v>1917178608</v>
      </c>
      <c r="C163" t="str">
        <f>IFERROR(IF(B163="","",VLOOKUP(B163,المستفيدين!$B:$C,2,FALSE)),"")</f>
        <v>مستفيد90</v>
      </c>
      <c r="D163" t="str">
        <f>IFERROR(IF(B163="","",VLOOKUP(B163,المستفيدين!$B:$F,5,FALSE)),"")</f>
        <v>مركز إرادة وتمكين للرعاية النهارية (القدس)</v>
      </c>
      <c r="E163" s="3">
        <v>45737</v>
      </c>
      <c r="F163" s="33">
        <v>350</v>
      </c>
      <c r="G163" s="1" t="s">
        <v>530</v>
      </c>
      <c r="H163" s="1" t="s">
        <v>537</v>
      </c>
    </row>
    <row r="164" spans="1:8" x14ac:dyDescent="0.2">
      <c r="A164" s="1">
        <v>163</v>
      </c>
      <c r="B164" s="1">
        <v>1181928548</v>
      </c>
      <c r="C164" t="str">
        <f>IFERROR(IF(B164="","",VLOOKUP(B164,المستفيدين!$B:$C,2,FALSE)),"")</f>
        <v>مستفيد128</v>
      </c>
      <c r="D164" t="str">
        <f>IFERROR(IF(B164="","",VLOOKUP(B164,المستفيدين!$B:$F,5,FALSE)),"")</f>
        <v>مدرسة إرادة للتعليم (مكة)</v>
      </c>
      <c r="E164" s="3">
        <v>45737</v>
      </c>
      <c r="F164" s="33">
        <v>2100</v>
      </c>
      <c r="G164" s="1" t="s">
        <v>530</v>
      </c>
      <c r="H164" s="1" t="s">
        <v>537</v>
      </c>
    </row>
    <row r="165" spans="1:8" x14ac:dyDescent="0.2">
      <c r="A165" s="1">
        <v>164</v>
      </c>
      <c r="B165" s="1">
        <v>1371671971</v>
      </c>
      <c r="C165" t="str">
        <f>IFERROR(IF(B165="","",VLOOKUP(B165,المستفيدين!$B:$C,2,FALSE)),"")</f>
        <v>مستفيد91</v>
      </c>
      <c r="D165" t="str">
        <f>IFERROR(IF(B165="","",VLOOKUP(B165,المستفيدين!$B:$F,5,FALSE)),"")</f>
        <v>مركز إرادة وتمكين لرعاية ذوي الاحتياجات الخاصة (جلمودة)</v>
      </c>
      <c r="E165" s="3">
        <v>45740</v>
      </c>
      <c r="F165" s="33">
        <v>250</v>
      </c>
      <c r="G165" s="1" t="s">
        <v>530</v>
      </c>
      <c r="H165" s="1" t="s">
        <v>537</v>
      </c>
    </row>
    <row r="166" spans="1:8" x14ac:dyDescent="0.2">
      <c r="A166" s="1">
        <v>165</v>
      </c>
      <c r="B166" s="1">
        <v>1688005726</v>
      </c>
      <c r="C166" t="str">
        <f>IFERROR(IF(B166="","",VLOOKUP(B166,المستفيدين!$B:$C,2,FALSE)),"")</f>
        <v>مستفيد16</v>
      </c>
      <c r="D166" t="str">
        <f>IFERROR(IF(B166="","",VLOOKUP(B166,المستفيدين!$B:$F,5,FALSE)),"")</f>
        <v>مركز إرادة وتمكين لرعاية ذوي الاحتياجات الخاصة (جلمودة)</v>
      </c>
      <c r="E166" s="3">
        <v>45743</v>
      </c>
      <c r="F166" s="33">
        <v>1400</v>
      </c>
      <c r="G166" s="1" t="s">
        <v>530</v>
      </c>
      <c r="H166" s="1"/>
    </row>
    <row r="167" spans="1:8" x14ac:dyDescent="0.2">
      <c r="A167" s="1">
        <v>166</v>
      </c>
      <c r="B167" s="1">
        <v>1296378535</v>
      </c>
      <c r="C167" t="str">
        <f>IFERROR(IF(B167="","",VLOOKUP(B167,المستفيدين!$B:$C,2,FALSE)),"")</f>
        <v>مستفيد156</v>
      </c>
      <c r="D167" t="str">
        <f>IFERROR(IF(B167="","",VLOOKUP(B167,المستفيدين!$B:$F,5,FALSE)),"")</f>
        <v>مركز إرادة وتمكين لمتلازمة داون (نجد)</v>
      </c>
      <c r="E167" s="3">
        <v>45747</v>
      </c>
      <c r="F167" s="33">
        <v>400</v>
      </c>
      <c r="G167" s="1" t="s">
        <v>530</v>
      </c>
      <c r="H167" s="1"/>
    </row>
    <row r="168" spans="1:8" x14ac:dyDescent="0.2">
      <c r="A168" s="1">
        <v>167</v>
      </c>
      <c r="B168" s="1">
        <v>1548238329</v>
      </c>
      <c r="C168" t="str">
        <f>IFERROR(IF(B168="","",VLOOKUP(B168,المستفيدين!$B:$C,2,FALSE)),"")</f>
        <v>مستفيد178</v>
      </c>
      <c r="D168" t="str">
        <f>IFERROR(IF(B168="","",VLOOKUP(B168,المستفيدين!$B:$F,5,FALSE)),"")</f>
        <v>مركز إرادة وتمكين لمتلازمة داون (نجد)</v>
      </c>
      <c r="E168" s="3">
        <v>45747</v>
      </c>
      <c r="F168" s="33">
        <v>1850</v>
      </c>
      <c r="G168" s="1" t="s">
        <v>531</v>
      </c>
      <c r="H168" s="1" t="s">
        <v>541</v>
      </c>
    </row>
    <row r="169" spans="1:8" x14ac:dyDescent="0.2">
      <c r="A169" s="1">
        <v>168</v>
      </c>
      <c r="B169" s="1">
        <v>1588971066</v>
      </c>
      <c r="C169" t="str">
        <f>IFERROR(IF(B169="","",VLOOKUP(B169,المستفيدين!$B:$C,2,FALSE)),"")</f>
        <v>مستفيد48</v>
      </c>
      <c r="D169" t="str">
        <f>IFERROR(IF(B169="","",VLOOKUP(B169,المستفيدين!$B:$F,5,FALSE)),"")</f>
        <v>مركز إرادة وتمكين للرعاية النهارية (القدس)</v>
      </c>
      <c r="E169" s="3">
        <v>45750</v>
      </c>
      <c r="F169" s="33">
        <v>1550</v>
      </c>
      <c r="G169" s="1" t="s">
        <v>530</v>
      </c>
      <c r="H169" s="1"/>
    </row>
    <row r="170" spans="1:8" x14ac:dyDescent="0.2">
      <c r="A170" s="1">
        <v>169</v>
      </c>
      <c r="B170" s="1">
        <v>1228837751</v>
      </c>
      <c r="C170" t="str">
        <f>IFERROR(IF(B170="","",VLOOKUP(B170,المستفيدين!$B:$C,2,FALSE)),"")</f>
        <v>مستفيد58</v>
      </c>
      <c r="D170" t="str">
        <f>IFERROR(IF(B170="","",VLOOKUP(B170,المستفيدين!$B:$F,5,FALSE)),"")</f>
        <v>مدرسة إرادة وتمكين لمتلازمة داون (نجد)</v>
      </c>
      <c r="E170" s="3">
        <v>45751</v>
      </c>
      <c r="F170" s="33">
        <v>500</v>
      </c>
      <c r="G170" s="1" t="s">
        <v>530</v>
      </c>
      <c r="H170" s="1" t="s">
        <v>538</v>
      </c>
    </row>
    <row r="171" spans="1:8" x14ac:dyDescent="0.2">
      <c r="A171" s="1">
        <v>170</v>
      </c>
      <c r="B171" s="1">
        <v>1754717023</v>
      </c>
      <c r="C171" t="str">
        <f>IFERROR(IF(B171="","",VLOOKUP(B171,المستفيدين!$B:$C,2,FALSE)),"")</f>
        <v>مستفيد57</v>
      </c>
      <c r="D171" t="str">
        <f>IFERROR(IF(B171="","",VLOOKUP(B171,المستفيدين!$B:$F,5,FALSE)),"")</f>
        <v>مركز إرادة وتمكين لمتلازمة داون (نجد)</v>
      </c>
      <c r="E171" s="3">
        <v>45752</v>
      </c>
      <c r="F171" s="33">
        <v>450</v>
      </c>
      <c r="G171" s="1" t="s">
        <v>530</v>
      </c>
      <c r="H171" s="1" t="s">
        <v>533</v>
      </c>
    </row>
    <row r="172" spans="1:8" x14ac:dyDescent="0.2">
      <c r="A172" s="1">
        <v>171</v>
      </c>
      <c r="B172" s="1">
        <v>1356048067</v>
      </c>
      <c r="C172" t="str">
        <f>IFERROR(IF(B172="","",VLOOKUP(B172,المستفيدين!$B:$C,2,FALSE)),"")</f>
        <v>مستفيد164</v>
      </c>
      <c r="D172" t="str">
        <f>IFERROR(IF(B172="","",VLOOKUP(B172,المستفيدين!$B:$F,5,FALSE)),"")</f>
        <v>مركز إرادة وتمكين لمتلازمة داون (نجد)</v>
      </c>
      <c r="E172" s="3">
        <v>45764</v>
      </c>
      <c r="F172" s="33">
        <v>2500</v>
      </c>
      <c r="G172" s="1" t="s">
        <v>530</v>
      </c>
      <c r="H172" s="1" t="s">
        <v>534</v>
      </c>
    </row>
    <row r="173" spans="1:8" x14ac:dyDescent="0.2">
      <c r="A173" s="1">
        <v>172</v>
      </c>
      <c r="B173" s="1">
        <v>1777789161</v>
      </c>
      <c r="C173" t="str">
        <f>IFERROR(IF(B173="","",VLOOKUP(B173,المستفيدين!$B:$C,2,FALSE)),"")</f>
        <v>مستفيد12</v>
      </c>
      <c r="D173" t="str">
        <f>IFERROR(IF(B173="","",VLOOKUP(B173,المستفيدين!$B:$F,5,FALSE)),"")</f>
        <v>مدرسة إرادة للتعليم (مكة)</v>
      </c>
      <c r="E173" s="3">
        <v>45765</v>
      </c>
      <c r="F173" s="33">
        <v>1100</v>
      </c>
      <c r="G173" s="1" t="s">
        <v>530</v>
      </c>
      <c r="H173" s="1" t="s">
        <v>536</v>
      </c>
    </row>
    <row r="174" spans="1:8" x14ac:dyDescent="0.2">
      <c r="A174" s="1">
        <v>173</v>
      </c>
      <c r="B174" s="1">
        <v>1580476879</v>
      </c>
      <c r="C174" t="str">
        <f>IFERROR(IF(B174="","",VLOOKUP(B174,المستفيدين!$B:$C,2,FALSE)),"")</f>
        <v>مستفيد82</v>
      </c>
      <c r="D174" t="str">
        <f>IFERROR(IF(B174="","",VLOOKUP(B174,المستفيدين!$B:$F,5,FALSE)),"")</f>
        <v>مدرسة إرادة للتعليم (مكة)</v>
      </c>
      <c r="E174" s="3">
        <v>45766</v>
      </c>
      <c r="F174" s="33">
        <v>300</v>
      </c>
      <c r="G174" s="1" t="s">
        <v>530</v>
      </c>
      <c r="H174" s="1" t="s">
        <v>533</v>
      </c>
    </row>
    <row r="175" spans="1:8" x14ac:dyDescent="0.2">
      <c r="A175" s="1">
        <v>174</v>
      </c>
      <c r="B175" s="1">
        <v>1347584820</v>
      </c>
      <c r="C175" t="str">
        <f>IFERROR(IF(B175="","",VLOOKUP(B175,المستفيدين!$B:$C,2,FALSE)),"")</f>
        <v>مستفيد9</v>
      </c>
      <c r="D175" t="str">
        <f>IFERROR(IF(B175="","",VLOOKUP(B175,المستفيدين!$B:$F,5,FALSE)),"")</f>
        <v>مركز إرادة وتمكين للرعاية النهارية (القدس)</v>
      </c>
      <c r="E175" s="3">
        <v>45771</v>
      </c>
      <c r="F175" s="33">
        <v>3500</v>
      </c>
      <c r="G175" s="1" t="s">
        <v>530</v>
      </c>
      <c r="H175" s="1" t="s">
        <v>536</v>
      </c>
    </row>
    <row r="176" spans="1:8" x14ac:dyDescent="0.2">
      <c r="A176" s="1">
        <v>175</v>
      </c>
      <c r="B176" s="1">
        <v>1680947465</v>
      </c>
      <c r="C176" t="str">
        <f>IFERROR(IF(B176="","",VLOOKUP(B176,المستفيدين!$B:$C,2,FALSE)),"")</f>
        <v>مستفيد84</v>
      </c>
      <c r="D176" t="str">
        <f>IFERROR(IF(B176="","",VLOOKUP(B176,المستفيدين!$B:$F,5,FALSE)),"")</f>
        <v>مركز إرادة وتمكين لمتلازمة داون (نجد)</v>
      </c>
      <c r="E176" s="3">
        <v>45772</v>
      </c>
      <c r="F176" s="33">
        <v>900</v>
      </c>
      <c r="G176" s="1" t="s">
        <v>530</v>
      </c>
      <c r="H176" s="1" t="s">
        <v>538</v>
      </c>
    </row>
    <row r="177" spans="1:8" x14ac:dyDescent="0.2">
      <c r="A177" s="1">
        <v>176</v>
      </c>
      <c r="B177" s="1">
        <v>1116222487</v>
      </c>
      <c r="C177" t="str">
        <f>IFERROR(IF(B177="","",VLOOKUP(B177,المستفيدين!$B:$C,2,FALSE)),"")</f>
        <v>مستفيد61</v>
      </c>
      <c r="D177" t="str">
        <f>IFERROR(IF(B177="","",VLOOKUP(B177,المستفيدين!$B:$F,5,FALSE)),"")</f>
        <v>مركز إرادة وتمكين لمتلازمة داون (نجد)</v>
      </c>
      <c r="E177" s="3">
        <v>45778</v>
      </c>
      <c r="F177" s="33">
        <v>650</v>
      </c>
      <c r="G177" s="1" t="s">
        <v>530</v>
      </c>
      <c r="H177" s="1"/>
    </row>
    <row r="178" spans="1:8" x14ac:dyDescent="0.2">
      <c r="A178" s="1">
        <v>177</v>
      </c>
      <c r="B178" s="1">
        <v>1296378535</v>
      </c>
      <c r="C178" t="str">
        <f>IFERROR(IF(B178="","",VLOOKUP(B178,المستفيدين!$B:$C,2,FALSE)),"")</f>
        <v>مستفيد156</v>
      </c>
      <c r="D178" t="str">
        <f>IFERROR(IF(B178="","",VLOOKUP(B178,المستفيدين!$B:$F,5,FALSE)),"")</f>
        <v>مركز إرادة وتمكين لمتلازمة داون (نجد)</v>
      </c>
      <c r="E178" s="3">
        <v>45784</v>
      </c>
      <c r="F178" s="33">
        <v>1350</v>
      </c>
      <c r="G178" s="1" t="s">
        <v>530</v>
      </c>
      <c r="H178" s="1"/>
    </row>
    <row r="179" spans="1:8" x14ac:dyDescent="0.2">
      <c r="A179" s="1">
        <v>178</v>
      </c>
      <c r="B179" s="1">
        <v>1506829260</v>
      </c>
      <c r="C179" t="str">
        <f>IFERROR(IF(B179="","",VLOOKUP(B179,المستفيدين!$B:$C,2,FALSE)),"")</f>
        <v>مستفيد181</v>
      </c>
      <c r="D179" t="str">
        <f>IFERROR(IF(B179="","",VLOOKUP(B179,المستفيدين!$B:$F,5,FALSE)),"")</f>
        <v>مركز إرادة وتمكين للرعاية النهارية (القدس)</v>
      </c>
      <c r="E179" s="3">
        <v>45784</v>
      </c>
      <c r="F179" s="33">
        <v>650</v>
      </c>
      <c r="G179" s="1" t="s">
        <v>530</v>
      </c>
      <c r="H179" s="1"/>
    </row>
    <row r="180" spans="1:8" x14ac:dyDescent="0.2">
      <c r="A180" s="1">
        <v>179</v>
      </c>
      <c r="B180" s="1">
        <v>1506829260</v>
      </c>
      <c r="C180" t="str">
        <f>IFERROR(IF(B180="","",VLOOKUP(B180,المستفيدين!$B:$C,2,FALSE)),"")</f>
        <v>مستفيد181</v>
      </c>
      <c r="D180" t="str">
        <f>IFERROR(IF(B180="","",VLOOKUP(B180,المستفيدين!$B:$F,5,FALSE)),"")</f>
        <v>مركز إرادة وتمكين للرعاية النهارية (القدس)</v>
      </c>
      <c r="E180" s="3">
        <v>45785</v>
      </c>
      <c r="F180" s="33">
        <v>2450</v>
      </c>
      <c r="G180" s="1" t="s">
        <v>530</v>
      </c>
      <c r="H180" s="1"/>
    </row>
    <row r="181" spans="1:8" x14ac:dyDescent="0.2">
      <c r="A181" s="1">
        <v>180</v>
      </c>
      <c r="B181" s="1">
        <v>1635473065</v>
      </c>
      <c r="C181" t="str">
        <f>IFERROR(IF(B181="","",VLOOKUP(B181,المستفيدين!$B:$C,2,FALSE)),"")</f>
        <v>مستفيد98</v>
      </c>
      <c r="D181" t="str">
        <f>IFERROR(IF(B181="","",VLOOKUP(B181,المستفيدين!$B:$F,5,FALSE)),"")</f>
        <v>مدرسة إرادة وتمكين لمتلازمة داون (نجد)</v>
      </c>
      <c r="E181" s="3">
        <v>45786</v>
      </c>
      <c r="F181" s="33">
        <v>1500</v>
      </c>
      <c r="G181" s="1" t="s">
        <v>530</v>
      </c>
      <c r="H181" s="1" t="s">
        <v>538</v>
      </c>
    </row>
    <row r="182" spans="1:8" x14ac:dyDescent="0.2">
      <c r="A182" s="1">
        <v>181</v>
      </c>
      <c r="B182" s="1">
        <v>1065397512</v>
      </c>
      <c r="C182" t="str">
        <f>IFERROR(IF(B182="","",VLOOKUP(B182,المستفيدين!$B:$C,2,FALSE)),"")</f>
        <v>مستفيد2</v>
      </c>
      <c r="D182" t="str">
        <f>IFERROR(IF(B182="","",VLOOKUP(B182,المستفيدين!$B:$F,5,FALSE)),"")</f>
        <v>مدرسة إرادة وتمكين لمتلازمة داون (نجد)</v>
      </c>
      <c r="E182" s="3">
        <v>45790</v>
      </c>
      <c r="F182" s="33">
        <v>550</v>
      </c>
      <c r="G182" s="1" t="s">
        <v>530</v>
      </c>
      <c r="H182" s="1" t="s">
        <v>536</v>
      </c>
    </row>
    <row r="183" spans="1:8" x14ac:dyDescent="0.2">
      <c r="A183" s="1">
        <v>182</v>
      </c>
      <c r="B183" s="1">
        <v>1618104695</v>
      </c>
      <c r="C183" t="str">
        <f>IFERROR(IF(B183="","",VLOOKUP(B183,المستفيدين!$B:$C,2,FALSE)),"")</f>
        <v>مستفيد36</v>
      </c>
      <c r="D183" t="str">
        <f>IFERROR(IF(B183="","",VLOOKUP(B183,المستفيدين!$B:$F,5,FALSE)),"")</f>
        <v>مدرسة إرادة وتمكين لمتلازمة داون (نجد)</v>
      </c>
      <c r="E183" s="3">
        <v>45792</v>
      </c>
      <c r="F183" s="33">
        <v>1000</v>
      </c>
      <c r="G183" s="1" t="s">
        <v>530</v>
      </c>
      <c r="H183" s="1"/>
    </row>
    <row r="184" spans="1:8" x14ac:dyDescent="0.2">
      <c r="A184" s="1">
        <v>183</v>
      </c>
      <c r="B184" s="1">
        <v>1777729908</v>
      </c>
      <c r="C184" t="str">
        <f>IFERROR(IF(B184="","",VLOOKUP(B184,المستفيدين!$B:$C,2,FALSE)),"")</f>
        <v>مستفيد142</v>
      </c>
      <c r="D184" t="str">
        <f>IFERROR(IF(B184="","",VLOOKUP(B184,المستفيدين!$B:$F,5,FALSE)),"")</f>
        <v>مركز إرادة وتمكين لرعاية ذوي الاحتياجات الخاصة (جلمودة)</v>
      </c>
      <c r="E184" s="3">
        <v>45795</v>
      </c>
      <c r="F184" s="33">
        <v>900</v>
      </c>
      <c r="G184" s="1" t="s">
        <v>530</v>
      </c>
      <c r="H184" s="1"/>
    </row>
    <row r="185" spans="1:8" x14ac:dyDescent="0.2">
      <c r="A185" s="1">
        <v>184</v>
      </c>
      <c r="B185" s="1">
        <v>1814840095</v>
      </c>
      <c r="C185" t="str">
        <f>IFERROR(IF(B185="","",VLOOKUP(B185,المستفيدين!$B:$C,2,FALSE)),"")</f>
        <v>مستفيد25</v>
      </c>
      <c r="D185" t="str">
        <f>IFERROR(IF(B185="","",VLOOKUP(B185,المستفيدين!$B:$F,5,FALSE)),"")</f>
        <v>مركز إرادة وتمكين للرعاية النهارية (القدس)</v>
      </c>
      <c r="E185" s="3">
        <v>45803</v>
      </c>
      <c r="F185" s="33">
        <v>1650</v>
      </c>
      <c r="G185" s="1" t="s">
        <v>530</v>
      </c>
      <c r="H185" s="1" t="s">
        <v>534</v>
      </c>
    </row>
    <row r="186" spans="1:8" x14ac:dyDescent="0.2">
      <c r="A186" s="1">
        <v>185</v>
      </c>
      <c r="B186" s="1">
        <v>1533996899</v>
      </c>
      <c r="C186" t="str">
        <f>IFERROR(IF(B186="","",VLOOKUP(B186,المستفيدين!$B:$C,2,FALSE)),"")</f>
        <v>مستفيد79</v>
      </c>
      <c r="D186" t="str">
        <f>IFERROR(IF(B186="","",VLOOKUP(B186,المستفيدين!$B:$F,5,FALSE)),"")</f>
        <v>مركز إرادة وتمكين لرعاية ذوي الاحتياجات الخاصة (جلمودة)</v>
      </c>
      <c r="E186" s="3">
        <v>45804</v>
      </c>
      <c r="F186" s="33">
        <v>1800</v>
      </c>
      <c r="G186" s="1" t="s">
        <v>530</v>
      </c>
      <c r="H186" s="1" t="s">
        <v>538</v>
      </c>
    </row>
    <row r="187" spans="1:8" x14ac:dyDescent="0.2">
      <c r="A187" s="1">
        <v>186</v>
      </c>
      <c r="B187" s="1">
        <v>1417717432</v>
      </c>
      <c r="C187" t="str">
        <f>IFERROR(IF(B187="","",VLOOKUP(B187,المستفيدين!$B:$C,2,FALSE)),"")</f>
        <v>مستفيد110</v>
      </c>
      <c r="D187" t="str">
        <f>IFERROR(IF(B187="","",VLOOKUP(B187,المستفيدين!$B:$F,5,FALSE)),"")</f>
        <v>مدرسة إرادة وتمكين لمتلازمة داون (نجد)</v>
      </c>
      <c r="E187" s="3">
        <v>45805</v>
      </c>
      <c r="F187" s="33">
        <v>1850</v>
      </c>
      <c r="G187" s="1" t="s">
        <v>530</v>
      </c>
      <c r="H187" s="1"/>
    </row>
    <row r="188" spans="1:8" x14ac:dyDescent="0.2">
      <c r="A188" s="1">
        <v>187</v>
      </c>
      <c r="B188" s="1">
        <v>1445520895</v>
      </c>
      <c r="C188" t="str">
        <f>IFERROR(IF(B188="","",VLOOKUP(B188,المستفيدين!$B:$C,2,FALSE)),"")</f>
        <v>مستفيد56</v>
      </c>
      <c r="D188" t="str">
        <f>IFERROR(IF(B188="","",VLOOKUP(B188,المستفيدين!$B:$F,5,FALSE)),"")</f>
        <v>مركز إرادة وتمكين للرعاية النهارية (القدس)</v>
      </c>
      <c r="E188" s="3">
        <v>45807</v>
      </c>
      <c r="F188" s="33">
        <v>2500</v>
      </c>
      <c r="G188" s="1" t="s">
        <v>530</v>
      </c>
      <c r="H188" s="1" t="s">
        <v>538</v>
      </c>
    </row>
    <row r="189" spans="1:8" x14ac:dyDescent="0.2">
      <c r="A189" s="1">
        <v>188</v>
      </c>
      <c r="B189" s="1">
        <v>1087747431</v>
      </c>
      <c r="C189" t="str">
        <f>IFERROR(IF(B189="","",VLOOKUP(B189,المستفيدين!$B:$C,2,FALSE)),"")</f>
        <v>مستفيد108</v>
      </c>
      <c r="D189" t="str">
        <f>IFERROR(IF(B189="","",VLOOKUP(B189,المستفيدين!$B:$F,5,FALSE)),"")</f>
        <v>مركز إرادة وتمكين لمتلازمة داون (نجد)</v>
      </c>
      <c r="E189" s="3">
        <v>45808</v>
      </c>
      <c r="F189" s="33">
        <v>2050</v>
      </c>
      <c r="G189" s="1" t="s">
        <v>531</v>
      </c>
      <c r="H189" s="1" t="s">
        <v>540</v>
      </c>
    </row>
    <row r="190" spans="1:8" x14ac:dyDescent="0.2">
      <c r="A190" s="1">
        <v>189</v>
      </c>
      <c r="B190" s="1">
        <v>1715681493</v>
      </c>
      <c r="C190" t="str">
        <f>IFERROR(IF(B190="","",VLOOKUP(B190,المستفيدين!$B:$C,2,FALSE)),"")</f>
        <v>مستفيد105</v>
      </c>
      <c r="D190" t="str">
        <f>IFERROR(IF(B190="","",VLOOKUP(B190,المستفيدين!$B:$F,5,FALSE)),"")</f>
        <v>مركز إرادة وتمكين لمتلازمة داون (نجد)</v>
      </c>
      <c r="E190" s="3">
        <v>45808</v>
      </c>
      <c r="F190" s="33">
        <v>800</v>
      </c>
      <c r="G190" s="1" t="s">
        <v>530</v>
      </c>
      <c r="H190" s="1"/>
    </row>
    <row r="191" spans="1:8" x14ac:dyDescent="0.2">
      <c r="A191" s="1">
        <v>190</v>
      </c>
      <c r="B191" s="1">
        <v>1296378535</v>
      </c>
      <c r="C191" t="str">
        <f>IFERROR(IF(B191="","",VLOOKUP(B191,المستفيدين!$B:$C,2,FALSE)),"")</f>
        <v>مستفيد156</v>
      </c>
      <c r="D191" t="str">
        <f>IFERROR(IF(B191="","",VLOOKUP(B191,المستفيدين!$B:$F,5,FALSE)),"")</f>
        <v>مركز إرادة وتمكين لمتلازمة داون (نجد)</v>
      </c>
      <c r="E191" s="3">
        <v>45811</v>
      </c>
      <c r="F191" s="33">
        <v>1550</v>
      </c>
      <c r="G191" s="1" t="s">
        <v>530</v>
      </c>
      <c r="H191" s="1"/>
    </row>
    <row r="192" spans="1:8" x14ac:dyDescent="0.2">
      <c r="A192" s="1">
        <v>191</v>
      </c>
      <c r="B192" s="1">
        <v>1124422216</v>
      </c>
      <c r="C192" t="str">
        <f>IFERROR(IF(B192="","",VLOOKUP(B192,المستفيدين!$B:$C,2,FALSE)),"")</f>
        <v>مستفيد5</v>
      </c>
      <c r="D192" t="str">
        <f>IFERROR(IF(B192="","",VLOOKUP(B192,المستفيدين!$B:$F,5,FALSE)),"")</f>
        <v>مركز إرادة وتمكين لمتلازمة داون (نجد)</v>
      </c>
      <c r="E192" s="3">
        <v>45812</v>
      </c>
      <c r="F192" s="33">
        <v>1500</v>
      </c>
      <c r="G192" s="1" t="s">
        <v>530</v>
      </c>
      <c r="H192" s="1" t="s">
        <v>533</v>
      </c>
    </row>
    <row r="193" spans="1:8" x14ac:dyDescent="0.2">
      <c r="A193" s="1">
        <v>192</v>
      </c>
      <c r="B193" s="1">
        <v>1801782233</v>
      </c>
      <c r="C193" t="str">
        <f>IFERROR(IF(B193="","",VLOOKUP(B193,المستفيدين!$B:$C,2,FALSE)),"")</f>
        <v>مستفيد117</v>
      </c>
      <c r="D193" t="str">
        <f>IFERROR(IF(B193="","",VLOOKUP(B193,المستفيدين!$B:$F,5,FALSE)),"")</f>
        <v>مركز إرادة وتمكين للرعاية النهارية (القدس)</v>
      </c>
      <c r="E193" s="3">
        <v>45813</v>
      </c>
      <c r="F193" s="33">
        <v>3000</v>
      </c>
      <c r="G193" s="1" t="s">
        <v>530</v>
      </c>
      <c r="H193" s="1" t="s">
        <v>533</v>
      </c>
    </row>
    <row r="194" spans="1:8" x14ac:dyDescent="0.2">
      <c r="A194" s="1">
        <v>193</v>
      </c>
      <c r="B194" s="1">
        <v>1020269730</v>
      </c>
      <c r="C194" t="str">
        <f>IFERROR(IF(B194="","",VLOOKUP(B194,المستفيدين!$B:$C,2,FALSE)),"")</f>
        <v>مستفيد32</v>
      </c>
      <c r="D194" t="str">
        <f>IFERROR(IF(B194="","",VLOOKUP(B194,المستفيدين!$B:$F,5,FALSE)),"")</f>
        <v>مدرسة إرادة للتعليم (مكة)</v>
      </c>
      <c r="E194" s="3">
        <v>45815</v>
      </c>
      <c r="F194" s="33">
        <v>3000</v>
      </c>
      <c r="G194" s="1" t="s">
        <v>530</v>
      </c>
      <c r="H194" s="1"/>
    </row>
    <row r="195" spans="1:8" x14ac:dyDescent="0.2">
      <c r="A195" s="1">
        <v>194</v>
      </c>
      <c r="B195" s="1">
        <v>1696333011</v>
      </c>
      <c r="C195" t="str">
        <f>IFERROR(IF(B195="","",VLOOKUP(B195,المستفيدين!$B:$C,2,FALSE)),"")</f>
        <v>مستفيد175</v>
      </c>
      <c r="D195" t="str">
        <f>IFERROR(IF(B195="","",VLOOKUP(B195,المستفيدين!$B:$F,5,FALSE)),"")</f>
        <v>مركز إرادة وتمكين للرعاية النهارية (القدس)</v>
      </c>
      <c r="E195" s="3">
        <v>45824</v>
      </c>
      <c r="F195" s="33">
        <v>1550</v>
      </c>
      <c r="G195" s="1" t="s">
        <v>530</v>
      </c>
      <c r="H195" s="1"/>
    </row>
    <row r="196" spans="1:8" x14ac:dyDescent="0.2">
      <c r="A196" s="1">
        <v>195</v>
      </c>
      <c r="B196" s="1">
        <v>1376850558</v>
      </c>
      <c r="C196" t="str">
        <f>IFERROR(IF(B196="","",VLOOKUP(B196,المستفيدين!$B:$C,2,FALSE)),"")</f>
        <v>مستفيد43</v>
      </c>
      <c r="D196" t="str">
        <f>IFERROR(IF(B196="","",VLOOKUP(B196,المستفيدين!$B:$F,5,FALSE)),"")</f>
        <v>مركز إرادة وتمكين لرعاية ذوي الاحتياجات الخاصة (جلمودة)</v>
      </c>
      <c r="E196" s="3">
        <v>45825</v>
      </c>
      <c r="F196" s="33">
        <v>4000</v>
      </c>
      <c r="G196" s="1" t="s">
        <v>530</v>
      </c>
      <c r="H196" s="1" t="s">
        <v>533</v>
      </c>
    </row>
    <row r="197" spans="1:8" x14ac:dyDescent="0.2">
      <c r="A197" s="1">
        <v>196</v>
      </c>
      <c r="B197" s="1">
        <v>1345489113</v>
      </c>
      <c r="C197" t="str">
        <f>IFERROR(IF(B197="","",VLOOKUP(B197,المستفيدين!$B:$C,2,FALSE)),"")</f>
        <v>مستفيد124</v>
      </c>
      <c r="D197" t="str">
        <f>IFERROR(IF(B197="","",VLOOKUP(B197,المستفيدين!$B:$F,5,FALSE)),"")</f>
        <v>مركز إرادة وتمكين لرعاية ذوي الاحتياجات الخاصة (جلمودة)</v>
      </c>
      <c r="E197" s="3">
        <v>45825</v>
      </c>
      <c r="F197" s="33">
        <v>450</v>
      </c>
      <c r="G197" s="1" t="s">
        <v>531</v>
      </c>
      <c r="H197" s="1" t="s">
        <v>41</v>
      </c>
    </row>
    <row r="198" spans="1:8" x14ac:dyDescent="0.2">
      <c r="A198" s="1">
        <v>197</v>
      </c>
      <c r="B198" s="1">
        <v>1715681493</v>
      </c>
      <c r="C198" t="str">
        <f>IFERROR(IF(B198="","",VLOOKUP(B198,المستفيدين!$B:$C,2,FALSE)),"")</f>
        <v>مستفيد105</v>
      </c>
      <c r="D198" t="str">
        <f>IFERROR(IF(B198="","",VLOOKUP(B198,المستفيدين!$B:$F,5,FALSE)),"")</f>
        <v>مركز إرادة وتمكين لمتلازمة داون (نجد)</v>
      </c>
      <c r="E198" s="3">
        <v>45825</v>
      </c>
      <c r="F198" s="33">
        <v>800</v>
      </c>
      <c r="G198" s="1" t="s">
        <v>530</v>
      </c>
      <c r="H198" s="1" t="s">
        <v>538</v>
      </c>
    </row>
    <row r="199" spans="1:8" x14ac:dyDescent="0.2">
      <c r="A199" s="1">
        <v>198</v>
      </c>
      <c r="B199" s="1">
        <v>1911132783</v>
      </c>
      <c r="C199" t="str">
        <f>IFERROR(IF(B199="","",VLOOKUP(B199,المستفيدين!$B:$C,2,FALSE)),"")</f>
        <v>مستفيد59</v>
      </c>
      <c r="D199" t="str">
        <f>IFERROR(IF(B199="","",VLOOKUP(B199,المستفيدين!$B:$F,5,FALSE)),"")</f>
        <v>مركز إرادة وتمكين للرعاية النهارية (القدس)</v>
      </c>
      <c r="E199" s="3">
        <v>45825</v>
      </c>
      <c r="F199" s="33">
        <v>750</v>
      </c>
      <c r="G199" s="1" t="s">
        <v>530</v>
      </c>
      <c r="H199" s="1" t="s">
        <v>534</v>
      </c>
    </row>
    <row r="200" spans="1:8" x14ac:dyDescent="0.2">
      <c r="A200" s="1">
        <v>199</v>
      </c>
      <c r="B200" s="1">
        <v>1923240565</v>
      </c>
      <c r="C200" t="str">
        <f>IFERROR(IF(B200="","",VLOOKUP(B200,المستفيدين!$B:$C,2,FALSE)),"")</f>
        <v>مستفيد185</v>
      </c>
      <c r="D200" t="str">
        <f>IFERROR(IF(B200="","",VLOOKUP(B200,المستفيدين!$B:$F,5,FALSE)),"")</f>
        <v>مدرسة إرادة وتمكين لمتلازمة داون (نجد)</v>
      </c>
      <c r="E200" s="3">
        <v>45834</v>
      </c>
      <c r="F200" s="33">
        <v>4000</v>
      </c>
      <c r="G200" s="1" t="s">
        <v>530</v>
      </c>
      <c r="H200" s="1"/>
    </row>
    <row r="201" spans="1:8" x14ac:dyDescent="0.2">
      <c r="A201" s="1">
        <v>200</v>
      </c>
      <c r="B201" s="1">
        <v>1096348523</v>
      </c>
      <c r="C201" t="str">
        <f>IFERROR(IF(B201="","",VLOOKUP(B201,المستفيدين!$B:$C,2,FALSE)),"")</f>
        <v>مستفيد4</v>
      </c>
      <c r="D201" t="str">
        <f>IFERROR(IF(B201="","",VLOOKUP(B201,المستفيدين!$B:$F,5,FALSE)),"")</f>
        <v>مدرسة إرادة للتعليم (مكة)</v>
      </c>
      <c r="E201" s="3">
        <v>45836</v>
      </c>
      <c r="F201" s="33">
        <v>1400</v>
      </c>
      <c r="G201" s="1" t="s">
        <v>531</v>
      </c>
      <c r="H201" s="1" t="s">
        <v>541</v>
      </c>
    </row>
    <row r="202" spans="1:8" x14ac:dyDescent="0.2">
      <c r="A202" s="1"/>
      <c r="B202" s="1"/>
      <c r="C202" t="str">
        <f>IFERROR(IF(B202="","",VLOOKUP(B202,المستفيدين!$B:$C,2,FALSE)),"")</f>
        <v/>
      </c>
      <c r="E202" s="1"/>
      <c r="F202" s="1"/>
      <c r="G202" s="1"/>
      <c r="H202" s="1"/>
    </row>
    <row r="203" spans="1:8" x14ac:dyDescent="0.2">
      <c r="A203" s="1"/>
      <c r="B203" s="1"/>
      <c r="C203" t="str">
        <f>IFERROR(IF(B203="","",VLOOKUP(B203,المستفيدين!$B:$C,2,FALSE)),"")</f>
        <v/>
      </c>
      <c r="E203" s="1"/>
      <c r="F203" s="1"/>
      <c r="G203" s="1"/>
      <c r="H203" s="1"/>
    </row>
    <row r="204" spans="1:8" x14ac:dyDescent="0.2">
      <c r="A204" s="1"/>
      <c r="B204" s="1"/>
      <c r="C204" t="str">
        <f>IFERROR(IF(B204="","",VLOOKUP(B204,المستفيدين!$B:$C,2,FALSE)),"")</f>
        <v/>
      </c>
      <c r="E204" s="1"/>
      <c r="F204" s="1"/>
      <c r="G204" s="1"/>
      <c r="H204" s="1"/>
    </row>
    <row r="205" spans="1:8" x14ac:dyDescent="0.2">
      <c r="A205" s="1"/>
      <c r="B205" s="1"/>
      <c r="C205" t="str">
        <f>IFERROR(IF(B205="","",VLOOKUP(B205,المستفيدين!$B:$C,2,FALSE)),"")</f>
        <v/>
      </c>
      <c r="E205" s="1"/>
      <c r="F205" s="1"/>
      <c r="G205" s="1"/>
      <c r="H205" s="1"/>
    </row>
    <row r="206" spans="1:8" x14ac:dyDescent="0.2">
      <c r="A206" s="1"/>
      <c r="B206" s="1"/>
      <c r="C206" t="str">
        <f>IFERROR(IF(B206="","",VLOOKUP(B206,المستفيدين!$B:$C,2,FALSE)),"")</f>
        <v/>
      </c>
      <c r="E206" s="1"/>
      <c r="F206" s="1"/>
      <c r="G206" s="1"/>
      <c r="H206" s="1"/>
    </row>
    <row r="207" spans="1:8" x14ac:dyDescent="0.2">
      <c r="A207" s="1"/>
      <c r="B207" s="1"/>
      <c r="C207" t="str">
        <f>IFERROR(IF(B207="","",VLOOKUP(B207,المستفيدين!$B:$C,2,FALSE)),"")</f>
        <v/>
      </c>
      <c r="E207" s="1"/>
      <c r="F207" s="1"/>
      <c r="G207" s="1"/>
      <c r="H207" s="1"/>
    </row>
    <row r="208" spans="1:8" x14ac:dyDescent="0.2">
      <c r="A208" s="1"/>
      <c r="B208" s="1"/>
      <c r="C208" t="str">
        <f>IFERROR(IF(B208="","",VLOOKUP(B208,المستفيدين!$B:$C,2,FALSE)),"")</f>
        <v/>
      </c>
      <c r="E208" s="1"/>
      <c r="F208" s="1"/>
      <c r="G208" s="1"/>
      <c r="H208" s="1"/>
    </row>
    <row r="209" spans="1:8" x14ac:dyDescent="0.2">
      <c r="A209" s="1"/>
      <c r="B209" s="1"/>
      <c r="C209" t="str">
        <f>IFERROR(IF(B209="","",VLOOKUP(B209,المستفيدين!$B:$C,2,FALSE)),"")</f>
        <v/>
      </c>
      <c r="E209" s="1"/>
      <c r="F209" s="1"/>
      <c r="G209" s="1"/>
      <c r="H209" s="1"/>
    </row>
    <row r="210" spans="1:8" x14ac:dyDescent="0.2">
      <c r="A210" s="1"/>
      <c r="B210" s="1"/>
      <c r="C210" t="str">
        <f>IFERROR(IF(B210="","",VLOOKUP(B210,المستفيدين!$B:$C,2,FALSE)),"")</f>
        <v/>
      </c>
      <c r="E210" s="1"/>
      <c r="F210" s="1"/>
      <c r="G210" s="1"/>
      <c r="H210" s="1"/>
    </row>
    <row r="211" spans="1:8" x14ac:dyDescent="0.2">
      <c r="A211" s="1"/>
      <c r="B211" s="1"/>
      <c r="C211" t="str">
        <f>IFERROR(IF(B211="","",VLOOKUP(B211,المستفيدين!$B:$C,2,FALSE)),"")</f>
        <v/>
      </c>
      <c r="E211" s="1"/>
      <c r="F211" s="1"/>
      <c r="G211" s="1"/>
      <c r="H211" s="1"/>
    </row>
    <row r="212" spans="1:8" x14ac:dyDescent="0.2">
      <c r="A212" s="1"/>
      <c r="B212" s="1"/>
      <c r="C212" t="str">
        <f>IFERROR(IF(B212="","",VLOOKUP(B212,المستفيدين!$B:$C,2,FALSE)),"")</f>
        <v/>
      </c>
      <c r="E212" s="1"/>
      <c r="F212" s="1"/>
      <c r="G212" s="1"/>
      <c r="H212" s="1"/>
    </row>
    <row r="213" spans="1:8" x14ac:dyDescent="0.2">
      <c r="A213" s="1"/>
      <c r="B213" s="1"/>
      <c r="C213" t="str">
        <f>IFERROR(IF(B213="","",VLOOKUP(B213,المستفيدين!$B:$C,2,FALSE)),"")</f>
        <v/>
      </c>
      <c r="E213" s="1"/>
      <c r="F213" s="1"/>
      <c r="G213" s="1"/>
      <c r="H213" s="1"/>
    </row>
    <row r="214" spans="1:8" x14ac:dyDescent="0.2">
      <c r="A214" s="1"/>
      <c r="B214" s="1"/>
      <c r="C214" t="str">
        <f>IFERROR(IF(B214="","",VLOOKUP(B214,المستفيدين!$B:$C,2,FALSE)),"")</f>
        <v/>
      </c>
      <c r="E214" s="1"/>
      <c r="F214" s="1"/>
      <c r="G214" s="1"/>
      <c r="H214" s="1"/>
    </row>
    <row r="215" spans="1:8" x14ac:dyDescent="0.2">
      <c r="A215" s="1"/>
      <c r="B215" s="1"/>
      <c r="C215" t="str">
        <f>IFERROR(IF(B215="","",VLOOKUP(B215,المستفيدين!$B:$C,2,FALSE)),"")</f>
        <v/>
      </c>
      <c r="E215" s="1"/>
      <c r="F215" s="1"/>
      <c r="G215" s="1"/>
      <c r="H215" s="1"/>
    </row>
    <row r="216" spans="1:8" x14ac:dyDescent="0.2">
      <c r="A216" s="1"/>
      <c r="B216" s="1"/>
      <c r="C216" t="str">
        <f>IFERROR(IF(B216="","",VLOOKUP(B216,المستفيدين!$B:$C,2,FALSE)),"")</f>
        <v/>
      </c>
      <c r="E216" s="1"/>
      <c r="F216" s="1"/>
      <c r="G216" s="1"/>
      <c r="H216" s="1"/>
    </row>
    <row r="217" spans="1:8" x14ac:dyDescent="0.2">
      <c r="A217" s="1"/>
      <c r="B217" s="1"/>
      <c r="C217" t="str">
        <f>IFERROR(IF(B217="","",VLOOKUP(B217,المستفيدين!$B:$C,2,FALSE)),"")</f>
        <v/>
      </c>
      <c r="E217" s="1"/>
      <c r="F217" s="1"/>
      <c r="G217" s="1"/>
      <c r="H217" s="1"/>
    </row>
    <row r="218" spans="1:8" x14ac:dyDescent="0.2">
      <c r="A218" s="1"/>
      <c r="B218" s="1"/>
      <c r="C218" t="str">
        <f>IFERROR(IF(B218="","",VLOOKUP(B218,المستفيدين!$B:$C,2,FALSE)),"")</f>
        <v/>
      </c>
      <c r="E218" s="1"/>
      <c r="F218" s="1"/>
      <c r="G218" s="1"/>
      <c r="H218" s="1"/>
    </row>
    <row r="219" spans="1:8" x14ac:dyDescent="0.2">
      <c r="A219" s="1"/>
      <c r="B219" s="1"/>
      <c r="C219" t="str">
        <f>IFERROR(IF(B219="","",VLOOKUP(B219,المستفيدين!$B:$C,2,FALSE)),"")</f>
        <v/>
      </c>
      <c r="E219" s="1"/>
      <c r="F219" s="1"/>
      <c r="G219" s="1"/>
      <c r="H219" s="1"/>
    </row>
    <row r="220" spans="1:8" x14ac:dyDescent="0.2">
      <c r="A220" s="1"/>
      <c r="B220" s="1"/>
      <c r="C220" t="str">
        <f>IFERROR(IF(B220="","",VLOOKUP(B220,المستفيدين!$B:$C,2,FALSE)),"")</f>
        <v/>
      </c>
      <c r="E220" s="1"/>
      <c r="F220" s="1"/>
      <c r="G220" s="1"/>
      <c r="H220" s="1"/>
    </row>
    <row r="221" spans="1:8" x14ac:dyDescent="0.2">
      <c r="A221" s="1"/>
      <c r="B221" s="1"/>
      <c r="C221" t="str">
        <f>IFERROR(IF(B221="","",VLOOKUP(B221,المستفيدين!$B:$C,2,FALSE)),"")</f>
        <v/>
      </c>
      <c r="E221" s="1"/>
      <c r="F221" s="1"/>
      <c r="G221" s="1"/>
      <c r="H221" s="1"/>
    </row>
    <row r="222" spans="1:8" x14ac:dyDescent="0.2">
      <c r="A222" s="1"/>
      <c r="B222" s="1"/>
      <c r="C222" t="str">
        <f>IFERROR(IF(B222="","",VLOOKUP(B222,المستفيدين!$B:$C,2,FALSE)),"")</f>
        <v/>
      </c>
      <c r="E222" s="1"/>
      <c r="F222" s="1"/>
      <c r="G222" s="1"/>
      <c r="H222" s="1"/>
    </row>
    <row r="223" spans="1:8" x14ac:dyDescent="0.2">
      <c r="A223" s="1"/>
      <c r="B223" s="1"/>
      <c r="C223" t="str">
        <f>IFERROR(IF(B223="","",VLOOKUP(B223,المستفيدين!$B:$C,2,FALSE)),"")</f>
        <v/>
      </c>
      <c r="E223" s="1"/>
      <c r="F223" s="1"/>
      <c r="G223" s="1"/>
      <c r="H223" s="1"/>
    </row>
    <row r="224" spans="1:8" x14ac:dyDescent="0.2">
      <c r="A224" s="1"/>
      <c r="B224" s="1"/>
      <c r="C224" t="str">
        <f>IFERROR(IF(B224="","",VLOOKUP(B224,المستفيدين!$B:$C,2,FALSE)),"")</f>
        <v/>
      </c>
      <c r="E224" s="1"/>
      <c r="F224" s="1"/>
      <c r="G224" s="1"/>
      <c r="H224" s="1"/>
    </row>
    <row r="225" spans="1:8" x14ac:dyDescent="0.2">
      <c r="A225" s="1"/>
      <c r="B225" s="1"/>
      <c r="C225" t="str">
        <f>IFERROR(IF(B225="","",VLOOKUP(B225,المستفيدين!$B:$C,2,FALSE)),"")</f>
        <v/>
      </c>
      <c r="E225" s="1"/>
      <c r="F225" s="1"/>
      <c r="G225" s="1"/>
      <c r="H225" s="1"/>
    </row>
    <row r="226" spans="1:8" x14ac:dyDescent="0.2">
      <c r="A226" s="1"/>
      <c r="B226" s="1"/>
      <c r="C226" t="str">
        <f>IFERROR(IF(B226="","",VLOOKUP(B226,المستفيدين!$B:$C,2,FALSE)),"")</f>
        <v/>
      </c>
      <c r="E226" s="1"/>
      <c r="F226" s="1"/>
      <c r="G226" s="1"/>
      <c r="H226" s="1"/>
    </row>
    <row r="227" spans="1:8" x14ac:dyDescent="0.2">
      <c r="A227" s="1"/>
      <c r="B227" s="1"/>
      <c r="C227" t="str">
        <f>IFERROR(IF(B227="","",VLOOKUP(B227,المستفيدين!$B:$C,2,FALSE)),"")</f>
        <v/>
      </c>
      <c r="E227" s="1"/>
      <c r="F227" s="1"/>
      <c r="G227" s="1"/>
      <c r="H227" s="1"/>
    </row>
    <row r="228" spans="1:8" x14ac:dyDescent="0.2">
      <c r="A228" s="1"/>
      <c r="B228" s="1"/>
      <c r="C228" t="str">
        <f>IFERROR(IF(B228="","",VLOOKUP(B228,المستفيدين!$B:$C,2,FALSE)),"")</f>
        <v/>
      </c>
      <c r="E228" s="1"/>
      <c r="F228" s="1"/>
      <c r="G228" s="1"/>
      <c r="H228" s="1"/>
    </row>
    <row r="229" spans="1:8" x14ac:dyDescent="0.2">
      <c r="A229" s="1"/>
      <c r="B229" s="1"/>
      <c r="C229" t="str">
        <f>IFERROR(IF(B229="","",VLOOKUP(B229,المستفيدين!$B:$C,2,FALSE)),"")</f>
        <v/>
      </c>
      <c r="E229" s="1"/>
      <c r="F229" s="1"/>
      <c r="G229" s="1"/>
      <c r="H229" s="1"/>
    </row>
    <row r="230" spans="1:8" x14ac:dyDescent="0.2">
      <c r="A230" s="1"/>
      <c r="B230" s="1"/>
      <c r="C230" t="str">
        <f>IFERROR(IF(B230="","",VLOOKUP(B230,المستفيدين!$B:$C,2,FALSE)),"")</f>
        <v/>
      </c>
      <c r="E230" s="1"/>
      <c r="F230" s="1"/>
      <c r="G230" s="1"/>
      <c r="H230" s="1"/>
    </row>
    <row r="231" spans="1:8" x14ac:dyDescent="0.2">
      <c r="A231" s="1"/>
      <c r="B231" s="1"/>
      <c r="C231" t="str">
        <f>IFERROR(IF(B231="","",VLOOKUP(B231,المستفيدين!$B:$C,2,FALSE)),"")</f>
        <v/>
      </c>
      <c r="E231" s="1"/>
      <c r="F231" s="1"/>
      <c r="G231" s="1"/>
      <c r="H231" s="1"/>
    </row>
    <row r="232" spans="1:8" x14ac:dyDescent="0.2">
      <c r="A232" s="1"/>
      <c r="B232" s="1"/>
      <c r="C232" t="str">
        <f>IFERROR(IF(B232="","",VLOOKUP(B232,المستفيدين!$B:$C,2,FALSE)),"")</f>
        <v/>
      </c>
      <c r="E232" s="1"/>
      <c r="F232" s="1"/>
      <c r="G232" s="1"/>
      <c r="H232" s="1"/>
    </row>
    <row r="233" spans="1:8" x14ac:dyDescent="0.2">
      <c r="A233" s="1"/>
      <c r="B233" s="1"/>
      <c r="C233" t="str">
        <f>IFERROR(IF(B233="","",VLOOKUP(B233,المستفيدين!$B:$C,2,FALSE)),"")</f>
        <v/>
      </c>
      <c r="E233" s="1"/>
      <c r="F233" s="1"/>
      <c r="G233" s="1"/>
      <c r="H233" s="1"/>
    </row>
    <row r="234" spans="1:8" x14ac:dyDescent="0.2">
      <c r="A234" s="1"/>
      <c r="B234" s="1"/>
      <c r="C234" t="str">
        <f>IFERROR(IF(B234="","",VLOOKUP(B234,المستفيدين!$B:$C,2,FALSE)),"")</f>
        <v/>
      </c>
      <c r="E234" s="1"/>
      <c r="F234" s="1"/>
      <c r="G234" s="1"/>
      <c r="H234" s="1"/>
    </row>
    <row r="235" spans="1:8" x14ac:dyDescent="0.2">
      <c r="A235" s="1"/>
      <c r="B235" s="1"/>
      <c r="C235" t="str">
        <f>IFERROR(IF(B235="","",VLOOKUP(B235,المستفيدين!$B:$C,2,FALSE)),"")</f>
        <v/>
      </c>
      <c r="E235" s="1"/>
      <c r="F235" s="1"/>
      <c r="G235" s="1"/>
      <c r="H235" s="1"/>
    </row>
    <row r="236" spans="1:8" x14ac:dyDescent="0.2">
      <c r="A236" s="1"/>
      <c r="B236" s="1"/>
      <c r="C236" t="str">
        <f>IFERROR(IF(B236="","",VLOOKUP(B236,المستفيدين!$B:$C,2,FALSE)),"")</f>
        <v/>
      </c>
      <c r="E236" s="1"/>
      <c r="F236" s="1"/>
      <c r="G236" s="1"/>
      <c r="H236" s="1"/>
    </row>
    <row r="237" spans="1:8" x14ac:dyDescent="0.2">
      <c r="A237" s="1"/>
      <c r="B237" s="1"/>
      <c r="C237" t="str">
        <f>IFERROR(IF(B237="","",VLOOKUP(B237,المستفيدين!$B:$C,2,FALSE)),"")</f>
        <v/>
      </c>
      <c r="E237" s="1"/>
      <c r="F237" s="1"/>
      <c r="G237" s="1"/>
      <c r="H237" s="1"/>
    </row>
    <row r="238" spans="1:8" x14ac:dyDescent="0.2">
      <c r="A238" s="1"/>
      <c r="B238" s="1"/>
      <c r="C238" t="str">
        <f>IFERROR(IF(B238="","",VLOOKUP(B238,المستفيدين!$B:$C,2,FALSE)),"")</f>
        <v/>
      </c>
      <c r="E238" s="1"/>
      <c r="F238" s="1"/>
      <c r="G238" s="1"/>
      <c r="H238" s="1"/>
    </row>
    <row r="239" spans="1:8" x14ac:dyDescent="0.2">
      <c r="A239" s="1"/>
      <c r="B239" s="1"/>
      <c r="C239" t="str">
        <f>IFERROR(IF(B239="","",VLOOKUP(B239,المستفيدين!$B:$C,2,FALSE)),"")</f>
        <v/>
      </c>
      <c r="E239" s="1"/>
      <c r="F239" s="1"/>
      <c r="G239" s="1"/>
      <c r="H239" s="1"/>
    </row>
    <row r="240" spans="1:8" x14ac:dyDescent="0.2">
      <c r="A240" s="1"/>
      <c r="B240" s="1"/>
      <c r="C240" t="str">
        <f>IFERROR(IF(B240="","",VLOOKUP(B240,المستفيدين!$B:$C,2,FALSE)),"")</f>
        <v/>
      </c>
      <c r="E240" s="1"/>
      <c r="F240" s="1"/>
      <c r="G240" s="1"/>
      <c r="H240" s="1"/>
    </row>
    <row r="241" spans="1:8" x14ac:dyDescent="0.2">
      <c r="A241" s="1"/>
      <c r="B241" s="1"/>
      <c r="C241" t="str">
        <f>IFERROR(IF(B241="","",VLOOKUP(B241,المستفيدين!$B:$C,2,FALSE)),"")</f>
        <v/>
      </c>
      <c r="E241" s="1"/>
      <c r="F241" s="1"/>
      <c r="G241" s="1"/>
      <c r="H241" s="1"/>
    </row>
    <row r="242" spans="1:8" x14ac:dyDescent="0.2">
      <c r="A242" s="1"/>
      <c r="B242" s="1"/>
      <c r="C242" t="str">
        <f>IFERROR(IF(B242="","",VLOOKUP(B242,المستفيدين!$B:$C,2,FALSE)),"")</f>
        <v/>
      </c>
      <c r="E242" s="1"/>
      <c r="F242" s="1"/>
      <c r="G242" s="1"/>
      <c r="H242" s="1"/>
    </row>
    <row r="243" spans="1:8" x14ac:dyDescent="0.2">
      <c r="A243" s="1"/>
      <c r="B243" s="1"/>
      <c r="C243" t="str">
        <f>IFERROR(IF(B243="","",VLOOKUP(B243,المستفيدين!$B:$C,2,FALSE)),"")</f>
        <v/>
      </c>
      <c r="E243" s="1"/>
      <c r="F243" s="1"/>
      <c r="G243" s="1"/>
      <c r="H243" s="1"/>
    </row>
    <row r="244" spans="1:8" x14ac:dyDescent="0.2">
      <c r="A244" s="1"/>
      <c r="B244" s="1"/>
      <c r="C244" t="str">
        <f>IFERROR(IF(B244="","",VLOOKUP(B244,المستفيدين!$B:$C,2,FALSE)),"")</f>
        <v/>
      </c>
      <c r="E244" s="1"/>
      <c r="F244" s="1"/>
      <c r="G244" s="1"/>
      <c r="H244" s="1"/>
    </row>
    <row r="245" spans="1:8" x14ac:dyDescent="0.2">
      <c r="A245" s="1"/>
      <c r="B245" s="1"/>
      <c r="C245" t="str">
        <f>IFERROR(IF(B245="","",VLOOKUP(B245,المستفيدين!$B:$C,2,FALSE)),"")</f>
        <v/>
      </c>
      <c r="E245" s="1"/>
      <c r="F245" s="1"/>
      <c r="G245" s="1"/>
      <c r="H245" s="1"/>
    </row>
    <row r="246" spans="1:8" x14ac:dyDescent="0.2">
      <c r="A246" s="1"/>
      <c r="B246" s="1"/>
      <c r="C246" t="str">
        <f>IFERROR(IF(B246="","",VLOOKUP(B246,المستفيدين!$B:$C,2,FALSE)),"")</f>
        <v/>
      </c>
      <c r="E246" s="1"/>
      <c r="F246" s="1"/>
      <c r="G246" s="1"/>
      <c r="H246" s="1"/>
    </row>
    <row r="247" spans="1:8" x14ac:dyDescent="0.2">
      <c r="A247" s="1"/>
      <c r="B247" s="1"/>
      <c r="C247" t="str">
        <f>IFERROR(IF(B247="","",VLOOKUP(B247,المستفيدين!$B:$C,2,FALSE)),"")</f>
        <v/>
      </c>
      <c r="E247" s="1"/>
      <c r="F247" s="1"/>
      <c r="G247" s="1"/>
      <c r="H247" s="1"/>
    </row>
    <row r="248" spans="1:8" x14ac:dyDescent="0.2">
      <c r="A248" s="1"/>
      <c r="B248" s="1"/>
      <c r="C248" t="str">
        <f>IFERROR(IF(B248="","",VLOOKUP(B248,المستفيدين!$B:$C,2,FALSE)),"")</f>
        <v/>
      </c>
      <c r="E248" s="1"/>
      <c r="F248" s="1"/>
      <c r="G248" s="1"/>
      <c r="H248" s="1"/>
    </row>
    <row r="249" spans="1:8" x14ac:dyDescent="0.2">
      <c r="A249" s="1"/>
      <c r="B249" s="1"/>
      <c r="C249" t="str">
        <f>IFERROR(IF(B249="","",VLOOKUP(B249,المستفيدين!$B:$C,2,FALSE)),"")</f>
        <v/>
      </c>
      <c r="E249" s="1"/>
      <c r="F249" s="1"/>
      <c r="G249" s="1"/>
      <c r="H249" s="1"/>
    </row>
    <row r="250" spans="1:8" x14ac:dyDescent="0.2">
      <c r="A250" s="1"/>
      <c r="B250" s="1"/>
      <c r="C250" t="str">
        <f>IFERROR(IF(B250="","",VLOOKUP(B250,المستفيدين!$B:$C,2,FALSE)),"")</f>
        <v/>
      </c>
      <c r="E250" s="1"/>
      <c r="F250" s="1"/>
      <c r="G250" s="1"/>
      <c r="H250" s="1"/>
    </row>
    <row r="251" spans="1:8" x14ac:dyDescent="0.2">
      <c r="A251" s="1"/>
      <c r="B251" s="1"/>
      <c r="C251" t="str">
        <f>IFERROR(IF(B251="","",VLOOKUP(B251,المستفيدين!$B:$C,2,FALSE)),"")</f>
        <v/>
      </c>
      <c r="E251" s="1"/>
      <c r="F251" s="1"/>
      <c r="G251" s="1"/>
      <c r="H251" s="1"/>
    </row>
    <row r="252" spans="1:8" x14ac:dyDescent="0.2">
      <c r="A252" s="1"/>
      <c r="B252" s="1"/>
      <c r="C252" t="str">
        <f>IFERROR(IF(B252="","",VLOOKUP(B252,المستفيدين!$B:$C,2,FALSE)),"")</f>
        <v/>
      </c>
      <c r="E252" s="1"/>
      <c r="F252" s="1"/>
      <c r="G252" s="1"/>
      <c r="H252" s="1"/>
    </row>
    <row r="253" spans="1:8" x14ac:dyDescent="0.2">
      <c r="A253" s="1"/>
      <c r="B253" s="1"/>
      <c r="C253" t="str">
        <f>IFERROR(IF(B253="","",VLOOKUP(B253,المستفيدين!$B:$C,2,FALSE)),"")</f>
        <v/>
      </c>
      <c r="E253" s="1"/>
      <c r="F253" s="1"/>
      <c r="G253" s="1"/>
      <c r="H253" s="1"/>
    </row>
    <row r="254" spans="1:8" x14ac:dyDescent="0.2">
      <c r="A254" s="1"/>
      <c r="B254" s="1"/>
      <c r="C254" t="str">
        <f>IFERROR(IF(B254="","",VLOOKUP(B254,المستفيدين!$B:$C,2,FALSE)),"")</f>
        <v/>
      </c>
      <c r="E254" s="1"/>
      <c r="F254" s="1"/>
      <c r="G254" s="1"/>
      <c r="H254" s="1"/>
    </row>
    <row r="255" spans="1:8" x14ac:dyDescent="0.2">
      <c r="A255" s="1"/>
      <c r="B255" s="1"/>
      <c r="C255" t="str">
        <f>IFERROR(IF(B255="","",VLOOKUP(B255,المستفيدين!$B:$C,2,FALSE)),"")</f>
        <v/>
      </c>
      <c r="E255" s="1"/>
      <c r="F255" s="1"/>
      <c r="G255" s="1"/>
      <c r="H255" s="1"/>
    </row>
    <row r="256" spans="1:8" x14ac:dyDescent="0.2">
      <c r="A256" s="1"/>
      <c r="B256" s="1"/>
      <c r="C256" t="str">
        <f>IFERROR(IF(B256="","",VLOOKUP(B256,المستفيدين!$B:$C,2,FALSE)),"")</f>
        <v/>
      </c>
      <c r="E256" s="1"/>
      <c r="F256" s="1"/>
      <c r="G256" s="1"/>
      <c r="H256" s="1"/>
    </row>
    <row r="257" spans="1:8" x14ac:dyDescent="0.2">
      <c r="A257" s="1"/>
      <c r="B257" s="1"/>
      <c r="C257" t="str">
        <f>IFERROR(IF(B257="","",VLOOKUP(B257,المستفيدين!$B:$C,2,FALSE)),"")</f>
        <v/>
      </c>
      <c r="E257" s="1"/>
      <c r="F257" s="1"/>
      <c r="G257" s="1"/>
      <c r="H257" s="1"/>
    </row>
    <row r="258" spans="1:8" x14ac:dyDescent="0.2">
      <c r="A258" s="1"/>
      <c r="B258" s="1"/>
      <c r="C258" t="str">
        <f>IFERROR(IF(B258="","",VLOOKUP(B258,المستفيدين!$B:$C,2,FALSE)),"")</f>
        <v/>
      </c>
      <c r="E258" s="1"/>
      <c r="F258" s="1"/>
      <c r="G258" s="1"/>
      <c r="H258" s="1"/>
    </row>
    <row r="259" spans="1:8" x14ac:dyDescent="0.2">
      <c r="A259" s="1"/>
      <c r="B259" s="1"/>
      <c r="C259" t="str">
        <f>IFERROR(IF(B259="","",VLOOKUP(B259,المستفيدين!$B:$C,2,FALSE)),"")</f>
        <v/>
      </c>
      <c r="E259" s="1"/>
      <c r="F259" s="1"/>
      <c r="G259" s="1"/>
      <c r="H259" s="1"/>
    </row>
    <row r="260" spans="1:8" x14ac:dyDescent="0.2">
      <c r="A260" s="1"/>
      <c r="B260" s="1"/>
      <c r="C260" t="str">
        <f>IFERROR(IF(B260="","",VLOOKUP(B260,المستفيدين!$B:$C,2,FALSE)),"")</f>
        <v/>
      </c>
      <c r="E260" s="1"/>
      <c r="F260" s="1"/>
      <c r="G260" s="1"/>
      <c r="H260" s="1"/>
    </row>
    <row r="261" spans="1:8" x14ac:dyDescent="0.2">
      <c r="A261" s="1"/>
      <c r="B261" s="1"/>
      <c r="C261" t="str">
        <f>IFERROR(IF(B261="","",VLOOKUP(B261,المستفيدين!$B:$C,2,FALSE)),"")</f>
        <v/>
      </c>
      <c r="E261" s="1"/>
      <c r="F261" s="1"/>
      <c r="G261" s="1"/>
      <c r="H261" s="1"/>
    </row>
    <row r="262" spans="1:8" x14ac:dyDescent="0.2">
      <c r="A262" s="1"/>
      <c r="B262" s="1"/>
      <c r="C262" t="str">
        <f>IFERROR(IF(B262="","",VLOOKUP(B262,المستفيدين!$B:$C,2,FALSE)),"")</f>
        <v/>
      </c>
      <c r="E262" s="1"/>
      <c r="F262" s="1"/>
      <c r="G262" s="1"/>
      <c r="H262" s="1"/>
    </row>
    <row r="263" spans="1:8" x14ac:dyDescent="0.2">
      <c r="A263" s="1"/>
      <c r="B263" s="1"/>
      <c r="C263" t="str">
        <f>IFERROR(IF(B263="","",VLOOKUP(B263,المستفيدين!$B:$C,2,FALSE)),"")</f>
        <v/>
      </c>
      <c r="E263" s="1"/>
      <c r="F263" s="1"/>
      <c r="G263" s="1"/>
      <c r="H263" s="1"/>
    </row>
    <row r="264" spans="1:8" x14ac:dyDescent="0.2">
      <c r="A264" s="1"/>
      <c r="B264" s="1"/>
      <c r="C264" t="str">
        <f>IFERROR(IF(B264="","",VLOOKUP(B264,المستفيدين!$B:$C,2,FALSE)),"")</f>
        <v/>
      </c>
      <c r="E264" s="1"/>
      <c r="F264" s="1"/>
      <c r="G264" s="1"/>
      <c r="H264" s="1"/>
    </row>
    <row r="265" spans="1:8" x14ac:dyDescent="0.2">
      <c r="A265" s="1"/>
      <c r="B265" s="1"/>
      <c r="C265" t="str">
        <f>IFERROR(IF(B265="","",VLOOKUP(B265,المستفيدين!$B:$C,2,FALSE)),"")</f>
        <v/>
      </c>
      <c r="E265" s="1"/>
      <c r="F265" s="1"/>
      <c r="G265" s="1"/>
      <c r="H265" s="1"/>
    </row>
    <row r="266" spans="1:8" x14ac:dyDescent="0.2">
      <c r="A266" s="1"/>
      <c r="B266" s="1"/>
      <c r="C266" t="str">
        <f>IFERROR(IF(B266="","",VLOOKUP(B266,المستفيدين!$B:$C,2,FALSE)),"")</f>
        <v/>
      </c>
      <c r="E266" s="1"/>
      <c r="F266" s="1"/>
      <c r="G266" s="1"/>
      <c r="H266" s="1"/>
    </row>
    <row r="267" spans="1:8" x14ac:dyDescent="0.2">
      <c r="A267" s="1"/>
      <c r="B267" s="1"/>
      <c r="C267" t="str">
        <f>IFERROR(IF(B267="","",VLOOKUP(B267,المستفيدين!$B:$C,2,FALSE)),"")</f>
        <v/>
      </c>
      <c r="E267" s="1"/>
      <c r="F267" s="1"/>
      <c r="G267" s="1"/>
      <c r="H267" s="1"/>
    </row>
    <row r="268" spans="1:8" x14ac:dyDescent="0.2">
      <c r="A268" s="1"/>
      <c r="B268" s="1"/>
      <c r="C268" t="str">
        <f>IFERROR(IF(B268="","",VLOOKUP(B268,المستفيدين!$B:$C,2,FALSE)),"")</f>
        <v/>
      </c>
      <c r="E268" s="1"/>
      <c r="F268" s="1"/>
      <c r="G268" s="1"/>
      <c r="H268" s="1"/>
    </row>
    <row r="269" spans="1:8" x14ac:dyDescent="0.2">
      <c r="A269" s="1"/>
      <c r="B269" s="1"/>
      <c r="C269" t="str">
        <f>IFERROR(IF(B269="","",VLOOKUP(B269,المستفيدين!$B:$C,2,FALSE)),"")</f>
        <v/>
      </c>
      <c r="E269" s="1"/>
      <c r="F269" s="1"/>
      <c r="G269" s="1"/>
      <c r="H269" s="1"/>
    </row>
    <row r="270" spans="1:8" x14ac:dyDescent="0.2">
      <c r="A270" s="1"/>
      <c r="B270" s="1"/>
      <c r="C270" t="str">
        <f>IFERROR(IF(B270="","",VLOOKUP(B270,المستفيدين!$B:$C,2,FALSE)),"")</f>
        <v/>
      </c>
      <c r="E270" s="1"/>
      <c r="F270" s="1"/>
      <c r="G270" s="1"/>
      <c r="H270" s="1"/>
    </row>
    <row r="271" spans="1:8" x14ac:dyDescent="0.2">
      <c r="A271" s="1"/>
      <c r="B271" s="1"/>
      <c r="C271" t="str">
        <f>IFERROR(IF(B271="","",VLOOKUP(B271,المستفيدين!$B:$C,2,FALSE)),"")</f>
        <v/>
      </c>
      <c r="E271" s="1"/>
      <c r="F271" s="1"/>
      <c r="G271" s="1"/>
      <c r="H271" s="1"/>
    </row>
    <row r="272" spans="1:8" x14ac:dyDescent="0.2">
      <c r="A272" s="1"/>
      <c r="B272" s="1"/>
      <c r="C272" t="str">
        <f>IFERROR(IF(B272="","",VLOOKUP(B272,المستفيدين!$B:$C,2,FALSE)),"")</f>
        <v/>
      </c>
      <c r="E272" s="1"/>
      <c r="F272" s="1"/>
      <c r="G272" s="1"/>
      <c r="H272" s="1"/>
    </row>
    <row r="273" spans="1:8" x14ac:dyDescent="0.2">
      <c r="A273" s="1"/>
      <c r="B273" s="1"/>
      <c r="C273" t="str">
        <f>IFERROR(IF(B273="","",VLOOKUP(B273,المستفيدين!$B:$C,2,FALSE)),"")</f>
        <v/>
      </c>
      <c r="E273" s="1"/>
      <c r="F273" s="1"/>
      <c r="G273" s="1"/>
      <c r="H273" s="1"/>
    </row>
    <row r="274" spans="1:8" x14ac:dyDescent="0.2">
      <c r="A274" s="1"/>
      <c r="B274" s="1"/>
      <c r="C274" t="str">
        <f>IFERROR(IF(B274="","",VLOOKUP(B274,المستفيدين!$B:$C,2,FALSE)),"")</f>
        <v/>
      </c>
      <c r="E274" s="1"/>
      <c r="F274" s="1"/>
      <c r="G274" s="1"/>
      <c r="H274" s="1"/>
    </row>
    <row r="275" spans="1:8" x14ac:dyDescent="0.2">
      <c r="A275" s="1"/>
      <c r="B275" s="1"/>
      <c r="C275" t="str">
        <f>IFERROR(IF(B275="","",VLOOKUP(B275,المستفيدين!$B:$C,2,FALSE)),"")</f>
        <v/>
      </c>
      <c r="E275" s="1"/>
      <c r="F275" s="1"/>
      <c r="G275" s="1"/>
      <c r="H275" s="1"/>
    </row>
    <row r="276" spans="1:8" x14ac:dyDescent="0.2">
      <c r="A276" s="1"/>
      <c r="B276" s="1"/>
      <c r="C276" t="str">
        <f>IFERROR(IF(B276="","",VLOOKUP(B276,المستفيدين!$B:$C,2,FALSE)),"")</f>
        <v/>
      </c>
      <c r="E276" s="1"/>
      <c r="F276" s="1"/>
      <c r="G276" s="1"/>
      <c r="H276" s="1"/>
    </row>
    <row r="277" spans="1:8" x14ac:dyDescent="0.2">
      <c r="A277" s="1"/>
      <c r="B277" s="1"/>
      <c r="C277" t="str">
        <f>IFERROR(IF(B277="","",VLOOKUP(B277,المستفيدين!$B:$C,2,FALSE)),"")</f>
        <v/>
      </c>
      <c r="E277" s="1"/>
      <c r="F277" s="1"/>
      <c r="G277" s="1"/>
      <c r="H277" s="1"/>
    </row>
    <row r="278" spans="1:8" x14ac:dyDescent="0.2">
      <c r="A278" s="1"/>
      <c r="B278" s="1"/>
      <c r="C278" t="str">
        <f>IFERROR(IF(B278="","",VLOOKUP(B278,المستفيدين!$B:$C,2,FALSE)),"")</f>
        <v/>
      </c>
      <c r="E278" s="1"/>
      <c r="F278" s="1"/>
      <c r="G278" s="1"/>
      <c r="H278" s="1"/>
    </row>
    <row r="279" spans="1:8" x14ac:dyDescent="0.2">
      <c r="A279" s="1"/>
      <c r="B279" s="1"/>
      <c r="C279" t="str">
        <f>IFERROR(IF(B279="","",VLOOKUP(B279,المستفيدين!$B:$C,2,FALSE)),"")</f>
        <v/>
      </c>
      <c r="E279" s="1"/>
      <c r="F279" s="1"/>
      <c r="G279" s="1"/>
      <c r="H279" s="1"/>
    </row>
    <row r="280" spans="1:8" x14ac:dyDescent="0.2">
      <c r="A280" s="1"/>
      <c r="B280" s="1"/>
      <c r="C280" t="str">
        <f>IFERROR(IF(B280="","",VLOOKUP(B280,المستفيدين!$B:$C,2,FALSE)),"")</f>
        <v/>
      </c>
      <c r="E280" s="1"/>
      <c r="F280" s="1"/>
      <c r="G280" s="1"/>
      <c r="H280" s="1"/>
    </row>
    <row r="281" spans="1:8" x14ac:dyDescent="0.2">
      <c r="A281" s="1"/>
      <c r="B281" s="1"/>
      <c r="C281" t="str">
        <f>IFERROR(IF(B281="","",VLOOKUP(B281,المستفيدين!$B:$C,2,FALSE)),"")</f>
        <v/>
      </c>
      <c r="E281" s="1"/>
      <c r="F281" s="1"/>
      <c r="G281" s="1"/>
      <c r="H281" s="1"/>
    </row>
    <row r="282" spans="1:8" x14ac:dyDescent="0.2">
      <c r="A282" s="1"/>
      <c r="B282" s="1"/>
      <c r="C282" t="str">
        <f>IFERROR(IF(B282="","",VLOOKUP(B282,المستفيدين!$B:$C,2,FALSE)),"")</f>
        <v/>
      </c>
      <c r="E282" s="1"/>
      <c r="F282" s="1"/>
      <c r="G282" s="1"/>
      <c r="H282" s="1"/>
    </row>
    <row r="283" spans="1:8" x14ac:dyDescent="0.2">
      <c r="A283" s="1"/>
      <c r="B283" s="1"/>
      <c r="C283" t="str">
        <f>IFERROR(IF(B283="","",VLOOKUP(B283,المستفيدين!$B:$C,2,FALSE)),"")</f>
        <v/>
      </c>
      <c r="E283" s="1"/>
      <c r="F283" s="1"/>
      <c r="G283" s="1"/>
      <c r="H283" s="1"/>
    </row>
    <row r="284" spans="1:8" x14ac:dyDescent="0.2">
      <c r="A284" s="1"/>
      <c r="B284" s="1"/>
      <c r="C284" t="str">
        <f>IFERROR(IF(B284="","",VLOOKUP(B284,المستفيدين!$B:$C,2,FALSE)),"")</f>
        <v/>
      </c>
      <c r="E284" s="1"/>
      <c r="F284" s="1"/>
      <c r="G284" s="1"/>
      <c r="H284" s="1"/>
    </row>
    <row r="285" spans="1:8" x14ac:dyDescent="0.2">
      <c r="A285" s="1"/>
      <c r="B285" s="1"/>
      <c r="C285" t="str">
        <f>IFERROR(IF(B285="","",VLOOKUP(B285,المستفيدين!$B:$C,2,FALSE)),"")</f>
        <v/>
      </c>
      <c r="E285" s="1"/>
      <c r="F285" s="1"/>
      <c r="G285" s="1"/>
      <c r="H285" s="1"/>
    </row>
    <row r="286" spans="1:8" x14ac:dyDescent="0.2">
      <c r="A286" s="1"/>
      <c r="B286" s="1"/>
      <c r="C286" t="str">
        <f>IFERROR(IF(B286="","",VLOOKUP(B286,المستفيدين!$B:$C,2,FALSE)),"")</f>
        <v/>
      </c>
      <c r="E286" s="1"/>
      <c r="F286" s="1"/>
      <c r="G286" s="1"/>
      <c r="H286" s="1"/>
    </row>
    <row r="287" spans="1:8" x14ac:dyDescent="0.2">
      <c r="A287" s="1"/>
      <c r="B287" s="1"/>
      <c r="C287" t="str">
        <f>IFERROR(IF(B287="","",VLOOKUP(B287,المستفيدين!$B:$C,2,FALSE)),"")</f>
        <v/>
      </c>
      <c r="E287" s="1"/>
      <c r="F287" s="1"/>
      <c r="G287" s="1"/>
      <c r="H287" s="1"/>
    </row>
    <row r="288" spans="1:8" x14ac:dyDescent="0.2">
      <c r="A288" s="1"/>
      <c r="B288" s="1"/>
      <c r="C288" t="str">
        <f>IFERROR(IF(B288="","",VLOOKUP(B288,المستفيدين!$B:$C,2,FALSE)),"")</f>
        <v/>
      </c>
      <c r="E288" s="1"/>
      <c r="F288" s="1"/>
      <c r="G288" s="1"/>
      <c r="H288" s="1"/>
    </row>
    <row r="289" spans="1:8" x14ac:dyDescent="0.2">
      <c r="A289" s="1"/>
      <c r="B289" s="1"/>
      <c r="C289" t="str">
        <f>IFERROR(IF(B289="","",VLOOKUP(B289,المستفيدين!$B:$C,2,FALSE)),"")</f>
        <v/>
      </c>
      <c r="E289" s="1"/>
      <c r="F289" s="1"/>
      <c r="G289" s="1"/>
      <c r="H289" s="1"/>
    </row>
    <row r="290" spans="1:8" x14ac:dyDescent="0.2">
      <c r="A290" s="1"/>
      <c r="B290" s="1"/>
      <c r="C290" t="str">
        <f>IFERROR(IF(B290="","",VLOOKUP(B290,المستفيدين!$B:$C,2,FALSE)),"")</f>
        <v/>
      </c>
      <c r="E290" s="1"/>
      <c r="F290" s="1"/>
      <c r="G290" s="1"/>
      <c r="H290" s="1"/>
    </row>
    <row r="291" spans="1:8" x14ac:dyDescent="0.2">
      <c r="A291" s="1"/>
      <c r="B291" s="1"/>
      <c r="C291" t="str">
        <f>IFERROR(IF(B291="","",VLOOKUP(B291,المستفيدين!$B:$C,2,FALSE)),"")</f>
        <v/>
      </c>
      <c r="E291" s="1"/>
      <c r="F291" s="1"/>
      <c r="G291" s="1"/>
      <c r="H291" s="1"/>
    </row>
    <row r="292" spans="1:8" x14ac:dyDescent="0.2">
      <c r="A292" s="1"/>
      <c r="B292" s="1"/>
      <c r="C292" t="str">
        <f>IFERROR(IF(B292="","",VLOOKUP(B292,المستفيدين!$B:$C,2,FALSE)),"")</f>
        <v/>
      </c>
      <c r="E292" s="1"/>
      <c r="F292" s="1"/>
      <c r="G292" s="1"/>
      <c r="H292" s="1"/>
    </row>
    <row r="293" spans="1:8" x14ac:dyDescent="0.2">
      <c r="A293" s="1"/>
      <c r="B293" s="1"/>
      <c r="C293" t="str">
        <f>IFERROR(IF(B293="","",VLOOKUP(B293,المستفيدين!$B:$C,2,FALSE)),"")</f>
        <v/>
      </c>
      <c r="E293" s="1"/>
      <c r="F293" s="1"/>
      <c r="G293" s="1"/>
      <c r="H293" s="1"/>
    </row>
    <row r="294" spans="1:8" x14ac:dyDescent="0.2">
      <c r="A294" s="1"/>
      <c r="B294" s="1"/>
      <c r="C294" t="str">
        <f>IFERROR(IF(B294="","",VLOOKUP(B294,المستفيدين!$B:$C,2,FALSE)),"")</f>
        <v/>
      </c>
      <c r="E294" s="1"/>
      <c r="F294" s="1"/>
      <c r="G294" s="1"/>
      <c r="H294" s="1"/>
    </row>
    <row r="295" spans="1:8" x14ac:dyDescent="0.2">
      <c r="A295" s="1"/>
      <c r="B295" s="1"/>
      <c r="C295" t="str">
        <f>IFERROR(IF(B295="","",VLOOKUP(B295,المستفيدين!$B:$C,2,FALSE)),"")</f>
        <v/>
      </c>
      <c r="E295" s="1"/>
      <c r="F295" s="1"/>
      <c r="G295" s="1"/>
      <c r="H295" s="1"/>
    </row>
    <row r="296" spans="1:8" x14ac:dyDescent="0.2">
      <c r="A296" s="1"/>
      <c r="B296" s="1"/>
      <c r="C296" t="str">
        <f>IFERROR(IF(B296="","",VLOOKUP(B296,المستفيدين!$B:$C,2,FALSE)),"")</f>
        <v/>
      </c>
      <c r="E296" s="1"/>
      <c r="F296" s="1"/>
      <c r="G296" s="1"/>
      <c r="H296" s="1"/>
    </row>
    <row r="297" spans="1:8" x14ac:dyDescent="0.2">
      <c r="A297" s="1"/>
      <c r="B297" s="1"/>
      <c r="C297" t="str">
        <f>IFERROR(IF(B297="","",VLOOKUP(B297,المستفيدين!$B:$C,2,FALSE)),"")</f>
        <v/>
      </c>
      <c r="E297" s="1"/>
      <c r="F297" s="1"/>
      <c r="G297" s="1"/>
      <c r="H297" s="1"/>
    </row>
    <row r="298" spans="1:8" x14ac:dyDescent="0.2">
      <c r="A298" s="1"/>
      <c r="B298" s="1"/>
      <c r="C298" t="str">
        <f>IFERROR(IF(B298="","",VLOOKUP(B298,المستفيدين!$B:$C,2,FALSE)),"")</f>
        <v/>
      </c>
      <c r="E298" s="1"/>
      <c r="F298" s="1"/>
      <c r="G298" s="1"/>
      <c r="H298" s="1"/>
    </row>
    <row r="299" spans="1:8" x14ac:dyDescent="0.2">
      <c r="A299" s="1"/>
      <c r="B299" s="1"/>
      <c r="C299" t="str">
        <f>IFERROR(IF(B299="","",VLOOKUP(B299,المستفيدين!$B:$C,2,FALSE)),"")</f>
        <v/>
      </c>
      <c r="E299" s="1"/>
      <c r="F299" s="1"/>
      <c r="G299" s="1"/>
      <c r="H299" s="1"/>
    </row>
    <row r="300" spans="1:8" x14ac:dyDescent="0.2">
      <c r="A300" s="1"/>
      <c r="B300" s="1"/>
      <c r="C300" t="str">
        <f>IFERROR(IF(B300="","",VLOOKUP(B300,المستفيدين!$B:$C,2,FALSE)),"")</f>
        <v/>
      </c>
      <c r="E300" s="1"/>
      <c r="F300" s="1"/>
      <c r="G300" s="1"/>
      <c r="H300" s="1"/>
    </row>
    <row r="301" spans="1:8" x14ac:dyDescent="0.2">
      <c r="A301" s="1"/>
      <c r="B301" s="1"/>
      <c r="C301" t="str">
        <f>IFERROR(IF(B301="","",VLOOKUP(B301,المستفيدين!$B:$C,2,FALSE)),"")</f>
        <v/>
      </c>
      <c r="E301" s="1"/>
      <c r="F301" s="1"/>
      <c r="G301" s="1"/>
      <c r="H301" s="1"/>
    </row>
    <row r="302" spans="1:8" x14ac:dyDescent="0.2">
      <c r="A302" s="1"/>
      <c r="B302" s="1"/>
      <c r="C302" t="str">
        <f>IFERROR(IF(B302="","",VLOOKUP(B302,المستفيدين!$B:$C,2,FALSE)),"")</f>
        <v/>
      </c>
      <c r="E302" s="1"/>
      <c r="F302" s="1"/>
      <c r="G302" s="1"/>
      <c r="H302" s="1"/>
    </row>
    <row r="303" spans="1:8" x14ac:dyDescent="0.2">
      <c r="A303" s="1"/>
      <c r="B303" s="1"/>
      <c r="C303" t="str">
        <f>IFERROR(IF(B303="","",VLOOKUP(B303,المستفيدين!$B:$C,2,FALSE)),"")</f>
        <v/>
      </c>
      <c r="E303" s="1"/>
      <c r="F303" s="1"/>
      <c r="G303" s="1"/>
      <c r="H303" s="1"/>
    </row>
    <row r="304" spans="1:8" x14ac:dyDescent="0.2">
      <c r="A304" s="1"/>
      <c r="B304" s="1"/>
      <c r="C304" t="str">
        <f>IFERROR(IF(B304="","",VLOOKUP(B304,المستفيدين!$B:$C,2,FALSE)),"")</f>
        <v/>
      </c>
      <c r="E304" s="1"/>
      <c r="F304" s="1"/>
      <c r="G304" s="1"/>
      <c r="H304" s="1"/>
    </row>
    <row r="305" spans="1:8" x14ac:dyDescent="0.2">
      <c r="A305" s="1"/>
      <c r="B305" s="1"/>
      <c r="C305" t="str">
        <f>IFERROR(IF(B305="","",VLOOKUP(B305,المستفيدين!$B:$C,2,FALSE)),"")</f>
        <v/>
      </c>
      <c r="E305" s="1"/>
      <c r="F305" s="1"/>
      <c r="G305" s="1"/>
      <c r="H305" s="1"/>
    </row>
    <row r="306" spans="1:8" x14ac:dyDescent="0.2">
      <c r="A306" s="1"/>
      <c r="B306" s="1"/>
      <c r="C306" t="str">
        <f>IFERROR(IF(B306="","",VLOOKUP(B306,المستفيدين!$B:$C,2,FALSE)),"")</f>
        <v/>
      </c>
      <c r="E306" s="1"/>
      <c r="F306" s="1"/>
      <c r="G306" s="1"/>
      <c r="H306" s="1"/>
    </row>
    <row r="307" spans="1:8" x14ac:dyDescent="0.2">
      <c r="A307" s="1"/>
      <c r="B307" s="1"/>
      <c r="C307" t="str">
        <f>IFERROR(IF(B307="","",VLOOKUP(B307,المستفيدين!$B:$C,2,FALSE)),"")</f>
        <v/>
      </c>
      <c r="E307" s="1"/>
      <c r="F307" s="1"/>
      <c r="G307" s="1"/>
      <c r="H307" s="1"/>
    </row>
    <row r="308" spans="1:8" x14ac:dyDescent="0.2">
      <c r="A308" s="1"/>
      <c r="B308" s="1"/>
      <c r="C308" t="str">
        <f>IFERROR(IF(B308="","",VLOOKUP(B308,المستفيدين!$B:$C,2,FALSE)),"")</f>
        <v/>
      </c>
      <c r="E308" s="1"/>
      <c r="F308" s="1"/>
      <c r="G308" s="1"/>
      <c r="H308" s="1"/>
    </row>
    <row r="309" spans="1:8" x14ac:dyDescent="0.2">
      <c r="A309" s="1"/>
      <c r="B309" s="1"/>
      <c r="C309" t="str">
        <f>IFERROR(IF(B309="","",VLOOKUP(B309,المستفيدين!$B:$C,2,FALSE)),"")</f>
        <v/>
      </c>
      <c r="E309" s="1"/>
      <c r="F309" s="1"/>
      <c r="G309" s="1"/>
      <c r="H309" s="1"/>
    </row>
    <row r="310" spans="1:8" x14ac:dyDescent="0.2">
      <c r="A310" s="1"/>
      <c r="B310" s="1"/>
      <c r="C310" t="str">
        <f>IFERROR(IF(B310="","",VLOOKUP(B310,المستفيدين!$B:$C,2,FALSE)),"")</f>
        <v/>
      </c>
      <c r="E310" s="1"/>
      <c r="F310" s="1"/>
      <c r="G310" s="1"/>
      <c r="H310" s="1"/>
    </row>
    <row r="311" spans="1:8" x14ac:dyDescent="0.2">
      <c r="A311" s="1"/>
      <c r="B311" s="1"/>
      <c r="C311" t="str">
        <f>IFERROR(IF(B311="","",VLOOKUP(B311,المستفيدين!$B:$C,2,FALSE)),"")</f>
        <v/>
      </c>
      <c r="E311" s="1"/>
      <c r="F311" s="1"/>
      <c r="G311" s="1"/>
      <c r="H311" s="1"/>
    </row>
    <row r="312" spans="1:8" x14ac:dyDescent="0.2">
      <c r="A312" s="1"/>
      <c r="B312" s="1"/>
      <c r="C312" t="str">
        <f>IFERROR(IF(B312="","",VLOOKUP(B312,المستفيدين!$B:$C,2,FALSE)),"")</f>
        <v/>
      </c>
      <c r="E312" s="1"/>
      <c r="F312" s="1"/>
      <c r="G312" s="1"/>
      <c r="H312" s="1"/>
    </row>
    <row r="313" spans="1:8" x14ac:dyDescent="0.2">
      <c r="A313" s="1"/>
      <c r="B313" s="1"/>
      <c r="C313" t="str">
        <f>IFERROR(IF(B313="","",VLOOKUP(B313,المستفيدين!$B:$C,2,FALSE)),"")</f>
        <v/>
      </c>
      <c r="E313" s="1"/>
      <c r="F313" s="1"/>
      <c r="G313" s="1"/>
      <c r="H313" s="1"/>
    </row>
    <row r="314" spans="1:8" x14ac:dyDescent="0.2">
      <c r="A314" s="1"/>
      <c r="B314" s="1"/>
      <c r="C314" t="str">
        <f>IFERROR(IF(B314="","",VLOOKUP(B314,المستفيدين!$B:$C,2,FALSE)),"")</f>
        <v/>
      </c>
      <c r="E314" s="1"/>
      <c r="F314" s="1"/>
      <c r="G314" s="1"/>
      <c r="H314" s="1"/>
    </row>
    <row r="315" spans="1:8" x14ac:dyDescent="0.2">
      <c r="A315" s="1"/>
      <c r="B315" s="1"/>
      <c r="C315" t="str">
        <f>IFERROR(IF(B315="","",VLOOKUP(B315,المستفيدين!$B:$C,2,FALSE)),"")</f>
        <v/>
      </c>
      <c r="E315" s="1"/>
      <c r="F315" s="1"/>
      <c r="G315" s="1"/>
      <c r="H315" s="1"/>
    </row>
    <row r="316" spans="1:8" x14ac:dyDescent="0.2">
      <c r="A316" s="1"/>
      <c r="B316" s="1"/>
      <c r="C316" t="str">
        <f>IFERROR(IF(B316="","",VLOOKUP(B316,المستفيدين!$B:$C,2,FALSE)),"")</f>
        <v/>
      </c>
      <c r="E316" s="1"/>
      <c r="F316" s="1"/>
      <c r="G316" s="1"/>
      <c r="H316" s="1"/>
    </row>
    <row r="317" spans="1:8" x14ac:dyDescent="0.2">
      <c r="A317" s="1"/>
      <c r="B317" s="1"/>
      <c r="C317" t="str">
        <f>IFERROR(IF(B317="","",VLOOKUP(B317,المستفيدين!$B:$C,2,FALSE)),"")</f>
        <v/>
      </c>
      <c r="E317" s="1"/>
      <c r="F317" s="1"/>
      <c r="G317" s="1"/>
      <c r="H317" s="1"/>
    </row>
    <row r="318" spans="1:8" x14ac:dyDescent="0.2">
      <c r="A318" s="1"/>
      <c r="B318" s="1"/>
      <c r="C318" t="str">
        <f>IFERROR(IF(B318="","",VLOOKUP(B318,المستفيدين!$B:$C,2,FALSE)),"")</f>
        <v/>
      </c>
      <c r="E318" s="1"/>
      <c r="F318" s="1"/>
      <c r="G318" s="1"/>
      <c r="H318" s="1"/>
    </row>
    <row r="319" spans="1:8" x14ac:dyDescent="0.2">
      <c r="A319" s="1"/>
      <c r="B319" s="1"/>
      <c r="C319" t="str">
        <f>IFERROR(IF(B319="","",VLOOKUP(B319,المستفيدين!$B:$C,2,FALSE)),"")</f>
        <v/>
      </c>
      <c r="E319" s="1"/>
      <c r="F319" s="1"/>
      <c r="G319" s="1"/>
      <c r="H319" s="1"/>
    </row>
    <row r="320" spans="1:8" x14ac:dyDescent="0.2">
      <c r="A320" s="1"/>
      <c r="B320" s="1"/>
      <c r="C320" t="str">
        <f>IFERROR(IF(B320="","",VLOOKUP(B320,المستفيدين!$B:$C,2,FALSE)),"")</f>
        <v/>
      </c>
      <c r="E320" s="1"/>
      <c r="F320" s="1"/>
      <c r="G320" s="1"/>
      <c r="H320" s="1"/>
    </row>
    <row r="321" spans="1:8" x14ac:dyDescent="0.2">
      <c r="A321" s="1"/>
      <c r="B321" s="1"/>
      <c r="C321" t="str">
        <f>IFERROR(IF(B321="","",VLOOKUP(B321,المستفيدين!$B:$C,2,FALSE)),"")</f>
        <v/>
      </c>
      <c r="E321" s="1"/>
      <c r="F321" s="1"/>
      <c r="G321" s="1"/>
      <c r="H321" s="1"/>
    </row>
    <row r="322" spans="1:8" x14ac:dyDescent="0.2">
      <c r="A322" s="1"/>
      <c r="B322" s="1"/>
      <c r="C322" t="str">
        <f>IFERROR(IF(B322="","",VLOOKUP(B322,المستفيدين!$B:$C,2,FALSE)),"")</f>
        <v/>
      </c>
      <c r="E322" s="1"/>
      <c r="F322" s="1"/>
      <c r="G322" s="1"/>
      <c r="H322" s="1"/>
    </row>
    <row r="323" spans="1:8" x14ac:dyDescent="0.2">
      <c r="A323" s="1"/>
      <c r="B323" s="1"/>
      <c r="C323" t="str">
        <f>IFERROR(IF(B323="","",VLOOKUP(B323,المستفيدين!$B:$C,2,FALSE)),"")</f>
        <v/>
      </c>
      <c r="E323" s="1"/>
      <c r="F323" s="1"/>
      <c r="G323" s="1"/>
      <c r="H323" s="1"/>
    </row>
    <row r="324" spans="1:8" x14ac:dyDescent="0.2">
      <c r="A324" s="1"/>
      <c r="B324" s="1"/>
      <c r="C324" t="str">
        <f>IFERROR(IF(B324="","",VLOOKUP(B324,المستفيدين!$B:$C,2,FALSE)),"")</f>
        <v/>
      </c>
      <c r="E324" s="1"/>
      <c r="F324" s="1"/>
      <c r="G324" s="1"/>
      <c r="H324" s="1"/>
    </row>
    <row r="325" spans="1:8" x14ac:dyDescent="0.2">
      <c r="A325" s="1"/>
      <c r="B325" s="1"/>
      <c r="C325" t="str">
        <f>IFERROR(IF(B325="","",VLOOKUP(B325,المستفيدين!$B:$C,2,FALSE)),"")</f>
        <v/>
      </c>
      <c r="E325" s="1"/>
      <c r="F325" s="1"/>
      <c r="G325" s="1"/>
      <c r="H325" s="1"/>
    </row>
    <row r="326" spans="1:8" x14ac:dyDescent="0.2">
      <c r="A326" s="1"/>
      <c r="B326" s="1"/>
      <c r="C326" t="str">
        <f>IFERROR(IF(B326="","",VLOOKUP(B326,المستفيدين!$B:$C,2,FALSE)),"")</f>
        <v/>
      </c>
      <c r="E326" s="1"/>
      <c r="F326" s="1"/>
      <c r="G326" s="1"/>
      <c r="H326" s="1"/>
    </row>
    <row r="327" spans="1:8" x14ac:dyDescent="0.2">
      <c r="A327" s="1"/>
      <c r="B327" s="1"/>
      <c r="C327" t="str">
        <f>IFERROR(IF(B327="","",VLOOKUP(B327,المستفيدين!$B:$C,2,FALSE)),"")</f>
        <v/>
      </c>
      <c r="E327" s="1"/>
      <c r="F327" s="1"/>
      <c r="G327" s="1"/>
      <c r="H327" s="1"/>
    </row>
    <row r="328" spans="1:8" x14ac:dyDescent="0.2">
      <c r="A328" s="1"/>
      <c r="B328" s="1"/>
      <c r="C328" t="str">
        <f>IFERROR(IF(B328="","",VLOOKUP(B328,المستفيدين!$B:$C,2,FALSE)),"")</f>
        <v/>
      </c>
      <c r="E328" s="1"/>
      <c r="F328" s="1"/>
      <c r="G328" s="1"/>
      <c r="H328" s="1"/>
    </row>
    <row r="329" spans="1:8" x14ac:dyDescent="0.2">
      <c r="A329" s="1"/>
      <c r="B329" s="1"/>
      <c r="C329" t="str">
        <f>IFERROR(IF(B329="","",VLOOKUP(B329,المستفيدين!$B:$C,2,FALSE)),"")</f>
        <v/>
      </c>
      <c r="E329" s="1"/>
      <c r="F329" s="1"/>
      <c r="G329" s="1"/>
      <c r="H329" s="1"/>
    </row>
    <row r="330" spans="1:8" x14ac:dyDescent="0.2">
      <c r="A330" s="1"/>
      <c r="B330" s="1"/>
      <c r="C330" t="str">
        <f>IFERROR(IF(B330="","",VLOOKUP(B330,المستفيدين!$B:$C,2,FALSE)),"")</f>
        <v/>
      </c>
      <c r="E330" s="1"/>
      <c r="F330" s="1"/>
      <c r="G330" s="1"/>
      <c r="H330" s="1"/>
    </row>
    <row r="331" spans="1:8" x14ac:dyDescent="0.2">
      <c r="A331" s="1"/>
      <c r="B331" s="1"/>
      <c r="C331" t="str">
        <f>IFERROR(IF(B331="","",VLOOKUP(B331,المستفيدين!$B:$C,2,FALSE)),"")</f>
        <v/>
      </c>
      <c r="E331" s="1"/>
      <c r="F331" s="1"/>
      <c r="G331" s="1"/>
      <c r="H331" s="1"/>
    </row>
    <row r="332" spans="1:8" x14ac:dyDescent="0.2">
      <c r="A332" s="1"/>
      <c r="B332" s="1"/>
      <c r="C332" t="str">
        <f>IFERROR(IF(B332="","",VLOOKUP(B332,المستفيدين!$B:$C,2,FALSE)),"")</f>
        <v/>
      </c>
      <c r="E332" s="1"/>
      <c r="F332" s="1"/>
      <c r="G332" s="1"/>
      <c r="H332" s="1"/>
    </row>
    <row r="333" spans="1:8" x14ac:dyDescent="0.2">
      <c r="A333" s="1"/>
      <c r="B333" s="1"/>
      <c r="C333" t="str">
        <f>IFERROR(IF(B333="","",VLOOKUP(B333,المستفيدين!$B:$C,2,FALSE)),"")</f>
        <v/>
      </c>
      <c r="E333" s="1"/>
      <c r="F333" s="1"/>
      <c r="G333" s="1"/>
      <c r="H333" s="1"/>
    </row>
    <row r="334" spans="1:8" x14ac:dyDescent="0.2">
      <c r="A334" s="1"/>
      <c r="B334" s="1"/>
      <c r="C334" t="str">
        <f>IFERROR(IF(B334="","",VLOOKUP(B334,المستفيدين!$B:$C,2,FALSE)),"")</f>
        <v/>
      </c>
      <c r="E334" s="1"/>
      <c r="F334" s="1"/>
      <c r="G334" s="1"/>
      <c r="H334" s="1"/>
    </row>
    <row r="335" spans="1:8" x14ac:dyDescent="0.2">
      <c r="A335" s="1"/>
      <c r="B335" s="1"/>
      <c r="C335" t="str">
        <f>IFERROR(IF(B335="","",VLOOKUP(B335,المستفيدين!$B:$C,2,FALSE)),"")</f>
        <v/>
      </c>
      <c r="E335" s="1"/>
      <c r="F335" s="1"/>
      <c r="G335" s="1"/>
      <c r="H335" s="1"/>
    </row>
    <row r="336" spans="1:8" x14ac:dyDescent="0.2">
      <c r="A336" s="1"/>
      <c r="B336" s="1"/>
      <c r="C336" t="str">
        <f>IFERROR(IF(B336="","",VLOOKUP(B336,المستفيدين!$B:$C,2,FALSE)),"")</f>
        <v/>
      </c>
      <c r="E336" s="1"/>
      <c r="F336" s="1"/>
      <c r="G336" s="1"/>
      <c r="H336" s="1"/>
    </row>
    <row r="337" spans="1:8" x14ac:dyDescent="0.2">
      <c r="A337" s="1"/>
      <c r="B337" s="1"/>
      <c r="C337" t="str">
        <f>IFERROR(IF(B337="","",VLOOKUP(B337,المستفيدين!$B:$C,2,FALSE)),"")</f>
        <v/>
      </c>
      <c r="E337" s="1"/>
      <c r="F337" s="1"/>
      <c r="G337" s="1"/>
      <c r="H337" s="1"/>
    </row>
    <row r="338" spans="1:8" x14ac:dyDescent="0.2">
      <c r="A338" s="1"/>
      <c r="B338" s="1"/>
      <c r="C338" t="str">
        <f>IFERROR(IF(B338="","",VLOOKUP(B338,المستفيدين!$B:$C,2,FALSE)),"")</f>
        <v/>
      </c>
      <c r="E338" s="1"/>
      <c r="F338" s="1"/>
      <c r="G338" s="1"/>
      <c r="H338" s="1"/>
    </row>
    <row r="339" spans="1:8" x14ac:dyDescent="0.2">
      <c r="A339" s="1"/>
      <c r="B339" s="1"/>
      <c r="C339" t="str">
        <f>IFERROR(IF(B339="","",VLOOKUP(B339,المستفيدين!$B:$C,2,FALSE)),"")</f>
        <v/>
      </c>
      <c r="E339" s="1"/>
      <c r="F339" s="1"/>
      <c r="G339" s="1"/>
      <c r="H339" s="1"/>
    </row>
    <row r="340" spans="1:8" x14ac:dyDescent="0.2">
      <c r="A340" s="1"/>
      <c r="B340" s="1"/>
      <c r="C340" t="str">
        <f>IFERROR(IF(B340="","",VLOOKUP(B340,المستفيدين!$B:$C,2,FALSE)),"")</f>
        <v/>
      </c>
      <c r="E340" s="1"/>
      <c r="F340" s="1"/>
      <c r="G340" s="1"/>
      <c r="H340" s="1"/>
    </row>
    <row r="341" spans="1:8" x14ac:dyDescent="0.2">
      <c r="A341" s="1"/>
      <c r="B341" s="1"/>
      <c r="C341" t="str">
        <f>IFERROR(IF(B341="","",VLOOKUP(B341,المستفيدين!$B:$C,2,FALSE)),"")</f>
        <v/>
      </c>
      <c r="E341" s="1"/>
      <c r="F341" s="1"/>
      <c r="G341" s="1"/>
      <c r="H341" s="1"/>
    </row>
    <row r="342" spans="1:8" x14ac:dyDescent="0.2">
      <c r="A342" s="1"/>
      <c r="B342" s="1"/>
      <c r="C342" t="str">
        <f>IFERROR(IF(B342="","",VLOOKUP(B342,المستفيدين!$B:$C,2,FALSE)),"")</f>
        <v/>
      </c>
      <c r="E342" s="1"/>
      <c r="F342" s="1"/>
      <c r="G342" s="1"/>
      <c r="H342" s="1"/>
    </row>
    <row r="343" spans="1:8" x14ac:dyDescent="0.2">
      <c r="A343" s="1"/>
      <c r="B343" s="1"/>
      <c r="C343" t="str">
        <f>IFERROR(IF(B343="","",VLOOKUP(B343,المستفيدين!$B:$C,2,FALSE)),"")</f>
        <v/>
      </c>
      <c r="E343" s="1"/>
      <c r="F343" s="1"/>
      <c r="G343" s="1"/>
      <c r="H343" s="1"/>
    </row>
    <row r="344" spans="1:8" x14ac:dyDescent="0.2">
      <c r="A344" s="1"/>
      <c r="B344" s="1"/>
      <c r="C344" t="str">
        <f>IFERROR(IF(B344="","",VLOOKUP(B344,المستفيدين!$B:$C,2,FALSE)),"")</f>
        <v/>
      </c>
      <c r="E344" s="1"/>
      <c r="F344" s="1"/>
      <c r="G344" s="1"/>
      <c r="H344" s="1"/>
    </row>
    <row r="345" spans="1:8" x14ac:dyDescent="0.2">
      <c r="A345" s="1"/>
      <c r="B345" s="1"/>
      <c r="C345" t="str">
        <f>IFERROR(IF(B345="","",VLOOKUP(B345,المستفيدين!$B:$C,2,FALSE)),"")</f>
        <v/>
      </c>
      <c r="E345" s="1"/>
      <c r="F345" s="1"/>
      <c r="G345" s="1"/>
      <c r="H345" s="1"/>
    </row>
    <row r="346" spans="1:8" x14ac:dyDescent="0.2">
      <c r="A346" s="1"/>
      <c r="B346" s="1"/>
      <c r="C346" t="str">
        <f>IFERROR(IF(B346="","",VLOOKUP(B346,المستفيدين!$B:$C,2,FALSE)),"")</f>
        <v/>
      </c>
      <c r="E346" s="1"/>
      <c r="F346" s="1"/>
      <c r="G346" s="1"/>
      <c r="H346" s="1"/>
    </row>
    <row r="347" spans="1:8" x14ac:dyDescent="0.2">
      <c r="A347" s="1"/>
      <c r="B347" s="1"/>
      <c r="C347" t="str">
        <f>IFERROR(IF(B347="","",VLOOKUP(B347,المستفيدين!$B:$C,2,FALSE)),"")</f>
        <v/>
      </c>
      <c r="E347" s="1"/>
      <c r="F347" s="1"/>
      <c r="G347" s="1"/>
      <c r="H347" s="1"/>
    </row>
    <row r="348" spans="1:8" x14ac:dyDescent="0.2">
      <c r="A348" s="1"/>
      <c r="B348" s="1"/>
      <c r="C348" t="str">
        <f>IFERROR(IF(B348="","",VLOOKUP(B348,المستفيدين!$B:$C,2,FALSE)),"")</f>
        <v/>
      </c>
      <c r="E348" s="1"/>
      <c r="F348" s="1"/>
      <c r="G348" s="1"/>
      <c r="H348" s="1"/>
    </row>
    <row r="349" spans="1:8" x14ac:dyDescent="0.2">
      <c r="A349" s="1"/>
      <c r="B349" s="1"/>
      <c r="C349" t="str">
        <f>IFERROR(IF(B349="","",VLOOKUP(B349,المستفيدين!$B:$C,2,FALSE)),"")</f>
        <v/>
      </c>
      <c r="E349" s="1"/>
      <c r="F349" s="1"/>
      <c r="G349" s="1"/>
      <c r="H349" s="1"/>
    </row>
    <row r="350" spans="1:8" x14ac:dyDescent="0.2">
      <c r="A350" s="1"/>
      <c r="B350" s="1"/>
      <c r="C350" t="str">
        <f>IFERROR(IF(B350="","",VLOOKUP(B350,المستفيدين!$B:$C,2,FALSE)),"")</f>
        <v/>
      </c>
      <c r="E350" s="1"/>
      <c r="F350" s="1"/>
      <c r="G350" s="1"/>
      <c r="H350" s="1"/>
    </row>
    <row r="351" spans="1:8" x14ac:dyDescent="0.2">
      <c r="A351" s="1"/>
      <c r="B351" s="1"/>
      <c r="C351" t="str">
        <f>IFERROR(IF(B351="","",VLOOKUP(B351,المستفيدين!$B:$C,2,FALSE)),"")</f>
        <v/>
      </c>
      <c r="E351" s="1"/>
      <c r="F351" s="1"/>
      <c r="G351" s="1"/>
      <c r="H351" s="1"/>
    </row>
    <row r="352" spans="1:8" x14ac:dyDescent="0.2">
      <c r="A352" s="1"/>
      <c r="B352" s="1"/>
      <c r="C352" t="str">
        <f>IFERROR(IF(B352="","",VLOOKUP(B352,المستفيدين!$B:$C,2,FALSE)),"")</f>
        <v/>
      </c>
      <c r="E352" s="1"/>
      <c r="F352" s="1"/>
      <c r="G352" s="1"/>
      <c r="H352" s="1"/>
    </row>
    <row r="353" spans="1:8" x14ac:dyDescent="0.2">
      <c r="A353" s="1"/>
      <c r="B353" s="1"/>
      <c r="C353" t="str">
        <f>IFERROR(IF(B353="","",VLOOKUP(B353,المستفيدين!$B:$C,2,FALSE)),"")</f>
        <v/>
      </c>
      <c r="E353" s="1"/>
      <c r="F353" s="1"/>
      <c r="G353" s="1"/>
      <c r="H353" s="1"/>
    </row>
    <row r="354" spans="1:8" x14ac:dyDescent="0.2">
      <c r="A354" s="1"/>
      <c r="B354" s="1"/>
      <c r="C354" t="str">
        <f>IFERROR(IF(B354="","",VLOOKUP(B354,المستفيدين!$B:$C,2,FALSE)),"")</f>
        <v/>
      </c>
      <c r="E354" s="1"/>
      <c r="F354" s="1"/>
      <c r="G354" s="1"/>
      <c r="H354" s="1"/>
    </row>
    <row r="355" spans="1:8" x14ac:dyDescent="0.2">
      <c r="A355" s="1"/>
      <c r="B355" s="1"/>
      <c r="C355" t="str">
        <f>IFERROR(IF(B355="","",VLOOKUP(B355,المستفيدين!$B:$C,2,FALSE)),"")</f>
        <v/>
      </c>
      <c r="E355" s="1"/>
      <c r="F355" s="1"/>
      <c r="G355" s="1"/>
      <c r="H355" s="1"/>
    </row>
    <row r="356" spans="1:8" x14ac:dyDescent="0.2">
      <c r="A356" s="1"/>
      <c r="B356" s="1"/>
      <c r="C356" t="str">
        <f>IFERROR(IF(B356="","",VLOOKUP(B356,المستفيدين!$B:$C,2,FALSE)),"")</f>
        <v/>
      </c>
      <c r="E356" s="1"/>
      <c r="F356" s="1"/>
      <c r="G356" s="1"/>
      <c r="H356" s="1"/>
    </row>
    <row r="357" spans="1:8" x14ac:dyDescent="0.2">
      <c r="A357" s="1"/>
      <c r="B357" s="1"/>
      <c r="C357" t="str">
        <f>IFERROR(IF(B357="","",VLOOKUP(B357,المستفيدين!$B:$C,2,FALSE)),"")</f>
        <v/>
      </c>
      <c r="E357" s="1"/>
      <c r="F357" s="1"/>
      <c r="G357" s="1"/>
      <c r="H357" s="1"/>
    </row>
    <row r="358" spans="1:8" x14ac:dyDescent="0.2">
      <c r="A358" s="1"/>
      <c r="B358" s="1"/>
      <c r="C358" t="str">
        <f>IFERROR(IF(B358="","",VLOOKUP(B358,المستفيدين!$B:$C,2,FALSE)),"")</f>
        <v/>
      </c>
      <c r="E358" s="1"/>
      <c r="F358" s="1"/>
      <c r="G358" s="1"/>
      <c r="H358" s="1"/>
    </row>
    <row r="359" spans="1:8" x14ac:dyDescent="0.2">
      <c r="A359" s="1"/>
      <c r="B359" s="1"/>
      <c r="C359" t="str">
        <f>IFERROR(IF(B359="","",VLOOKUP(B359,المستفيدين!$B:$C,2,FALSE)),"")</f>
        <v/>
      </c>
      <c r="E359" s="1"/>
      <c r="F359" s="1"/>
      <c r="G359" s="1"/>
      <c r="H359" s="1"/>
    </row>
    <row r="360" spans="1:8" x14ac:dyDescent="0.2">
      <c r="A360" s="1"/>
      <c r="B360" s="1"/>
      <c r="C360" t="str">
        <f>IFERROR(IF(B360="","",VLOOKUP(B360,المستفيدين!$B:$C,2,FALSE)),"")</f>
        <v/>
      </c>
      <c r="E360" s="1"/>
      <c r="F360" s="1"/>
      <c r="G360" s="1"/>
      <c r="H360" s="1"/>
    </row>
    <row r="361" spans="1:8" x14ac:dyDescent="0.2">
      <c r="A361" s="1"/>
      <c r="B361" s="1"/>
      <c r="C361" t="str">
        <f>IFERROR(IF(B361="","",VLOOKUP(B361,المستفيدين!$B:$C,2,FALSE)),"")</f>
        <v/>
      </c>
      <c r="E361" s="1"/>
      <c r="F361" s="1"/>
      <c r="G361" s="1"/>
      <c r="H361" s="1"/>
    </row>
    <row r="362" spans="1:8" x14ac:dyDescent="0.2">
      <c r="A362" s="1"/>
      <c r="B362" s="1"/>
      <c r="C362" t="str">
        <f>IFERROR(IF(B362="","",VLOOKUP(B362,المستفيدين!$B:$C,2,FALSE)),"")</f>
        <v/>
      </c>
      <c r="E362" s="1"/>
      <c r="F362" s="1"/>
      <c r="G362" s="1"/>
      <c r="H362" s="1"/>
    </row>
    <row r="363" spans="1:8" x14ac:dyDescent="0.2">
      <c r="A363" s="1"/>
      <c r="B363" s="1"/>
      <c r="C363" t="str">
        <f>IFERROR(IF(B363="","",VLOOKUP(B363,المستفيدين!$B:$C,2,FALSE)),"")</f>
        <v/>
      </c>
      <c r="E363" s="1"/>
      <c r="F363" s="1"/>
      <c r="G363" s="1"/>
      <c r="H363" s="1"/>
    </row>
    <row r="364" spans="1:8" x14ac:dyDescent="0.2">
      <c r="A364" s="1"/>
      <c r="B364" s="1"/>
      <c r="C364" t="str">
        <f>IFERROR(IF(B364="","",VLOOKUP(B364,المستفيدين!$B:$C,2,FALSE)),"")</f>
        <v/>
      </c>
      <c r="E364" s="1"/>
      <c r="F364" s="1"/>
      <c r="G364" s="1"/>
      <c r="H364" s="1"/>
    </row>
    <row r="365" spans="1:8" x14ac:dyDescent="0.2">
      <c r="A365" s="1"/>
      <c r="B365" s="1"/>
      <c r="C365" t="str">
        <f>IFERROR(IF(B365="","",VLOOKUP(B365,المستفيدين!$B:$C,2,FALSE)),"")</f>
        <v/>
      </c>
      <c r="E365" s="1"/>
      <c r="F365" s="1"/>
      <c r="G365" s="1"/>
      <c r="H365" s="1"/>
    </row>
    <row r="366" spans="1:8" x14ac:dyDescent="0.2">
      <c r="A366" s="1"/>
      <c r="B366" s="1"/>
      <c r="C366" t="str">
        <f>IFERROR(IF(B366="","",VLOOKUP(B366,المستفيدين!$B:$C,2,FALSE)),"")</f>
        <v/>
      </c>
      <c r="E366" s="1"/>
      <c r="F366" s="1"/>
      <c r="G366" s="1"/>
      <c r="H366" s="1"/>
    </row>
    <row r="367" spans="1:8" x14ac:dyDescent="0.2">
      <c r="A367" s="1"/>
      <c r="B367" s="1"/>
      <c r="C367" t="str">
        <f>IFERROR(IF(B367="","",VLOOKUP(B367,المستفيدين!$B:$C,2,FALSE)),"")</f>
        <v/>
      </c>
      <c r="E367" s="1"/>
      <c r="F367" s="1"/>
      <c r="G367" s="1"/>
      <c r="H367" s="1"/>
    </row>
    <row r="368" spans="1:8" x14ac:dyDescent="0.2">
      <c r="A368" s="1"/>
      <c r="B368" s="1"/>
      <c r="C368" t="str">
        <f>IFERROR(IF(B368="","",VLOOKUP(B368,المستفيدين!$B:$C,2,FALSE)),"")</f>
        <v/>
      </c>
      <c r="E368" s="1"/>
      <c r="F368" s="1"/>
      <c r="G368" s="1"/>
      <c r="H368" s="1"/>
    </row>
    <row r="369" spans="1:8" x14ac:dyDescent="0.2">
      <c r="A369" s="1"/>
      <c r="B369" s="1"/>
      <c r="C369" t="str">
        <f>IFERROR(IF(B369="","",VLOOKUP(B369,المستفيدين!$B:$C,2,FALSE)),"")</f>
        <v/>
      </c>
      <c r="E369" s="1"/>
      <c r="F369" s="1"/>
      <c r="G369" s="1"/>
      <c r="H369" s="1"/>
    </row>
    <row r="370" spans="1:8" x14ac:dyDescent="0.2">
      <c r="A370" s="1"/>
      <c r="B370" s="1"/>
      <c r="C370" t="str">
        <f>IFERROR(IF(B370="","",VLOOKUP(B370,المستفيدين!$B:$C,2,FALSE)),"")</f>
        <v/>
      </c>
      <c r="E370" s="1"/>
      <c r="F370" s="1"/>
      <c r="G370" s="1"/>
      <c r="H370" s="1"/>
    </row>
    <row r="371" spans="1:8" x14ac:dyDescent="0.2">
      <c r="A371" s="1"/>
      <c r="B371" s="1"/>
      <c r="C371" t="str">
        <f>IFERROR(IF(B371="","",VLOOKUP(B371,المستفيدين!$B:$C,2,FALSE)),"")</f>
        <v/>
      </c>
      <c r="E371" s="1"/>
      <c r="F371" s="1"/>
      <c r="G371" s="1"/>
      <c r="H371" s="1"/>
    </row>
    <row r="372" spans="1:8" x14ac:dyDescent="0.2">
      <c r="A372" s="1"/>
      <c r="B372" s="1"/>
      <c r="C372" t="str">
        <f>IFERROR(IF(B372="","",VLOOKUP(B372,المستفيدين!$B:$C,2,FALSE)),"")</f>
        <v/>
      </c>
      <c r="E372" s="1"/>
      <c r="F372" s="1"/>
      <c r="G372" s="1"/>
      <c r="H372" s="1"/>
    </row>
    <row r="373" spans="1:8" x14ac:dyDescent="0.2">
      <c r="A373" s="1"/>
      <c r="B373" s="1"/>
      <c r="C373" t="str">
        <f>IFERROR(IF(B373="","",VLOOKUP(B373,المستفيدين!$B:$C,2,FALSE)),"")</f>
        <v/>
      </c>
      <c r="E373" s="1"/>
      <c r="F373" s="1"/>
      <c r="G373" s="1"/>
      <c r="H373" s="1"/>
    </row>
    <row r="374" spans="1:8" x14ac:dyDescent="0.2">
      <c r="A374" s="1"/>
      <c r="B374" s="1"/>
      <c r="C374" t="str">
        <f>IFERROR(IF(B374="","",VLOOKUP(B374,المستفيدين!$B:$C,2,FALSE)),"")</f>
        <v/>
      </c>
      <c r="E374" s="1"/>
      <c r="F374" s="1"/>
      <c r="G374" s="1"/>
      <c r="H374" s="1"/>
    </row>
    <row r="375" spans="1:8" x14ac:dyDescent="0.2">
      <c r="A375" s="1"/>
      <c r="B375" s="1"/>
      <c r="C375" t="str">
        <f>IFERROR(IF(B375="","",VLOOKUP(B375,المستفيدين!$B:$C,2,FALSE)),"")</f>
        <v/>
      </c>
      <c r="E375" s="1"/>
      <c r="F375" s="1"/>
      <c r="G375" s="1"/>
      <c r="H375" s="1"/>
    </row>
    <row r="376" spans="1:8" x14ac:dyDescent="0.2">
      <c r="A376" s="1"/>
      <c r="B376" s="1"/>
      <c r="C376" t="str">
        <f>IFERROR(IF(B376="","",VLOOKUP(B376,المستفيدين!$B:$C,2,FALSE)),"")</f>
        <v/>
      </c>
      <c r="E376" s="1"/>
      <c r="F376" s="1"/>
      <c r="G376" s="1"/>
      <c r="H376" s="1"/>
    </row>
    <row r="377" spans="1:8" x14ac:dyDescent="0.2">
      <c r="A377" s="1"/>
      <c r="B377" s="1"/>
      <c r="C377" t="str">
        <f>IFERROR(IF(B377="","",VLOOKUP(B377,المستفيدين!$B:$C,2,FALSE)),"")</f>
        <v/>
      </c>
      <c r="E377" s="1"/>
      <c r="F377" s="1"/>
      <c r="G377" s="1"/>
      <c r="H377" s="1"/>
    </row>
    <row r="378" spans="1:8" x14ac:dyDescent="0.2">
      <c r="A378" s="1"/>
      <c r="B378" s="1"/>
      <c r="C378" t="str">
        <f>IFERROR(IF(B378="","",VLOOKUP(B378,المستفيدين!$B:$C,2,FALSE)),"")</f>
        <v/>
      </c>
      <c r="E378" s="1"/>
      <c r="F378" s="1"/>
      <c r="G378" s="1"/>
      <c r="H378" s="1"/>
    </row>
    <row r="379" spans="1:8" x14ac:dyDescent="0.2">
      <c r="A379" s="1"/>
      <c r="B379" s="1"/>
      <c r="C379" t="str">
        <f>IFERROR(IF(B379="","",VLOOKUP(B379,المستفيدين!$B:$C,2,FALSE)),"")</f>
        <v/>
      </c>
      <c r="E379" s="1"/>
      <c r="F379" s="1"/>
      <c r="G379" s="1"/>
      <c r="H379" s="1"/>
    </row>
    <row r="380" spans="1:8" x14ac:dyDescent="0.2">
      <c r="A380" s="1"/>
      <c r="B380" s="1"/>
      <c r="C380" t="str">
        <f>IFERROR(IF(B380="","",VLOOKUP(B380,المستفيدين!$B:$C,2,FALSE)),"")</f>
        <v/>
      </c>
      <c r="E380" s="1"/>
      <c r="F380" s="1"/>
      <c r="G380" s="1"/>
      <c r="H380" s="1"/>
    </row>
    <row r="381" spans="1:8" x14ac:dyDescent="0.2">
      <c r="A381" s="1"/>
      <c r="B381" s="1"/>
      <c r="C381" t="str">
        <f>IFERROR(IF(B381="","",VLOOKUP(B381,المستفيدين!$B:$C,2,FALSE)),"")</f>
        <v/>
      </c>
      <c r="E381" s="1"/>
      <c r="F381" s="1"/>
      <c r="G381" s="1"/>
      <c r="H381" s="1"/>
    </row>
    <row r="382" spans="1:8" x14ac:dyDescent="0.2">
      <c r="A382" s="1"/>
      <c r="B382" s="1"/>
      <c r="C382" t="str">
        <f>IFERROR(IF(B382="","",VLOOKUP(B382,المستفيدين!$B:$C,2,FALSE)),"")</f>
        <v/>
      </c>
      <c r="E382" s="1"/>
      <c r="F382" s="1"/>
      <c r="G382" s="1"/>
      <c r="H382" s="1"/>
    </row>
    <row r="383" spans="1:8" x14ac:dyDescent="0.2">
      <c r="A383" s="1"/>
      <c r="B383" s="1"/>
      <c r="C383" t="str">
        <f>IFERROR(IF(B383="","",VLOOKUP(B383,المستفيدين!$B:$C,2,FALSE)),"")</f>
        <v/>
      </c>
      <c r="E383" s="1"/>
      <c r="F383" s="1"/>
      <c r="G383" s="1"/>
      <c r="H383" s="1"/>
    </row>
    <row r="384" spans="1:8" x14ac:dyDescent="0.2">
      <c r="A384" s="1"/>
      <c r="B384" s="1"/>
      <c r="C384" t="str">
        <f>IFERROR(IF(B384="","",VLOOKUP(B384,المستفيدين!$B:$C,2,FALSE)),"")</f>
        <v/>
      </c>
      <c r="E384" s="1"/>
      <c r="F384" s="1"/>
      <c r="G384" s="1"/>
      <c r="H384" s="1"/>
    </row>
    <row r="385" spans="1:8" x14ac:dyDescent="0.2">
      <c r="A385" s="1"/>
      <c r="B385" s="1"/>
      <c r="C385" t="str">
        <f>IFERROR(IF(B385="","",VLOOKUP(B385,المستفيدين!$B:$C,2,FALSE)),"")</f>
        <v/>
      </c>
      <c r="E385" s="1"/>
      <c r="F385" s="1"/>
      <c r="G385" s="1"/>
      <c r="H385" s="1"/>
    </row>
    <row r="386" spans="1:8" x14ac:dyDescent="0.2">
      <c r="A386" s="1"/>
      <c r="B386" s="1"/>
      <c r="C386" t="str">
        <f>IFERROR(IF(B386="","",VLOOKUP(B386,المستفيدين!$B:$C,2,FALSE)),"")</f>
        <v/>
      </c>
      <c r="E386" s="1"/>
      <c r="F386" s="1"/>
      <c r="G386" s="1"/>
      <c r="H386" s="1"/>
    </row>
    <row r="387" spans="1:8" x14ac:dyDescent="0.2">
      <c r="A387" s="1"/>
      <c r="B387" s="1"/>
      <c r="C387" t="str">
        <f>IFERROR(IF(B387="","",VLOOKUP(B387,المستفيدين!$B:$C,2,FALSE)),"")</f>
        <v/>
      </c>
      <c r="E387" s="1"/>
      <c r="F387" s="1"/>
      <c r="G387" s="1"/>
      <c r="H387" s="1"/>
    </row>
    <row r="388" spans="1:8" x14ac:dyDescent="0.2">
      <c r="A388" s="1"/>
      <c r="B388" s="1"/>
      <c r="C388" t="str">
        <f>IFERROR(IF(B388="","",VLOOKUP(B388,المستفيدين!$B:$C,2,FALSE)),"")</f>
        <v/>
      </c>
      <c r="E388" s="1"/>
      <c r="F388" s="1"/>
      <c r="G388" s="1"/>
      <c r="H388" s="1"/>
    </row>
    <row r="389" spans="1:8" x14ac:dyDescent="0.2">
      <c r="A389" s="1"/>
      <c r="B389" s="1"/>
      <c r="C389" t="str">
        <f>IFERROR(IF(B389="","",VLOOKUP(B389,المستفيدين!$B:$C,2,FALSE)),"")</f>
        <v/>
      </c>
      <c r="E389" s="1"/>
      <c r="F389" s="1"/>
      <c r="G389" s="1"/>
      <c r="H389" s="1"/>
    </row>
    <row r="390" spans="1:8" x14ac:dyDescent="0.2">
      <c r="A390" s="1"/>
      <c r="B390" s="1"/>
      <c r="C390" t="str">
        <f>IFERROR(IF(B390="","",VLOOKUP(B390,المستفيدين!$B:$C,2,FALSE)),"")</f>
        <v/>
      </c>
      <c r="E390" s="1"/>
      <c r="F390" s="1"/>
      <c r="G390" s="1"/>
      <c r="H390" s="1"/>
    </row>
    <row r="391" spans="1:8" x14ac:dyDescent="0.2">
      <c r="A391" s="1"/>
      <c r="B391" s="1"/>
      <c r="C391" t="str">
        <f>IFERROR(IF(B391="","",VLOOKUP(B391,المستفيدين!$B:$C,2,FALSE)),"")</f>
        <v/>
      </c>
      <c r="E391" s="1"/>
      <c r="F391" s="1"/>
      <c r="G391" s="1"/>
      <c r="H391" s="1"/>
    </row>
    <row r="392" spans="1:8" x14ac:dyDescent="0.2">
      <c r="A392" s="1"/>
      <c r="B392" s="1"/>
      <c r="C392" t="str">
        <f>IFERROR(IF(B392="","",VLOOKUP(B392,المستفيدين!$B:$C,2,FALSE)),"")</f>
        <v/>
      </c>
      <c r="E392" s="1"/>
      <c r="F392" s="1"/>
      <c r="G392" s="1"/>
      <c r="H392" s="1"/>
    </row>
    <row r="393" spans="1:8" x14ac:dyDescent="0.2">
      <c r="A393" s="1"/>
      <c r="B393" s="1"/>
      <c r="C393" t="str">
        <f>IFERROR(IF(B393="","",VLOOKUP(B393,المستفيدين!$B:$C,2,FALSE)),"")</f>
        <v/>
      </c>
      <c r="E393" s="1"/>
      <c r="F393" s="1"/>
      <c r="G393" s="1"/>
      <c r="H393" s="1"/>
    </row>
    <row r="394" spans="1:8" x14ac:dyDescent="0.2">
      <c r="A394" s="1"/>
      <c r="B394" s="1"/>
      <c r="C394" t="str">
        <f>IFERROR(IF(B394="","",VLOOKUP(B394,المستفيدين!$B:$C,2,FALSE)),"")</f>
        <v/>
      </c>
      <c r="E394" s="1"/>
      <c r="F394" s="1"/>
      <c r="G394" s="1"/>
      <c r="H394" s="1"/>
    </row>
    <row r="395" spans="1:8" x14ac:dyDescent="0.2">
      <c r="A395" s="1"/>
      <c r="B395" s="1"/>
      <c r="C395" t="str">
        <f>IFERROR(IF(B395="","",VLOOKUP(B395,المستفيدين!$B:$C,2,FALSE)),"")</f>
        <v/>
      </c>
      <c r="E395" s="1"/>
      <c r="F395" s="1"/>
      <c r="G395" s="1"/>
      <c r="H395" s="1"/>
    </row>
    <row r="396" spans="1:8" x14ac:dyDescent="0.2">
      <c r="A396" s="1"/>
      <c r="B396" s="1"/>
      <c r="C396" t="str">
        <f>IFERROR(IF(B396="","",VLOOKUP(B396,المستفيدين!$B:$C,2,FALSE)),"")</f>
        <v/>
      </c>
      <c r="E396" s="1"/>
      <c r="F396" s="1"/>
      <c r="G396" s="1"/>
      <c r="H396" s="1"/>
    </row>
    <row r="397" spans="1:8" x14ac:dyDescent="0.2">
      <c r="A397" s="1"/>
      <c r="B397" s="1"/>
      <c r="C397" t="str">
        <f>IFERROR(IF(B397="","",VLOOKUP(B397,المستفيدين!$B:$C,2,FALSE)),"")</f>
        <v/>
      </c>
      <c r="E397" s="1"/>
      <c r="F397" s="1"/>
      <c r="G397" s="1"/>
      <c r="H397" s="1"/>
    </row>
    <row r="398" spans="1:8" x14ac:dyDescent="0.2">
      <c r="A398" s="1"/>
      <c r="B398" s="1"/>
      <c r="C398" t="str">
        <f>IFERROR(IF(B398="","",VLOOKUP(B398,المستفيدين!$B:$C,2,FALSE)),"")</f>
        <v/>
      </c>
      <c r="E398" s="1"/>
      <c r="F398" s="1"/>
      <c r="G398" s="1"/>
      <c r="H398" s="1"/>
    </row>
    <row r="399" spans="1:8" x14ac:dyDescent="0.2">
      <c r="A399" s="1"/>
      <c r="B399" s="1"/>
      <c r="C399" t="str">
        <f>IFERROR(IF(B399="","",VLOOKUP(B399,المستفيدين!$B:$C,2,FALSE)),"")</f>
        <v/>
      </c>
      <c r="E399" s="1"/>
      <c r="F399" s="1"/>
      <c r="G399" s="1"/>
      <c r="H399" s="1"/>
    </row>
    <row r="400" spans="1:8" x14ac:dyDescent="0.2">
      <c r="A400" s="1"/>
      <c r="B400" s="1"/>
      <c r="C400" t="str">
        <f>IFERROR(IF(B400="","",VLOOKUP(B400,المستفيدين!$B:$C,2,FALSE)),"")</f>
        <v/>
      </c>
      <c r="E400" s="1"/>
      <c r="F400" s="1"/>
      <c r="G400" s="1"/>
      <c r="H400" s="1"/>
    </row>
    <row r="401" spans="1:8" x14ac:dyDescent="0.2">
      <c r="A401" s="1"/>
      <c r="B401" s="1"/>
      <c r="C401" t="str">
        <f>IFERROR(IF(B401="","",VLOOKUP(B401,المستفيدين!$B:$C,2,FALSE)),"")</f>
        <v/>
      </c>
      <c r="E401" s="1"/>
      <c r="F401" s="1"/>
      <c r="G401" s="1"/>
      <c r="H401" s="1"/>
    </row>
    <row r="402" spans="1:8" x14ac:dyDescent="0.2">
      <c r="A402" s="1"/>
      <c r="B402" s="1"/>
      <c r="C402" t="str">
        <f>IFERROR(IF(B402="","",VLOOKUP(B402,المستفيدين!$B:$C,2,FALSE)),"")</f>
        <v/>
      </c>
      <c r="E402" s="1"/>
      <c r="F402" s="1"/>
      <c r="G402" s="1"/>
      <c r="H402" s="1"/>
    </row>
    <row r="403" spans="1:8" x14ac:dyDescent="0.2">
      <c r="A403" s="1"/>
      <c r="B403" s="1"/>
      <c r="C403" t="str">
        <f>IFERROR(IF(B403="","",VLOOKUP(B403,المستفيدين!$B:$C,2,FALSE)),"")</f>
        <v/>
      </c>
      <c r="E403" s="1"/>
      <c r="F403" s="1"/>
      <c r="G403" s="1"/>
      <c r="H403" s="1"/>
    </row>
    <row r="404" spans="1:8" x14ac:dyDescent="0.2">
      <c r="A404" s="1"/>
      <c r="B404" s="1"/>
      <c r="C404" t="str">
        <f>IFERROR(IF(B404="","",VLOOKUP(B404,المستفيدين!$B:$C,2,FALSE)),"")</f>
        <v/>
      </c>
      <c r="E404" s="1"/>
      <c r="F404" s="1"/>
      <c r="G404" s="1"/>
      <c r="H404" s="1"/>
    </row>
    <row r="405" spans="1:8" x14ac:dyDescent="0.2">
      <c r="A405" s="1"/>
      <c r="B405" s="1"/>
      <c r="C405" t="str">
        <f>IFERROR(IF(B405="","",VLOOKUP(B405,المستفيدين!$B:$C,2,FALSE)),"")</f>
        <v/>
      </c>
      <c r="E405" s="1"/>
      <c r="F405" s="1"/>
      <c r="G405" s="1"/>
      <c r="H405" s="1"/>
    </row>
    <row r="406" spans="1:8" x14ac:dyDescent="0.2">
      <c r="A406" s="1"/>
      <c r="B406" s="1"/>
      <c r="C406" t="str">
        <f>IFERROR(IF(B406="","",VLOOKUP(B406,المستفيدين!$B:$C,2,FALSE)),"")</f>
        <v/>
      </c>
      <c r="E406" s="1"/>
      <c r="F406" s="1"/>
      <c r="G406" s="1"/>
      <c r="H406" s="1"/>
    </row>
    <row r="407" spans="1:8" x14ac:dyDescent="0.2">
      <c r="A407" s="1"/>
      <c r="B407" s="1"/>
      <c r="C407" t="str">
        <f>IFERROR(IF(B407="","",VLOOKUP(B407,المستفيدين!$B:$C,2,FALSE)),"")</f>
        <v/>
      </c>
      <c r="E407" s="1"/>
      <c r="F407" s="1"/>
      <c r="G407" s="1"/>
      <c r="H407" s="1"/>
    </row>
    <row r="408" spans="1:8" x14ac:dyDescent="0.2">
      <c r="A408" s="1"/>
      <c r="B408" s="1"/>
      <c r="C408" t="str">
        <f>IFERROR(IF(B408="","",VLOOKUP(B408,المستفيدين!$B:$C,2,FALSE)),"")</f>
        <v/>
      </c>
      <c r="E408" s="1"/>
      <c r="F408" s="1"/>
      <c r="G408" s="1"/>
      <c r="H408" s="1"/>
    </row>
    <row r="409" spans="1:8" x14ac:dyDescent="0.2">
      <c r="A409" s="1"/>
      <c r="B409" s="1"/>
      <c r="C409" t="str">
        <f>IFERROR(IF(B409="","",VLOOKUP(B409,المستفيدين!$B:$C,2,FALSE)),"")</f>
        <v/>
      </c>
      <c r="E409" s="1"/>
      <c r="F409" s="1"/>
      <c r="G409" s="1"/>
      <c r="H409" s="1"/>
    </row>
    <row r="410" spans="1:8" x14ac:dyDescent="0.2">
      <c r="A410" s="1"/>
      <c r="B410" s="1"/>
      <c r="C410" t="str">
        <f>IFERROR(IF(B410="","",VLOOKUP(B410,المستفيدين!$B:$C,2,FALSE)),"")</f>
        <v/>
      </c>
      <c r="E410" s="1"/>
      <c r="F410" s="1"/>
      <c r="G410" s="1"/>
      <c r="H410" s="1"/>
    </row>
    <row r="411" spans="1:8" x14ac:dyDescent="0.2">
      <c r="A411" s="1"/>
      <c r="B411" s="1"/>
      <c r="C411" t="str">
        <f>IFERROR(IF(B411="","",VLOOKUP(B411,المستفيدين!$B:$C,2,FALSE)),"")</f>
        <v/>
      </c>
      <c r="E411" s="1"/>
      <c r="F411" s="1"/>
      <c r="G411" s="1"/>
      <c r="H411" s="1"/>
    </row>
    <row r="412" spans="1:8" x14ac:dyDescent="0.2">
      <c r="A412" s="1"/>
      <c r="B412" s="1"/>
      <c r="C412" t="str">
        <f>IFERROR(IF(B412="","",VLOOKUP(B412,المستفيدين!$B:$C,2,FALSE)),"")</f>
        <v/>
      </c>
      <c r="E412" s="1"/>
      <c r="F412" s="1"/>
      <c r="G412" s="1"/>
      <c r="H412" s="1"/>
    </row>
    <row r="413" spans="1:8" x14ac:dyDescent="0.2">
      <c r="A413" s="1"/>
      <c r="B413" s="1"/>
      <c r="C413" t="str">
        <f>IFERROR(IF(B413="","",VLOOKUP(B413,المستفيدين!$B:$C,2,FALSE)),"")</f>
        <v/>
      </c>
      <c r="E413" s="1"/>
      <c r="F413" s="1"/>
      <c r="G413" s="1"/>
      <c r="H413" s="1"/>
    </row>
    <row r="414" spans="1:8" x14ac:dyDescent="0.2">
      <c r="A414" s="1"/>
      <c r="B414" s="1"/>
      <c r="C414" t="str">
        <f>IFERROR(IF(B414="","",VLOOKUP(B414,المستفيدين!$B:$C,2,FALSE)),"")</f>
        <v/>
      </c>
      <c r="E414" s="1"/>
      <c r="F414" s="1"/>
      <c r="G414" s="1"/>
      <c r="H414" s="1"/>
    </row>
    <row r="415" spans="1:8" x14ac:dyDescent="0.2">
      <c r="A415" s="1"/>
      <c r="B415" s="1"/>
      <c r="C415" t="str">
        <f>IFERROR(IF(B415="","",VLOOKUP(B415,المستفيدين!$B:$C,2,FALSE)),"")</f>
        <v/>
      </c>
      <c r="E415" s="1"/>
      <c r="F415" s="1"/>
      <c r="G415" s="1"/>
      <c r="H415" s="1"/>
    </row>
    <row r="416" spans="1:8" x14ac:dyDescent="0.2">
      <c r="A416" s="1"/>
      <c r="B416" s="1"/>
      <c r="C416" t="str">
        <f>IFERROR(IF(B416="","",VLOOKUP(B416,المستفيدين!$B:$C,2,FALSE)),"")</f>
        <v/>
      </c>
      <c r="E416" s="1"/>
      <c r="F416" s="1"/>
      <c r="G416" s="1"/>
      <c r="H416" s="1"/>
    </row>
    <row r="417" spans="1:8" x14ac:dyDescent="0.2">
      <c r="A417" s="1"/>
      <c r="B417" s="1"/>
      <c r="C417" t="str">
        <f>IFERROR(IF(B417="","",VLOOKUP(B417,المستفيدين!$B:$C,2,FALSE)),"")</f>
        <v/>
      </c>
      <c r="E417" s="1"/>
      <c r="F417" s="1"/>
      <c r="G417" s="1"/>
      <c r="H417" s="1"/>
    </row>
    <row r="418" spans="1:8" x14ac:dyDescent="0.2">
      <c r="A418" s="1"/>
      <c r="B418" s="1"/>
      <c r="C418" t="str">
        <f>IFERROR(IF(B418="","",VLOOKUP(B418,المستفيدين!$B:$C,2,FALSE)),"")</f>
        <v/>
      </c>
      <c r="E418" s="1"/>
      <c r="F418" s="1"/>
      <c r="G418" s="1"/>
      <c r="H418" s="1"/>
    </row>
    <row r="419" spans="1:8" x14ac:dyDescent="0.2">
      <c r="A419" s="1"/>
      <c r="B419" s="1"/>
      <c r="C419" t="str">
        <f>IFERROR(IF(B419="","",VLOOKUP(B419,المستفيدين!$B:$C,2,FALSE)),"")</f>
        <v/>
      </c>
      <c r="E419" s="1"/>
      <c r="F419" s="1"/>
      <c r="G419" s="1"/>
      <c r="H419" s="1"/>
    </row>
    <row r="420" spans="1:8" x14ac:dyDescent="0.2">
      <c r="A420" s="1"/>
      <c r="B420" s="1"/>
      <c r="C420" t="str">
        <f>IFERROR(IF(B420="","",VLOOKUP(B420,المستفيدين!$B:$C,2,FALSE)),"")</f>
        <v/>
      </c>
      <c r="E420" s="1"/>
      <c r="F420" s="1"/>
      <c r="G420" s="1"/>
      <c r="H420" s="1"/>
    </row>
    <row r="421" spans="1:8" x14ac:dyDescent="0.2">
      <c r="A421" s="1"/>
      <c r="B421" s="1"/>
      <c r="C421" t="str">
        <f>IFERROR(IF(B421="","",VLOOKUP(B421,المستفيدين!$B:$C,2,FALSE)),"")</f>
        <v/>
      </c>
      <c r="E421" s="1"/>
      <c r="F421" s="1"/>
      <c r="G421" s="1"/>
      <c r="H421" s="1"/>
    </row>
    <row r="422" spans="1:8" x14ac:dyDescent="0.2">
      <c r="A422" s="1"/>
      <c r="B422" s="1"/>
      <c r="C422" t="str">
        <f>IFERROR(IF(B422="","",VLOOKUP(B422,المستفيدين!$B:$C,2,FALSE)),"")</f>
        <v/>
      </c>
      <c r="E422" s="1"/>
      <c r="F422" s="1"/>
      <c r="G422" s="1"/>
      <c r="H422" s="1"/>
    </row>
    <row r="423" spans="1:8" x14ac:dyDescent="0.2">
      <c r="A423" s="1"/>
      <c r="B423" s="1"/>
      <c r="C423" t="str">
        <f>IFERROR(IF(B423="","",VLOOKUP(B423,المستفيدين!$B:$C,2,FALSE)),"")</f>
        <v/>
      </c>
      <c r="E423" s="1"/>
      <c r="F423" s="1"/>
      <c r="G423" s="1"/>
      <c r="H423" s="1"/>
    </row>
    <row r="424" spans="1:8" x14ac:dyDescent="0.2">
      <c r="A424" s="1"/>
      <c r="B424" s="1"/>
      <c r="C424" t="str">
        <f>IFERROR(IF(B424="","",VLOOKUP(B424,المستفيدين!$B:$C,2,FALSE)),"")</f>
        <v/>
      </c>
      <c r="E424" s="1"/>
      <c r="F424" s="1"/>
      <c r="G424" s="1"/>
      <c r="H424" s="1"/>
    </row>
    <row r="425" spans="1:8" x14ac:dyDescent="0.2">
      <c r="A425" s="1"/>
      <c r="B425" s="1"/>
      <c r="C425" t="str">
        <f>IFERROR(IF(B425="","",VLOOKUP(B425,المستفيدين!$B:$C,2,FALSE)),"")</f>
        <v/>
      </c>
      <c r="E425" s="1"/>
      <c r="F425" s="1"/>
      <c r="G425" s="1"/>
      <c r="H425" s="1"/>
    </row>
    <row r="426" spans="1:8" x14ac:dyDescent="0.2">
      <c r="A426" s="1"/>
      <c r="B426" s="1"/>
      <c r="C426" t="str">
        <f>IFERROR(IF(B426="","",VLOOKUP(B426,المستفيدين!$B:$C,2,FALSE)),"")</f>
        <v/>
      </c>
      <c r="E426" s="1"/>
      <c r="F426" s="1"/>
      <c r="G426" s="1"/>
      <c r="H426" s="1"/>
    </row>
    <row r="427" spans="1:8" x14ac:dyDescent="0.2">
      <c r="A427" s="1"/>
      <c r="B427" s="1"/>
      <c r="C427" t="str">
        <f>IFERROR(IF(B427="","",VLOOKUP(B427,المستفيدين!$B:$C,2,FALSE)),"")</f>
        <v/>
      </c>
      <c r="E427" s="1"/>
      <c r="F427" s="1"/>
      <c r="G427" s="1"/>
      <c r="H427" s="1"/>
    </row>
    <row r="428" spans="1:8" x14ac:dyDescent="0.2">
      <c r="A428" s="1"/>
      <c r="B428" s="1"/>
      <c r="C428" t="str">
        <f>IFERROR(IF(B428="","",VLOOKUP(B428,المستفيدين!$B:$C,2,FALSE)),"")</f>
        <v/>
      </c>
      <c r="E428" s="1"/>
      <c r="F428" s="1"/>
      <c r="G428" s="1"/>
      <c r="H428" s="1"/>
    </row>
    <row r="429" spans="1:8" x14ac:dyDescent="0.2">
      <c r="A429" s="1"/>
      <c r="B429" s="1"/>
      <c r="C429" t="str">
        <f>IFERROR(IF(B429="","",VLOOKUP(B429,المستفيدين!$B:$C,2,FALSE)),"")</f>
        <v/>
      </c>
      <c r="E429" s="1"/>
      <c r="F429" s="1"/>
      <c r="G429" s="1"/>
      <c r="H429" s="1"/>
    </row>
    <row r="430" spans="1:8" x14ac:dyDescent="0.2">
      <c r="A430" s="1"/>
      <c r="B430" s="1"/>
      <c r="C430" t="str">
        <f>IFERROR(IF(B430="","",VLOOKUP(B430,المستفيدين!$B:$C,2,FALSE)),"")</f>
        <v/>
      </c>
      <c r="E430" s="1"/>
      <c r="F430" s="1"/>
      <c r="G430" s="1"/>
      <c r="H430" s="1"/>
    </row>
    <row r="431" spans="1:8" x14ac:dyDescent="0.2">
      <c r="A431" s="1"/>
      <c r="B431" s="1"/>
      <c r="C431" t="str">
        <f>IFERROR(IF(B431="","",VLOOKUP(B431,المستفيدين!$B:$C,2,FALSE)),"")</f>
        <v/>
      </c>
      <c r="E431" s="1"/>
      <c r="F431" s="1"/>
      <c r="G431" s="1"/>
      <c r="H431" s="1"/>
    </row>
    <row r="432" spans="1:8" x14ac:dyDescent="0.2">
      <c r="A432" s="1"/>
      <c r="B432" s="1"/>
      <c r="C432" t="str">
        <f>IFERROR(IF(B432="","",VLOOKUP(B432,المستفيدين!$B:$C,2,FALSE)),"")</f>
        <v/>
      </c>
      <c r="E432" s="1"/>
      <c r="F432" s="1"/>
      <c r="G432" s="1"/>
      <c r="H432" s="1"/>
    </row>
    <row r="433" spans="1:8" x14ac:dyDescent="0.2">
      <c r="A433" s="1"/>
      <c r="B433" s="1"/>
      <c r="C433" t="str">
        <f>IFERROR(IF(B433="","",VLOOKUP(B433,المستفيدين!$B:$C,2,FALSE)),"")</f>
        <v/>
      </c>
      <c r="E433" s="1"/>
      <c r="F433" s="1"/>
      <c r="G433" s="1"/>
      <c r="H433" s="1"/>
    </row>
    <row r="434" spans="1:8" x14ac:dyDescent="0.2">
      <c r="A434" s="1"/>
      <c r="B434" s="1"/>
      <c r="C434" t="str">
        <f>IFERROR(IF(B434="","",VLOOKUP(B434,المستفيدين!$B:$C,2,FALSE)),"")</f>
        <v/>
      </c>
      <c r="E434" s="1"/>
      <c r="F434" s="1"/>
      <c r="G434" s="1"/>
      <c r="H434" s="1"/>
    </row>
    <row r="435" spans="1:8" x14ac:dyDescent="0.2">
      <c r="A435" s="1"/>
      <c r="B435" s="1"/>
      <c r="C435" t="str">
        <f>IFERROR(IF(B435="","",VLOOKUP(B435,المستفيدين!$B:$C,2,FALSE)),"")</f>
        <v/>
      </c>
      <c r="E435" s="1"/>
      <c r="F435" s="1"/>
      <c r="G435" s="1"/>
      <c r="H435" s="1"/>
    </row>
    <row r="436" spans="1:8" x14ac:dyDescent="0.2">
      <c r="A436" s="1"/>
      <c r="B436" s="1"/>
      <c r="C436" t="str">
        <f>IFERROR(IF(B436="","",VLOOKUP(B436,المستفيدين!$B:$C,2,FALSE)),"")</f>
        <v/>
      </c>
      <c r="E436" s="1"/>
      <c r="F436" s="1"/>
      <c r="G436" s="1"/>
      <c r="H436" s="1"/>
    </row>
    <row r="437" spans="1:8" x14ac:dyDescent="0.2">
      <c r="A437" s="1"/>
      <c r="B437" s="1"/>
      <c r="C437" t="str">
        <f>IFERROR(IF(B437="","",VLOOKUP(B437,المستفيدين!$B:$C,2,FALSE)),"")</f>
        <v/>
      </c>
      <c r="E437" s="1"/>
      <c r="F437" s="1"/>
      <c r="G437" s="1"/>
      <c r="H437" s="1"/>
    </row>
    <row r="438" spans="1:8" x14ac:dyDescent="0.2">
      <c r="A438" s="1"/>
      <c r="B438" s="1"/>
      <c r="C438" t="str">
        <f>IFERROR(IF(B438="","",VLOOKUP(B438,المستفيدين!$B:$C,2,FALSE)),"")</f>
        <v/>
      </c>
      <c r="E438" s="1"/>
      <c r="F438" s="1"/>
      <c r="G438" s="1"/>
      <c r="H438" s="1"/>
    </row>
    <row r="439" spans="1:8" x14ac:dyDescent="0.2">
      <c r="A439" s="1"/>
      <c r="B439" s="1"/>
      <c r="C439" t="str">
        <f>IFERROR(IF(B439="","",VLOOKUP(B439,المستفيدين!$B:$C,2,FALSE)),"")</f>
        <v/>
      </c>
      <c r="E439" s="1"/>
      <c r="F439" s="1"/>
      <c r="G439" s="1"/>
      <c r="H439" s="1"/>
    </row>
    <row r="440" spans="1:8" x14ac:dyDescent="0.2">
      <c r="A440" s="1"/>
      <c r="B440" s="1"/>
      <c r="C440" t="str">
        <f>IFERROR(IF(B440="","",VLOOKUP(B440,المستفيدين!$B:$C,2,FALSE)),"")</f>
        <v/>
      </c>
      <c r="E440" s="1"/>
      <c r="F440" s="1"/>
      <c r="G440" s="1"/>
      <c r="H440" s="1"/>
    </row>
    <row r="441" spans="1:8" x14ac:dyDescent="0.2">
      <c r="A441" s="1"/>
      <c r="B441" s="1"/>
      <c r="C441" t="str">
        <f>IFERROR(IF(B441="","",VLOOKUP(B441,المستفيدين!$B:$C,2,FALSE)),"")</f>
        <v/>
      </c>
      <c r="E441" s="1"/>
      <c r="F441" s="1"/>
      <c r="G441" s="1"/>
      <c r="H441" s="1"/>
    </row>
    <row r="442" spans="1:8" x14ac:dyDescent="0.2">
      <c r="A442" s="1"/>
      <c r="B442" s="1"/>
      <c r="C442" t="str">
        <f>IFERROR(IF(B442="","",VLOOKUP(B442,المستفيدين!$B:$C,2,FALSE)),"")</f>
        <v/>
      </c>
      <c r="E442" s="1"/>
      <c r="F442" s="1"/>
      <c r="G442" s="1"/>
      <c r="H442" s="1"/>
    </row>
    <row r="443" spans="1:8" x14ac:dyDescent="0.2">
      <c r="A443" s="1"/>
      <c r="B443" s="1"/>
      <c r="C443" t="str">
        <f>IFERROR(IF(B443="","",VLOOKUP(B443,المستفيدين!$B:$C,2,FALSE)),"")</f>
        <v/>
      </c>
      <c r="E443" s="1"/>
      <c r="F443" s="1"/>
      <c r="G443" s="1"/>
      <c r="H443" s="1"/>
    </row>
    <row r="444" spans="1:8" x14ac:dyDescent="0.2">
      <c r="A444" s="1"/>
      <c r="B444" s="1"/>
      <c r="C444" t="str">
        <f>IFERROR(IF(B444="","",VLOOKUP(B444,المستفيدين!$B:$C,2,FALSE)),"")</f>
        <v/>
      </c>
      <c r="E444" s="1"/>
      <c r="F444" s="1"/>
      <c r="G444" s="1"/>
      <c r="H444" s="1"/>
    </row>
    <row r="445" spans="1:8" x14ac:dyDescent="0.2">
      <c r="A445" s="1"/>
      <c r="B445" s="1"/>
      <c r="C445" t="str">
        <f>IFERROR(IF(B445="","",VLOOKUP(B445,المستفيدين!$B:$C,2,FALSE)),"")</f>
        <v/>
      </c>
      <c r="E445" s="1"/>
      <c r="F445" s="1"/>
      <c r="G445" s="1"/>
      <c r="H445" s="1"/>
    </row>
    <row r="446" spans="1:8" x14ac:dyDescent="0.2">
      <c r="A446" s="1"/>
      <c r="B446" s="1"/>
      <c r="C446" t="str">
        <f>IFERROR(IF(B446="","",VLOOKUP(B446,المستفيدين!$B:$C,2,FALSE)),"")</f>
        <v/>
      </c>
      <c r="E446" s="1"/>
      <c r="F446" s="1"/>
      <c r="G446" s="1"/>
      <c r="H446" s="1"/>
    </row>
    <row r="447" spans="1:8" x14ac:dyDescent="0.2">
      <c r="A447" s="1"/>
      <c r="B447" s="1"/>
      <c r="C447" t="str">
        <f>IFERROR(IF(B447="","",VLOOKUP(B447,المستفيدين!$B:$C,2,FALSE)),"")</f>
        <v/>
      </c>
      <c r="E447" s="1"/>
      <c r="F447" s="1"/>
      <c r="G447" s="1"/>
      <c r="H447" s="1"/>
    </row>
    <row r="448" spans="1:8" x14ac:dyDescent="0.2">
      <c r="A448" s="1"/>
      <c r="B448" s="1"/>
      <c r="C448" t="str">
        <f>IFERROR(IF(B448="","",VLOOKUP(B448,المستفيدين!$B:$C,2,FALSE)),"")</f>
        <v/>
      </c>
      <c r="E448" s="1"/>
      <c r="F448" s="1"/>
      <c r="G448" s="1"/>
      <c r="H448" s="1"/>
    </row>
    <row r="449" spans="1:8" x14ac:dyDescent="0.2">
      <c r="A449" s="1"/>
      <c r="B449" s="1"/>
      <c r="C449" t="str">
        <f>IFERROR(IF(B449="","",VLOOKUP(B449,المستفيدين!$B:$C,2,FALSE)),"")</f>
        <v/>
      </c>
      <c r="E449" s="1"/>
      <c r="F449" s="1"/>
      <c r="G449" s="1"/>
      <c r="H449" s="1"/>
    </row>
    <row r="450" spans="1:8" x14ac:dyDescent="0.2">
      <c r="A450" s="1"/>
      <c r="B450" s="1"/>
      <c r="C450" t="str">
        <f>IFERROR(IF(B450="","",VLOOKUP(B450,المستفيدين!$B:$C,2,FALSE)),"")</f>
        <v/>
      </c>
      <c r="E450" s="1"/>
      <c r="F450" s="1"/>
      <c r="G450" s="1"/>
      <c r="H450" s="1"/>
    </row>
    <row r="451" spans="1:8" x14ac:dyDescent="0.2">
      <c r="A451" s="1"/>
      <c r="B451" s="1"/>
      <c r="C451" t="str">
        <f>IFERROR(IF(B451="","",VLOOKUP(B451,المستفيدين!$B:$C,2,FALSE)),"")</f>
        <v/>
      </c>
      <c r="E451" s="1"/>
      <c r="F451" s="1"/>
      <c r="G451" s="1"/>
      <c r="H451" s="1"/>
    </row>
    <row r="452" spans="1:8" x14ac:dyDescent="0.2">
      <c r="A452" s="1"/>
      <c r="B452" s="1"/>
      <c r="C452" t="str">
        <f>IFERROR(IF(B452="","",VLOOKUP(B452,المستفيدين!$B:$C,2,FALSE)),"")</f>
        <v/>
      </c>
      <c r="E452" s="1"/>
      <c r="F452" s="1"/>
      <c r="G452" s="1"/>
      <c r="H452" s="1"/>
    </row>
    <row r="453" spans="1:8" x14ac:dyDescent="0.2">
      <c r="A453" s="1"/>
      <c r="B453" s="1"/>
      <c r="C453" t="str">
        <f>IFERROR(IF(B453="","",VLOOKUP(B453,المستفيدين!$B:$C,2,FALSE)),"")</f>
        <v/>
      </c>
      <c r="E453" s="1"/>
      <c r="F453" s="1"/>
      <c r="G453" s="1"/>
      <c r="H453" s="1"/>
    </row>
    <row r="454" spans="1:8" x14ac:dyDescent="0.2">
      <c r="A454" s="1"/>
      <c r="B454" s="1"/>
      <c r="C454" t="str">
        <f>IFERROR(IF(B454="","",VLOOKUP(B454,المستفيدين!$B:$C,2,FALSE)),"")</f>
        <v/>
      </c>
      <c r="E454" s="1"/>
      <c r="F454" s="1"/>
      <c r="G454" s="1"/>
      <c r="H454" s="1"/>
    </row>
    <row r="455" spans="1:8" x14ac:dyDescent="0.2">
      <c r="A455" s="1"/>
      <c r="B455" s="1"/>
      <c r="C455" t="str">
        <f>IFERROR(IF(B455="","",VLOOKUP(B455,المستفيدين!$B:$C,2,FALSE)),"")</f>
        <v/>
      </c>
      <c r="E455" s="1"/>
      <c r="F455" s="1"/>
      <c r="G455" s="1"/>
      <c r="H455" s="1"/>
    </row>
    <row r="456" spans="1:8" x14ac:dyDescent="0.2">
      <c r="A456" s="1"/>
      <c r="B456" s="1"/>
      <c r="C456" t="str">
        <f>IFERROR(IF(B456="","",VLOOKUP(B456,المستفيدين!$B:$C,2,FALSE)),"")</f>
        <v/>
      </c>
      <c r="E456" s="1"/>
      <c r="F456" s="1"/>
      <c r="G456" s="1"/>
      <c r="H456" s="1"/>
    </row>
    <row r="457" spans="1:8" x14ac:dyDescent="0.2">
      <c r="A457" s="1"/>
      <c r="B457" s="1"/>
      <c r="C457" t="str">
        <f>IFERROR(IF(B457="","",VLOOKUP(B457,المستفيدين!$B:$C,2,FALSE)),"")</f>
        <v/>
      </c>
      <c r="E457" s="1"/>
      <c r="F457" s="1"/>
      <c r="G457" s="1"/>
      <c r="H457" s="1"/>
    </row>
    <row r="458" spans="1:8" x14ac:dyDescent="0.2">
      <c r="A458" s="1"/>
      <c r="B458" s="1"/>
      <c r="C458" t="str">
        <f>IFERROR(IF(B458="","",VLOOKUP(B458,المستفيدين!$B:$C,2,FALSE)),"")</f>
        <v/>
      </c>
      <c r="E458" s="1"/>
      <c r="F458" s="1"/>
      <c r="G458" s="1"/>
      <c r="H458" s="1"/>
    </row>
    <row r="459" spans="1:8" x14ac:dyDescent="0.2">
      <c r="A459" s="1"/>
      <c r="B459" s="1"/>
      <c r="C459" t="str">
        <f>IFERROR(IF(B459="","",VLOOKUP(B459,المستفيدين!$B:$C,2,FALSE)),"")</f>
        <v/>
      </c>
      <c r="E459" s="1"/>
      <c r="F459" s="1"/>
      <c r="G459" s="1"/>
      <c r="H459" s="1"/>
    </row>
    <row r="460" spans="1:8" x14ac:dyDescent="0.2">
      <c r="A460" s="1"/>
      <c r="B460" s="1"/>
      <c r="C460" t="str">
        <f>IFERROR(IF(B460="","",VLOOKUP(B460,المستفيدين!$B:$C,2,FALSE)),"")</f>
        <v/>
      </c>
      <c r="E460" s="1"/>
      <c r="F460" s="1"/>
      <c r="G460" s="1"/>
      <c r="H460" s="1"/>
    </row>
    <row r="461" spans="1:8" x14ac:dyDescent="0.2">
      <c r="A461" s="1"/>
      <c r="B461" s="1"/>
      <c r="C461" t="str">
        <f>IFERROR(IF(B461="","",VLOOKUP(B461,المستفيدين!$B:$C,2,FALSE)),"")</f>
        <v/>
      </c>
      <c r="E461" s="1"/>
      <c r="F461" s="1"/>
      <c r="G461" s="1"/>
      <c r="H461" s="1"/>
    </row>
    <row r="462" spans="1:8" x14ac:dyDescent="0.2">
      <c r="A462" s="1"/>
      <c r="B462" s="1"/>
      <c r="C462" t="str">
        <f>IFERROR(IF(B462="","",VLOOKUP(B462,المستفيدين!$B:$C,2,FALSE)),"")</f>
        <v/>
      </c>
      <c r="E462" s="1"/>
      <c r="F462" s="1"/>
      <c r="G462" s="1"/>
      <c r="H462" s="1"/>
    </row>
    <row r="463" spans="1:8" x14ac:dyDescent="0.2">
      <c r="A463" s="1"/>
      <c r="B463" s="1"/>
      <c r="C463" t="str">
        <f>IFERROR(IF(B463="","",VLOOKUP(B463,المستفيدين!$B:$C,2,FALSE)),"")</f>
        <v/>
      </c>
      <c r="E463" s="1"/>
      <c r="F463" s="1"/>
      <c r="G463" s="1"/>
      <c r="H463" s="1"/>
    </row>
    <row r="464" spans="1:8" x14ac:dyDescent="0.2">
      <c r="A464" s="1"/>
      <c r="B464" s="1"/>
      <c r="C464" t="str">
        <f>IFERROR(IF(B464="","",VLOOKUP(B464,المستفيدين!$B:$C,2,FALSE)),"")</f>
        <v/>
      </c>
      <c r="E464" s="1"/>
      <c r="F464" s="1"/>
      <c r="G464" s="1"/>
      <c r="H464" s="1"/>
    </row>
    <row r="465" spans="1:8" x14ac:dyDescent="0.2">
      <c r="A465" s="1"/>
      <c r="B465" s="1"/>
      <c r="C465" t="str">
        <f>IFERROR(IF(B465="","",VLOOKUP(B465,المستفيدين!$B:$C,2,FALSE)),"")</f>
        <v/>
      </c>
      <c r="E465" s="1"/>
      <c r="F465" s="1"/>
      <c r="G465" s="1"/>
      <c r="H465" s="1"/>
    </row>
    <row r="466" spans="1:8" x14ac:dyDescent="0.2">
      <c r="A466" s="1"/>
      <c r="B466" s="1"/>
      <c r="C466" t="str">
        <f>IFERROR(IF(B466="","",VLOOKUP(B466,المستفيدين!$B:$C,2,FALSE)),"")</f>
        <v/>
      </c>
      <c r="E466" s="1"/>
      <c r="F466" s="1"/>
      <c r="G466" s="1"/>
      <c r="H466" s="1"/>
    </row>
    <row r="467" spans="1:8" x14ac:dyDescent="0.2">
      <c r="A467" s="1"/>
      <c r="B467" s="1"/>
      <c r="C467" t="str">
        <f>IFERROR(IF(B467="","",VLOOKUP(B467,المستفيدين!$B:$C,2,FALSE)),"")</f>
        <v/>
      </c>
      <c r="E467" s="1"/>
      <c r="F467" s="1"/>
      <c r="G467" s="1"/>
      <c r="H467" s="1"/>
    </row>
    <row r="468" spans="1:8" x14ac:dyDescent="0.2">
      <c r="A468" s="1"/>
      <c r="B468" s="1"/>
      <c r="C468" t="str">
        <f>IFERROR(IF(B468="","",VLOOKUP(B468,المستفيدين!$B:$C,2,FALSE)),"")</f>
        <v/>
      </c>
      <c r="E468" s="1"/>
      <c r="F468" s="1"/>
      <c r="G468" s="1"/>
      <c r="H468" s="1"/>
    </row>
    <row r="469" spans="1:8" x14ac:dyDescent="0.2">
      <c r="A469" s="1"/>
      <c r="B469" s="1"/>
      <c r="C469" t="str">
        <f>IFERROR(IF(B469="","",VLOOKUP(B469,المستفيدين!$B:$C,2,FALSE)),"")</f>
        <v/>
      </c>
      <c r="E469" s="1"/>
      <c r="F469" s="1"/>
      <c r="G469" s="1"/>
      <c r="H469" s="1"/>
    </row>
    <row r="470" spans="1:8" x14ac:dyDescent="0.2">
      <c r="A470" s="1"/>
      <c r="B470" s="1"/>
      <c r="C470" t="str">
        <f>IFERROR(IF(B470="","",VLOOKUP(B470,المستفيدين!$B:$C,2,FALSE)),"")</f>
        <v/>
      </c>
      <c r="E470" s="1"/>
      <c r="F470" s="1"/>
      <c r="G470" s="1"/>
      <c r="H470" s="1"/>
    </row>
    <row r="471" spans="1:8" x14ac:dyDescent="0.2">
      <c r="A471" s="1"/>
      <c r="B471" s="1"/>
      <c r="C471" t="str">
        <f>IFERROR(IF(B471="","",VLOOKUP(B471,المستفيدين!$B:$C,2,FALSE)),"")</f>
        <v/>
      </c>
      <c r="E471" s="1"/>
      <c r="F471" s="1"/>
      <c r="G471" s="1"/>
      <c r="H471" s="1"/>
    </row>
    <row r="472" spans="1:8" x14ac:dyDescent="0.2">
      <c r="A472" s="1"/>
      <c r="B472" s="1"/>
      <c r="C472" t="str">
        <f>IFERROR(IF(B472="","",VLOOKUP(B472,المستفيدين!$B:$C,2,FALSE)),"")</f>
        <v/>
      </c>
      <c r="E472" s="1"/>
      <c r="F472" s="1"/>
      <c r="G472" s="1"/>
      <c r="H472" s="1"/>
    </row>
    <row r="473" spans="1:8" x14ac:dyDescent="0.2">
      <c r="A473" s="1"/>
      <c r="B473" s="1"/>
      <c r="C473" t="str">
        <f>IFERROR(IF(B473="","",VLOOKUP(B473,المستفيدين!$B:$C,2,FALSE)),"")</f>
        <v/>
      </c>
      <c r="E473" s="1"/>
      <c r="F473" s="1"/>
      <c r="G473" s="1"/>
      <c r="H473" s="1"/>
    </row>
    <row r="474" spans="1:8" x14ac:dyDescent="0.2">
      <c r="A474" s="1"/>
      <c r="B474" s="1"/>
      <c r="C474" t="str">
        <f>IFERROR(IF(B474="","",VLOOKUP(B474,المستفيدين!$B:$C,2,FALSE)),"")</f>
        <v/>
      </c>
      <c r="E474" s="1"/>
      <c r="F474" s="1"/>
      <c r="G474" s="1"/>
      <c r="H474" s="1"/>
    </row>
    <row r="475" spans="1:8" x14ac:dyDescent="0.2">
      <c r="A475" s="1"/>
      <c r="B475" s="1"/>
      <c r="C475" t="str">
        <f>IFERROR(IF(B475="","",VLOOKUP(B475,المستفيدين!$B:$C,2,FALSE)),"")</f>
        <v/>
      </c>
      <c r="E475" s="1"/>
      <c r="F475" s="1"/>
      <c r="G475" s="1"/>
      <c r="H475" s="1"/>
    </row>
    <row r="476" spans="1:8" x14ac:dyDescent="0.2">
      <c r="A476" s="1"/>
      <c r="B476" s="1"/>
      <c r="C476" t="str">
        <f>IFERROR(IF(B476="","",VLOOKUP(B476,المستفيدين!$B:$C,2,FALSE)),"")</f>
        <v/>
      </c>
      <c r="E476" s="1"/>
      <c r="F476" s="1"/>
      <c r="G476" s="1"/>
      <c r="H476" s="1"/>
    </row>
    <row r="477" spans="1:8" x14ac:dyDescent="0.2">
      <c r="A477" s="1"/>
      <c r="B477" s="1"/>
      <c r="C477" t="str">
        <f>IFERROR(IF(B477="","",VLOOKUP(B477,المستفيدين!$B:$C,2,FALSE)),"")</f>
        <v/>
      </c>
      <c r="E477" s="1"/>
      <c r="F477" s="1"/>
      <c r="G477" s="1"/>
      <c r="H477" s="1"/>
    </row>
    <row r="478" spans="1:8" x14ac:dyDescent="0.2">
      <c r="A478" s="1"/>
      <c r="B478" s="1"/>
      <c r="C478" t="str">
        <f>IFERROR(IF(B478="","",VLOOKUP(B478,المستفيدين!$B:$C,2,FALSE)),"")</f>
        <v/>
      </c>
      <c r="E478" s="1"/>
      <c r="F478" s="1"/>
      <c r="G478" s="1"/>
      <c r="H478" s="1"/>
    </row>
    <row r="479" spans="1:8" x14ac:dyDescent="0.2">
      <c r="A479" s="1"/>
      <c r="B479" s="1"/>
      <c r="C479" t="str">
        <f>IFERROR(IF(B479="","",VLOOKUP(B479,المستفيدين!$B:$C,2,FALSE)),"")</f>
        <v/>
      </c>
      <c r="E479" s="1"/>
      <c r="F479" s="1"/>
      <c r="G479" s="1"/>
      <c r="H479" s="1"/>
    </row>
    <row r="480" spans="1:8" x14ac:dyDescent="0.2">
      <c r="A480" s="1"/>
      <c r="B480" s="1"/>
      <c r="C480" t="str">
        <f>IFERROR(IF(B480="","",VLOOKUP(B480,المستفيدين!$B:$C,2,FALSE)),"")</f>
        <v/>
      </c>
      <c r="E480" s="1"/>
      <c r="F480" s="1"/>
      <c r="G480" s="1"/>
      <c r="H480" s="1"/>
    </row>
    <row r="481" spans="1:8" x14ac:dyDescent="0.2">
      <c r="A481" s="1"/>
      <c r="B481" s="1"/>
      <c r="C481" t="str">
        <f>IFERROR(IF(B481="","",VLOOKUP(B481,المستفيدين!$B:$C,2,FALSE)),"")</f>
        <v/>
      </c>
      <c r="E481" s="1"/>
      <c r="F481" s="1"/>
      <c r="G481" s="1"/>
      <c r="H481" s="1"/>
    </row>
    <row r="482" spans="1:8" x14ac:dyDescent="0.2">
      <c r="A482" s="1"/>
      <c r="B482" s="1"/>
      <c r="C482" t="str">
        <f>IFERROR(IF(B482="","",VLOOKUP(B482,المستفيدين!$B:$C,2,FALSE)),"")</f>
        <v/>
      </c>
      <c r="E482" s="1"/>
      <c r="F482" s="1"/>
      <c r="G482" s="1"/>
      <c r="H482" s="1"/>
    </row>
    <row r="483" spans="1:8" x14ac:dyDescent="0.2">
      <c r="A483" s="1"/>
      <c r="B483" s="1"/>
      <c r="C483" t="str">
        <f>IFERROR(IF(B483="","",VLOOKUP(B483,المستفيدين!$B:$C,2,FALSE)),"")</f>
        <v/>
      </c>
      <c r="E483" s="1"/>
      <c r="F483" s="1"/>
      <c r="G483" s="1"/>
      <c r="H483" s="1"/>
    </row>
    <row r="484" spans="1:8" x14ac:dyDescent="0.2">
      <c r="A484" s="1"/>
      <c r="B484" s="1"/>
      <c r="C484" t="str">
        <f>IFERROR(IF(B484="","",VLOOKUP(B484,المستفيدين!$B:$C,2,FALSE)),"")</f>
        <v/>
      </c>
      <c r="E484" s="1"/>
      <c r="F484" s="1"/>
      <c r="G484" s="1"/>
      <c r="H484" s="1"/>
    </row>
    <row r="485" spans="1:8" x14ac:dyDescent="0.2">
      <c r="A485" s="1"/>
      <c r="B485" s="1"/>
      <c r="C485" t="str">
        <f>IFERROR(IF(B485="","",VLOOKUP(B485,المستفيدين!$B:$C,2,FALSE)),"")</f>
        <v/>
      </c>
      <c r="E485" s="1"/>
      <c r="F485" s="1"/>
      <c r="G485" s="1"/>
      <c r="H485" s="1"/>
    </row>
    <row r="486" spans="1:8" x14ac:dyDescent="0.2">
      <c r="A486" s="1"/>
      <c r="B486" s="1"/>
      <c r="C486" t="str">
        <f>IFERROR(IF(B486="","",VLOOKUP(B486,المستفيدين!$B:$C,2,FALSE)),"")</f>
        <v/>
      </c>
      <c r="E486" s="1"/>
      <c r="F486" s="1"/>
      <c r="G486" s="1"/>
      <c r="H486" s="1"/>
    </row>
    <row r="487" spans="1:8" x14ac:dyDescent="0.2">
      <c r="A487" s="1"/>
      <c r="B487" s="1"/>
      <c r="C487" t="str">
        <f>IFERROR(IF(B487="","",VLOOKUP(B487,المستفيدين!$B:$C,2,FALSE)),"")</f>
        <v/>
      </c>
      <c r="E487" s="1"/>
      <c r="F487" s="1"/>
      <c r="G487" s="1"/>
      <c r="H487" s="1"/>
    </row>
    <row r="488" spans="1:8" x14ac:dyDescent="0.2">
      <c r="A488" s="1"/>
      <c r="B488" s="1"/>
      <c r="C488" t="str">
        <f>IFERROR(IF(B488="","",VLOOKUP(B488,المستفيدين!$B:$C,2,FALSE)),"")</f>
        <v/>
      </c>
      <c r="E488" s="1"/>
      <c r="F488" s="1"/>
      <c r="G488" s="1"/>
      <c r="H488" s="1"/>
    </row>
    <row r="489" spans="1:8" x14ac:dyDescent="0.2">
      <c r="A489" s="1"/>
      <c r="B489" s="1"/>
      <c r="C489" t="str">
        <f>IFERROR(IF(B489="","",VLOOKUP(B489,المستفيدين!$B:$C,2,FALSE)),"")</f>
        <v/>
      </c>
      <c r="E489" s="1"/>
      <c r="F489" s="1"/>
      <c r="G489" s="1"/>
      <c r="H489" s="1"/>
    </row>
    <row r="490" spans="1:8" x14ac:dyDescent="0.2">
      <c r="A490" s="1"/>
      <c r="B490" s="1"/>
      <c r="C490" t="str">
        <f>IFERROR(IF(B490="","",VLOOKUP(B490,المستفيدين!$B:$C,2,FALSE)),"")</f>
        <v/>
      </c>
      <c r="E490" s="1"/>
      <c r="F490" s="1"/>
      <c r="G490" s="1"/>
      <c r="H490" s="1"/>
    </row>
    <row r="491" spans="1:8" x14ac:dyDescent="0.2">
      <c r="A491" s="1"/>
      <c r="B491" s="1"/>
      <c r="C491" t="str">
        <f>IFERROR(IF(B491="","",VLOOKUP(B491,المستفيدين!$B:$C,2,FALSE)),"")</f>
        <v/>
      </c>
      <c r="E491" s="1"/>
      <c r="F491" s="1"/>
      <c r="G491" s="1"/>
      <c r="H491" s="1"/>
    </row>
    <row r="492" spans="1:8" x14ac:dyDescent="0.2">
      <c r="A492" s="1"/>
      <c r="B492" s="1"/>
      <c r="C492" t="str">
        <f>IFERROR(IF(B492="","",VLOOKUP(B492,المستفيدين!$B:$C,2,FALSE)),"")</f>
        <v/>
      </c>
      <c r="E492" s="1"/>
      <c r="F492" s="1"/>
      <c r="G492" s="1"/>
      <c r="H492" s="1"/>
    </row>
    <row r="493" spans="1:8" x14ac:dyDescent="0.2">
      <c r="A493" s="1"/>
      <c r="B493" s="1"/>
      <c r="C493" t="str">
        <f>IFERROR(IF(B493="","",VLOOKUP(B493,المستفيدين!$B:$C,2,FALSE)),"")</f>
        <v/>
      </c>
      <c r="E493" s="1"/>
      <c r="F493" s="1"/>
      <c r="G493" s="1"/>
      <c r="H493" s="1"/>
    </row>
    <row r="494" spans="1:8" x14ac:dyDescent="0.2">
      <c r="A494" s="1"/>
      <c r="B494" s="1"/>
      <c r="C494" t="str">
        <f>IFERROR(IF(B494="","",VLOOKUP(B494,المستفيدين!$B:$C,2,FALSE)),"")</f>
        <v/>
      </c>
      <c r="E494" s="1"/>
      <c r="F494" s="1"/>
      <c r="G494" s="1"/>
      <c r="H494" s="1"/>
    </row>
    <row r="495" spans="1:8" x14ac:dyDescent="0.2">
      <c r="A495" s="1"/>
      <c r="B495" s="1"/>
      <c r="C495" t="str">
        <f>IFERROR(IF(B495="","",VLOOKUP(B495,المستفيدين!$B:$C,2,FALSE)),"")</f>
        <v/>
      </c>
      <c r="E495" s="1"/>
      <c r="F495" s="1"/>
      <c r="G495" s="1"/>
      <c r="H495" s="1"/>
    </row>
    <row r="496" spans="1:8" x14ac:dyDescent="0.2">
      <c r="A496" s="1"/>
      <c r="B496" s="1"/>
      <c r="C496" t="str">
        <f>IFERROR(IF(B496="","",VLOOKUP(B496,المستفيدين!$B:$C,2,FALSE)),"")</f>
        <v/>
      </c>
      <c r="E496" s="1"/>
      <c r="F496" s="1"/>
      <c r="G496" s="1"/>
      <c r="H496" s="1"/>
    </row>
    <row r="497" spans="1:8" x14ac:dyDescent="0.2">
      <c r="A497" s="1"/>
      <c r="B497" s="1"/>
      <c r="C497" t="str">
        <f>IFERROR(IF(B497="","",VLOOKUP(B497,المستفيدين!$B:$C,2,FALSE)),"")</f>
        <v/>
      </c>
      <c r="E497" s="1"/>
      <c r="F497" s="1"/>
      <c r="G497" s="1"/>
      <c r="H497" s="1"/>
    </row>
    <row r="498" spans="1:8" x14ac:dyDescent="0.2">
      <c r="A498" s="1"/>
      <c r="B498" s="1"/>
      <c r="C498" t="str">
        <f>IFERROR(IF(B498="","",VLOOKUP(B498,المستفيدين!$B:$C,2,FALSE)),"")</f>
        <v/>
      </c>
      <c r="E498" s="1"/>
      <c r="F498" s="1"/>
      <c r="G498" s="1"/>
      <c r="H498" s="1"/>
    </row>
    <row r="499" spans="1:8" x14ac:dyDescent="0.2">
      <c r="A499" s="1"/>
      <c r="B499" s="1"/>
      <c r="C499" t="str">
        <f>IFERROR(IF(B499="","",VLOOKUP(B499,المستفيدين!$B:$C,2,FALSE)),"")</f>
        <v/>
      </c>
      <c r="E499" s="1"/>
      <c r="F499" s="1"/>
      <c r="G499" s="1"/>
      <c r="H499" s="1"/>
    </row>
    <row r="500" spans="1:8" x14ac:dyDescent="0.2">
      <c r="A500" s="1"/>
      <c r="B500" s="1"/>
      <c r="C500" t="str">
        <f>IFERROR(IF(B500="","",VLOOKUP(B500,المستفيدين!$B:$C,2,FALSE)),"")</f>
        <v/>
      </c>
      <c r="E500" s="1"/>
      <c r="F500" s="1"/>
      <c r="G500" s="1"/>
      <c r="H500" s="1"/>
    </row>
    <row r="501" spans="1:8" x14ac:dyDescent="0.2">
      <c r="A501" s="1"/>
      <c r="B501" s="1"/>
      <c r="C501" t="str">
        <f>IFERROR(IF(B501="","",VLOOKUP(B501,المستفيدين!$B:$C,2,FALSE)),"")</f>
        <v/>
      </c>
      <c r="E501" s="1"/>
      <c r="F501" s="1"/>
      <c r="G501" s="1"/>
      <c r="H501" s="1"/>
    </row>
    <row r="502" spans="1:8" x14ac:dyDescent="0.2">
      <c r="A502" s="1"/>
      <c r="B502" s="1"/>
      <c r="C502" t="str">
        <f>IFERROR(IF(B502="","",VLOOKUP(B502,المستفيدين!$B:$C,2,FALSE)),"")</f>
        <v/>
      </c>
      <c r="E502" s="1"/>
      <c r="F502" s="1"/>
      <c r="G502" s="1"/>
      <c r="H502" s="1"/>
    </row>
    <row r="503" spans="1:8" x14ac:dyDescent="0.2">
      <c r="A503" s="1"/>
      <c r="B503" s="1"/>
      <c r="C503" t="str">
        <f>IFERROR(IF(B503="","",VLOOKUP(B503,المستفيدين!$B:$C,2,FALSE)),"")</f>
        <v/>
      </c>
      <c r="E503" s="1"/>
      <c r="F503" s="1"/>
      <c r="G503" s="1"/>
      <c r="H503" s="1"/>
    </row>
    <row r="504" spans="1:8" x14ac:dyDescent="0.2">
      <c r="A504" s="1"/>
      <c r="B504" s="1"/>
      <c r="C504" t="str">
        <f>IFERROR(IF(B504="","",VLOOKUP(B504,المستفيدين!$B:$C,2,FALSE)),"")</f>
        <v/>
      </c>
      <c r="E504" s="1"/>
      <c r="F504" s="1"/>
      <c r="G504" s="1"/>
      <c r="H504" s="1"/>
    </row>
    <row r="505" spans="1:8" x14ac:dyDescent="0.2">
      <c r="A505" s="1"/>
      <c r="B505" s="1"/>
      <c r="C505" t="str">
        <f>IFERROR(IF(B505="","",VLOOKUP(B505,المستفيدين!$B:$C,2,FALSE)),"")</f>
        <v/>
      </c>
      <c r="E505" s="1"/>
      <c r="F505" s="1"/>
      <c r="G505" s="1"/>
      <c r="H505" s="1"/>
    </row>
    <row r="506" spans="1:8" x14ac:dyDescent="0.2">
      <c r="A506" s="1"/>
      <c r="B506" s="1"/>
      <c r="C506" t="str">
        <f>IFERROR(IF(B506="","",VLOOKUP(B506,المستفيدين!$B:$C,2,FALSE)),"")</f>
        <v/>
      </c>
      <c r="E506" s="1"/>
      <c r="F506" s="1"/>
      <c r="G506" s="1"/>
      <c r="H506" s="1"/>
    </row>
    <row r="507" spans="1:8" x14ac:dyDescent="0.2">
      <c r="A507" s="1"/>
      <c r="B507" s="1"/>
      <c r="C507" t="str">
        <f>IFERROR(IF(B507="","",VLOOKUP(B507,المستفيدين!$B:$C,2,FALSE)),"")</f>
        <v/>
      </c>
      <c r="E507" s="1"/>
      <c r="F507" s="1"/>
      <c r="G507" s="1"/>
      <c r="H507" s="1"/>
    </row>
    <row r="508" spans="1:8" x14ac:dyDescent="0.2">
      <c r="A508" s="1"/>
      <c r="B508" s="1"/>
      <c r="C508" t="str">
        <f>IFERROR(IF(B508="","",VLOOKUP(B508,المستفيدين!$B:$C,2,FALSE)),"")</f>
        <v/>
      </c>
      <c r="E508" s="1"/>
      <c r="F508" s="1"/>
      <c r="G508" s="1"/>
      <c r="H508" s="1"/>
    </row>
    <row r="509" spans="1:8" x14ac:dyDescent="0.2">
      <c r="A509" s="1"/>
      <c r="B509" s="1"/>
      <c r="C509" t="str">
        <f>IFERROR(IF(B509="","",VLOOKUP(B509,المستفيدين!$B:$C,2,FALSE)),"")</f>
        <v/>
      </c>
      <c r="E509" s="1"/>
      <c r="F509" s="1"/>
      <c r="G509" s="1"/>
      <c r="H509" s="1"/>
    </row>
    <row r="510" spans="1:8" x14ac:dyDescent="0.2">
      <c r="A510" s="1"/>
      <c r="B510" s="1"/>
      <c r="C510" t="str">
        <f>IFERROR(IF(B510="","",VLOOKUP(B510,المستفيدين!$B:$C,2,FALSE)),"")</f>
        <v/>
      </c>
      <c r="E510" s="1"/>
      <c r="F510" s="1"/>
      <c r="G510" s="1"/>
      <c r="H510" s="1"/>
    </row>
    <row r="511" spans="1:8" x14ac:dyDescent="0.2">
      <c r="A511" s="1"/>
      <c r="B511" s="1"/>
      <c r="C511" t="str">
        <f>IFERROR(IF(B511="","",VLOOKUP(B511,المستفيدين!$B:$C,2,FALSE)),"")</f>
        <v/>
      </c>
      <c r="E511" s="1"/>
      <c r="F511" s="1"/>
      <c r="G511" s="1"/>
      <c r="H511" s="1"/>
    </row>
    <row r="512" spans="1:8" x14ac:dyDescent="0.2">
      <c r="A512" s="1"/>
      <c r="B512" s="1"/>
      <c r="C512" t="str">
        <f>IFERROR(IF(B512="","",VLOOKUP(B512,المستفيدين!$B:$C,2,FALSE)),"")</f>
        <v/>
      </c>
      <c r="E512" s="1"/>
      <c r="F512" s="1"/>
      <c r="G512" s="1"/>
      <c r="H512" s="1"/>
    </row>
    <row r="513" spans="1:8" x14ac:dyDescent="0.2">
      <c r="A513" s="1"/>
      <c r="B513" s="1"/>
      <c r="C513" t="str">
        <f>IFERROR(IF(B513="","",VLOOKUP(B513,المستفيدين!$B:$C,2,FALSE)),"")</f>
        <v/>
      </c>
      <c r="E513" s="1"/>
      <c r="F513" s="1"/>
      <c r="G513" s="1"/>
      <c r="H513" s="1"/>
    </row>
    <row r="514" spans="1:8" x14ac:dyDescent="0.2">
      <c r="A514" s="1"/>
      <c r="B514" s="1"/>
      <c r="C514" t="str">
        <f>IFERROR(IF(B514="","",VLOOKUP(B514,المستفيدين!$B:$C,2,FALSE)),"")</f>
        <v/>
      </c>
      <c r="E514" s="1"/>
      <c r="F514" s="1"/>
      <c r="G514" s="1"/>
      <c r="H514" s="1"/>
    </row>
    <row r="515" spans="1:8" x14ac:dyDescent="0.2">
      <c r="A515" s="1"/>
      <c r="B515" s="1"/>
      <c r="C515" t="str">
        <f>IFERROR(IF(B515="","",VLOOKUP(B515,المستفيدين!$B:$C,2,FALSE)),"")</f>
        <v/>
      </c>
      <c r="E515" s="1"/>
      <c r="F515" s="1"/>
      <c r="G515" s="1"/>
      <c r="H515" s="1"/>
    </row>
    <row r="516" spans="1:8" x14ac:dyDescent="0.2">
      <c r="A516" s="1"/>
      <c r="B516" s="1"/>
      <c r="C516" t="str">
        <f>IFERROR(IF(B516="","",VLOOKUP(B516,المستفيدين!$B:$C,2,FALSE)),"")</f>
        <v/>
      </c>
      <c r="E516" s="1"/>
      <c r="F516" s="1"/>
      <c r="G516" s="1"/>
      <c r="H516" s="1"/>
    </row>
    <row r="517" spans="1:8" x14ac:dyDescent="0.2">
      <c r="A517" s="1"/>
      <c r="B517" s="1"/>
      <c r="C517" t="str">
        <f>IFERROR(IF(B517="","",VLOOKUP(B517,المستفيدين!$B:$C,2,FALSE)),"")</f>
        <v/>
      </c>
      <c r="E517" s="1"/>
      <c r="F517" s="1"/>
      <c r="G517" s="1"/>
      <c r="H517" s="1"/>
    </row>
    <row r="518" spans="1:8" x14ac:dyDescent="0.2">
      <c r="A518" s="1"/>
      <c r="B518" s="1"/>
      <c r="C518" t="str">
        <f>IFERROR(IF(B518="","",VLOOKUP(B518,المستفيدين!$B:$C,2,FALSE)),"")</f>
        <v/>
      </c>
      <c r="E518" s="1"/>
      <c r="F518" s="1"/>
      <c r="G518" s="1"/>
      <c r="H518" s="1"/>
    </row>
    <row r="519" spans="1:8" x14ac:dyDescent="0.2">
      <c r="A519" s="1"/>
      <c r="B519" s="1"/>
      <c r="C519" t="str">
        <f>IFERROR(IF(B519="","",VLOOKUP(B519,المستفيدين!$B:$C,2,FALSE)),"")</f>
        <v/>
      </c>
      <c r="E519" s="1"/>
      <c r="F519" s="1"/>
      <c r="G519" s="1"/>
      <c r="H519" s="1"/>
    </row>
    <row r="520" spans="1:8" x14ac:dyDescent="0.2">
      <c r="A520" s="1"/>
      <c r="B520" s="1"/>
      <c r="C520" t="str">
        <f>IFERROR(IF(B520="","",VLOOKUP(B520,المستفيدين!$B:$C,2,FALSE)),"")</f>
        <v/>
      </c>
      <c r="E520" s="1"/>
      <c r="F520" s="1"/>
      <c r="G520" s="1"/>
      <c r="H520" s="1"/>
    </row>
    <row r="521" spans="1:8" x14ac:dyDescent="0.2">
      <c r="A521" s="1"/>
      <c r="B521" s="1"/>
      <c r="C521" t="str">
        <f>IFERROR(IF(B521="","",VLOOKUP(B521,المستفيدين!$B:$C,2,FALSE)),"")</f>
        <v/>
      </c>
      <c r="E521" s="1"/>
      <c r="F521" s="1"/>
      <c r="G521" s="1"/>
      <c r="H521" s="1"/>
    </row>
    <row r="522" spans="1:8" x14ac:dyDescent="0.2">
      <c r="A522" s="1"/>
      <c r="B522" s="1"/>
      <c r="C522" t="str">
        <f>IFERROR(IF(B522="","",VLOOKUP(B522,المستفيدين!$B:$C,2,FALSE)),"")</f>
        <v/>
      </c>
      <c r="E522" s="1"/>
      <c r="F522" s="1"/>
      <c r="G522" s="1"/>
      <c r="H522" s="1"/>
    </row>
    <row r="523" spans="1:8" x14ac:dyDescent="0.2">
      <c r="A523" s="1"/>
      <c r="B523" s="1"/>
      <c r="C523" t="str">
        <f>IFERROR(IF(B523="","",VLOOKUP(B523,المستفيدين!$B:$C,2,FALSE)),"")</f>
        <v/>
      </c>
      <c r="E523" s="1"/>
      <c r="F523" s="1"/>
      <c r="G523" s="1"/>
      <c r="H523" s="1"/>
    </row>
    <row r="524" spans="1:8" x14ac:dyDescent="0.2">
      <c r="A524" s="1"/>
      <c r="B524" s="1"/>
      <c r="C524" t="str">
        <f>IFERROR(IF(B524="","",VLOOKUP(B524,المستفيدين!$B:$C,2,FALSE)),"")</f>
        <v/>
      </c>
      <c r="E524" s="1"/>
      <c r="F524" s="1"/>
      <c r="G524" s="1"/>
      <c r="H524" s="1"/>
    </row>
    <row r="525" spans="1:8" x14ac:dyDescent="0.2">
      <c r="A525" s="1"/>
      <c r="B525" s="1"/>
      <c r="C525" t="str">
        <f>IFERROR(IF(B525="","",VLOOKUP(B525,المستفيدين!$B:$C,2,FALSE)),"")</f>
        <v/>
      </c>
      <c r="E525" s="1"/>
      <c r="F525" s="1"/>
      <c r="G525" s="1"/>
      <c r="H525" s="1"/>
    </row>
    <row r="526" spans="1:8" x14ac:dyDescent="0.2">
      <c r="A526" s="1"/>
      <c r="B526" s="1"/>
      <c r="C526" t="str">
        <f>IFERROR(IF(B526="","",VLOOKUP(B526,المستفيدين!$B:$C,2,FALSE)),"")</f>
        <v/>
      </c>
      <c r="E526" s="1"/>
      <c r="F526" s="1"/>
      <c r="G526" s="1"/>
      <c r="H526" s="1"/>
    </row>
    <row r="527" spans="1:8" x14ac:dyDescent="0.2">
      <c r="A527" s="1"/>
      <c r="B527" s="1"/>
      <c r="C527" t="str">
        <f>IFERROR(IF(B527="","",VLOOKUP(B527,المستفيدين!$B:$C,2,FALSE)),"")</f>
        <v/>
      </c>
      <c r="E527" s="1"/>
      <c r="F527" s="1"/>
      <c r="G527" s="1"/>
      <c r="H527" s="1"/>
    </row>
    <row r="528" spans="1:8" x14ac:dyDescent="0.2">
      <c r="A528" s="1"/>
      <c r="B528" s="1"/>
      <c r="C528" t="str">
        <f>IFERROR(IF(B528="","",VLOOKUP(B528,المستفيدين!$B:$C,2,FALSE)),"")</f>
        <v/>
      </c>
      <c r="E528" s="1"/>
      <c r="F528" s="1"/>
      <c r="G528" s="1"/>
      <c r="H528" s="1"/>
    </row>
    <row r="529" spans="1:8" x14ac:dyDescent="0.2">
      <c r="A529" s="1"/>
      <c r="B529" s="1"/>
      <c r="C529" t="str">
        <f>IFERROR(IF(B529="","",VLOOKUP(B529,المستفيدين!$B:$C,2,FALSE)),"")</f>
        <v/>
      </c>
      <c r="E529" s="1"/>
      <c r="F529" s="1"/>
      <c r="G529" s="1"/>
      <c r="H529" s="1"/>
    </row>
    <row r="530" spans="1:8" x14ac:dyDescent="0.2">
      <c r="A530" s="1"/>
      <c r="B530" s="1"/>
      <c r="C530" t="str">
        <f>IFERROR(IF(B530="","",VLOOKUP(B530,المستفيدين!$B:$C,2,FALSE)),"")</f>
        <v/>
      </c>
      <c r="E530" s="1"/>
      <c r="F530" s="1"/>
      <c r="G530" s="1"/>
      <c r="H530" s="1"/>
    </row>
    <row r="531" spans="1:8" x14ac:dyDescent="0.2">
      <c r="A531" s="1"/>
      <c r="B531" s="1"/>
      <c r="C531" t="str">
        <f>IFERROR(IF(B531="","",VLOOKUP(B531,المستفيدين!$B:$C,2,FALSE)),"")</f>
        <v/>
      </c>
      <c r="E531" s="1"/>
      <c r="F531" s="1"/>
      <c r="G531" s="1"/>
      <c r="H531" s="1"/>
    </row>
    <row r="532" spans="1:8" x14ac:dyDescent="0.2">
      <c r="A532" s="1"/>
      <c r="B532" s="1"/>
      <c r="C532" t="str">
        <f>IFERROR(IF(B532="","",VLOOKUP(B532,المستفيدين!$B:$C,2,FALSE)),"")</f>
        <v/>
      </c>
      <c r="E532" s="1"/>
      <c r="F532" s="1"/>
      <c r="G532" s="1"/>
      <c r="H532" s="1"/>
    </row>
    <row r="533" spans="1:8" x14ac:dyDescent="0.2">
      <c r="A533" s="1"/>
      <c r="B533" s="1"/>
      <c r="C533" t="str">
        <f>IFERROR(IF(B533="","",VLOOKUP(B533,المستفيدين!$B:$C,2,FALSE)),"")</f>
        <v/>
      </c>
      <c r="E533" s="1"/>
      <c r="F533" s="1"/>
      <c r="G533" s="1"/>
      <c r="H533" s="1"/>
    </row>
    <row r="534" spans="1:8" x14ac:dyDescent="0.2">
      <c r="A534" s="1"/>
      <c r="B534" s="1"/>
      <c r="C534" t="str">
        <f>IFERROR(IF(B534="","",VLOOKUP(B534,المستفيدين!$B:$C,2,FALSE)),"")</f>
        <v/>
      </c>
      <c r="E534" s="1"/>
      <c r="F534" s="1"/>
      <c r="G534" s="1"/>
      <c r="H534" s="1"/>
    </row>
    <row r="535" spans="1:8" x14ac:dyDescent="0.2">
      <c r="A535" s="1"/>
      <c r="B535" s="1"/>
      <c r="C535" t="str">
        <f>IFERROR(IF(B535="","",VLOOKUP(B535,المستفيدين!$B:$C,2,FALSE)),"")</f>
        <v/>
      </c>
      <c r="E535" s="1"/>
      <c r="F535" s="1"/>
      <c r="G535" s="1"/>
      <c r="H535" s="1"/>
    </row>
    <row r="536" spans="1:8" x14ac:dyDescent="0.2">
      <c r="A536" s="1"/>
      <c r="B536" s="1"/>
      <c r="C536" t="str">
        <f>IFERROR(IF(B536="","",VLOOKUP(B536,المستفيدين!$B:$C,2,FALSE)),"")</f>
        <v/>
      </c>
      <c r="E536" s="1"/>
      <c r="F536" s="1"/>
      <c r="G536" s="1"/>
      <c r="H536" s="1"/>
    </row>
    <row r="537" spans="1:8" x14ac:dyDescent="0.2">
      <c r="A537" s="1"/>
      <c r="B537" s="1"/>
      <c r="C537" t="str">
        <f>IFERROR(IF(B537="","",VLOOKUP(B537,المستفيدين!$B:$C,2,FALSE)),"")</f>
        <v/>
      </c>
      <c r="E537" s="1"/>
      <c r="F537" s="1"/>
      <c r="G537" s="1"/>
      <c r="H537" s="1"/>
    </row>
    <row r="538" spans="1:8" x14ac:dyDescent="0.2">
      <c r="A538" s="1"/>
      <c r="B538" s="1"/>
      <c r="C538" t="str">
        <f>IFERROR(IF(B538="","",VLOOKUP(B538,المستفيدين!$B:$C,2,FALSE)),"")</f>
        <v/>
      </c>
      <c r="E538" s="1"/>
      <c r="F538" s="1"/>
      <c r="G538" s="1"/>
      <c r="H538" s="1"/>
    </row>
    <row r="539" spans="1:8" x14ac:dyDescent="0.2">
      <c r="A539" s="1"/>
      <c r="B539" s="1"/>
      <c r="C539" t="str">
        <f>IFERROR(IF(B539="","",VLOOKUP(B539,المستفيدين!$B:$C,2,FALSE)),"")</f>
        <v/>
      </c>
      <c r="E539" s="1"/>
      <c r="F539" s="1"/>
      <c r="G539" s="1"/>
      <c r="H539" s="1"/>
    </row>
    <row r="540" spans="1:8" x14ac:dyDescent="0.2">
      <c r="A540" s="1"/>
      <c r="B540" s="1"/>
      <c r="C540" t="str">
        <f>IFERROR(IF(B540="","",VLOOKUP(B540,المستفيدين!$B:$C,2,FALSE)),"")</f>
        <v/>
      </c>
      <c r="E540" s="1"/>
      <c r="F540" s="1"/>
      <c r="G540" s="1"/>
      <c r="H540" s="1"/>
    </row>
    <row r="541" spans="1:8" x14ac:dyDescent="0.2">
      <c r="A541" s="1"/>
      <c r="B541" s="1"/>
      <c r="C541" t="str">
        <f>IFERROR(IF(B541="","",VLOOKUP(B541,المستفيدين!$B:$C,2,FALSE)),"")</f>
        <v/>
      </c>
      <c r="E541" s="1"/>
      <c r="F541" s="1"/>
      <c r="G541" s="1"/>
      <c r="H541" s="1"/>
    </row>
    <row r="542" spans="1:8" x14ac:dyDescent="0.2">
      <c r="A542" s="1"/>
      <c r="B542" s="1"/>
      <c r="C542" t="str">
        <f>IFERROR(IF(B542="","",VLOOKUP(B542,المستفيدين!$B:$C,2,FALSE)),"")</f>
        <v/>
      </c>
      <c r="E542" s="1"/>
      <c r="F542" s="1"/>
      <c r="G542" s="1"/>
      <c r="H542" s="1"/>
    </row>
    <row r="543" spans="1:8" x14ac:dyDescent="0.2">
      <c r="A543" s="1"/>
      <c r="B543" s="1"/>
      <c r="C543" t="str">
        <f>IFERROR(IF(B543="","",VLOOKUP(B543,المستفيدين!$B:$C,2,FALSE)),"")</f>
        <v/>
      </c>
      <c r="E543" s="1"/>
      <c r="F543" s="1"/>
      <c r="G543" s="1"/>
      <c r="H543" s="1"/>
    </row>
    <row r="544" spans="1:8" x14ac:dyDescent="0.2">
      <c r="A544" s="1"/>
      <c r="B544" s="1"/>
      <c r="C544" t="str">
        <f>IFERROR(IF(B544="","",VLOOKUP(B544,المستفيدين!$B:$C,2,FALSE)),"")</f>
        <v/>
      </c>
      <c r="E544" s="1"/>
      <c r="F544" s="1"/>
      <c r="G544" s="1"/>
      <c r="H544" s="1"/>
    </row>
    <row r="545" spans="1:8" x14ac:dyDescent="0.2">
      <c r="A545" s="1"/>
      <c r="B545" s="1"/>
      <c r="C545" t="str">
        <f>IFERROR(IF(B545="","",VLOOKUP(B545,المستفيدين!$B:$C,2,FALSE)),"")</f>
        <v/>
      </c>
      <c r="E545" s="1"/>
      <c r="F545" s="1"/>
      <c r="G545" s="1"/>
      <c r="H545" s="1"/>
    </row>
    <row r="546" spans="1:8" x14ac:dyDescent="0.2">
      <c r="A546" s="1"/>
      <c r="B546" s="1"/>
      <c r="C546" t="str">
        <f>IFERROR(IF(B546="","",VLOOKUP(B546,المستفيدين!$B:$C,2,FALSE)),"")</f>
        <v/>
      </c>
      <c r="E546" s="1"/>
      <c r="F546" s="1"/>
      <c r="G546" s="1"/>
      <c r="H546" s="1"/>
    </row>
    <row r="547" spans="1:8" x14ac:dyDescent="0.2">
      <c r="A547" s="1"/>
      <c r="B547" s="1"/>
      <c r="C547" t="str">
        <f>IFERROR(IF(B547="","",VLOOKUP(B547,المستفيدين!$B:$C,2,FALSE)),"")</f>
        <v/>
      </c>
      <c r="E547" s="1"/>
      <c r="F547" s="1"/>
      <c r="G547" s="1"/>
      <c r="H547" s="1"/>
    </row>
    <row r="548" spans="1:8" x14ac:dyDescent="0.2">
      <c r="A548" s="1"/>
      <c r="B548" s="1"/>
      <c r="C548" t="str">
        <f>IFERROR(IF(B548="","",VLOOKUP(B548,المستفيدين!$B:$C,2,FALSE)),"")</f>
        <v/>
      </c>
      <c r="E548" s="1"/>
      <c r="F548" s="1"/>
      <c r="G548" s="1"/>
      <c r="H548" s="1"/>
    </row>
    <row r="549" spans="1:8" x14ac:dyDescent="0.2">
      <c r="A549" s="1"/>
      <c r="B549" s="1"/>
      <c r="C549" t="str">
        <f>IFERROR(IF(B549="","",VLOOKUP(B549,المستفيدين!$B:$C,2,FALSE)),"")</f>
        <v/>
      </c>
      <c r="E549" s="1"/>
      <c r="F549" s="1"/>
      <c r="G549" s="1"/>
      <c r="H549" s="1"/>
    </row>
    <row r="550" spans="1:8" x14ac:dyDescent="0.2">
      <c r="A550" s="1"/>
      <c r="B550" s="1"/>
      <c r="C550" t="str">
        <f>IFERROR(IF(B550="","",VLOOKUP(B550,المستفيدين!$B:$C,2,FALSE)),"")</f>
        <v/>
      </c>
      <c r="E550" s="1"/>
      <c r="F550" s="1"/>
      <c r="G550" s="1"/>
      <c r="H550" s="1"/>
    </row>
    <row r="551" spans="1:8" x14ac:dyDescent="0.2">
      <c r="A551" s="1"/>
      <c r="B551" s="1"/>
      <c r="C551" t="str">
        <f>IFERROR(IF(B551="","",VLOOKUP(B551,المستفيدين!$B:$C,2,FALSE)),"")</f>
        <v/>
      </c>
      <c r="E551" s="1"/>
      <c r="F551" s="1"/>
      <c r="G551" s="1"/>
      <c r="H551" s="1"/>
    </row>
    <row r="552" spans="1:8" x14ac:dyDescent="0.2">
      <c r="A552" s="1"/>
      <c r="B552" s="1"/>
      <c r="C552" t="str">
        <f>IFERROR(IF(B552="","",VLOOKUP(B552,المستفيدين!$B:$C,2,FALSE)),"")</f>
        <v/>
      </c>
      <c r="E552" s="1"/>
      <c r="F552" s="1"/>
      <c r="G552" s="1"/>
      <c r="H552" s="1"/>
    </row>
    <row r="553" spans="1:8" x14ac:dyDescent="0.2">
      <c r="A553" s="1"/>
      <c r="B553" s="1"/>
      <c r="C553" t="str">
        <f>IFERROR(IF(B553="","",VLOOKUP(B553,المستفيدين!$B:$C,2,FALSE)),"")</f>
        <v/>
      </c>
      <c r="E553" s="1"/>
      <c r="F553" s="1"/>
      <c r="G553" s="1"/>
      <c r="H553" s="1"/>
    </row>
    <row r="554" spans="1:8" x14ac:dyDescent="0.2">
      <c r="A554" s="1"/>
      <c r="B554" s="1"/>
      <c r="C554" t="str">
        <f>IFERROR(IF(B554="","",VLOOKUP(B554,المستفيدين!$B:$C,2,FALSE)),"")</f>
        <v/>
      </c>
      <c r="E554" s="1"/>
      <c r="F554" s="1"/>
      <c r="G554" s="1"/>
      <c r="H554" s="1"/>
    </row>
    <row r="555" spans="1:8" x14ac:dyDescent="0.2">
      <c r="A555" s="1"/>
      <c r="B555" s="1"/>
      <c r="C555" t="str">
        <f>IFERROR(IF(B555="","",VLOOKUP(B555,المستفيدين!$B:$C,2,FALSE)),"")</f>
        <v/>
      </c>
      <c r="E555" s="1"/>
      <c r="F555" s="1"/>
      <c r="G555" s="1"/>
      <c r="H555" s="1"/>
    </row>
    <row r="556" spans="1:8" x14ac:dyDescent="0.2">
      <c r="A556" s="1"/>
      <c r="B556" s="1"/>
      <c r="C556" t="str">
        <f>IFERROR(IF(B556="","",VLOOKUP(B556,المستفيدين!$B:$C,2,FALSE)),"")</f>
        <v/>
      </c>
      <c r="E556" s="1"/>
      <c r="F556" s="1"/>
      <c r="G556" s="1"/>
      <c r="H556" s="1"/>
    </row>
    <row r="557" spans="1:8" x14ac:dyDescent="0.2">
      <c r="A557" s="1"/>
      <c r="B557" s="1"/>
      <c r="C557" t="str">
        <f>IFERROR(IF(B557="","",VLOOKUP(B557,المستفيدين!$B:$C,2,FALSE)),"")</f>
        <v/>
      </c>
      <c r="E557" s="1"/>
      <c r="F557" s="1"/>
      <c r="G557" s="1"/>
      <c r="H557" s="1"/>
    </row>
    <row r="558" spans="1:8" x14ac:dyDescent="0.2">
      <c r="A558" s="1"/>
      <c r="B558" s="1"/>
      <c r="C558" t="str">
        <f>IFERROR(IF(B558="","",VLOOKUP(B558,المستفيدين!$B:$C,2,FALSE)),"")</f>
        <v/>
      </c>
      <c r="E558" s="1"/>
      <c r="F558" s="1"/>
      <c r="G558" s="1"/>
      <c r="H558" s="1"/>
    </row>
    <row r="559" spans="1:8" x14ac:dyDescent="0.2">
      <c r="A559" s="1"/>
      <c r="B559" s="1"/>
      <c r="C559" t="str">
        <f>IFERROR(IF(B559="","",VLOOKUP(B559,المستفيدين!$B:$C,2,FALSE)),"")</f>
        <v/>
      </c>
      <c r="E559" s="1"/>
      <c r="F559" s="1"/>
      <c r="G559" s="1"/>
      <c r="H559" s="1"/>
    </row>
    <row r="560" spans="1:8" x14ac:dyDescent="0.2">
      <c r="A560" s="1"/>
      <c r="B560" s="1"/>
      <c r="C560" t="str">
        <f>IFERROR(IF(B560="","",VLOOKUP(B560,المستفيدين!$B:$C,2,FALSE)),"")</f>
        <v/>
      </c>
      <c r="E560" s="1"/>
      <c r="F560" s="1"/>
      <c r="G560" s="1"/>
      <c r="H560" s="1"/>
    </row>
    <row r="561" spans="1:8" x14ac:dyDescent="0.2">
      <c r="A561" s="1"/>
      <c r="B561" s="1"/>
      <c r="C561" t="str">
        <f>IFERROR(IF(B561="","",VLOOKUP(B561,المستفيدين!$B:$C,2,FALSE)),"")</f>
        <v/>
      </c>
      <c r="E561" s="1"/>
      <c r="F561" s="1"/>
      <c r="G561" s="1"/>
      <c r="H561" s="1"/>
    </row>
    <row r="562" spans="1:8" x14ac:dyDescent="0.2">
      <c r="A562" s="1"/>
      <c r="B562" s="1"/>
      <c r="C562" t="str">
        <f>IFERROR(IF(B562="","",VLOOKUP(B562,المستفيدين!$B:$C,2,FALSE)),"")</f>
        <v/>
      </c>
      <c r="E562" s="1"/>
      <c r="F562" s="1"/>
      <c r="G562" s="1"/>
      <c r="H562" s="1"/>
    </row>
    <row r="563" spans="1:8" x14ac:dyDescent="0.2">
      <c r="A563" s="1"/>
      <c r="B563" s="1"/>
      <c r="C563" t="str">
        <f>IFERROR(IF(B563="","",VLOOKUP(B563,المستفيدين!$B:$C,2,FALSE)),"")</f>
        <v/>
      </c>
      <c r="E563" s="1"/>
      <c r="F563" s="1"/>
      <c r="G563" s="1"/>
      <c r="H563" s="1"/>
    </row>
    <row r="564" spans="1:8" x14ac:dyDescent="0.2">
      <c r="A564" s="1"/>
      <c r="B564" s="1"/>
      <c r="C564" t="str">
        <f>IFERROR(IF(B564="","",VLOOKUP(B564,المستفيدين!$B:$C,2,FALSE)),"")</f>
        <v/>
      </c>
      <c r="E564" s="1"/>
      <c r="F564" s="1"/>
      <c r="G564" s="1"/>
      <c r="H564" s="1"/>
    </row>
    <row r="565" spans="1:8" x14ac:dyDescent="0.2">
      <c r="A565" s="1"/>
      <c r="B565" s="1"/>
      <c r="C565" t="str">
        <f>IFERROR(IF(B565="","",VLOOKUP(B565,المستفيدين!$B:$C,2,FALSE)),"")</f>
        <v/>
      </c>
      <c r="E565" s="1"/>
      <c r="F565" s="1"/>
      <c r="G565" s="1"/>
      <c r="H565" s="1"/>
    </row>
    <row r="566" spans="1:8" x14ac:dyDescent="0.2">
      <c r="A566" s="1"/>
      <c r="B566" s="1"/>
      <c r="C566" t="str">
        <f>IFERROR(IF(B566="","",VLOOKUP(B566,المستفيدين!$B:$C,2,FALSE)),"")</f>
        <v/>
      </c>
      <c r="E566" s="1"/>
      <c r="F566" s="1"/>
      <c r="G566" s="1"/>
      <c r="H566" s="1"/>
    </row>
    <row r="567" spans="1:8" x14ac:dyDescent="0.2">
      <c r="A567" s="1"/>
      <c r="B567" s="1"/>
      <c r="C567" t="str">
        <f>IFERROR(IF(B567="","",VLOOKUP(B567,المستفيدين!$B:$C,2,FALSE)),"")</f>
        <v/>
      </c>
      <c r="E567" s="1"/>
      <c r="F567" s="1"/>
      <c r="G567" s="1"/>
      <c r="H567" s="1"/>
    </row>
    <row r="568" spans="1:8" x14ac:dyDescent="0.2">
      <c r="A568" s="1"/>
      <c r="B568" s="1"/>
      <c r="C568" t="str">
        <f>IFERROR(IF(B568="","",VLOOKUP(B568,المستفيدين!$B:$C,2,FALSE)),"")</f>
        <v/>
      </c>
      <c r="E568" s="1"/>
      <c r="F568" s="1"/>
      <c r="G568" s="1"/>
      <c r="H568" s="1"/>
    </row>
    <row r="569" spans="1:8" x14ac:dyDescent="0.2">
      <c r="A569" s="1"/>
      <c r="B569" s="1"/>
      <c r="C569" t="str">
        <f>IFERROR(IF(B569="","",VLOOKUP(B569,المستفيدين!$B:$C,2,FALSE)),"")</f>
        <v/>
      </c>
      <c r="E569" s="1"/>
      <c r="F569" s="1"/>
      <c r="G569" s="1"/>
      <c r="H569" s="1"/>
    </row>
    <row r="570" spans="1:8" x14ac:dyDescent="0.2">
      <c r="A570" s="1"/>
      <c r="B570" s="1"/>
      <c r="C570" t="str">
        <f>IFERROR(IF(B570="","",VLOOKUP(B570,المستفيدين!$B:$C,2,FALSE)),"")</f>
        <v/>
      </c>
      <c r="E570" s="1"/>
      <c r="F570" s="1"/>
      <c r="G570" s="1"/>
      <c r="H570" s="1"/>
    </row>
    <row r="571" spans="1:8" x14ac:dyDescent="0.2">
      <c r="A571" s="1"/>
      <c r="B571" s="1"/>
      <c r="C571" t="str">
        <f>IFERROR(IF(B571="","",VLOOKUP(B571,المستفيدين!$B:$C,2,FALSE)),"")</f>
        <v/>
      </c>
      <c r="E571" s="1"/>
      <c r="F571" s="1"/>
      <c r="G571" s="1"/>
      <c r="H571" s="1"/>
    </row>
    <row r="572" spans="1:8" x14ac:dyDescent="0.2">
      <c r="A572" s="1"/>
      <c r="B572" s="1"/>
      <c r="C572" t="str">
        <f>IFERROR(IF(B572="","",VLOOKUP(B572,المستفيدين!$B:$C,2,FALSE)),"")</f>
        <v/>
      </c>
      <c r="E572" s="1"/>
      <c r="F572" s="1"/>
      <c r="G572" s="1"/>
      <c r="H572" s="1"/>
    </row>
    <row r="573" spans="1:8" x14ac:dyDescent="0.2">
      <c r="A573" s="1"/>
      <c r="B573" s="1"/>
      <c r="C573" t="str">
        <f>IFERROR(IF(B573="","",VLOOKUP(B573,المستفيدين!$B:$C,2,FALSE)),"")</f>
        <v/>
      </c>
      <c r="E573" s="1"/>
      <c r="F573" s="1"/>
      <c r="G573" s="1"/>
      <c r="H573" s="1"/>
    </row>
    <row r="574" spans="1:8" x14ac:dyDescent="0.2">
      <c r="A574" s="1"/>
      <c r="B574" s="1"/>
      <c r="C574" t="str">
        <f>IFERROR(IF(B574="","",VLOOKUP(B574,المستفيدين!$B:$C,2,FALSE)),"")</f>
        <v/>
      </c>
      <c r="E574" s="1"/>
      <c r="F574" s="1"/>
      <c r="G574" s="1"/>
      <c r="H574" s="1"/>
    </row>
    <row r="575" spans="1:8" x14ac:dyDescent="0.2">
      <c r="A575" s="1"/>
      <c r="B575" s="1"/>
      <c r="C575" t="str">
        <f>IFERROR(IF(B575="","",VLOOKUP(B575,المستفيدين!$B:$C,2,FALSE)),"")</f>
        <v/>
      </c>
      <c r="E575" s="1"/>
      <c r="F575" s="1"/>
      <c r="G575" s="1"/>
      <c r="H575" s="1"/>
    </row>
    <row r="576" spans="1:8" x14ac:dyDescent="0.2">
      <c r="A576" s="1"/>
      <c r="B576" s="1"/>
      <c r="C576" t="str">
        <f>IFERROR(IF(B576="","",VLOOKUP(B576,المستفيدين!$B:$C,2,FALSE)),"")</f>
        <v/>
      </c>
      <c r="E576" s="1"/>
      <c r="F576" s="1"/>
      <c r="G576" s="1"/>
      <c r="H576" s="1"/>
    </row>
    <row r="577" spans="1:8" x14ac:dyDescent="0.2">
      <c r="A577" s="1"/>
      <c r="B577" s="1"/>
      <c r="C577" t="str">
        <f>IFERROR(IF(B577="","",VLOOKUP(B577,المستفيدين!$B:$C,2,FALSE)),"")</f>
        <v/>
      </c>
      <c r="E577" s="1"/>
      <c r="F577" s="1"/>
      <c r="G577" s="1"/>
      <c r="H577" s="1"/>
    </row>
    <row r="578" spans="1:8" x14ac:dyDescent="0.2">
      <c r="A578" s="1"/>
      <c r="B578" s="1"/>
      <c r="C578" t="str">
        <f>IFERROR(IF(B578="","",VLOOKUP(B578,المستفيدين!$B:$C,2,FALSE)),"")</f>
        <v/>
      </c>
      <c r="E578" s="1"/>
      <c r="F578" s="1"/>
      <c r="G578" s="1"/>
      <c r="H578" s="1"/>
    </row>
    <row r="579" spans="1:8" x14ac:dyDescent="0.2">
      <c r="A579" s="1"/>
      <c r="B579" s="1"/>
      <c r="C579" t="str">
        <f>IFERROR(IF(B579="","",VLOOKUP(B579,المستفيدين!$B:$C,2,FALSE)),"")</f>
        <v/>
      </c>
      <c r="E579" s="1"/>
      <c r="F579" s="1"/>
      <c r="G579" s="1"/>
      <c r="H579" s="1"/>
    </row>
    <row r="580" spans="1:8" x14ac:dyDescent="0.2">
      <c r="A580" s="1"/>
      <c r="B580" s="1"/>
      <c r="C580" t="str">
        <f>IFERROR(IF(B580="","",VLOOKUP(B580,المستفيدين!$B:$C,2,FALSE)),"")</f>
        <v/>
      </c>
      <c r="E580" s="1"/>
      <c r="F580" s="1"/>
      <c r="G580" s="1"/>
      <c r="H580" s="1"/>
    </row>
    <row r="581" spans="1:8" x14ac:dyDescent="0.2">
      <c r="A581" s="1"/>
      <c r="B581" s="1"/>
      <c r="C581" t="str">
        <f>IFERROR(IF(B581="","",VLOOKUP(B581,المستفيدين!$B:$C,2,FALSE)),"")</f>
        <v/>
      </c>
      <c r="E581" s="1"/>
      <c r="F581" s="1"/>
      <c r="G581" s="1"/>
      <c r="H581" s="1"/>
    </row>
    <row r="582" spans="1:8" x14ac:dyDescent="0.2">
      <c r="A582" s="1"/>
      <c r="B582" s="1"/>
      <c r="C582" t="str">
        <f>IFERROR(IF(B582="","",VLOOKUP(B582,المستفيدين!$B:$C,2,FALSE)),"")</f>
        <v/>
      </c>
      <c r="E582" s="1"/>
      <c r="F582" s="1"/>
      <c r="G582" s="1"/>
      <c r="H582" s="1"/>
    </row>
    <row r="583" spans="1:8" x14ac:dyDescent="0.2">
      <c r="A583" s="1"/>
      <c r="B583" s="1"/>
      <c r="C583" t="str">
        <f>IFERROR(IF(B583="","",VLOOKUP(B583,المستفيدين!$B:$C,2,FALSE)),"")</f>
        <v/>
      </c>
      <c r="E583" s="1"/>
      <c r="F583" s="1"/>
      <c r="G583" s="1"/>
      <c r="H583" s="1"/>
    </row>
    <row r="584" spans="1:8" x14ac:dyDescent="0.2">
      <c r="A584" s="1"/>
      <c r="B584" s="1"/>
      <c r="C584" t="str">
        <f>IFERROR(IF(B584="","",VLOOKUP(B584,المستفيدين!$B:$C,2,FALSE)),"")</f>
        <v/>
      </c>
      <c r="E584" s="1"/>
      <c r="F584" s="1"/>
      <c r="G584" s="1"/>
      <c r="H584" s="1"/>
    </row>
    <row r="585" spans="1:8" x14ac:dyDescent="0.2">
      <c r="A585" s="1"/>
      <c r="B585" s="1"/>
      <c r="C585" t="str">
        <f>IFERROR(IF(B585="","",VLOOKUP(B585,المستفيدين!$B:$C,2,FALSE)),"")</f>
        <v/>
      </c>
      <c r="E585" s="1"/>
      <c r="F585" s="1"/>
      <c r="G585" s="1"/>
      <c r="H585" s="1"/>
    </row>
    <row r="586" spans="1:8" x14ac:dyDescent="0.2">
      <c r="A586" s="1"/>
      <c r="B586" s="1"/>
      <c r="C586" t="str">
        <f>IFERROR(IF(B586="","",VLOOKUP(B586,المستفيدين!$B:$C,2,FALSE)),"")</f>
        <v/>
      </c>
      <c r="E586" s="1"/>
      <c r="F586" s="1"/>
      <c r="G586" s="1"/>
      <c r="H586" s="1"/>
    </row>
    <row r="587" spans="1:8" x14ac:dyDescent="0.2">
      <c r="A587" s="1"/>
      <c r="B587" s="1"/>
      <c r="C587" t="str">
        <f>IFERROR(IF(B587="","",VLOOKUP(B587,المستفيدين!$B:$C,2,FALSE)),"")</f>
        <v/>
      </c>
      <c r="E587" s="1"/>
      <c r="F587" s="1"/>
      <c r="G587" s="1"/>
      <c r="H587" s="1"/>
    </row>
    <row r="588" spans="1:8" x14ac:dyDescent="0.2">
      <c r="A588" s="1"/>
      <c r="B588" s="1"/>
      <c r="C588" t="str">
        <f>IFERROR(IF(B588="","",VLOOKUP(B588,المستفيدين!$B:$C,2,FALSE)),"")</f>
        <v/>
      </c>
      <c r="E588" s="1"/>
      <c r="F588" s="1"/>
      <c r="G588" s="1"/>
      <c r="H588" s="1"/>
    </row>
    <row r="589" spans="1:8" x14ac:dyDescent="0.2">
      <c r="A589" s="1"/>
      <c r="B589" s="1"/>
      <c r="C589" t="str">
        <f>IFERROR(IF(B589="","",VLOOKUP(B589,المستفيدين!$B:$C,2,FALSE)),"")</f>
        <v/>
      </c>
      <c r="E589" s="1"/>
      <c r="F589" s="1"/>
      <c r="G589" s="1"/>
      <c r="H589" s="1"/>
    </row>
    <row r="590" spans="1:8" x14ac:dyDescent="0.2">
      <c r="A590" s="1"/>
      <c r="B590" s="1"/>
      <c r="C590" t="str">
        <f>IFERROR(IF(B590="","",VLOOKUP(B590,المستفيدين!$B:$C,2,FALSE)),"")</f>
        <v/>
      </c>
      <c r="E590" s="1"/>
      <c r="F590" s="1"/>
      <c r="G590" s="1"/>
      <c r="H590" s="1"/>
    </row>
    <row r="591" spans="1:8" x14ac:dyDescent="0.2">
      <c r="A591" s="1"/>
      <c r="B591" s="1"/>
      <c r="C591" t="str">
        <f>IFERROR(IF(B591="","",VLOOKUP(B591,المستفيدين!$B:$C,2,FALSE)),"")</f>
        <v/>
      </c>
      <c r="E591" s="1"/>
      <c r="F591" s="1"/>
      <c r="G591" s="1"/>
      <c r="H591" s="1"/>
    </row>
    <row r="592" spans="1:8" x14ac:dyDescent="0.2">
      <c r="A592" s="1"/>
      <c r="B592" s="1"/>
      <c r="C592" t="str">
        <f>IFERROR(IF(B592="","",VLOOKUP(B592,المستفيدين!$B:$C,2,FALSE)),"")</f>
        <v/>
      </c>
      <c r="E592" s="1"/>
      <c r="F592" s="1"/>
      <c r="G592" s="1"/>
      <c r="H592" s="1"/>
    </row>
    <row r="593" spans="1:8" x14ac:dyDescent="0.2">
      <c r="A593" s="1"/>
      <c r="B593" s="1"/>
      <c r="C593" t="str">
        <f>IFERROR(IF(B593="","",VLOOKUP(B593,المستفيدين!$B:$C,2,FALSE)),"")</f>
        <v/>
      </c>
      <c r="E593" s="1"/>
      <c r="F593" s="1"/>
      <c r="G593" s="1"/>
      <c r="H593" s="1"/>
    </row>
    <row r="594" spans="1:8" x14ac:dyDescent="0.2">
      <c r="A594" s="1"/>
      <c r="B594" s="1"/>
      <c r="C594" t="str">
        <f>IFERROR(IF(B594="","",VLOOKUP(B594,المستفيدين!$B:$C,2,FALSE)),"")</f>
        <v/>
      </c>
      <c r="E594" s="1"/>
      <c r="F594" s="1"/>
      <c r="G594" s="1"/>
      <c r="H594" s="1"/>
    </row>
    <row r="595" spans="1:8" x14ac:dyDescent="0.2">
      <c r="A595" s="1"/>
      <c r="B595" s="1"/>
      <c r="C595" t="str">
        <f>IFERROR(IF(B595="","",VLOOKUP(B595,المستفيدين!$B:$C,2,FALSE)),"")</f>
        <v/>
      </c>
      <c r="E595" s="1"/>
      <c r="F595" s="1"/>
      <c r="G595" s="1"/>
      <c r="H595" s="1"/>
    </row>
    <row r="596" spans="1:8" x14ac:dyDescent="0.2">
      <c r="A596" s="1"/>
      <c r="B596" s="1"/>
      <c r="C596" t="str">
        <f>IFERROR(IF(B596="","",VLOOKUP(B596,المستفيدين!$B:$C,2,FALSE)),"")</f>
        <v/>
      </c>
      <c r="E596" s="1"/>
      <c r="F596" s="1"/>
      <c r="G596" s="1"/>
      <c r="H596" s="1"/>
    </row>
    <row r="597" spans="1:8" x14ac:dyDescent="0.2">
      <c r="A597" s="1"/>
      <c r="B597" s="1"/>
      <c r="C597" t="str">
        <f>IFERROR(IF(B597="","",VLOOKUP(B597,المستفيدين!$B:$C,2,FALSE)),"")</f>
        <v/>
      </c>
      <c r="E597" s="1"/>
      <c r="F597" s="1"/>
      <c r="G597" s="1"/>
      <c r="H597" s="1"/>
    </row>
    <row r="598" spans="1:8" x14ac:dyDescent="0.2">
      <c r="A598" s="1"/>
      <c r="B598" s="1"/>
      <c r="C598" t="str">
        <f>IFERROR(IF(B598="","",VLOOKUP(B598,المستفيدين!$B:$C,2,FALSE)),"")</f>
        <v/>
      </c>
      <c r="E598" s="1"/>
      <c r="F598" s="1"/>
      <c r="G598" s="1"/>
      <c r="H598" s="1"/>
    </row>
    <row r="599" spans="1:8" x14ac:dyDescent="0.2">
      <c r="A599" s="1"/>
      <c r="B599" s="1"/>
      <c r="C599" t="str">
        <f>IFERROR(IF(B599="","",VLOOKUP(B599,المستفيدين!$B:$C,2,FALSE)),"")</f>
        <v/>
      </c>
      <c r="E599" s="1"/>
      <c r="F599" s="1"/>
      <c r="G599" s="1"/>
      <c r="H599" s="1"/>
    </row>
    <row r="600" spans="1:8" x14ac:dyDescent="0.2">
      <c r="A600" s="1"/>
      <c r="B600" s="1"/>
      <c r="C600" t="str">
        <f>IFERROR(IF(B600="","",VLOOKUP(B600,المستفيدين!$B:$C,2,FALSE)),"")</f>
        <v/>
      </c>
      <c r="E600" s="1"/>
      <c r="F600" s="1"/>
      <c r="G600" s="1"/>
      <c r="H600" s="1"/>
    </row>
    <row r="601" spans="1:8" x14ac:dyDescent="0.2">
      <c r="A601" s="1"/>
      <c r="B601" s="1"/>
      <c r="C601" t="str">
        <f>IFERROR(IF(B601="","",VLOOKUP(B601,المستفيدين!$B:$C,2,FALSE)),"")</f>
        <v/>
      </c>
      <c r="E601" s="1"/>
      <c r="F601" s="1"/>
      <c r="G601" s="1"/>
      <c r="H601" s="1"/>
    </row>
    <row r="602" spans="1:8" x14ac:dyDescent="0.2">
      <c r="A602" s="1"/>
      <c r="B602" s="1"/>
      <c r="C602" t="str">
        <f>IFERROR(IF(B602="","",VLOOKUP(B602,المستفيدين!$B:$C,2,FALSE)),"")</f>
        <v/>
      </c>
      <c r="E602" s="1"/>
      <c r="F602" s="1"/>
      <c r="G602" s="1"/>
      <c r="H602" s="1"/>
    </row>
    <row r="603" spans="1:8" x14ac:dyDescent="0.2">
      <c r="A603" s="1"/>
      <c r="B603" s="1"/>
      <c r="C603" t="str">
        <f>IFERROR(IF(B603="","",VLOOKUP(B603,المستفيدين!$B:$C,2,FALSE)),"")</f>
        <v/>
      </c>
      <c r="E603" s="1"/>
      <c r="F603" s="1"/>
      <c r="G603" s="1"/>
      <c r="H603" s="1"/>
    </row>
    <row r="604" spans="1:8" x14ac:dyDescent="0.2">
      <c r="A604" s="1"/>
      <c r="B604" s="1"/>
      <c r="C604" t="str">
        <f>IFERROR(IF(B604="","",VLOOKUP(B604,المستفيدين!$B:$C,2,FALSE)),"")</f>
        <v/>
      </c>
      <c r="E604" s="1"/>
      <c r="F604" s="1"/>
      <c r="G604" s="1"/>
      <c r="H604" s="1"/>
    </row>
    <row r="605" spans="1:8" x14ac:dyDescent="0.2">
      <c r="A605" s="1"/>
      <c r="B605" s="1"/>
      <c r="C605" t="str">
        <f>IFERROR(IF(B605="","",VLOOKUP(B605,المستفيدين!$B:$C,2,FALSE)),"")</f>
        <v/>
      </c>
      <c r="E605" s="1"/>
      <c r="F605" s="1"/>
      <c r="G605" s="1"/>
      <c r="H605" s="1"/>
    </row>
    <row r="606" spans="1:8" x14ac:dyDescent="0.2">
      <c r="A606" s="1"/>
      <c r="B606" s="1"/>
      <c r="C606" t="str">
        <f>IFERROR(IF(B606="","",VLOOKUP(B606,المستفيدين!$B:$C,2,FALSE)),"")</f>
        <v/>
      </c>
      <c r="E606" s="1"/>
      <c r="F606" s="1"/>
      <c r="G606" s="1"/>
      <c r="H606" s="1"/>
    </row>
    <row r="607" spans="1:8" x14ac:dyDescent="0.2">
      <c r="A607" s="1"/>
      <c r="B607" s="1"/>
      <c r="C607" t="str">
        <f>IFERROR(IF(B607="","",VLOOKUP(B607,المستفيدين!$B:$C,2,FALSE)),"")</f>
        <v/>
      </c>
      <c r="E607" s="1"/>
      <c r="F607" s="1"/>
      <c r="G607" s="1"/>
      <c r="H607" s="1"/>
    </row>
    <row r="608" spans="1:8" x14ac:dyDescent="0.2">
      <c r="A608" s="1"/>
      <c r="B608" s="1"/>
      <c r="C608" t="str">
        <f>IFERROR(IF(B608="","",VLOOKUP(B608,المستفيدين!$B:$C,2,FALSE)),"")</f>
        <v/>
      </c>
      <c r="E608" s="1"/>
      <c r="F608" s="1"/>
      <c r="G608" s="1"/>
      <c r="H608" s="1"/>
    </row>
    <row r="609" spans="1:8" x14ac:dyDescent="0.2">
      <c r="A609" s="1"/>
      <c r="B609" s="1"/>
      <c r="C609" t="str">
        <f>IFERROR(IF(B609="","",VLOOKUP(B609,المستفيدين!$B:$C,2,FALSE)),"")</f>
        <v/>
      </c>
      <c r="E609" s="1"/>
      <c r="F609" s="1"/>
      <c r="G609" s="1"/>
      <c r="H609" s="1"/>
    </row>
    <row r="610" spans="1:8" x14ac:dyDescent="0.2">
      <c r="A610" s="1"/>
      <c r="B610" s="1"/>
      <c r="C610" t="str">
        <f>IFERROR(IF(B610="","",VLOOKUP(B610,المستفيدين!$B:$C,2,FALSE)),"")</f>
        <v/>
      </c>
      <c r="E610" s="1"/>
      <c r="F610" s="1"/>
      <c r="G610" s="1"/>
      <c r="H610" s="1"/>
    </row>
    <row r="611" spans="1:8" x14ac:dyDescent="0.2">
      <c r="A611" s="1"/>
      <c r="B611" s="1"/>
      <c r="C611" t="str">
        <f>IFERROR(IF(B611="","",VLOOKUP(B611,المستفيدين!$B:$C,2,FALSE)),"")</f>
        <v/>
      </c>
      <c r="E611" s="1"/>
      <c r="F611" s="1"/>
      <c r="G611" s="1"/>
      <c r="H611" s="1"/>
    </row>
    <row r="612" spans="1:8" x14ac:dyDescent="0.2">
      <c r="A612" s="1"/>
      <c r="B612" s="1"/>
      <c r="C612" t="str">
        <f>IFERROR(IF(B612="","",VLOOKUP(B612,المستفيدين!$B:$C,2,FALSE)),"")</f>
        <v/>
      </c>
      <c r="E612" s="1"/>
      <c r="F612" s="1"/>
      <c r="G612" s="1"/>
      <c r="H612" s="1"/>
    </row>
    <row r="613" spans="1:8" x14ac:dyDescent="0.2">
      <c r="A613" s="1"/>
      <c r="B613" s="1"/>
      <c r="C613" t="str">
        <f>IFERROR(IF(B613="","",VLOOKUP(B613,المستفيدين!$B:$C,2,FALSE)),"")</f>
        <v/>
      </c>
      <c r="E613" s="1"/>
      <c r="F613" s="1"/>
      <c r="G613" s="1"/>
      <c r="H613" s="1"/>
    </row>
    <row r="614" spans="1:8" x14ac:dyDescent="0.2">
      <c r="A614" s="1"/>
      <c r="B614" s="1"/>
      <c r="C614" t="str">
        <f>IFERROR(IF(B614="","",VLOOKUP(B614,المستفيدين!$B:$C,2,FALSE)),"")</f>
        <v/>
      </c>
      <c r="E614" s="1"/>
      <c r="F614" s="1"/>
      <c r="G614" s="1"/>
      <c r="H614" s="1"/>
    </row>
    <row r="615" spans="1:8" x14ac:dyDescent="0.2">
      <c r="A615" s="1"/>
      <c r="B615" s="1"/>
      <c r="C615" t="str">
        <f>IFERROR(IF(B615="","",VLOOKUP(B615,المستفيدين!$B:$C,2,FALSE)),"")</f>
        <v/>
      </c>
      <c r="E615" s="1"/>
      <c r="F615" s="1"/>
      <c r="G615" s="1"/>
      <c r="H615" s="1"/>
    </row>
    <row r="616" spans="1:8" x14ac:dyDescent="0.2">
      <c r="A616" s="1"/>
      <c r="B616" s="1"/>
      <c r="C616" t="str">
        <f>IFERROR(IF(B616="","",VLOOKUP(B616,المستفيدين!$B:$C,2,FALSE)),"")</f>
        <v/>
      </c>
      <c r="E616" s="1"/>
      <c r="F616" s="1"/>
      <c r="G616" s="1"/>
      <c r="H616" s="1"/>
    </row>
    <row r="617" spans="1:8" x14ac:dyDescent="0.2">
      <c r="A617" s="1"/>
      <c r="B617" s="1"/>
      <c r="C617" t="str">
        <f>IFERROR(IF(B617="","",VLOOKUP(B617,المستفيدين!$B:$C,2,FALSE)),"")</f>
        <v/>
      </c>
      <c r="E617" s="1"/>
      <c r="F617" s="1"/>
      <c r="G617" s="1"/>
      <c r="H617" s="1"/>
    </row>
    <row r="618" spans="1:8" x14ac:dyDescent="0.2">
      <c r="A618" s="1"/>
      <c r="B618" s="1"/>
      <c r="C618" t="str">
        <f>IFERROR(IF(B618="","",VLOOKUP(B618,المستفيدين!$B:$C,2,FALSE)),"")</f>
        <v/>
      </c>
      <c r="E618" s="1"/>
      <c r="F618" s="1"/>
      <c r="G618" s="1"/>
      <c r="H618" s="1"/>
    </row>
    <row r="619" spans="1:8" x14ac:dyDescent="0.2">
      <c r="A619" s="1"/>
      <c r="B619" s="1"/>
      <c r="C619" t="str">
        <f>IFERROR(IF(B619="","",VLOOKUP(B619,المستفيدين!$B:$C,2,FALSE)),"")</f>
        <v/>
      </c>
      <c r="E619" s="1"/>
      <c r="F619" s="1"/>
      <c r="G619" s="1"/>
      <c r="H619" s="1"/>
    </row>
    <row r="620" spans="1:8" x14ac:dyDescent="0.2">
      <c r="A620" s="1"/>
      <c r="B620" s="1"/>
      <c r="C620" t="str">
        <f>IFERROR(IF(B620="","",VLOOKUP(B620,المستفيدين!$B:$C,2,FALSE)),"")</f>
        <v/>
      </c>
      <c r="E620" s="1"/>
      <c r="F620" s="1"/>
      <c r="G620" s="1"/>
      <c r="H620" s="1"/>
    </row>
    <row r="621" spans="1:8" x14ac:dyDescent="0.2">
      <c r="A621" s="1"/>
      <c r="B621" s="1"/>
      <c r="C621" t="str">
        <f>IFERROR(IF(B621="","",VLOOKUP(B621,المستفيدين!$B:$C,2,FALSE)),"")</f>
        <v/>
      </c>
      <c r="E621" s="1"/>
      <c r="F621" s="1"/>
      <c r="G621" s="1"/>
      <c r="H621" s="1"/>
    </row>
    <row r="622" spans="1:8" x14ac:dyDescent="0.2">
      <c r="A622" s="1"/>
      <c r="B622" s="1"/>
      <c r="C622" t="str">
        <f>IFERROR(IF(B622="","",VLOOKUP(B622,المستفيدين!$B:$C,2,FALSE)),"")</f>
        <v/>
      </c>
      <c r="E622" s="1"/>
      <c r="F622" s="1"/>
      <c r="G622" s="1"/>
      <c r="H622" s="1"/>
    </row>
    <row r="623" spans="1:8" x14ac:dyDescent="0.2">
      <c r="A623" s="1"/>
      <c r="B623" s="1"/>
      <c r="C623" t="str">
        <f>IFERROR(IF(B623="","",VLOOKUP(B623,المستفيدين!$B:$C,2,FALSE)),"")</f>
        <v/>
      </c>
      <c r="E623" s="1"/>
      <c r="F623" s="1"/>
      <c r="G623" s="1"/>
      <c r="H623" s="1"/>
    </row>
    <row r="624" spans="1:8" x14ac:dyDescent="0.2">
      <c r="A624" s="1"/>
      <c r="B624" s="1"/>
      <c r="C624" t="str">
        <f>IFERROR(IF(B624="","",VLOOKUP(B624,المستفيدين!$B:$C,2,FALSE)),"")</f>
        <v/>
      </c>
      <c r="E624" s="1"/>
      <c r="F624" s="1"/>
      <c r="G624" s="1"/>
      <c r="H624" s="1"/>
    </row>
    <row r="625" spans="1:8" x14ac:dyDescent="0.2">
      <c r="A625" s="1"/>
      <c r="B625" s="1"/>
      <c r="C625" t="str">
        <f>IFERROR(IF(B625="","",VLOOKUP(B625,المستفيدين!$B:$C,2,FALSE)),"")</f>
        <v/>
      </c>
      <c r="E625" s="1"/>
      <c r="F625" s="1"/>
      <c r="G625" s="1"/>
      <c r="H625" s="1"/>
    </row>
    <row r="626" spans="1:8" x14ac:dyDescent="0.2">
      <c r="A626" s="1"/>
      <c r="B626" s="1"/>
      <c r="C626" t="str">
        <f>IFERROR(IF(B626="","",VLOOKUP(B626,المستفيدين!$B:$C,2,FALSE)),"")</f>
        <v/>
      </c>
      <c r="E626" s="1"/>
      <c r="F626" s="1"/>
      <c r="G626" s="1"/>
      <c r="H626" s="1"/>
    </row>
    <row r="627" spans="1:8" x14ac:dyDescent="0.2">
      <c r="A627" s="1"/>
      <c r="B627" s="1"/>
      <c r="C627" t="str">
        <f>IFERROR(IF(B627="","",VLOOKUP(B627,المستفيدين!$B:$C,2,FALSE)),"")</f>
        <v/>
      </c>
      <c r="E627" s="1"/>
      <c r="F627" s="1"/>
      <c r="G627" s="1"/>
      <c r="H627" s="1"/>
    </row>
    <row r="628" spans="1:8" x14ac:dyDescent="0.2">
      <c r="A628" s="1"/>
      <c r="B628" s="1"/>
      <c r="C628" t="str">
        <f>IFERROR(IF(B628="","",VLOOKUP(B628,المستفيدين!$B:$C,2,FALSE)),"")</f>
        <v/>
      </c>
      <c r="E628" s="1"/>
      <c r="F628" s="1"/>
      <c r="G628" s="1"/>
      <c r="H628" s="1"/>
    </row>
    <row r="629" spans="1:8" x14ac:dyDescent="0.2">
      <c r="A629" s="1"/>
      <c r="B629" s="1"/>
      <c r="C629" t="str">
        <f>IFERROR(IF(B629="","",VLOOKUP(B629,المستفيدين!$B:$C,2,FALSE)),"")</f>
        <v/>
      </c>
      <c r="E629" s="1"/>
      <c r="F629" s="1"/>
      <c r="G629" s="1"/>
      <c r="H629" s="1"/>
    </row>
    <row r="630" spans="1:8" x14ac:dyDescent="0.2">
      <c r="A630" s="1"/>
      <c r="B630" s="1"/>
      <c r="C630" t="str">
        <f>IFERROR(IF(B630="","",VLOOKUP(B630,المستفيدين!$B:$C,2,FALSE)),"")</f>
        <v/>
      </c>
      <c r="E630" s="1"/>
      <c r="F630" s="1"/>
      <c r="G630" s="1"/>
      <c r="H630" s="1"/>
    </row>
    <row r="631" spans="1:8" x14ac:dyDescent="0.2">
      <c r="A631" s="1"/>
      <c r="B631" s="1"/>
      <c r="C631" t="str">
        <f>IFERROR(IF(B631="","",VLOOKUP(B631,المستفيدين!$B:$C,2,FALSE)),"")</f>
        <v/>
      </c>
      <c r="E631" s="1"/>
      <c r="F631" s="1"/>
      <c r="G631" s="1"/>
      <c r="H631" s="1"/>
    </row>
    <row r="632" spans="1:8" x14ac:dyDescent="0.2">
      <c r="A632" s="1"/>
      <c r="B632" s="1"/>
      <c r="C632" t="str">
        <f>IFERROR(IF(B632="","",VLOOKUP(B632,المستفيدين!$B:$C,2,FALSE)),"")</f>
        <v/>
      </c>
      <c r="E632" s="1"/>
      <c r="F632" s="1"/>
      <c r="G632" s="1"/>
      <c r="H632" s="1"/>
    </row>
    <row r="633" spans="1:8" x14ac:dyDescent="0.2">
      <c r="A633" s="1"/>
      <c r="B633" s="1"/>
      <c r="C633" t="str">
        <f>IFERROR(IF(B633="","",VLOOKUP(B633,المستفيدين!$B:$C,2,FALSE)),"")</f>
        <v/>
      </c>
      <c r="E633" s="1"/>
      <c r="F633" s="1"/>
      <c r="G633" s="1"/>
      <c r="H633" s="1"/>
    </row>
    <row r="634" spans="1:8" x14ac:dyDescent="0.2">
      <c r="A634" s="1"/>
      <c r="B634" s="1"/>
      <c r="C634" t="str">
        <f>IFERROR(IF(B634="","",VLOOKUP(B634,المستفيدين!$B:$C,2,FALSE)),"")</f>
        <v/>
      </c>
      <c r="E634" s="1"/>
      <c r="F634" s="1"/>
      <c r="G634" s="1"/>
      <c r="H634" s="1"/>
    </row>
    <row r="635" spans="1:8" x14ac:dyDescent="0.2">
      <c r="A635" s="1"/>
      <c r="B635" s="1"/>
      <c r="C635" t="str">
        <f>IFERROR(IF(B635="","",VLOOKUP(B635,المستفيدين!$B:$C,2,FALSE)),"")</f>
        <v/>
      </c>
      <c r="E635" s="1"/>
      <c r="F635" s="1"/>
      <c r="G635" s="1"/>
      <c r="H635" s="1"/>
    </row>
    <row r="636" spans="1:8" x14ac:dyDescent="0.2">
      <c r="A636" s="1"/>
      <c r="B636" s="1"/>
      <c r="C636" t="str">
        <f>IFERROR(IF(B636="","",VLOOKUP(B636,المستفيدين!$B:$C,2,FALSE)),"")</f>
        <v/>
      </c>
      <c r="E636" s="1"/>
      <c r="F636" s="1"/>
      <c r="G636" s="1"/>
      <c r="H636" s="1"/>
    </row>
    <row r="637" spans="1:8" x14ac:dyDescent="0.2">
      <c r="A637" s="1"/>
      <c r="B637" s="1"/>
      <c r="C637" t="str">
        <f>IFERROR(IF(B637="","",VLOOKUP(B637,المستفيدين!$B:$C,2,FALSE)),"")</f>
        <v/>
      </c>
      <c r="E637" s="1"/>
      <c r="F637" s="1"/>
      <c r="G637" s="1"/>
      <c r="H637" s="1"/>
    </row>
    <row r="638" spans="1:8" x14ac:dyDescent="0.2">
      <c r="A638" s="1"/>
      <c r="B638" s="1"/>
      <c r="C638" t="str">
        <f>IFERROR(IF(B638="","",VLOOKUP(B638,المستفيدين!$B:$C,2,FALSE)),"")</f>
        <v/>
      </c>
      <c r="E638" s="1"/>
      <c r="F638" s="1"/>
      <c r="G638" s="1"/>
      <c r="H638" s="1"/>
    </row>
    <row r="639" spans="1:8" x14ac:dyDescent="0.2">
      <c r="A639" s="1"/>
      <c r="B639" s="1"/>
      <c r="C639" t="str">
        <f>IFERROR(IF(B639="","",VLOOKUP(B639,المستفيدين!$B:$C,2,FALSE)),"")</f>
        <v/>
      </c>
      <c r="E639" s="1"/>
      <c r="F639" s="1"/>
      <c r="G639" s="1"/>
      <c r="H639" s="1"/>
    </row>
    <row r="640" spans="1:8" x14ac:dyDescent="0.2">
      <c r="A640" s="1"/>
      <c r="B640" s="1"/>
      <c r="C640" t="str">
        <f>IFERROR(IF(B640="","",VLOOKUP(B640,المستفيدين!$B:$C,2,FALSE)),"")</f>
        <v/>
      </c>
      <c r="E640" s="1"/>
      <c r="F640" s="1"/>
      <c r="G640" s="1"/>
      <c r="H640" s="1"/>
    </row>
    <row r="641" spans="1:8" x14ac:dyDescent="0.2">
      <c r="A641" s="1"/>
      <c r="B641" s="1"/>
      <c r="C641" t="str">
        <f>IFERROR(IF(B641="","",VLOOKUP(B641,المستفيدين!$B:$C,2,FALSE)),"")</f>
        <v/>
      </c>
      <c r="E641" s="1"/>
      <c r="F641" s="1"/>
      <c r="G641" s="1"/>
      <c r="H641" s="1"/>
    </row>
    <row r="642" spans="1:8" x14ac:dyDescent="0.2">
      <c r="A642" s="1"/>
      <c r="B642" s="1"/>
      <c r="C642" t="str">
        <f>IFERROR(IF(B642="","",VLOOKUP(B642,المستفيدين!$B:$C,2,FALSE)),"")</f>
        <v/>
      </c>
      <c r="E642" s="1"/>
      <c r="F642" s="1"/>
      <c r="G642" s="1"/>
      <c r="H642" s="1"/>
    </row>
    <row r="643" spans="1:8" x14ac:dyDescent="0.2">
      <c r="A643" s="1"/>
      <c r="B643" s="1"/>
      <c r="C643" t="str">
        <f>IFERROR(IF(B643="","",VLOOKUP(B643,المستفيدين!$B:$C,2,FALSE)),"")</f>
        <v/>
      </c>
      <c r="E643" s="1"/>
      <c r="F643" s="1"/>
      <c r="G643" s="1"/>
      <c r="H643" s="1"/>
    </row>
    <row r="644" spans="1:8" x14ac:dyDescent="0.2">
      <c r="A644" s="1"/>
      <c r="B644" s="1"/>
      <c r="C644" t="str">
        <f>IFERROR(IF(B644="","",VLOOKUP(B644,المستفيدين!$B:$C,2,FALSE)),"")</f>
        <v/>
      </c>
      <c r="E644" s="1"/>
      <c r="F644" s="1"/>
      <c r="G644" s="1"/>
      <c r="H644" s="1"/>
    </row>
    <row r="645" spans="1:8" x14ac:dyDescent="0.2">
      <c r="A645" s="1"/>
      <c r="B645" s="1"/>
      <c r="C645" t="str">
        <f>IFERROR(IF(B645="","",VLOOKUP(B645,المستفيدين!$B:$C,2,FALSE)),"")</f>
        <v/>
      </c>
      <c r="E645" s="1"/>
      <c r="F645" s="1"/>
      <c r="G645" s="1"/>
      <c r="H645" s="1"/>
    </row>
    <row r="646" spans="1:8" x14ac:dyDescent="0.2">
      <c r="A646" s="1"/>
      <c r="B646" s="1"/>
      <c r="C646" t="str">
        <f>IFERROR(IF(B646="","",VLOOKUP(B646,المستفيدين!$B:$C,2,FALSE)),"")</f>
        <v/>
      </c>
      <c r="E646" s="1"/>
      <c r="F646" s="1"/>
      <c r="G646" s="1"/>
      <c r="H646" s="1"/>
    </row>
    <row r="647" spans="1:8" x14ac:dyDescent="0.2">
      <c r="A647" s="1"/>
      <c r="B647" s="1"/>
      <c r="C647" t="str">
        <f>IFERROR(IF(B647="","",VLOOKUP(B647,المستفيدين!$B:$C,2,FALSE)),"")</f>
        <v/>
      </c>
      <c r="E647" s="1"/>
      <c r="F647" s="1"/>
      <c r="G647" s="1"/>
      <c r="H647" s="1"/>
    </row>
    <row r="648" spans="1:8" x14ac:dyDescent="0.2">
      <c r="A648" s="1"/>
      <c r="B648" s="1"/>
      <c r="C648" t="str">
        <f>IFERROR(IF(B648="","",VLOOKUP(B648,المستفيدين!$B:$C,2,FALSE)),"")</f>
        <v/>
      </c>
      <c r="E648" s="1"/>
      <c r="F648" s="1"/>
      <c r="G648" s="1"/>
      <c r="H648" s="1"/>
    </row>
    <row r="649" spans="1:8" x14ac:dyDescent="0.2">
      <c r="A649" s="1"/>
      <c r="B649" s="1"/>
      <c r="C649" t="str">
        <f>IFERROR(IF(B649="","",VLOOKUP(B649,المستفيدين!$B:$C,2,FALSE)),"")</f>
        <v/>
      </c>
      <c r="E649" s="1"/>
      <c r="F649" s="1"/>
      <c r="G649" s="1"/>
      <c r="H649" s="1"/>
    </row>
    <row r="650" spans="1:8" x14ac:dyDescent="0.2">
      <c r="A650" s="1"/>
      <c r="B650" s="1"/>
      <c r="C650" t="str">
        <f>IFERROR(IF(B650="","",VLOOKUP(B650,المستفيدين!$B:$C,2,FALSE)),"")</f>
        <v/>
      </c>
      <c r="E650" s="1"/>
      <c r="F650" s="1"/>
      <c r="G650" s="1"/>
      <c r="H650" s="1"/>
    </row>
    <row r="651" spans="1:8" x14ac:dyDescent="0.2">
      <c r="A651" s="1"/>
      <c r="B651" s="1"/>
      <c r="C651" t="str">
        <f>IFERROR(IF(B651="","",VLOOKUP(B651,المستفيدين!$B:$C,2,FALSE)),"")</f>
        <v/>
      </c>
      <c r="E651" s="1"/>
      <c r="F651" s="1"/>
      <c r="G651" s="1"/>
      <c r="H651" s="1"/>
    </row>
    <row r="652" spans="1:8" x14ac:dyDescent="0.2">
      <c r="A652" s="1"/>
      <c r="B652" s="1"/>
      <c r="C652" t="str">
        <f>IFERROR(IF(B652="","",VLOOKUP(B652,المستفيدين!$B:$C,2,FALSE)),"")</f>
        <v/>
      </c>
      <c r="E652" s="1"/>
      <c r="F652" s="1"/>
      <c r="G652" s="1"/>
      <c r="H652" s="1"/>
    </row>
    <row r="653" spans="1:8" x14ac:dyDescent="0.2">
      <c r="A653" s="1"/>
      <c r="B653" s="1"/>
      <c r="C653" t="str">
        <f>IFERROR(IF(B653="","",VLOOKUP(B653,المستفيدين!$B:$C,2,FALSE)),"")</f>
        <v/>
      </c>
      <c r="E653" s="1"/>
      <c r="F653" s="1"/>
      <c r="G653" s="1"/>
      <c r="H653" s="1"/>
    </row>
    <row r="654" spans="1:8" x14ac:dyDescent="0.2">
      <c r="A654" s="1"/>
      <c r="B654" s="1"/>
      <c r="C654" t="str">
        <f>IFERROR(IF(B654="","",VLOOKUP(B654,المستفيدين!$B:$C,2,FALSE)),"")</f>
        <v/>
      </c>
      <c r="E654" s="1"/>
      <c r="F654" s="1"/>
      <c r="G654" s="1"/>
      <c r="H654" s="1"/>
    </row>
    <row r="655" spans="1:8" x14ac:dyDescent="0.2">
      <c r="A655" s="1"/>
      <c r="B655" s="1"/>
      <c r="C655" t="str">
        <f>IFERROR(IF(B655="","",VLOOKUP(B655,المستفيدين!$B:$C,2,FALSE)),"")</f>
        <v/>
      </c>
      <c r="E655" s="1"/>
      <c r="F655" s="1"/>
      <c r="G655" s="1"/>
      <c r="H655" s="1"/>
    </row>
    <row r="656" spans="1:8" x14ac:dyDescent="0.2">
      <c r="A656" s="1"/>
      <c r="B656" s="1"/>
      <c r="C656" t="str">
        <f>IFERROR(IF(B656="","",VLOOKUP(B656,المستفيدين!$B:$C,2,FALSE)),"")</f>
        <v/>
      </c>
      <c r="E656" s="1"/>
      <c r="F656" s="1"/>
      <c r="G656" s="1"/>
      <c r="H656" s="1"/>
    </row>
    <row r="657" spans="1:8" x14ac:dyDescent="0.2">
      <c r="A657" s="1"/>
      <c r="B657" s="1"/>
      <c r="C657" t="str">
        <f>IFERROR(IF(B657="","",VLOOKUP(B657,المستفيدين!$B:$C,2,FALSE)),"")</f>
        <v/>
      </c>
      <c r="E657" s="1"/>
      <c r="F657" s="1"/>
      <c r="G657" s="1"/>
      <c r="H657" s="1"/>
    </row>
    <row r="658" spans="1:8" x14ac:dyDescent="0.2">
      <c r="A658" s="1"/>
      <c r="B658" s="1"/>
      <c r="C658" t="str">
        <f>IFERROR(IF(B658="","",VLOOKUP(B658,المستفيدين!$B:$C,2,FALSE)),"")</f>
        <v/>
      </c>
      <c r="E658" s="1"/>
      <c r="F658" s="1"/>
      <c r="G658" s="1"/>
      <c r="H658" s="1"/>
    </row>
    <row r="659" spans="1:8" x14ac:dyDescent="0.2">
      <c r="A659" s="1"/>
      <c r="B659" s="1"/>
      <c r="C659" t="str">
        <f>IFERROR(IF(B659="","",VLOOKUP(B659,المستفيدين!$B:$C,2,FALSE)),"")</f>
        <v/>
      </c>
      <c r="E659" s="1"/>
      <c r="F659" s="1"/>
      <c r="G659" s="1"/>
      <c r="H659" s="1"/>
    </row>
    <row r="660" spans="1:8" x14ac:dyDescent="0.2">
      <c r="A660" s="1"/>
      <c r="B660" s="1"/>
      <c r="C660" t="str">
        <f>IFERROR(IF(B660="","",VLOOKUP(B660,المستفيدين!$B:$C,2,FALSE)),"")</f>
        <v/>
      </c>
      <c r="E660" s="1"/>
      <c r="F660" s="1"/>
      <c r="G660" s="1"/>
      <c r="H660" s="1"/>
    </row>
    <row r="661" spans="1:8" x14ac:dyDescent="0.2">
      <c r="A661" s="1"/>
      <c r="B661" s="1"/>
      <c r="C661" t="str">
        <f>IFERROR(IF(B661="","",VLOOKUP(B661,المستفيدين!$B:$C,2,FALSE)),"")</f>
        <v/>
      </c>
      <c r="E661" s="1"/>
      <c r="F661" s="1"/>
      <c r="G661" s="1"/>
      <c r="H661" s="1"/>
    </row>
    <row r="662" spans="1:8" x14ac:dyDescent="0.2">
      <c r="A662" s="1"/>
      <c r="B662" s="1"/>
      <c r="C662" t="str">
        <f>IFERROR(IF(B662="","",VLOOKUP(B662,المستفيدين!$B:$C,2,FALSE)),"")</f>
        <v/>
      </c>
      <c r="E662" s="1"/>
      <c r="F662" s="1"/>
      <c r="G662" s="1"/>
      <c r="H662" s="1"/>
    </row>
    <row r="663" spans="1:8" x14ac:dyDescent="0.2">
      <c r="A663" s="1"/>
      <c r="B663" s="1"/>
      <c r="C663" t="str">
        <f>IFERROR(IF(B663="","",VLOOKUP(B663,المستفيدين!$B:$C,2,FALSE)),"")</f>
        <v/>
      </c>
      <c r="E663" s="1"/>
      <c r="F663" s="1"/>
      <c r="G663" s="1"/>
      <c r="H663" s="1"/>
    </row>
    <row r="664" spans="1:8" x14ac:dyDescent="0.2">
      <c r="A664" s="1"/>
      <c r="B664" s="1"/>
      <c r="C664" t="str">
        <f>IFERROR(IF(B664="","",VLOOKUP(B664,المستفيدين!$B:$C,2,FALSE)),"")</f>
        <v/>
      </c>
      <c r="E664" s="1"/>
      <c r="F664" s="1"/>
      <c r="G664" s="1"/>
      <c r="H664" s="1"/>
    </row>
    <row r="665" spans="1:8" x14ac:dyDescent="0.2">
      <c r="A665" s="1"/>
      <c r="B665" s="1"/>
      <c r="C665" t="str">
        <f>IFERROR(IF(B665="","",VLOOKUP(B665,المستفيدين!$B:$C,2,FALSE)),"")</f>
        <v/>
      </c>
      <c r="E665" s="1"/>
      <c r="F665" s="1"/>
      <c r="G665" s="1"/>
      <c r="H665" s="1"/>
    </row>
    <row r="666" spans="1:8" x14ac:dyDescent="0.2">
      <c r="A666" s="1"/>
      <c r="B666" s="1"/>
      <c r="C666" t="str">
        <f>IFERROR(IF(B666="","",VLOOKUP(B666,المستفيدين!$B:$C,2,FALSE)),"")</f>
        <v/>
      </c>
      <c r="E666" s="1"/>
      <c r="F666" s="1"/>
      <c r="G666" s="1"/>
      <c r="H666" s="1"/>
    </row>
    <row r="667" spans="1:8" x14ac:dyDescent="0.2">
      <c r="A667" s="1"/>
      <c r="B667" s="1"/>
      <c r="C667" t="str">
        <f>IFERROR(IF(B667="","",VLOOKUP(B667,المستفيدين!$B:$C,2,FALSE)),"")</f>
        <v/>
      </c>
      <c r="E667" s="1"/>
      <c r="F667" s="1"/>
      <c r="G667" s="1"/>
      <c r="H667" s="1"/>
    </row>
    <row r="668" spans="1:8" x14ac:dyDescent="0.2">
      <c r="A668" s="1"/>
      <c r="B668" s="1"/>
      <c r="C668" t="str">
        <f>IFERROR(IF(B668="","",VLOOKUP(B668,المستفيدين!$B:$C,2,FALSE)),"")</f>
        <v/>
      </c>
      <c r="E668" s="1"/>
      <c r="F668" s="1"/>
      <c r="G668" s="1"/>
      <c r="H668" s="1"/>
    </row>
    <row r="669" spans="1:8" x14ac:dyDescent="0.2">
      <c r="A669" s="1"/>
      <c r="B669" s="1"/>
      <c r="C669" t="str">
        <f>IFERROR(IF(B669="","",VLOOKUP(B669,المستفيدين!$B:$C,2,FALSE)),"")</f>
        <v/>
      </c>
      <c r="E669" s="1"/>
      <c r="F669" s="1"/>
      <c r="G669" s="1"/>
      <c r="H669" s="1"/>
    </row>
    <row r="670" spans="1:8" x14ac:dyDescent="0.2">
      <c r="A670" s="1"/>
      <c r="B670" s="1"/>
      <c r="C670" t="str">
        <f>IFERROR(IF(B670="","",VLOOKUP(B670,المستفيدين!$B:$C,2,FALSE)),"")</f>
        <v/>
      </c>
      <c r="E670" s="1"/>
      <c r="F670" s="1"/>
      <c r="G670" s="1"/>
      <c r="H670" s="1"/>
    </row>
    <row r="671" spans="1:8" x14ac:dyDescent="0.2">
      <c r="A671" s="1"/>
      <c r="B671" s="1"/>
      <c r="C671" t="str">
        <f>IFERROR(IF(B671="","",VLOOKUP(B671,المستفيدين!$B:$C,2,FALSE)),"")</f>
        <v/>
      </c>
      <c r="E671" s="1"/>
      <c r="F671" s="1"/>
      <c r="G671" s="1"/>
      <c r="H671" s="1"/>
    </row>
    <row r="672" spans="1:8" x14ac:dyDescent="0.2">
      <c r="A672" s="1"/>
      <c r="B672" s="1"/>
      <c r="C672" t="str">
        <f>IFERROR(IF(B672="","",VLOOKUP(B672,المستفيدين!$B:$C,2,FALSE)),"")</f>
        <v/>
      </c>
      <c r="E672" s="1"/>
      <c r="F672" s="1"/>
      <c r="G672" s="1"/>
      <c r="H672" s="1"/>
    </row>
    <row r="673" spans="1:8" x14ac:dyDescent="0.2">
      <c r="A673" s="1"/>
      <c r="B673" s="1"/>
      <c r="C673" t="str">
        <f>IFERROR(IF(B673="","",VLOOKUP(B673,المستفيدين!$B:$C,2,FALSE)),"")</f>
        <v/>
      </c>
      <c r="E673" s="1"/>
      <c r="F673" s="1"/>
      <c r="G673" s="1"/>
      <c r="H673" s="1"/>
    </row>
    <row r="674" spans="1:8" x14ac:dyDescent="0.2">
      <c r="A674" s="1"/>
      <c r="B674" s="1"/>
      <c r="C674" t="str">
        <f>IFERROR(IF(B674="","",VLOOKUP(B674,المستفيدين!$B:$C,2,FALSE)),"")</f>
        <v/>
      </c>
      <c r="E674" s="1"/>
      <c r="F674" s="1"/>
      <c r="G674" s="1"/>
      <c r="H674" s="1"/>
    </row>
    <row r="675" spans="1:8" x14ac:dyDescent="0.2">
      <c r="A675" s="1"/>
      <c r="B675" s="1"/>
      <c r="C675" t="str">
        <f>IFERROR(IF(B675="","",VLOOKUP(B675,المستفيدين!$B:$C,2,FALSE)),"")</f>
        <v/>
      </c>
      <c r="E675" s="1"/>
      <c r="F675" s="1"/>
      <c r="G675" s="1"/>
      <c r="H675" s="1"/>
    </row>
    <row r="676" spans="1:8" x14ac:dyDescent="0.2">
      <c r="A676" s="1"/>
      <c r="B676" s="1"/>
      <c r="C676" t="str">
        <f>IFERROR(IF(B676="","",VLOOKUP(B676,المستفيدين!$B:$C,2,FALSE)),"")</f>
        <v/>
      </c>
      <c r="E676" s="1"/>
      <c r="F676" s="1"/>
      <c r="G676" s="1"/>
      <c r="H676" s="1"/>
    </row>
    <row r="677" spans="1:8" x14ac:dyDescent="0.2">
      <c r="A677" s="1"/>
      <c r="B677" s="1"/>
      <c r="C677" t="str">
        <f>IFERROR(IF(B677="","",VLOOKUP(B677,المستفيدين!$B:$C,2,FALSE)),"")</f>
        <v/>
      </c>
      <c r="E677" s="1"/>
      <c r="F677" s="1"/>
      <c r="G677" s="1"/>
      <c r="H677" s="1"/>
    </row>
    <row r="678" spans="1:8" x14ac:dyDescent="0.2">
      <c r="A678" s="1"/>
      <c r="B678" s="1"/>
      <c r="C678" t="str">
        <f>IFERROR(IF(B678="","",VLOOKUP(B678,المستفيدين!$B:$C,2,FALSE)),"")</f>
        <v/>
      </c>
      <c r="E678" s="1"/>
      <c r="F678" s="1"/>
      <c r="G678" s="1"/>
      <c r="H678" s="1"/>
    </row>
    <row r="679" spans="1:8" x14ac:dyDescent="0.2">
      <c r="A679" s="1"/>
      <c r="B679" s="1"/>
      <c r="C679" t="str">
        <f>IFERROR(IF(B679="","",VLOOKUP(B679,المستفيدين!$B:$C,2,FALSE)),"")</f>
        <v/>
      </c>
      <c r="E679" s="1"/>
      <c r="F679" s="1"/>
      <c r="G679" s="1"/>
      <c r="H679" s="1"/>
    </row>
    <row r="680" spans="1:8" x14ac:dyDescent="0.2">
      <c r="A680" s="1"/>
      <c r="B680" s="1"/>
      <c r="C680" t="str">
        <f>IFERROR(IF(B680="","",VLOOKUP(B680,المستفيدين!$B:$C,2,FALSE)),"")</f>
        <v/>
      </c>
      <c r="E680" s="1"/>
      <c r="F680" s="1"/>
      <c r="G680" s="1"/>
      <c r="H680" s="1"/>
    </row>
    <row r="681" spans="1:8" x14ac:dyDescent="0.2">
      <c r="A681" s="1"/>
      <c r="B681" s="1"/>
      <c r="C681" t="str">
        <f>IFERROR(IF(B681="","",VLOOKUP(B681,المستفيدين!$B:$C,2,FALSE)),"")</f>
        <v/>
      </c>
      <c r="E681" s="1"/>
      <c r="F681" s="1"/>
      <c r="G681" s="1"/>
      <c r="H681" s="1"/>
    </row>
    <row r="682" spans="1:8" x14ac:dyDescent="0.2">
      <c r="A682" s="1"/>
      <c r="B682" s="1"/>
      <c r="C682" t="str">
        <f>IFERROR(IF(B682="","",VLOOKUP(B682,المستفيدين!$B:$C,2,FALSE)),"")</f>
        <v/>
      </c>
      <c r="E682" s="1"/>
      <c r="F682" s="1"/>
      <c r="G682" s="1"/>
      <c r="H682" s="1"/>
    </row>
    <row r="683" spans="1:8" x14ac:dyDescent="0.2">
      <c r="A683" s="1"/>
      <c r="B683" s="1"/>
      <c r="C683" t="str">
        <f>IFERROR(IF(B683="","",VLOOKUP(B683,المستفيدين!$B:$C,2,FALSE)),"")</f>
        <v/>
      </c>
      <c r="E683" s="1"/>
      <c r="F683" s="1"/>
      <c r="G683" s="1"/>
      <c r="H683" s="1"/>
    </row>
    <row r="684" spans="1:8" x14ac:dyDescent="0.2">
      <c r="A684" s="1"/>
      <c r="B684" s="1"/>
      <c r="C684" t="str">
        <f>IFERROR(IF(B684="","",VLOOKUP(B684,المستفيدين!$B:$C,2,FALSE)),"")</f>
        <v/>
      </c>
      <c r="E684" s="1"/>
      <c r="F684" s="1"/>
      <c r="G684" s="1"/>
      <c r="H684" s="1"/>
    </row>
    <row r="685" spans="1:8" x14ac:dyDescent="0.2">
      <c r="A685" s="1"/>
      <c r="B685" s="1"/>
      <c r="C685" t="str">
        <f>IFERROR(IF(B685="","",VLOOKUP(B685,المستفيدين!$B:$C,2,FALSE)),"")</f>
        <v/>
      </c>
      <c r="E685" s="1"/>
      <c r="F685" s="1"/>
      <c r="G685" s="1"/>
      <c r="H685" s="1"/>
    </row>
    <row r="686" spans="1:8" x14ac:dyDescent="0.2">
      <c r="A686" s="1"/>
      <c r="B686" s="1"/>
      <c r="C686" t="str">
        <f>IFERROR(IF(B686="","",VLOOKUP(B686,المستفيدين!$B:$C,2,FALSE)),"")</f>
        <v/>
      </c>
      <c r="E686" s="1"/>
      <c r="F686" s="1"/>
      <c r="G686" s="1"/>
      <c r="H686" s="1"/>
    </row>
    <row r="687" spans="1:8" x14ac:dyDescent="0.2">
      <c r="A687" s="1"/>
      <c r="B687" s="1"/>
      <c r="C687" t="str">
        <f>IFERROR(IF(B687="","",VLOOKUP(B687,المستفيدين!$B:$C,2,FALSE)),"")</f>
        <v/>
      </c>
      <c r="E687" s="1"/>
      <c r="F687" s="1"/>
      <c r="G687" s="1"/>
      <c r="H687" s="1"/>
    </row>
    <row r="688" spans="1:8" x14ac:dyDescent="0.2">
      <c r="A688" s="1"/>
      <c r="B688" s="1"/>
      <c r="C688" t="str">
        <f>IFERROR(IF(B688="","",VLOOKUP(B688,المستفيدين!$B:$C,2,FALSE)),"")</f>
        <v/>
      </c>
      <c r="E688" s="1"/>
      <c r="F688" s="1"/>
      <c r="G688" s="1"/>
      <c r="H688" s="1"/>
    </row>
    <row r="689" spans="1:8" x14ac:dyDescent="0.2">
      <c r="A689" s="1"/>
      <c r="B689" s="1"/>
      <c r="C689" t="str">
        <f>IFERROR(IF(B689="","",VLOOKUP(B689,المستفيدين!$B:$C,2,FALSE)),"")</f>
        <v/>
      </c>
      <c r="E689" s="1"/>
      <c r="F689" s="1"/>
      <c r="G689" s="1"/>
      <c r="H689" s="1"/>
    </row>
    <row r="690" spans="1:8" x14ac:dyDescent="0.2">
      <c r="A690" s="1"/>
      <c r="B690" s="1"/>
      <c r="C690" t="str">
        <f>IFERROR(IF(B690="","",VLOOKUP(B690,المستفيدين!$B:$C,2,FALSE)),"")</f>
        <v/>
      </c>
      <c r="E690" s="1"/>
      <c r="F690" s="1"/>
      <c r="G690" s="1"/>
      <c r="H690" s="1"/>
    </row>
    <row r="691" spans="1:8" x14ac:dyDescent="0.2">
      <c r="A691" s="1"/>
      <c r="B691" s="1"/>
      <c r="C691" t="str">
        <f>IFERROR(IF(B691="","",VLOOKUP(B691,المستفيدين!$B:$C,2,FALSE)),"")</f>
        <v/>
      </c>
      <c r="E691" s="1"/>
      <c r="F691" s="1"/>
      <c r="G691" s="1"/>
      <c r="H691" s="1"/>
    </row>
    <row r="692" spans="1:8" x14ac:dyDescent="0.2">
      <c r="A692" s="1"/>
      <c r="B692" s="1"/>
      <c r="C692" t="str">
        <f>IFERROR(IF(B692="","",VLOOKUP(B692,المستفيدين!$B:$C,2,FALSE)),"")</f>
        <v/>
      </c>
      <c r="E692" s="1"/>
      <c r="F692" s="1"/>
      <c r="G692" s="1"/>
      <c r="H692" s="1"/>
    </row>
    <row r="693" spans="1:8" x14ac:dyDescent="0.2">
      <c r="A693" s="1"/>
      <c r="B693" s="1"/>
      <c r="C693" t="str">
        <f>IFERROR(IF(B693="","",VLOOKUP(B693,المستفيدين!$B:$C,2,FALSE)),"")</f>
        <v/>
      </c>
      <c r="E693" s="1"/>
      <c r="F693" s="1"/>
      <c r="G693" s="1"/>
      <c r="H693" s="1"/>
    </row>
    <row r="694" spans="1:8" x14ac:dyDescent="0.2">
      <c r="A694" s="1"/>
      <c r="B694" s="1"/>
      <c r="C694" t="str">
        <f>IFERROR(IF(B694="","",VLOOKUP(B694,المستفيدين!$B:$C,2,FALSE)),"")</f>
        <v/>
      </c>
      <c r="E694" s="1"/>
      <c r="F694" s="1"/>
      <c r="G694" s="1"/>
      <c r="H694" s="1"/>
    </row>
    <row r="695" spans="1:8" x14ac:dyDescent="0.2">
      <c r="A695" s="1"/>
      <c r="B695" s="1"/>
      <c r="C695" t="str">
        <f>IFERROR(IF(B695="","",VLOOKUP(B695,المستفيدين!$B:$C,2,FALSE)),"")</f>
        <v/>
      </c>
      <c r="E695" s="1"/>
      <c r="F695" s="1"/>
      <c r="G695" s="1"/>
      <c r="H695" s="1"/>
    </row>
    <row r="696" spans="1:8" x14ac:dyDescent="0.2">
      <c r="A696" s="1"/>
      <c r="B696" s="1"/>
      <c r="C696" t="str">
        <f>IFERROR(IF(B696="","",VLOOKUP(B696,المستفيدين!$B:$C,2,FALSE)),"")</f>
        <v/>
      </c>
      <c r="E696" s="1"/>
      <c r="F696" s="1"/>
      <c r="G696" s="1"/>
      <c r="H696" s="1"/>
    </row>
    <row r="697" spans="1:8" x14ac:dyDescent="0.2">
      <c r="A697" s="1"/>
      <c r="B697" s="1"/>
      <c r="C697" t="str">
        <f>IFERROR(IF(B697="","",VLOOKUP(B697,المستفيدين!$B:$C,2,FALSE)),"")</f>
        <v/>
      </c>
      <c r="E697" s="1"/>
      <c r="F697" s="1"/>
      <c r="G697" s="1"/>
      <c r="H697" s="1"/>
    </row>
    <row r="698" spans="1:8" x14ac:dyDescent="0.2">
      <c r="A698" s="1"/>
      <c r="B698" s="1"/>
      <c r="C698" t="str">
        <f>IFERROR(IF(B698="","",VLOOKUP(B698,المستفيدين!$B:$C,2,FALSE)),"")</f>
        <v/>
      </c>
      <c r="E698" s="1"/>
      <c r="F698" s="1"/>
      <c r="G698" s="1"/>
      <c r="H698" s="1"/>
    </row>
    <row r="699" spans="1:8" x14ac:dyDescent="0.2">
      <c r="A699" s="1"/>
      <c r="B699" s="1"/>
      <c r="C699" t="str">
        <f>IFERROR(IF(B699="","",VLOOKUP(B699,المستفيدين!$B:$C,2,FALSE)),"")</f>
        <v/>
      </c>
      <c r="E699" s="1"/>
      <c r="F699" s="1"/>
      <c r="G699" s="1"/>
      <c r="H699" s="1"/>
    </row>
    <row r="700" spans="1:8" x14ac:dyDescent="0.2">
      <c r="A700" s="1"/>
      <c r="B700" s="1"/>
      <c r="C700" t="str">
        <f>IFERROR(IF(B700="","",VLOOKUP(B700,المستفيدين!$B:$C,2,FALSE)),"")</f>
        <v/>
      </c>
      <c r="E700" s="1"/>
      <c r="F700" s="1"/>
      <c r="G700" s="1"/>
      <c r="H700" s="1"/>
    </row>
    <row r="701" spans="1:8" x14ac:dyDescent="0.2">
      <c r="A701" s="1"/>
      <c r="B701" s="1"/>
      <c r="C701" t="str">
        <f>IFERROR(IF(B701="","",VLOOKUP(B701,المستفيدين!$B:$C,2,FALSE)),"")</f>
        <v/>
      </c>
      <c r="E701" s="1"/>
      <c r="F701" s="1"/>
      <c r="G701" s="1"/>
      <c r="H701" s="1"/>
    </row>
    <row r="702" spans="1:8" x14ac:dyDescent="0.2">
      <c r="A702" s="1"/>
      <c r="B702" s="1"/>
      <c r="C702" t="str">
        <f>IFERROR(IF(B702="","",VLOOKUP(B702,المستفيدين!$B:$C,2,FALSE)),"")</f>
        <v/>
      </c>
      <c r="E702" s="1"/>
      <c r="F702" s="1"/>
      <c r="G702" s="1"/>
      <c r="H702" s="1"/>
    </row>
    <row r="703" spans="1:8" x14ac:dyDescent="0.2">
      <c r="A703" s="1"/>
      <c r="B703" s="1"/>
      <c r="C703" t="str">
        <f>IFERROR(IF(B703="","",VLOOKUP(B703,المستفيدين!$B:$C,2,FALSE)),"")</f>
        <v/>
      </c>
      <c r="E703" s="1"/>
      <c r="F703" s="1"/>
      <c r="G703" s="1"/>
      <c r="H703" s="1"/>
    </row>
    <row r="704" spans="1:8" x14ac:dyDescent="0.2">
      <c r="A704" s="1"/>
      <c r="B704" s="1"/>
      <c r="C704" t="str">
        <f>IFERROR(IF(B704="","",VLOOKUP(B704,المستفيدين!$B:$C,2,FALSE)),"")</f>
        <v/>
      </c>
      <c r="E704" s="1"/>
      <c r="F704" s="1"/>
      <c r="G704" s="1"/>
      <c r="H704" s="1"/>
    </row>
    <row r="705" spans="1:8" x14ac:dyDescent="0.2">
      <c r="A705" s="1"/>
      <c r="B705" s="1"/>
      <c r="C705" t="str">
        <f>IFERROR(IF(B705="","",VLOOKUP(B705,المستفيدين!$B:$C,2,FALSE)),"")</f>
        <v/>
      </c>
      <c r="E705" s="1"/>
      <c r="F705" s="1"/>
      <c r="G705" s="1"/>
      <c r="H705" s="1"/>
    </row>
    <row r="706" spans="1:8" x14ac:dyDescent="0.2">
      <c r="A706" s="1"/>
      <c r="B706" s="1"/>
      <c r="C706" t="str">
        <f>IFERROR(IF(B706="","",VLOOKUP(B706,المستفيدين!$B:$C,2,FALSE)),"")</f>
        <v/>
      </c>
      <c r="E706" s="1"/>
      <c r="F706" s="1"/>
      <c r="G706" s="1"/>
      <c r="H706" s="1"/>
    </row>
    <row r="707" spans="1:8" x14ac:dyDescent="0.2">
      <c r="A707" s="1"/>
      <c r="B707" s="1"/>
      <c r="C707" t="str">
        <f>IFERROR(IF(B707="","",VLOOKUP(B707,المستفيدين!$B:$C,2,FALSE)),"")</f>
        <v/>
      </c>
      <c r="E707" s="1"/>
      <c r="F707" s="1"/>
      <c r="G707" s="1"/>
      <c r="H707" s="1"/>
    </row>
    <row r="708" spans="1:8" x14ac:dyDescent="0.2">
      <c r="A708" s="1"/>
      <c r="B708" s="1"/>
      <c r="C708" t="str">
        <f>IFERROR(IF(B708="","",VLOOKUP(B708,المستفيدين!$B:$C,2,FALSE)),"")</f>
        <v/>
      </c>
      <c r="E708" s="1"/>
      <c r="F708" s="1"/>
      <c r="G708" s="1"/>
      <c r="H708" s="1"/>
    </row>
    <row r="709" spans="1:8" x14ac:dyDescent="0.2">
      <c r="A709" s="1"/>
      <c r="B709" s="1"/>
      <c r="C709" t="str">
        <f>IFERROR(IF(B709="","",VLOOKUP(B709,المستفيدين!$B:$C,2,FALSE)),"")</f>
        <v/>
      </c>
      <c r="E709" s="1"/>
      <c r="F709" s="1"/>
      <c r="G709" s="1"/>
      <c r="H709" s="1"/>
    </row>
    <row r="710" spans="1:8" x14ac:dyDescent="0.2">
      <c r="A710" s="1"/>
      <c r="B710" s="1"/>
      <c r="C710" t="str">
        <f>IFERROR(IF(B710="","",VLOOKUP(B710,المستفيدين!$B:$C,2,FALSE)),"")</f>
        <v/>
      </c>
      <c r="E710" s="1"/>
      <c r="F710" s="1"/>
      <c r="G710" s="1"/>
      <c r="H710" s="1"/>
    </row>
    <row r="711" spans="1:8" x14ac:dyDescent="0.2">
      <c r="A711" s="1"/>
      <c r="B711" s="1"/>
      <c r="C711" t="str">
        <f>IFERROR(IF(B711="","",VLOOKUP(B711,المستفيدين!$B:$C,2,FALSE)),"")</f>
        <v/>
      </c>
      <c r="E711" s="1"/>
      <c r="F711" s="1"/>
      <c r="G711" s="1"/>
      <c r="H711" s="1"/>
    </row>
    <row r="712" spans="1:8" x14ac:dyDescent="0.2">
      <c r="A712" s="1"/>
      <c r="B712" s="1"/>
      <c r="C712" t="str">
        <f>IFERROR(IF(B712="","",VLOOKUP(B712,المستفيدين!$B:$C,2,FALSE)),"")</f>
        <v/>
      </c>
      <c r="E712" s="1"/>
      <c r="F712" s="1"/>
      <c r="G712" s="1"/>
      <c r="H712" s="1"/>
    </row>
    <row r="713" spans="1:8" x14ac:dyDescent="0.2">
      <c r="A713" s="1"/>
      <c r="B713" s="1"/>
      <c r="C713" t="str">
        <f>IFERROR(IF(B713="","",VLOOKUP(B713,المستفيدين!$B:$C,2,FALSE)),"")</f>
        <v/>
      </c>
      <c r="E713" s="1"/>
      <c r="F713" s="1"/>
      <c r="G713" s="1"/>
      <c r="H713" s="1"/>
    </row>
    <row r="714" spans="1:8" x14ac:dyDescent="0.2">
      <c r="A714" s="1"/>
      <c r="B714" s="1"/>
      <c r="C714" t="str">
        <f>IFERROR(IF(B714="","",VLOOKUP(B714,المستفيدين!$B:$C,2,FALSE)),"")</f>
        <v/>
      </c>
      <c r="E714" s="1"/>
      <c r="F714" s="1"/>
      <c r="G714" s="1"/>
      <c r="H714" s="1"/>
    </row>
    <row r="715" spans="1:8" x14ac:dyDescent="0.2">
      <c r="A715" s="1"/>
      <c r="B715" s="1"/>
      <c r="C715" t="str">
        <f>IFERROR(IF(B715="","",VLOOKUP(B715,المستفيدين!$B:$C,2,FALSE)),"")</f>
        <v/>
      </c>
      <c r="E715" s="1"/>
      <c r="F715" s="1"/>
      <c r="G715" s="1"/>
      <c r="H715" s="1"/>
    </row>
    <row r="716" spans="1:8" x14ac:dyDescent="0.2">
      <c r="A716" s="1"/>
      <c r="B716" s="1"/>
      <c r="C716" t="str">
        <f>IFERROR(IF(B716="","",VLOOKUP(B716,المستفيدين!$B:$C,2,FALSE)),"")</f>
        <v/>
      </c>
      <c r="E716" s="1"/>
      <c r="F716" s="1"/>
      <c r="G716" s="1"/>
      <c r="H716" s="1"/>
    </row>
    <row r="717" spans="1:8" x14ac:dyDescent="0.2">
      <c r="A717" s="1"/>
      <c r="B717" s="1"/>
      <c r="C717" t="str">
        <f>IFERROR(IF(B717="","",VLOOKUP(B717,المستفيدين!$B:$C,2,FALSE)),"")</f>
        <v/>
      </c>
      <c r="E717" s="1"/>
      <c r="F717" s="1"/>
      <c r="G717" s="1"/>
      <c r="H717" s="1"/>
    </row>
    <row r="718" spans="1:8" x14ac:dyDescent="0.2">
      <c r="A718" s="1"/>
      <c r="B718" s="1"/>
      <c r="C718" t="str">
        <f>IFERROR(IF(B718="","",VLOOKUP(B718,المستفيدين!$B:$C,2,FALSE)),"")</f>
        <v/>
      </c>
      <c r="E718" s="1"/>
      <c r="F718" s="1"/>
      <c r="G718" s="1"/>
      <c r="H718" s="1"/>
    </row>
    <row r="719" spans="1:8" x14ac:dyDescent="0.2">
      <c r="A719" s="1"/>
      <c r="B719" s="1"/>
      <c r="C719" t="str">
        <f>IFERROR(IF(B719="","",VLOOKUP(B719,المستفيدين!$B:$C,2,FALSE)),"")</f>
        <v/>
      </c>
      <c r="E719" s="1"/>
      <c r="F719" s="1"/>
      <c r="G719" s="1"/>
      <c r="H719" s="1"/>
    </row>
    <row r="720" spans="1:8" x14ac:dyDescent="0.2">
      <c r="A720" s="1"/>
      <c r="B720" s="1"/>
      <c r="C720" t="str">
        <f>IFERROR(IF(B720="","",VLOOKUP(B720,المستفيدين!$B:$C,2,FALSE)),"")</f>
        <v/>
      </c>
      <c r="E720" s="1"/>
      <c r="F720" s="1"/>
      <c r="G720" s="1"/>
      <c r="H720" s="1"/>
    </row>
    <row r="721" spans="1:8" x14ac:dyDescent="0.2">
      <c r="A721" s="1"/>
      <c r="B721" s="1"/>
      <c r="C721" t="str">
        <f>IFERROR(IF(B721="","",VLOOKUP(B721,المستفيدين!$B:$C,2,FALSE)),"")</f>
        <v/>
      </c>
      <c r="E721" s="1"/>
      <c r="F721" s="1"/>
      <c r="G721" s="1"/>
      <c r="H721" s="1"/>
    </row>
    <row r="722" spans="1:8" x14ac:dyDescent="0.2">
      <c r="A722" s="1"/>
      <c r="B722" s="1"/>
      <c r="C722" t="str">
        <f>IFERROR(IF(B722="","",VLOOKUP(B722,المستفيدين!$B:$C,2,FALSE)),"")</f>
        <v/>
      </c>
      <c r="E722" s="1"/>
      <c r="F722" s="1"/>
      <c r="G722" s="1"/>
      <c r="H722" s="1"/>
    </row>
    <row r="723" spans="1:8" x14ac:dyDescent="0.2">
      <c r="A723" s="1"/>
      <c r="B723" s="1"/>
      <c r="C723" t="str">
        <f>IFERROR(IF(B723="","",VLOOKUP(B723,المستفيدين!$B:$C,2,FALSE)),"")</f>
        <v/>
      </c>
      <c r="E723" s="1"/>
      <c r="F723" s="1"/>
      <c r="G723" s="1"/>
      <c r="H723" s="1"/>
    </row>
    <row r="724" spans="1:8" x14ac:dyDescent="0.2">
      <c r="A724" s="1"/>
      <c r="B724" s="1"/>
      <c r="C724" t="str">
        <f>IFERROR(IF(B724="","",VLOOKUP(B724,المستفيدين!$B:$C,2,FALSE)),"")</f>
        <v/>
      </c>
      <c r="E724" s="1"/>
      <c r="F724" s="1"/>
      <c r="G724" s="1"/>
      <c r="H724" s="1"/>
    </row>
    <row r="725" spans="1:8" x14ac:dyDescent="0.2">
      <c r="A725" s="1"/>
      <c r="B725" s="1"/>
      <c r="C725" t="str">
        <f>IFERROR(IF(B725="","",VLOOKUP(B725,المستفيدين!$B:$C,2,FALSE)),"")</f>
        <v/>
      </c>
      <c r="E725" s="1"/>
      <c r="F725" s="1"/>
      <c r="G725" s="1"/>
      <c r="H725" s="1"/>
    </row>
    <row r="726" spans="1:8" x14ac:dyDescent="0.2">
      <c r="A726" s="1"/>
      <c r="B726" s="1"/>
      <c r="C726" t="str">
        <f>IFERROR(IF(B726="","",VLOOKUP(B726,المستفيدين!$B:$C,2,FALSE)),"")</f>
        <v/>
      </c>
      <c r="E726" s="1"/>
      <c r="F726" s="1"/>
      <c r="G726" s="1"/>
      <c r="H726" s="1"/>
    </row>
    <row r="727" spans="1:8" x14ac:dyDescent="0.2">
      <c r="A727" s="1"/>
      <c r="B727" s="1"/>
      <c r="C727" t="str">
        <f>IFERROR(IF(B727="","",VLOOKUP(B727,المستفيدين!$B:$C,2,FALSE)),"")</f>
        <v/>
      </c>
      <c r="E727" s="1"/>
      <c r="F727" s="1"/>
      <c r="G727" s="1"/>
      <c r="H727" s="1"/>
    </row>
    <row r="728" spans="1:8" x14ac:dyDescent="0.2">
      <c r="A728" s="1"/>
      <c r="B728" s="1"/>
      <c r="C728" t="str">
        <f>IFERROR(IF(B728="","",VLOOKUP(B728,المستفيدين!$B:$C,2,FALSE)),"")</f>
        <v/>
      </c>
      <c r="E728" s="1"/>
      <c r="F728" s="1"/>
      <c r="G728" s="1"/>
      <c r="H728" s="1"/>
    </row>
    <row r="729" spans="1:8" x14ac:dyDescent="0.2">
      <c r="A729" s="1"/>
      <c r="B729" s="1"/>
      <c r="C729" t="str">
        <f>IFERROR(IF(B729="","",VLOOKUP(B729,المستفيدين!$B:$C,2,FALSE)),"")</f>
        <v/>
      </c>
      <c r="E729" s="1"/>
      <c r="F729" s="1"/>
      <c r="G729" s="1"/>
      <c r="H729" s="1"/>
    </row>
    <row r="730" spans="1:8" x14ac:dyDescent="0.2">
      <c r="A730" s="1"/>
      <c r="B730" s="1"/>
      <c r="C730" t="str">
        <f>IFERROR(IF(B730="","",VLOOKUP(B730,المستفيدين!$B:$C,2,FALSE)),"")</f>
        <v/>
      </c>
      <c r="E730" s="1"/>
      <c r="F730" s="1"/>
      <c r="G730" s="1"/>
      <c r="H730" s="1"/>
    </row>
    <row r="731" spans="1:8" x14ac:dyDescent="0.2">
      <c r="A731" s="1"/>
      <c r="B731" s="1"/>
      <c r="C731" t="str">
        <f>IFERROR(IF(B731="","",VLOOKUP(B731,المستفيدين!$B:$C,2,FALSE)),"")</f>
        <v/>
      </c>
      <c r="E731" s="1"/>
      <c r="F731" s="1"/>
      <c r="G731" s="1"/>
      <c r="H731" s="1"/>
    </row>
    <row r="732" spans="1:8" x14ac:dyDescent="0.2">
      <c r="A732" s="1"/>
      <c r="B732" s="1"/>
      <c r="C732" t="str">
        <f>IFERROR(IF(B732="","",VLOOKUP(B732,المستفيدين!$B:$C,2,FALSE)),"")</f>
        <v/>
      </c>
      <c r="E732" s="1"/>
      <c r="F732" s="1"/>
      <c r="G732" s="1"/>
      <c r="H732" s="1"/>
    </row>
    <row r="733" spans="1:8" x14ac:dyDescent="0.2">
      <c r="A733" s="1"/>
      <c r="B733" s="1"/>
      <c r="C733" t="str">
        <f>IFERROR(IF(B733="","",VLOOKUP(B733,المستفيدين!$B:$C,2,FALSE)),"")</f>
        <v/>
      </c>
      <c r="E733" s="1"/>
      <c r="F733" s="1"/>
      <c r="G733" s="1"/>
      <c r="H733" s="1"/>
    </row>
    <row r="734" spans="1:8" x14ac:dyDescent="0.2">
      <c r="A734" s="1"/>
      <c r="B734" s="1"/>
      <c r="C734" t="str">
        <f>IFERROR(IF(B734="","",VLOOKUP(B734,المستفيدين!$B:$C,2,FALSE)),"")</f>
        <v/>
      </c>
      <c r="E734" s="1"/>
      <c r="F734" s="1"/>
      <c r="G734" s="1"/>
      <c r="H734" s="1"/>
    </row>
    <row r="735" spans="1:8" x14ac:dyDescent="0.2">
      <c r="A735" s="1"/>
      <c r="B735" s="1"/>
      <c r="C735" t="str">
        <f>IFERROR(IF(B735="","",VLOOKUP(B735,المستفيدين!$B:$C,2,FALSE)),"")</f>
        <v/>
      </c>
      <c r="E735" s="1"/>
      <c r="F735" s="1"/>
      <c r="G735" s="1"/>
      <c r="H735" s="1"/>
    </row>
    <row r="736" spans="1:8" x14ac:dyDescent="0.2">
      <c r="A736" s="1"/>
      <c r="B736" s="1"/>
      <c r="C736" t="str">
        <f>IFERROR(IF(B736="","",VLOOKUP(B736,المستفيدين!$B:$C,2,FALSE)),"")</f>
        <v/>
      </c>
      <c r="E736" s="1"/>
      <c r="F736" s="1"/>
      <c r="G736" s="1"/>
      <c r="H736" s="1"/>
    </row>
    <row r="737" spans="1:8" x14ac:dyDescent="0.2">
      <c r="A737" s="1"/>
      <c r="B737" s="1"/>
      <c r="C737" t="str">
        <f>IFERROR(IF(B737="","",VLOOKUP(B737,المستفيدين!$B:$C,2,FALSE)),"")</f>
        <v/>
      </c>
      <c r="E737" s="1"/>
      <c r="F737" s="1"/>
      <c r="G737" s="1"/>
      <c r="H737" s="1"/>
    </row>
    <row r="738" spans="1:8" x14ac:dyDescent="0.2">
      <c r="A738" s="1"/>
      <c r="B738" s="1"/>
      <c r="C738" t="str">
        <f>IFERROR(IF(B738="","",VLOOKUP(B738,المستفيدين!$B:$C,2,FALSE)),"")</f>
        <v/>
      </c>
      <c r="E738" s="1"/>
      <c r="F738" s="1"/>
      <c r="G738" s="1"/>
      <c r="H738" s="1"/>
    </row>
    <row r="739" spans="1:8" x14ac:dyDescent="0.2">
      <c r="A739" s="1"/>
      <c r="B739" s="1"/>
      <c r="C739" t="str">
        <f>IFERROR(IF(B739="","",VLOOKUP(B739,المستفيدين!$B:$C,2,FALSE)),"")</f>
        <v/>
      </c>
      <c r="E739" s="1"/>
      <c r="F739" s="1"/>
      <c r="G739" s="1"/>
      <c r="H739" s="1"/>
    </row>
    <row r="740" spans="1:8" x14ac:dyDescent="0.2">
      <c r="A740" s="1"/>
      <c r="B740" s="1"/>
      <c r="C740" t="str">
        <f>IFERROR(IF(B740="","",VLOOKUP(B740,المستفيدين!$B:$C,2,FALSE)),"")</f>
        <v/>
      </c>
      <c r="E740" s="1"/>
      <c r="F740" s="1"/>
      <c r="G740" s="1"/>
      <c r="H740" s="1"/>
    </row>
    <row r="741" spans="1:8" x14ac:dyDescent="0.2">
      <c r="A741" s="1"/>
      <c r="B741" s="1"/>
      <c r="C741" t="str">
        <f>IFERROR(IF(B741="","",VLOOKUP(B741,المستفيدين!$B:$C,2,FALSE)),"")</f>
        <v/>
      </c>
      <c r="E741" s="1"/>
      <c r="F741" s="1"/>
      <c r="G741" s="1"/>
      <c r="H741" s="1"/>
    </row>
    <row r="742" spans="1:8" x14ac:dyDescent="0.2">
      <c r="A742" s="1"/>
      <c r="B742" s="1"/>
      <c r="C742" t="str">
        <f>IFERROR(IF(B742="","",VLOOKUP(B742,المستفيدين!$B:$C,2,FALSE)),"")</f>
        <v/>
      </c>
      <c r="E742" s="1"/>
      <c r="F742" s="1"/>
      <c r="G742" s="1"/>
      <c r="H742" s="1"/>
    </row>
    <row r="743" spans="1:8" x14ac:dyDescent="0.2">
      <c r="A743" s="1"/>
      <c r="B743" s="1"/>
      <c r="C743" t="str">
        <f>IFERROR(IF(B743="","",VLOOKUP(B743,المستفيدين!$B:$C,2,FALSE)),"")</f>
        <v/>
      </c>
      <c r="E743" s="1"/>
      <c r="F743" s="1"/>
      <c r="G743" s="1"/>
      <c r="H743" s="1"/>
    </row>
    <row r="744" spans="1:8" x14ac:dyDescent="0.2">
      <c r="A744" s="1"/>
      <c r="B744" s="1"/>
      <c r="C744" t="str">
        <f>IFERROR(IF(B744="","",VLOOKUP(B744,المستفيدين!$B:$C,2,FALSE)),"")</f>
        <v/>
      </c>
      <c r="E744" s="1"/>
      <c r="F744" s="1"/>
      <c r="G744" s="1"/>
      <c r="H744" s="1"/>
    </row>
    <row r="745" spans="1:8" x14ac:dyDescent="0.2">
      <c r="A745" s="1"/>
      <c r="B745" s="1"/>
      <c r="C745" t="str">
        <f>IFERROR(IF(B745="","",VLOOKUP(B745,المستفيدين!$B:$C,2,FALSE)),"")</f>
        <v/>
      </c>
      <c r="E745" s="1"/>
      <c r="F745" s="1"/>
      <c r="G745" s="1"/>
      <c r="H745" s="1"/>
    </row>
    <row r="746" spans="1:8" x14ac:dyDescent="0.2">
      <c r="A746" s="1"/>
      <c r="B746" s="1"/>
      <c r="C746" t="str">
        <f>IFERROR(IF(B746="","",VLOOKUP(B746,المستفيدين!$B:$C,2,FALSE)),"")</f>
        <v/>
      </c>
      <c r="E746" s="1"/>
      <c r="F746" s="1"/>
      <c r="G746" s="1"/>
      <c r="H746" s="1"/>
    </row>
    <row r="747" spans="1:8" x14ac:dyDescent="0.2">
      <c r="A747" s="1"/>
      <c r="B747" s="1"/>
      <c r="C747" t="str">
        <f>IFERROR(IF(B747="","",VLOOKUP(B747,المستفيدين!$B:$C,2,FALSE)),"")</f>
        <v/>
      </c>
      <c r="E747" s="1"/>
      <c r="F747" s="1"/>
      <c r="G747" s="1"/>
      <c r="H747" s="1"/>
    </row>
    <row r="748" spans="1:8" x14ac:dyDescent="0.2">
      <c r="A748" s="1"/>
      <c r="B748" s="1"/>
      <c r="C748" t="str">
        <f>IFERROR(IF(B748="","",VLOOKUP(B748,المستفيدين!$B:$C,2,FALSE)),"")</f>
        <v/>
      </c>
      <c r="E748" s="1"/>
      <c r="F748" s="1"/>
      <c r="G748" s="1"/>
      <c r="H748" s="1"/>
    </row>
    <row r="749" spans="1:8" x14ac:dyDescent="0.2">
      <c r="A749" s="1"/>
      <c r="B749" s="1"/>
      <c r="C749" t="str">
        <f>IFERROR(IF(B749="","",VLOOKUP(B749,المستفيدين!$B:$C,2,FALSE)),"")</f>
        <v/>
      </c>
      <c r="E749" s="1"/>
      <c r="F749" s="1"/>
      <c r="G749" s="1"/>
      <c r="H749" s="1"/>
    </row>
    <row r="750" spans="1:8" x14ac:dyDescent="0.2">
      <c r="A750" s="1"/>
      <c r="B750" s="1"/>
      <c r="C750" t="str">
        <f>IFERROR(IF(B750="","",VLOOKUP(B750,المستفيدين!$B:$C,2,FALSE)),"")</f>
        <v/>
      </c>
      <c r="E750" s="1"/>
      <c r="F750" s="1"/>
      <c r="G750" s="1"/>
      <c r="H750" s="1"/>
    </row>
    <row r="751" spans="1:8" x14ac:dyDescent="0.2">
      <c r="A751" s="1"/>
      <c r="B751" s="1"/>
      <c r="C751" t="str">
        <f>IFERROR(IF(B751="","",VLOOKUP(B751,المستفيدين!$B:$C,2,FALSE)),"")</f>
        <v/>
      </c>
      <c r="E751" s="1"/>
      <c r="F751" s="1"/>
      <c r="G751" s="1"/>
      <c r="H751" s="1"/>
    </row>
    <row r="752" spans="1:8" x14ac:dyDescent="0.2">
      <c r="A752" s="1"/>
      <c r="B752" s="1"/>
      <c r="C752" t="str">
        <f>IFERROR(IF(B752="","",VLOOKUP(B752,المستفيدين!$B:$C,2,FALSE)),"")</f>
        <v/>
      </c>
      <c r="E752" s="1"/>
      <c r="F752" s="1"/>
      <c r="G752" s="1"/>
      <c r="H752" s="1"/>
    </row>
    <row r="753" spans="1:8" x14ac:dyDescent="0.2">
      <c r="A753" s="1"/>
      <c r="B753" s="1"/>
      <c r="C753" t="str">
        <f>IFERROR(IF(B753="","",VLOOKUP(B753,المستفيدين!$B:$C,2,FALSE)),"")</f>
        <v/>
      </c>
      <c r="E753" s="1"/>
      <c r="F753" s="1"/>
      <c r="G753" s="1"/>
      <c r="H753" s="1"/>
    </row>
    <row r="754" spans="1:8" x14ac:dyDescent="0.2">
      <c r="A754" s="1"/>
      <c r="B754" s="1"/>
      <c r="C754" t="str">
        <f>IFERROR(IF(B754="","",VLOOKUP(B754,المستفيدين!$B:$C,2,FALSE)),"")</f>
        <v/>
      </c>
      <c r="E754" s="1"/>
      <c r="F754" s="1"/>
      <c r="G754" s="1"/>
      <c r="H754" s="1"/>
    </row>
    <row r="755" spans="1:8" x14ac:dyDescent="0.2">
      <c r="A755" s="1"/>
      <c r="B755" s="1"/>
      <c r="C755" t="str">
        <f>IFERROR(IF(B755="","",VLOOKUP(B755,المستفيدين!$B:$C,2,FALSE)),"")</f>
        <v/>
      </c>
      <c r="E755" s="1"/>
      <c r="F755" s="1"/>
      <c r="G755" s="1"/>
      <c r="H755" s="1"/>
    </row>
    <row r="756" spans="1:8" x14ac:dyDescent="0.2">
      <c r="A756" s="1"/>
      <c r="B756" s="1"/>
      <c r="C756" t="str">
        <f>IFERROR(IF(B756="","",VLOOKUP(B756,المستفيدين!$B:$C,2,FALSE)),"")</f>
        <v/>
      </c>
      <c r="E756" s="1"/>
      <c r="F756" s="1"/>
      <c r="G756" s="1"/>
      <c r="H756" s="1"/>
    </row>
    <row r="757" spans="1:8" x14ac:dyDescent="0.2">
      <c r="A757" s="1"/>
      <c r="B757" s="1"/>
      <c r="C757" t="str">
        <f>IFERROR(IF(B757="","",VLOOKUP(B757,المستفيدين!$B:$C,2,FALSE)),"")</f>
        <v/>
      </c>
      <c r="E757" s="1"/>
      <c r="F757" s="1"/>
      <c r="G757" s="1"/>
      <c r="H757" s="1"/>
    </row>
    <row r="758" spans="1:8" x14ac:dyDescent="0.2">
      <c r="A758" s="1"/>
      <c r="B758" s="1"/>
      <c r="C758" t="str">
        <f>IFERROR(IF(B758="","",VLOOKUP(B758,المستفيدين!$B:$C,2,FALSE)),"")</f>
        <v/>
      </c>
      <c r="E758" s="1"/>
      <c r="F758" s="1"/>
      <c r="G758" s="1"/>
      <c r="H758" s="1"/>
    </row>
    <row r="759" spans="1:8" x14ac:dyDescent="0.2">
      <c r="A759" s="1"/>
      <c r="B759" s="1"/>
      <c r="C759" t="str">
        <f>IFERROR(IF(B759="","",VLOOKUP(B759,المستفيدين!$B:$C,2,FALSE)),"")</f>
        <v/>
      </c>
      <c r="E759" s="1"/>
      <c r="F759" s="1"/>
      <c r="G759" s="1"/>
      <c r="H759" s="1"/>
    </row>
    <row r="760" spans="1:8" x14ac:dyDescent="0.2">
      <c r="A760" s="1"/>
      <c r="B760" s="1"/>
      <c r="C760" t="str">
        <f>IFERROR(IF(B760="","",VLOOKUP(B760,المستفيدين!$B:$C,2,FALSE)),"")</f>
        <v/>
      </c>
      <c r="E760" s="1"/>
      <c r="F760" s="1"/>
      <c r="G760" s="1"/>
      <c r="H760" s="1"/>
    </row>
    <row r="761" spans="1:8" x14ac:dyDescent="0.2">
      <c r="A761" s="1"/>
      <c r="B761" s="1"/>
      <c r="C761" t="str">
        <f>IFERROR(IF(B761="","",VLOOKUP(B761,المستفيدين!$B:$C,2,FALSE)),"")</f>
        <v/>
      </c>
      <c r="E761" s="1"/>
      <c r="F761" s="1"/>
      <c r="G761" s="1"/>
      <c r="H761" s="1"/>
    </row>
    <row r="762" spans="1:8" x14ac:dyDescent="0.2">
      <c r="A762" s="1"/>
      <c r="B762" s="1"/>
      <c r="C762" t="str">
        <f>IFERROR(IF(B762="","",VLOOKUP(B762,المستفيدين!$B:$C,2,FALSE)),"")</f>
        <v/>
      </c>
      <c r="E762" s="1"/>
      <c r="F762" s="1"/>
      <c r="G762" s="1"/>
      <c r="H762" s="1"/>
    </row>
    <row r="763" spans="1:8" x14ac:dyDescent="0.2">
      <c r="A763" s="1"/>
      <c r="B763" s="1"/>
      <c r="C763" t="str">
        <f>IFERROR(IF(B763="","",VLOOKUP(B763,المستفيدين!$B:$C,2,FALSE)),"")</f>
        <v/>
      </c>
      <c r="E763" s="1"/>
      <c r="F763" s="1"/>
      <c r="G763" s="1"/>
      <c r="H763" s="1"/>
    </row>
    <row r="764" spans="1:8" x14ac:dyDescent="0.2">
      <c r="A764" s="1"/>
      <c r="B764" s="1"/>
      <c r="C764" t="str">
        <f>IFERROR(IF(B764="","",VLOOKUP(B764,المستفيدين!$B:$C,2,FALSE)),"")</f>
        <v/>
      </c>
      <c r="E764" s="1"/>
      <c r="F764" s="1"/>
      <c r="G764" s="1"/>
      <c r="H764" s="1"/>
    </row>
    <row r="765" spans="1:8" x14ac:dyDescent="0.2">
      <c r="A765" s="1"/>
      <c r="B765" s="1"/>
      <c r="C765" t="str">
        <f>IFERROR(IF(B765="","",VLOOKUP(B765,المستفيدين!$B:$C,2,FALSE)),"")</f>
        <v/>
      </c>
      <c r="E765" s="1"/>
      <c r="F765" s="1"/>
      <c r="G765" s="1"/>
      <c r="H765" s="1"/>
    </row>
    <row r="766" spans="1:8" x14ac:dyDescent="0.2">
      <c r="A766" s="1"/>
      <c r="B766" s="1"/>
      <c r="C766" t="str">
        <f>IFERROR(IF(B766="","",VLOOKUP(B766,المستفيدين!$B:$C,2,FALSE)),"")</f>
        <v/>
      </c>
      <c r="E766" s="1"/>
      <c r="F766" s="1"/>
      <c r="G766" s="1"/>
      <c r="H766" s="1"/>
    </row>
    <row r="767" spans="1:8" x14ac:dyDescent="0.2">
      <c r="A767" s="1"/>
      <c r="B767" s="1"/>
      <c r="C767" t="str">
        <f>IFERROR(IF(B767="","",VLOOKUP(B767,المستفيدين!$B:$C,2,FALSE)),"")</f>
        <v/>
      </c>
      <c r="E767" s="1"/>
      <c r="F767" s="1"/>
      <c r="G767" s="1"/>
      <c r="H767" s="1"/>
    </row>
    <row r="768" spans="1:8" x14ac:dyDescent="0.2">
      <c r="A768" s="1"/>
      <c r="B768" s="1"/>
      <c r="C768" t="str">
        <f>IFERROR(IF(B768="","",VLOOKUP(B768,المستفيدين!$B:$C,2,FALSE)),"")</f>
        <v/>
      </c>
      <c r="E768" s="1"/>
      <c r="F768" s="1"/>
      <c r="G768" s="1"/>
      <c r="H768" s="1"/>
    </row>
    <row r="769" spans="1:8" x14ac:dyDescent="0.2">
      <c r="A769" s="1"/>
      <c r="B769" s="1"/>
      <c r="C769" t="str">
        <f>IFERROR(IF(B769="","",VLOOKUP(B769,المستفيدين!$B:$C,2,FALSE)),"")</f>
        <v/>
      </c>
      <c r="E769" s="1"/>
      <c r="F769" s="1"/>
      <c r="G769" s="1"/>
      <c r="H769" s="1"/>
    </row>
    <row r="770" spans="1:8" x14ac:dyDescent="0.2">
      <c r="A770" s="1"/>
      <c r="B770" s="1"/>
      <c r="C770" t="str">
        <f>IFERROR(IF(B770="","",VLOOKUP(B770,المستفيدين!$B:$C,2,FALSE)),"")</f>
        <v/>
      </c>
      <c r="E770" s="1"/>
      <c r="F770" s="1"/>
      <c r="G770" s="1"/>
      <c r="H770" s="1"/>
    </row>
    <row r="771" spans="1:8" x14ac:dyDescent="0.2">
      <c r="A771" s="1"/>
      <c r="B771" s="1"/>
      <c r="C771" t="str">
        <f>IFERROR(IF(B771="","",VLOOKUP(B771,المستفيدين!$B:$C,2,FALSE)),"")</f>
        <v/>
      </c>
      <c r="E771" s="1"/>
      <c r="F771" s="1"/>
      <c r="G771" s="1"/>
      <c r="H771" s="1"/>
    </row>
    <row r="772" spans="1:8" x14ac:dyDescent="0.2">
      <c r="A772" s="1"/>
      <c r="B772" s="1"/>
      <c r="C772" t="str">
        <f>IFERROR(IF(B772="","",VLOOKUP(B772,المستفيدين!$B:$C,2,FALSE)),"")</f>
        <v/>
      </c>
      <c r="E772" s="1"/>
      <c r="F772" s="1"/>
      <c r="G772" s="1"/>
      <c r="H772" s="1"/>
    </row>
    <row r="773" spans="1:8" x14ac:dyDescent="0.2">
      <c r="A773" s="1"/>
      <c r="B773" s="1"/>
      <c r="C773" t="str">
        <f>IFERROR(IF(B773="","",VLOOKUP(B773,المستفيدين!$B:$C,2,FALSE)),"")</f>
        <v/>
      </c>
      <c r="E773" s="1"/>
      <c r="F773" s="1"/>
      <c r="G773" s="1"/>
      <c r="H773" s="1"/>
    </row>
    <row r="774" spans="1:8" x14ac:dyDescent="0.2">
      <c r="A774" s="1"/>
      <c r="B774" s="1"/>
      <c r="C774" t="str">
        <f>IFERROR(IF(B774="","",VLOOKUP(B774,المستفيدين!$B:$C,2,FALSE)),"")</f>
        <v/>
      </c>
      <c r="E774" s="1"/>
      <c r="F774" s="1"/>
      <c r="G774" s="1"/>
      <c r="H774" s="1"/>
    </row>
    <row r="775" spans="1:8" x14ac:dyDescent="0.2">
      <c r="A775" s="1"/>
      <c r="B775" s="1"/>
      <c r="C775" t="str">
        <f>IFERROR(IF(B775="","",VLOOKUP(B775,المستفيدين!$B:$C,2,FALSE)),"")</f>
        <v/>
      </c>
      <c r="E775" s="1"/>
      <c r="F775" s="1"/>
      <c r="G775" s="1"/>
      <c r="H775" s="1"/>
    </row>
    <row r="776" spans="1:8" x14ac:dyDescent="0.2">
      <c r="A776" s="1"/>
      <c r="B776" s="1"/>
      <c r="C776" t="str">
        <f>IFERROR(IF(B776="","",VLOOKUP(B776,المستفيدين!$B:$C,2,FALSE)),"")</f>
        <v/>
      </c>
      <c r="E776" s="1"/>
      <c r="F776" s="1"/>
      <c r="G776" s="1"/>
      <c r="H776" s="1"/>
    </row>
    <row r="777" spans="1:8" x14ac:dyDescent="0.2">
      <c r="A777" s="1"/>
      <c r="B777" s="1"/>
      <c r="C777" t="str">
        <f>IFERROR(IF(B777="","",VLOOKUP(B777,المستفيدين!$B:$C,2,FALSE)),"")</f>
        <v/>
      </c>
      <c r="E777" s="1"/>
      <c r="F777" s="1"/>
      <c r="G777" s="1"/>
      <c r="H777" s="1"/>
    </row>
    <row r="778" spans="1:8" x14ac:dyDescent="0.2">
      <c r="A778" s="1"/>
      <c r="B778" s="1"/>
      <c r="C778" t="str">
        <f>IFERROR(IF(B778="","",VLOOKUP(B778,المستفيدين!$B:$C,2,FALSE)),"")</f>
        <v/>
      </c>
      <c r="E778" s="1"/>
      <c r="F778" s="1"/>
      <c r="G778" s="1"/>
      <c r="H778" s="1"/>
    </row>
    <row r="779" spans="1:8" x14ac:dyDescent="0.2">
      <c r="A779" s="1"/>
      <c r="B779" s="1"/>
      <c r="C779" t="str">
        <f>IFERROR(IF(B779="","",VLOOKUP(B779,المستفيدين!$B:$C,2,FALSE)),"")</f>
        <v/>
      </c>
      <c r="E779" s="1"/>
      <c r="F779" s="1"/>
      <c r="G779" s="1"/>
      <c r="H779" s="1"/>
    </row>
    <row r="780" spans="1:8" x14ac:dyDescent="0.2">
      <c r="A780" s="1"/>
      <c r="B780" s="1"/>
      <c r="C780" t="str">
        <f>IFERROR(IF(B780="","",VLOOKUP(B780,المستفيدين!$B:$C,2,FALSE)),"")</f>
        <v/>
      </c>
      <c r="E780" s="1"/>
      <c r="F780" s="1"/>
      <c r="G780" s="1"/>
      <c r="H780" s="1"/>
    </row>
    <row r="781" spans="1:8" x14ac:dyDescent="0.2">
      <c r="A781" s="1"/>
      <c r="B781" s="1"/>
      <c r="C781" t="str">
        <f>IFERROR(IF(B781="","",VLOOKUP(B781,المستفيدين!$B:$C,2,FALSE)),"")</f>
        <v/>
      </c>
      <c r="E781" s="1"/>
      <c r="F781" s="1"/>
      <c r="G781" s="1"/>
      <c r="H781" s="1"/>
    </row>
    <row r="782" spans="1:8" x14ac:dyDescent="0.2">
      <c r="A782" s="1"/>
      <c r="B782" s="1"/>
      <c r="C782" t="str">
        <f>IFERROR(IF(B782="","",VLOOKUP(B782,المستفيدين!$B:$C,2,FALSE)),"")</f>
        <v/>
      </c>
      <c r="E782" s="1"/>
      <c r="F782" s="1"/>
      <c r="G782" s="1"/>
      <c r="H782" s="1"/>
    </row>
    <row r="783" spans="1:8" x14ac:dyDescent="0.2">
      <c r="A783" s="1"/>
      <c r="B783" s="1"/>
      <c r="C783" t="str">
        <f>IFERROR(IF(B783="","",VLOOKUP(B783,المستفيدين!$B:$C,2,FALSE)),"")</f>
        <v/>
      </c>
      <c r="E783" s="1"/>
      <c r="F783" s="1"/>
      <c r="G783" s="1"/>
      <c r="H783" s="1"/>
    </row>
    <row r="784" spans="1:8" x14ac:dyDescent="0.2">
      <c r="A784" s="1"/>
      <c r="B784" s="1"/>
      <c r="C784" t="str">
        <f>IFERROR(IF(B784="","",VLOOKUP(B784,المستفيدين!$B:$C,2,FALSE)),"")</f>
        <v/>
      </c>
      <c r="E784" s="1"/>
      <c r="F784" s="1"/>
      <c r="G784" s="1"/>
      <c r="H784" s="1"/>
    </row>
    <row r="785" spans="1:8" x14ac:dyDescent="0.2">
      <c r="A785" s="1"/>
      <c r="B785" s="1"/>
      <c r="C785" t="str">
        <f>IFERROR(IF(B785="","",VLOOKUP(B785,المستفيدين!$B:$C,2,FALSE)),"")</f>
        <v/>
      </c>
      <c r="E785" s="1"/>
      <c r="F785" s="1"/>
      <c r="G785" s="1"/>
      <c r="H785" s="1"/>
    </row>
    <row r="786" spans="1:8" x14ac:dyDescent="0.2">
      <c r="A786" s="1"/>
      <c r="B786" s="1"/>
      <c r="C786" t="str">
        <f>IFERROR(IF(B786="","",VLOOKUP(B786,المستفيدين!$B:$C,2,FALSE)),"")</f>
        <v/>
      </c>
      <c r="E786" s="1"/>
      <c r="F786" s="1"/>
      <c r="G786" s="1"/>
      <c r="H786" s="1"/>
    </row>
    <row r="787" spans="1:8" x14ac:dyDescent="0.2">
      <c r="A787" s="1"/>
      <c r="B787" s="1"/>
      <c r="C787" t="str">
        <f>IFERROR(IF(B787="","",VLOOKUP(B787,المستفيدين!$B:$C,2,FALSE)),"")</f>
        <v/>
      </c>
      <c r="E787" s="1"/>
      <c r="F787" s="1"/>
      <c r="G787" s="1"/>
      <c r="H787" s="1"/>
    </row>
    <row r="788" spans="1:8" x14ac:dyDescent="0.2">
      <c r="A788" s="1"/>
      <c r="B788" s="1"/>
      <c r="C788" t="str">
        <f>IFERROR(IF(B788="","",VLOOKUP(B788,المستفيدين!$B:$C,2,FALSE)),"")</f>
        <v/>
      </c>
      <c r="E788" s="1"/>
      <c r="F788" s="1"/>
      <c r="G788" s="1"/>
      <c r="H788" s="1"/>
    </row>
    <row r="789" spans="1:8" x14ac:dyDescent="0.2">
      <c r="A789" s="1"/>
      <c r="B789" s="1"/>
      <c r="C789" t="str">
        <f>IFERROR(IF(B789="","",VLOOKUP(B789,المستفيدين!$B:$C,2,FALSE)),"")</f>
        <v/>
      </c>
      <c r="E789" s="1"/>
      <c r="F789" s="1"/>
      <c r="G789" s="1"/>
      <c r="H789" s="1"/>
    </row>
    <row r="790" spans="1:8" x14ac:dyDescent="0.2">
      <c r="A790" s="1"/>
      <c r="B790" s="1"/>
      <c r="C790" t="str">
        <f>IFERROR(IF(B790="","",VLOOKUP(B790,المستفيدين!$B:$C,2,FALSE)),"")</f>
        <v/>
      </c>
      <c r="E790" s="1"/>
      <c r="F790" s="1"/>
      <c r="G790" s="1"/>
      <c r="H790" s="1"/>
    </row>
    <row r="791" spans="1:8" x14ac:dyDescent="0.2">
      <c r="A791" s="1"/>
      <c r="B791" s="1"/>
      <c r="C791" t="str">
        <f>IFERROR(IF(B791="","",VLOOKUP(B791,المستفيدين!$B:$C,2,FALSE)),"")</f>
        <v/>
      </c>
      <c r="E791" s="1"/>
      <c r="F791" s="1"/>
      <c r="G791" s="1"/>
      <c r="H791" s="1"/>
    </row>
    <row r="792" spans="1:8" x14ac:dyDescent="0.2">
      <c r="A792" s="1"/>
      <c r="B792" s="1"/>
      <c r="C792" t="str">
        <f>IFERROR(IF(B792="","",VLOOKUP(B792,المستفيدين!$B:$C,2,FALSE)),"")</f>
        <v/>
      </c>
      <c r="E792" s="1"/>
      <c r="F792" s="1"/>
      <c r="G792" s="1"/>
      <c r="H792" s="1"/>
    </row>
    <row r="793" spans="1:8" x14ac:dyDescent="0.2">
      <c r="A793" s="1"/>
      <c r="B793" s="1"/>
      <c r="C793" t="str">
        <f>IFERROR(IF(B793="","",VLOOKUP(B793,المستفيدين!$B:$C,2,FALSE)),"")</f>
        <v/>
      </c>
      <c r="E793" s="1"/>
      <c r="F793" s="1"/>
      <c r="G793" s="1"/>
      <c r="H793" s="1"/>
    </row>
    <row r="794" spans="1:8" x14ac:dyDescent="0.2">
      <c r="A794" s="1"/>
      <c r="B794" s="1"/>
      <c r="C794" t="str">
        <f>IFERROR(IF(B794="","",VLOOKUP(B794,المستفيدين!$B:$C,2,FALSE)),"")</f>
        <v/>
      </c>
      <c r="E794" s="1"/>
      <c r="F794" s="1"/>
      <c r="G794" s="1"/>
      <c r="H794" s="1"/>
    </row>
    <row r="795" spans="1:8" x14ac:dyDescent="0.2">
      <c r="A795" s="1"/>
      <c r="B795" s="1"/>
      <c r="C795" t="str">
        <f>IFERROR(IF(B795="","",VLOOKUP(B795,المستفيدين!$B:$C,2,FALSE)),"")</f>
        <v/>
      </c>
      <c r="E795" s="1"/>
      <c r="F795" s="1"/>
      <c r="G795" s="1"/>
      <c r="H795" s="1"/>
    </row>
    <row r="796" spans="1:8" x14ac:dyDescent="0.2">
      <c r="A796" s="1"/>
      <c r="B796" s="1"/>
      <c r="C796" t="str">
        <f>IFERROR(IF(B796="","",VLOOKUP(B796,المستفيدين!$B:$C,2,FALSE)),"")</f>
        <v/>
      </c>
      <c r="E796" s="1"/>
      <c r="F796" s="1"/>
      <c r="G796" s="1"/>
      <c r="H796" s="1"/>
    </row>
    <row r="797" spans="1:8" x14ac:dyDescent="0.2">
      <c r="A797" s="1"/>
      <c r="B797" s="1"/>
      <c r="C797" t="str">
        <f>IFERROR(IF(B797="","",VLOOKUP(B797,المستفيدين!$B:$C,2,FALSE)),"")</f>
        <v/>
      </c>
      <c r="E797" s="1"/>
      <c r="F797" s="1"/>
      <c r="G797" s="1"/>
      <c r="H797" s="1"/>
    </row>
    <row r="798" spans="1:8" x14ac:dyDescent="0.2">
      <c r="A798" s="1"/>
      <c r="B798" s="1"/>
      <c r="C798" t="str">
        <f>IFERROR(IF(B798="","",VLOOKUP(B798,المستفيدين!$B:$C,2,FALSE)),"")</f>
        <v/>
      </c>
      <c r="E798" s="1"/>
      <c r="F798" s="1"/>
      <c r="G798" s="1"/>
      <c r="H798" s="1"/>
    </row>
    <row r="799" spans="1:8" x14ac:dyDescent="0.2">
      <c r="A799" s="1"/>
      <c r="B799" s="1"/>
      <c r="C799" t="str">
        <f>IFERROR(IF(B799="","",VLOOKUP(B799,المستفيدين!$B:$C,2,FALSE)),"")</f>
        <v/>
      </c>
      <c r="E799" s="1"/>
      <c r="F799" s="1"/>
      <c r="G799" s="1"/>
      <c r="H799" s="1"/>
    </row>
    <row r="800" spans="1:8" x14ac:dyDescent="0.2">
      <c r="A800" s="1"/>
      <c r="B800" s="1"/>
      <c r="C800" t="str">
        <f>IFERROR(IF(B800="","",VLOOKUP(B800,المستفيدين!$B:$C,2,FALSE)),"")</f>
        <v/>
      </c>
      <c r="E800" s="1"/>
      <c r="F800" s="1"/>
      <c r="G800" s="1"/>
      <c r="H800" s="1"/>
    </row>
    <row r="801" spans="1:8" x14ac:dyDescent="0.2">
      <c r="A801" s="1"/>
      <c r="B801" s="1"/>
      <c r="C801" t="str">
        <f>IFERROR(IF(B801="","",VLOOKUP(B801,المستفيدين!$B:$C,2,FALSE)),"")</f>
        <v/>
      </c>
      <c r="E801" s="1"/>
      <c r="F801" s="1"/>
      <c r="G801" s="1"/>
      <c r="H801" s="1"/>
    </row>
    <row r="802" spans="1:8" x14ac:dyDescent="0.2">
      <c r="A802" s="1"/>
      <c r="B802" s="1"/>
      <c r="C802" t="str">
        <f>IFERROR(IF(B802="","",VLOOKUP(B802,المستفيدين!$B:$C,2,FALSE)),"")</f>
        <v/>
      </c>
      <c r="E802" s="1"/>
      <c r="F802" s="1"/>
      <c r="G802" s="1"/>
      <c r="H802" s="1"/>
    </row>
    <row r="803" spans="1:8" x14ac:dyDescent="0.2">
      <c r="A803" s="1"/>
      <c r="B803" s="1"/>
      <c r="C803" t="str">
        <f>IFERROR(IF(B803="","",VLOOKUP(B803,المستفيدين!$B:$C,2,FALSE)),"")</f>
        <v/>
      </c>
      <c r="E803" s="1"/>
      <c r="F803" s="1"/>
      <c r="G803" s="1"/>
      <c r="H803" s="1"/>
    </row>
    <row r="804" spans="1:8" x14ac:dyDescent="0.2">
      <c r="A804" s="1"/>
      <c r="B804" s="1"/>
      <c r="C804" t="str">
        <f>IFERROR(IF(B804="","",VLOOKUP(B804,المستفيدين!$B:$C,2,FALSE)),"")</f>
        <v/>
      </c>
      <c r="E804" s="1"/>
      <c r="F804" s="1"/>
      <c r="G804" s="1"/>
      <c r="H804" s="1"/>
    </row>
    <row r="805" spans="1:8" x14ac:dyDescent="0.2">
      <c r="A805" s="1"/>
      <c r="B805" s="1"/>
      <c r="C805" t="str">
        <f>IFERROR(IF(B805="","",VLOOKUP(B805,المستفيدين!$B:$C,2,FALSE)),"")</f>
        <v/>
      </c>
      <c r="E805" s="1"/>
      <c r="F805" s="1"/>
      <c r="G805" s="1"/>
      <c r="H805" s="1"/>
    </row>
    <row r="806" spans="1:8" x14ac:dyDescent="0.2">
      <c r="A806" s="1"/>
      <c r="B806" s="1"/>
      <c r="C806" t="str">
        <f>IFERROR(IF(B806="","",VLOOKUP(B806,المستفيدين!$B:$C,2,FALSE)),"")</f>
        <v/>
      </c>
      <c r="E806" s="1"/>
      <c r="F806" s="1"/>
      <c r="G806" s="1"/>
      <c r="H806" s="1"/>
    </row>
    <row r="807" spans="1:8" x14ac:dyDescent="0.2">
      <c r="A807" s="1"/>
      <c r="B807" s="1"/>
      <c r="C807" t="str">
        <f>IFERROR(IF(B807="","",VLOOKUP(B807,المستفيدين!$B:$C,2,FALSE)),"")</f>
        <v/>
      </c>
      <c r="E807" s="1"/>
      <c r="F807" s="1"/>
      <c r="G807" s="1"/>
      <c r="H807" s="1"/>
    </row>
    <row r="808" spans="1:8" x14ac:dyDescent="0.2">
      <c r="A808" s="1"/>
      <c r="B808" s="1"/>
      <c r="C808" t="str">
        <f>IFERROR(IF(B808="","",VLOOKUP(B808,المستفيدين!$B:$C,2,FALSE)),"")</f>
        <v/>
      </c>
      <c r="E808" s="1"/>
      <c r="F808" s="1"/>
      <c r="G808" s="1"/>
      <c r="H808" s="1"/>
    </row>
    <row r="809" spans="1:8" x14ac:dyDescent="0.2">
      <c r="A809" s="1"/>
      <c r="B809" s="1"/>
      <c r="C809" t="str">
        <f>IFERROR(IF(B809="","",VLOOKUP(B809,المستفيدين!$B:$C,2,FALSE)),"")</f>
        <v/>
      </c>
      <c r="E809" s="1"/>
      <c r="F809" s="1"/>
      <c r="G809" s="1"/>
      <c r="H809" s="1"/>
    </row>
    <row r="810" spans="1:8" x14ac:dyDescent="0.2">
      <c r="A810" s="1"/>
      <c r="B810" s="1"/>
      <c r="C810" t="str">
        <f>IFERROR(IF(B810="","",VLOOKUP(B810,المستفيدين!$B:$C,2,FALSE)),"")</f>
        <v/>
      </c>
      <c r="E810" s="1"/>
      <c r="F810" s="1"/>
      <c r="G810" s="1"/>
      <c r="H810" s="1"/>
    </row>
    <row r="811" spans="1:8" x14ac:dyDescent="0.2">
      <c r="A811" s="1"/>
      <c r="B811" s="1"/>
      <c r="C811" t="str">
        <f>IFERROR(IF(B811="","",VLOOKUP(B811,المستفيدين!$B:$C,2,FALSE)),"")</f>
        <v/>
      </c>
      <c r="E811" s="1"/>
      <c r="F811" s="1"/>
      <c r="G811" s="1"/>
      <c r="H811" s="1"/>
    </row>
    <row r="812" spans="1:8" x14ac:dyDescent="0.2">
      <c r="A812" s="1"/>
      <c r="B812" s="1"/>
      <c r="C812" t="str">
        <f>IFERROR(IF(B812="","",VLOOKUP(B812,المستفيدين!$B:$C,2,FALSE)),"")</f>
        <v/>
      </c>
      <c r="E812" s="1"/>
      <c r="F812" s="1"/>
      <c r="G812" s="1"/>
      <c r="H812" s="1"/>
    </row>
    <row r="813" spans="1:8" x14ac:dyDescent="0.2">
      <c r="A813" s="1"/>
      <c r="B813" s="1"/>
      <c r="C813" t="str">
        <f>IFERROR(IF(B813="","",VLOOKUP(B813,المستفيدين!$B:$C,2,FALSE)),"")</f>
        <v/>
      </c>
      <c r="E813" s="1"/>
      <c r="F813" s="1"/>
      <c r="G813" s="1"/>
      <c r="H813" s="1"/>
    </row>
    <row r="814" spans="1:8" x14ac:dyDescent="0.2">
      <c r="A814" s="1"/>
      <c r="B814" s="1"/>
      <c r="C814" t="str">
        <f>IFERROR(IF(B814="","",VLOOKUP(B814,المستفيدين!$B:$C,2,FALSE)),"")</f>
        <v/>
      </c>
      <c r="E814" s="1"/>
      <c r="F814" s="1"/>
      <c r="G814" s="1"/>
      <c r="H814" s="1"/>
    </row>
    <row r="815" spans="1:8" x14ac:dyDescent="0.2">
      <c r="A815" s="1"/>
      <c r="B815" s="1"/>
      <c r="C815" t="str">
        <f>IFERROR(IF(B815="","",VLOOKUP(B815,المستفيدين!$B:$C,2,FALSE)),"")</f>
        <v/>
      </c>
      <c r="E815" s="1"/>
      <c r="F815" s="1"/>
      <c r="G815" s="1"/>
      <c r="H815" s="1"/>
    </row>
    <row r="816" spans="1:8" x14ac:dyDescent="0.2">
      <c r="A816" s="1"/>
      <c r="B816" s="1"/>
      <c r="C816" t="str">
        <f>IFERROR(IF(B816="","",VLOOKUP(B816,المستفيدين!$B:$C,2,FALSE)),"")</f>
        <v/>
      </c>
      <c r="E816" s="1"/>
      <c r="F816" s="1"/>
      <c r="G816" s="1"/>
      <c r="H816" s="1"/>
    </row>
    <row r="817" spans="1:8" x14ac:dyDescent="0.2">
      <c r="A817" s="1"/>
      <c r="B817" s="1"/>
      <c r="C817" t="str">
        <f>IFERROR(IF(B817="","",VLOOKUP(B817,المستفيدين!$B:$C,2,FALSE)),"")</f>
        <v/>
      </c>
      <c r="E817" s="1"/>
      <c r="F817" s="1"/>
      <c r="G817" s="1"/>
      <c r="H817" s="1"/>
    </row>
    <row r="818" spans="1:8" x14ac:dyDescent="0.2">
      <c r="A818" s="1"/>
      <c r="B818" s="1"/>
      <c r="C818" t="str">
        <f>IFERROR(IF(B818="","",VLOOKUP(B818,المستفيدين!$B:$C,2,FALSE)),"")</f>
        <v/>
      </c>
      <c r="E818" s="1"/>
      <c r="F818" s="1"/>
      <c r="G818" s="1"/>
      <c r="H818" s="1"/>
    </row>
    <row r="819" spans="1:8" x14ac:dyDescent="0.2">
      <c r="A819" s="1"/>
      <c r="B819" s="1"/>
      <c r="C819" t="str">
        <f>IFERROR(IF(B819="","",VLOOKUP(B819,المستفيدين!$B:$C,2,FALSE)),"")</f>
        <v/>
      </c>
      <c r="E819" s="1"/>
      <c r="F819" s="1"/>
      <c r="G819" s="1"/>
      <c r="H819" s="1"/>
    </row>
    <row r="820" spans="1:8" x14ac:dyDescent="0.2">
      <c r="A820" s="1"/>
      <c r="B820" s="1"/>
      <c r="C820" t="str">
        <f>IFERROR(IF(B820="","",VLOOKUP(B820,المستفيدين!$B:$C,2,FALSE)),"")</f>
        <v/>
      </c>
      <c r="E820" s="1"/>
      <c r="F820" s="1"/>
      <c r="G820" s="1"/>
      <c r="H820" s="1"/>
    </row>
    <row r="821" spans="1:8" x14ac:dyDescent="0.2">
      <c r="A821" s="1"/>
      <c r="B821" s="1"/>
      <c r="C821" t="str">
        <f>IFERROR(IF(B821="","",VLOOKUP(B821,المستفيدين!$B:$C,2,FALSE)),"")</f>
        <v/>
      </c>
      <c r="E821" s="1"/>
      <c r="F821" s="1"/>
      <c r="G821" s="1"/>
      <c r="H821" s="1"/>
    </row>
    <row r="822" spans="1:8" x14ac:dyDescent="0.2">
      <c r="A822" s="1"/>
      <c r="B822" s="1"/>
      <c r="C822" t="str">
        <f>IFERROR(IF(B822="","",VLOOKUP(B822,المستفيدين!$B:$C,2,FALSE)),"")</f>
        <v/>
      </c>
      <c r="E822" s="1"/>
      <c r="F822" s="1"/>
      <c r="G822" s="1"/>
      <c r="H822" s="1"/>
    </row>
    <row r="823" spans="1:8" x14ac:dyDescent="0.2">
      <c r="A823" s="1"/>
      <c r="B823" s="1"/>
      <c r="C823" t="str">
        <f>IFERROR(IF(B823="","",VLOOKUP(B823,المستفيدين!$B:$C,2,FALSE)),"")</f>
        <v/>
      </c>
      <c r="E823" s="1"/>
      <c r="F823" s="1"/>
      <c r="G823" s="1"/>
      <c r="H823" s="1"/>
    </row>
    <row r="824" spans="1:8" x14ac:dyDescent="0.2">
      <c r="A824" s="1"/>
      <c r="B824" s="1"/>
      <c r="C824" t="str">
        <f>IFERROR(IF(B824="","",VLOOKUP(B824,المستفيدين!$B:$C,2,FALSE)),"")</f>
        <v/>
      </c>
      <c r="E824" s="1"/>
      <c r="F824" s="1"/>
      <c r="G824" s="1"/>
      <c r="H824" s="1"/>
    </row>
    <row r="825" spans="1:8" x14ac:dyDescent="0.2">
      <c r="A825" s="1"/>
      <c r="B825" s="1"/>
      <c r="C825" t="str">
        <f>IFERROR(IF(B825="","",VLOOKUP(B825,المستفيدين!$B:$C,2,FALSE)),"")</f>
        <v/>
      </c>
      <c r="E825" s="1"/>
      <c r="F825" s="1"/>
      <c r="G825" s="1"/>
      <c r="H825" s="1"/>
    </row>
    <row r="826" spans="1:8" x14ac:dyDescent="0.2">
      <c r="A826" s="1"/>
      <c r="B826" s="1"/>
      <c r="C826" t="str">
        <f>IFERROR(IF(B826="","",VLOOKUP(B826,المستفيدين!$B:$C,2,FALSE)),"")</f>
        <v/>
      </c>
      <c r="E826" s="1"/>
      <c r="F826" s="1"/>
      <c r="G826" s="1"/>
      <c r="H826" s="1"/>
    </row>
    <row r="827" spans="1:8" x14ac:dyDescent="0.2">
      <c r="A827" s="1"/>
      <c r="B827" s="1"/>
      <c r="C827" t="str">
        <f>IFERROR(IF(B827="","",VLOOKUP(B827,المستفيدين!$B:$C,2,FALSE)),"")</f>
        <v/>
      </c>
      <c r="E827" s="1"/>
      <c r="F827" s="1"/>
      <c r="G827" s="1"/>
      <c r="H827" s="1"/>
    </row>
    <row r="828" spans="1:8" x14ac:dyDescent="0.2">
      <c r="A828" s="1"/>
      <c r="B828" s="1"/>
      <c r="C828" t="str">
        <f>IFERROR(IF(B828="","",VLOOKUP(B828,المستفيدين!$B:$C,2,FALSE)),"")</f>
        <v/>
      </c>
      <c r="E828" s="1"/>
      <c r="F828" s="1"/>
      <c r="G828" s="1"/>
      <c r="H828" s="1"/>
    </row>
    <row r="829" spans="1:8" x14ac:dyDescent="0.2">
      <c r="A829" s="1"/>
      <c r="B829" s="1"/>
      <c r="C829" t="str">
        <f>IFERROR(IF(B829="","",VLOOKUP(B829,المستفيدين!$B:$C,2,FALSE)),"")</f>
        <v/>
      </c>
      <c r="E829" s="1"/>
      <c r="F829" s="1"/>
      <c r="G829" s="1"/>
      <c r="H829" s="1"/>
    </row>
    <row r="830" spans="1:8" x14ac:dyDescent="0.2">
      <c r="A830" s="1"/>
      <c r="B830" s="1"/>
      <c r="C830" t="str">
        <f>IFERROR(IF(B830="","",VLOOKUP(B830,المستفيدين!$B:$C,2,FALSE)),"")</f>
        <v/>
      </c>
      <c r="E830" s="1"/>
      <c r="F830" s="1"/>
      <c r="G830" s="1"/>
      <c r="H830" s="1"/>
    </row>
    <row r="831" spans="1:8" x14ac:dyDescent="0.2">
      <c r="A831" s="1"/>
      <c r="B831" s="1"/>
      <c r="C831" t="str">
        <f>IFERROR(IF(B831="","",VLOOKUP(B831,المستفيدين!$B:$C,2,FALSE)),"")</f>
        <v/>
      </c>
      <c r="E831" s="1"/>
      <c r="F831" s="1"/>
      <c r="G831" s="1"/>
      <c r="H831" s="1"/>
    </row>
    <row r="832" spans="1:8" x14ac:dyDescent="0.2">
      <c r="A832" s="1"/>
      <c r="B832" s="1"/>
      <c r="C832" t="str">
        <f>IFERROR(IF(B832="","",VLOOKUP(B832,المستفيدين!$B:$C,2,FALSE)),"")</f>
        <v/>
      </c>
      <c r="E832" s="1"/>
      <c r="F832" s="1"/>
      <c r="G832" s="1"/>
      <c r="H832" s="1"/>
    </row>
    <row r="833" spans="1:8" x14ac:dyDescent="0.2">
      <c r="A833" s="1"/>
      <c r="B833" s="1"/>
      <c r="C833" t="str">
        <f>IFERROR(IF(B833="","",VLOOKUP(B833,المستفيدين!$B:$C,2,FALSE)),"")</f>
        <v/>
      </c>
      <c r="E833" s="1"/>
      <c r="F833" s="1"/>
      <c r="G833" s="1"/>
      <c r="H833" s="1"/>
    </row>
    <row r="834" spans="1:8" x14ac:dyDescent="0.2">
      <c r="A834" s="1"/>
      <c r="B834" s="1"/>
      <c r="C834" t="str">
        <f>IFERROR(IF(B834="","",VLOOKUP(B834,المستفيدين!$B:$C,2,FALSE)),"")</f>
        <v/>
      </c>
      <c r="E834" s="1"/>
      <c r="F834" s="1"/>
      <c r="G834" s="1"/>
      <c r="H834" s="1"/>
    </row>
    <row r="835" spans="1:8" x14ac:dyDescent="0.2">
      <c r="A835" s="1"/>
      <c r="B835" s="1"/>
      <c r="C835" t="str">
        <f>IFERROR(IF(B835="","",VLOOKUP(B835,المستفيدين!$B:$C,2,FALSE)),"")</f>
        <v/>
      </c>
      <c r="E835" s="1"/>
      <c r="F835" s="1"/>
      <c r="G835" s="1"/>
      <c r="H835" s="1"/>
    </row>
    <row r="836" spans="1:8" x14ac:dyDescent="0.2">
      <c r="A836" s="1"/>
      <c r="B836" s="1"/>
      <c r="C836" t="str">
        <f>IFERROR(IF(B836="","",VLOOKUP(B836,المستفيدين!$B:$C,2,FALSE)),"")</f>
        <v/>
      </c>
      <c r="E836" s="1"/>
      <c r="F836" s="1"/>
      <c r="G836" s="1"/>
      <c r="H836" s="1"/>
    </row>
    <row r="837" spans="1:8" x14ac:dyDescent="0.2">
      <c r="A837" s="1"/>
      <c r="B837" s="1"/>
      <c r="C837" t="str">
        <f>IFERROR(IF(B837="","",VLOOKUP(B837,المستفيدين!$B:$C,2,FALSE)),"")</f>
        <v/>
      </c>
      <c r="E837" s="1"/>
      <c r="F837" s="1"/>
      <c r="G837" s="1"/>
      <c r="H837" s="1"/>
    </row>
    <row r="838" spans="1:8" x14ac:dyDescent="0.2">
      <c r="A838" s="1"/>
      <c r="B838" s="1"/>
      <c r="C838" t="str">
        <f>IFERROR(IF(B838="","",VLOOKUP(B838,المستفيدين!$B:$C,2,FALSE)),"")</f>
        <v/>
      </c>
      <c r="E838" s="1"/>
      <c r="F838" s="1"/>
      <c r="G838" s="1"/>
      <c r="H838" s="1"/>
    </row>
    <row r="839" spans="1:8" x14ac:dyDescent="0.2">
      <c r="A839" s="1"/>
      <c r="B839" s="1"/>
      <c r="C839" t="str">
        <f>IFERROR(IF(B839="","",VLOOKUP(B839,المستفيدين!$B:$C,2,FALSE)),"")</f>
        <v/>
      </c>
      <c r="E839" s="1"/>
      <c r="F839" s="1"/>
      <c r="G839" s="1"/>
      <c r="H839" s="1"/>
    </row>
    <row r="840" spans="1:8" x14ac:dyDescent="0.2">
      <c r="A840" s="1"/>
      <c r="B840" s="1"/>
      <c r="C840" t="str">
        <f>IFERROR(IF(B840="","",VLOOKUP(B840,المستفيدين!$B:$C,2,FALSE)),"")</f>
        <v/>
      </c>
      <c r="E840" s="1"/>
      <c r="F840" s="1"/>
      <c r="G840" s="1"/>
      <c r="H840" s="1"/>
    </row>
    <row r="841" spans="1:8" x14ac:dyDescent="0.2">
      <c r="A841" s="1"/>
      <c r="B841" s="1"/>
      <c r="C841" t="str">
        <f>IFERROR(IF(B841="","",VLOOKUP(B841,المستفيدين!$B:$C,2,FALSE)),"")</f>
        <v/>
      </c>
      <c r="E841" s="1"/>
      <c r="F841" s="1"/>
      <c r="G841" s="1"/>
      <c r="H841" s="1"/>
    </row>
    <row r="842" spans="1:8" x14ac:dyDescent="0.2">
      <c r="A842" s="1"/>
      <c r="B842" s="1"/>
      <c r="C842" t="str">
        <f>IFERROR(IF(B842="","",VLOOKUP(B842,المستفيدين!$B:$C,2,FALSE)),"")</f>
        <v/>
      </c>
      <c r="E842" s="1"/>
      <c r="F842" s="1"/>
      <c r="G842" s="1"/>
      <c r="H842" s="1"/>
    </row>
    <row r="843" spans="1:8" x14ac:dyDescent="0.2">
      <c r="A843" s="1"/>
      <c r="B843" s="1"/>
      <c r="C843" t="str">
        <f>IFERROR(IF(B843="","",VLOOKUP(B843,المستفيدين!$B:$C,2,FALSE)),"")</f>
        <v/>
      </c>
      <c r="E843" s="1"/>
      <c r="F843" s="1"/>
      <c r="G843" s="1"/>
      <c r="H843" s="1"/>
    </row>
    <row r="844" spans="1:8" x14ac:dyDescent="0.2">
      <c r="A844" s="1"/>
      <c r="B844" s="1"/>
      <c r="C844" t="str">
        <f>IFERROR(IF(B844="","",VLOOKUP(B844,المستفيدين!$B:$C,2,FALSE)),"")</f>
        <v/>
      </c>
      <c r="E844" s="1"/>
      <c r="F844" s="1"/>
      <c r="G844" s="1"/>
      <c r="H844" s="1"/>
    </row>
    <row r="845" spans="1:8" x14ac:dyDescent="0.2">
      <c r="A845" s="1"/>
      <c r="B845" s="1"/>
      <c r="C845" t="str">
        <f>IFERROR(IF(B845="","",VLOOKUP(B845,المستفيدين!$B:$C,2,FALSE)),"")</f>
        <v/>
      </c>
      <c r="E845" s="1"/>
      <c r="F845" s="1"/>
      <c r="G845" s="1"/>
      <c r="H845" s="1"/>
    </row>
    <row r="846" spans="1:8" x14ac:dyDescent="0.2">
      <c r="A846" s="1"/>
      <c r="B846" s="1"/>
      <c r="C846" t="str">
        <f>IFERROR(IF(B846="","",VLOOKUP(B846,المستفيدين!$B:$C,2,FALSE)),"")</f>
        <v/>
      </c>
      <c r="E846" s="1"/>
      <c r="F846" s="1"/>
      <c r="G846" s="1"/>
      <c r="H846" s="1"/>
    </row>
    <row r="847" spans="1:8" x14ac:dyDescent="0.2">
      <c r="A847" s="1"/>
      <c r="B847" s="1"/>
      <c r="C847" t="str">
        <f>IFERROR(IF(B847="","",VLOOKUP(B847,المستفيدين!$B:$C,2,FALSE)),"")</f>
        <v/>
      </c>
      <c r="E847" s="1"/>
      <c r="F847" s="1"/>
      <c r="G847" s="1"/>
      <c r="H847" s="1"/>
    </row>
    <row r="848" spans="1:8" x14ac:dyDescent="0.2">
      <c r="A848" s="1"/>
      <c r="B848" s="1"/>
      <c r="C848" t="str">
        <f>IFERROR(IF(B848="","",VLOOKUP(B848,المستفيدين!$B:$C,2,FALSE)),"")</f>
        <v/>
      </c>
      <c r="E848" s="1"/>
      <c r="F848" s="1"/>
      <c r="G848" s="1"/>
      <c r="H848" s="1"/>
    </row>
    <row r="849" spans="1:8" x14ac:dyDescent="0.2">
      <c r="A849" s="1"/>
      <c r="B849" s="1"/>
      <c r="C849" t="str">
        <f>IFERROR(IF(B849="","",VLOOKUP(B849,المستفيدين!$B:$C,2,FALSE)),"")</f>
        <v/>
      </c>
      <c r="E849" s="1"/>
      <c r="F849" s="1"/>
      <c r="G849" s="1"/>
      <c r="H849" s="1"/>
    </row>
    <row r="850" spans="1:8" x14ac:dyDescent="0.2">
      <c r="A850" s="1"/>
      <c r="B850" s="1"/>
      <c r="C850" t="str">
        <f>IFERROR(IF(B850="","",VLOOKUP(B850,المستفيدين!$B:$C,2,FALSE)),"")</f>
        <v/>
      </c>
      <c r="E850" s="1"/>
      <c r="F850" s="1"/>
      <c r="G850" s="1"/>
      <c r="H850" s="1"/>
    </row>
    <row r="851" spans="1:8" x14ac:dyDescent="0.2">
      <c r="A851" s="1"/>
      <c r="B851" s="1"/>
      <c r="C851" t="str">
        <f>IFERROR(IF(B851="","",VLOOKUP(B851,المستفيدين!$B:$C,2,FALSE)),"")</f>
        <v/>
      </c>
      <c r="E851" s="1"/>
      <c r="F851" s="1"/>
      <c r="G851" s="1"/>
      <c r="H851" s="1"/>
    </row>
    <row r="852" spans="1:8" x14ac:dyDescent="0.2">
      <c r="A852" s="1"/>
      <c r="B852" s="1"/>
      <c r="C852" t="str">
        <f>IFERROR(IF(B852="","",VLOOKUP(B852,المستفيدين!$B:$C,2,FALSE)),"")</f>
        <v/>
      </c>
      <c r="E852" s="1"/>
      <c r="F852" s="1"/>
      <c r="G852" s="1"/>
      <c r="H852" s="1"/>
    </row>
    <row r="853" spans="1:8" x14ac:dyDescent="0.2">
      <c r="A853" s="1"/>
      <c r="B853" s="1"/>
      <c r="C853" t="str">
        <f>IFERROR(IF(B853="","",VLOOKUP(B853,المستفيدين!$B:$C,2,FALSE)),"")</f>
        <v/>
      </c>
      <c r="E853" s="1"/>
      <c r="F853" s="1"/>
      <c r="G853" s="1"/>
      <c r="H853" s="1"/>
    </row>
    <row r="854" spans="1:8" x14ac:dyDescent="0.2">
      <c r="A854" s="1"/>
      <c r="B854" s="1"/>
      <c r="C854" t="str">
        <f>IFERROR(IF(B854="","",VLOOKUP(B854,المستفيدين!$B:$C,2,FALSE)),"")</f>
        <v/>
      </c>
      <c r="E854" s="1"/>
      <c r="F854" s="1"/>
      <c r="G854" s="1"/>
      <c r="H854" s="1"/>
    </row>
    <row r="855" spans="1:8" x14ac:dyDescent="0.2">
      <c r="A855" s="1"/>
      <c r="B855" s="1"/>
      <c r="C855" t="str">
        <f>IFERROR(IF(B855="","",VLOOKUP(B855,المستفيدين!$B:$C,2,FALSE)),"")</f>
        <v/>
      </c>
      <c r="E855" s="1"/>
      <c r="F855" s="1"/>
      <c r="G855" s="1"/>
      <c r="H855" s="1"/>
    </row>
    <row r="856" spans="1:8" x14ac:dyDescent="0.2">
      <c r="A856" s="1"/>
      <c r="B856" s="1"/>
      <c r="C856" t="str">
        <f>IFERROR(IF(B856="","",VLOOKUP(B856,المستفيدين!$B:$C,2,FALSE)),"")</f>
        <v/>
      </c>
      <c r="E856" s="1"/>
      <c r="F856" s="1"/>
      <c r="G856" s="1"/>
      <c r="H856" s="1"/>
    </row>
    <row r="857" spans="1:8" x14ac:dyDescent="0.2">
      <c r="A857" s="1"/>
      <c r="B857" s="1"/>
      <c r="C857" t="str">
        <f>IFERROR(IF(B857="","",VLOOKUP(B857,المستفيدين!$B:$C,2,FALSE)),"")</f>
        <v/>
      </c>
      <c r="E857" s="1"/>
      <c r="F857" s="1"/>
      <c r="G857" s="1"/>
      <c r="H857" s="1"/>
    </row>
    <row r="858" spans="1:8" x14ac:dyDescent="0.2">
      <c r="A858" s="1"/>
      <c r="B858" s="1"/>
      <c r="C858" t="str">
        <f>IFERROR(IF(B858="","",VLOOKUP(B858,المستفيدين!$B:$C,2,FALSE)),"")</f>
        <v/>
      </c>
      <c r="E858" s="1"/>
      <c r="F858" s="1"/>
      <c r="G858" s="1"/>
      <c r="H858" s="1"/>
    </row>
    <row r="859" spans="1:8" x14ac:dyDescent="0.2">
      <c r="A859" s="1"/>
      <c r="B859" s="1"/>
      <c r="C859" t="str">
        <f>IFERROR(IF(B859="","",VLOOKUP(B859,المستفيدين!$B:$C,2,FALSE)),"")</f>
        <v/>
      </c>
      <c r="E859" s="1"/>
      <c r="F859" s="1"/>
      <c r="G859" s="1"/>
      <c r="H859" s="1"/>
    </row>
    <row r="860" spans="1:8" x14ac:dyDescent="0.2">
      <c r="A860" s="1"/>
      <c r="B860" s="1"/>
      <c r="C860" t="str">
        <f>IFERROR(IF(B860="","",VLOOKUP(B860,المستفيدين!$B:$C,2,FALSE)),"")</f>
        <v/>
      </c>
      <c r="E860" s="1"/>
      <c r="F860" s="1"/>
      <c r="G860" s="1"/>
      <c r="H860" s="1"/>
    </row>
    <row r="861" spans="1:8" x14ac:dyDescent="0.2">
      <c r="A861" s="1"/>
      <c r="B861" s="1"/>
      <c r="C861" t="str">
        <f>IFERROR(IF(B861="","",VLOOKUP(B861,المستفيدين!$B:$C,2,FALSE)),"")</f>
        <v/>
      </c>
      <c r="E861" s="1"/>
      <c r="F861" s="1"/>
      <c r="G861" s="1"/>
      <c r="H861" s="1"/>
    </row>
    <row r="862" spans="1:8" x14ac:dyDescent="0.2">
      <c r="A862" s="1"/>
      <c r="B862" s="1"/>
      <c r="C862" t="str">
        <f>IFERROR(IF(B862="","",VLOOKUP(B862,المستفيدين!$B:$C,2,FALSE)),"")</f>
        <v/>
      </c>
      <c r="E862" s="1"/>
      <c r="F862" s="1"/>
      <c r="G862" s="1"/>
      <c r="H862" s="1"/>
    </row>
    <row r="863" spans="1:8" x14ac:dyDescent="0.2">
      <c r="A863" s="1"/>
      <c r="B863" s="1"/>
      <c r="C863" t="str">
        <f>IFERROR(IF(B863="","",VLOOKUP(B863,المستفيدين!$B:$C,2,FALSE)),"")</f>
        <v/>
      </c>
      <c r="E863" s="1"/>
      <c r="F863" s="1"/>
      <c r="G863" s="1"/>
      <c r="H863" s="1"/>
    </row>
    <row r="864" spans="1:8" x14ac:dyDescent="0.2">
      <c r="A864" s="1"/>
      <c r="B864" s="1"/>
      <c r="C864" t="str">
        <f>IFERROR(IF(B864="","",VLOOKUP(B864,المستفيدين!$B:$C,2,FALSE)),"")</f>
        <v/>
      </c>
      <c r="E864" s="1"/>
      <c r="F864" s="1"/>
      <c r="G864" s="1"/>
      <c r="H864" s="1"/>
    </row>
    <row r="865" spans="1:8" x14ac:dyDescent="0.2">
      <c r="A865" s="1"/>
      <c r="B865" s="1"/>
      <c r="C865" t="str">
        <f>IFERROR(IF(B865="","",VLOOKUP(B865,المستفيدين!$B:$C,2,FALSE)),"")</f>
        <v/>
      </c>
      <c r="E865" s="1"/>
      <c r="F865" s="1"/>
      <c r="G865" s="1"/>
      <c r="H865" s="1"/>
    </row>
    <row r="866" spans="1:8" x14ac:dyDescent="0.2">
      <c r="A866" s="1"/>
      <c r="B866" s="1"/>
      <c r="C866" t="str">
        <f>IFERROR(IF(B866="","",VLOOKUP(B866,المستفيدين!$B:$C,2,FALSE)),"")</f>
        <v/>
      </c>
      <c r="E866" s="1"/>
      <c r="F866" s="1"/>
      <c r="G866" s="1"/>
      <c r="H866" s="1"/>
    </row>
    <row r="867" spans="1:8" x14ac:dyDescent="0.2">
      <c r="A867" s="1"/>
      <c r="B867" s="1"/>
      <c r="C867" t="str">
        <f>IFERROR(IF(B867="","",VLOOKUP(B867,المستفيدين!$B:$C,2,FALSE)),"")</f>
        <v/>
      </c>
      <c r="E867" s="1"/>
      <c r="F867" s="1"/>
      <c r="G867" s="1"/>
      <c r="H867" s="1"/>
    </row>
    <row r="868" spans="1:8" x14ac:dyDescent="0.2">
      <c r="A868" s="1"/>
      <c r="B868" s="1"/>
      <c r="C868" t="str">
        <f>IFERROR(IF(B868="","",VLOOKUP(B868,المستفيدين!$B:$C,2,FALSE)),"")</f>
        <v/>
      </c>
      <c r="E868" s="1"/>
      <c r="F868" s="1"/>
      <c r="G868" s="1"/>
      <c r="H868" s="1"/>
    </row>
    <row r="869" spans="1:8" x14ac:dyDescent="0.2">
      <c r="A869" s="1"/>
      <c r="B869" s="1"/>
      <c r="C869" t="str">
        <f>IFERROR(IF(B869="","",VLOOKUP(B869,المستفيدين!$B:$C,2,FALSE)),"")</f>
        <v/>
      </c>
      <c r="E869" s="1"/>
      <c r="F869" s="1"/>
      <c r="G869" s="1"/>
      <c r="H869" s="1"/>
    </row>
    <row r="870" spans="1:8" x14ac:dyDescent="0.2">
      <c r="A870" s="1"/>
      <c r="B870" s="1"/>
      <c r="C870" t="str">
        <f>IFERROR(IF(B870="","",VLOOKUP(B870,المستفيدين!$B:$C,2,FALSE)),"")</f>
        <v/>
      </c>
      <c r="E870" s="1"/>
      <c r="F870" s="1"/>
      <c r="G870" s="1"/>
      <c r="H870" s="1"/>
    </row>
    <row r="871" spans="1:8" x14ac:dyDescent="0.2">
      <c r="A871" s="1"/>
      <c r="B871" s="1"/>
      <c r="C871" t="str">
        <f>IFERROR(IF(B871="","",VLOOKUP(B871,المستفيدين!$B:$C,2,FALSE)),"")</f>
        <v/>
      </c>
      <c r="E871" s="1"/>
      <c r="F871" s="1"/>
      <c r="G871" s="1"/>
      <c r="H871" s="1"/>
    </row>
    <row r="872" spans="1:8" x14ac:dyDescent="0.2">
      <c r="A872" s="1"/>
      <c r="B872" s="1"/>
      <c r="C872" t="str">
        <f>IFERROR(IF(B872="","",VLOOKUP(B872,المستفيدين!$B:$C,2,FALSE)),"")</f>
        <v/>
      </c>
      <c r="E872" s="1"/>
      <c r="F872" s="1"/>
      <c r="G872" s="1"/>
      <c r="H872" s="1"/>
    </row>
    <row r="873" spans="1:8" x14ac:dyDescent="0.2">
      <c r="A873" s="1"/>
      <c r="B873" s="1"/>
      <c r="C873" t="str">
        <f>IFERROR(IF(B873="","",VLOOKUP(B873,المستفيدين!$B:$C,2,FALSE)),"")</f>
        <v/>
      </c>
      <c r="E873" s="1"/>
      <c r="F873" s="1"/>
      <c r="G873" s="1"/>
      <c r="H873" s="1"/>
    </row>
    <row r="874" spans="1:8" x14ac:dyDescent="0.2">
      <c r="A874" s="1"/>
      <c r="B874" s="1"/>
      <c r="C874" t="str">
        <f>IFERROR(IF(B874="","",VLOOKUP(B874,المستفيدين!$B:$C,2,FALSE)),"")</f>
        <v/>
      </c>
      <c r="E874" s="1"/>
      <c r="F874" s="1"/>
      <c r="G874" s="1"/>
      <c r="H874" s="1"/>
    </row>
    <row r="875" spans="1:8" x14ac:dyDescent="0.2">
      <c r="A875" s="1"/>
      <c r="B875" s="1"/>
      <c r="C875" t="str">
        <f>IFERROR(IF(B875="","",VLOOKUP(B875,المستفيدين!$B:$C,2,FALSE)),"")</f>
        <v/>
      </c>
      <c r="E875" s="1"/>
      <c r="F875" s="1"/>
      <c r="G875" s="1"/>
      <c r="H875" s="1"/>
    </row>
    <row r="876" spans="1:8" x14ac:dyDescent="0.2">
      <c r="A876" s="1"/>
      <c r="B876" s="1"/>
      <c r="C876" t="str">
        <f>IFERROR(IF(B876="","",VLOOKUP(B876,المستفيدين!$B:$C,2,FALSE)),"")</f>
        <v/>
      </c>
      <c r="E876" s="1"/>
      <c r="F876" s="1"/>
      <c r="G876" s="1"/>
      <c r="H876" s="1"/>
    </row>
    <row r="877" spans="1:8" x14ac:dyDescent="0.2">
      <c r="A877" s="1"/>
      <c r="B877" s="1"/>
      <c r="C877" t="str">
        <f>IFERROR(IF(B877="","",VLOOKUP(B877,المستفيدين!$B:$C,2,FALSE)),"")</f>
        <v/>
      </c>
      <c r="E877" s="1"/>
      <c r="F877" s="1"/>
      <c r="G877" s="1"/>
      <c r="H877" s="1"/>
    </row>
    <row r="878" spans="1:8" x14ac:dyDescent="0.2">
      <c r="A878" s="1"/>
      <c r="B878" s="1"/>
      <c r="C878" t="str">
        <f>IFERROR(IF(B878="","",VLOOKUP(B878,المستفيدين!$B:$C,2,FALSE)),"")</f>
        <v/>
      </c>
      <c r="E878" s="1"/>
      <c r="F878" s="1"/>
      <c r="G878" s="1"/>
      <c r="H878" s="1"/>
    </row>
    <row r="879" spans="1:8" x14ac:dyDescent="0.2">
      <c r="A879" s="1"/>
      <c r="B879" s="1"/>
      <c r="C879" t="str">
        <f>IFERROR(IF(B879="","",VLOOKUP(B879,المستفيدين!$B:$C,2,FALSE)),"")</f>
        <v/>
      </c>
      <c r="E879" s="1"/>
      <c r="F879" s="1"/>
      <c r="G879" s="1"/>
      <c r="H879" s="1"/>
    </row>
    <row r="880" spans="1:8" x14ac:dyDescent="0.2">
      <c r="A880" s="1"/>
      <c r="B880" s="1"/>
      <c r="C880" t="str">
        <f>IFERROR(IF(B880="","",VLOOKUP(B880,المستفيدين!$B:$C,2,FALSE)),"")</f>
        <v/>
      </c>
      <c r="E880" s="1"/>
      <c r="F880" s="1"/>
      <c r="G880" s="1"/>
      <c r="H880" s="1"/>
    </row>
    <row r="881" spans="1:8" x14ac:dyDescent="0.2">
      <c r="A881" s="1"/>
      <c r="B881" s="1"/>
      <c r="C881" t="str">
        <f>IFERROR(IF(B881="","",VLOOKUP(B881,المستفيدين!$B:$C,2,FALSE)),"")</f>
        <v/>
      </c>
      <c r="E881" s="1"/>
      <c r="F881" s="1"/>
      <c r="G881" s="1"/>
      <c r="H881" s="1"/>
    </row>
    <row r="882" spans="1:8" x14ac:dyDescent="0.2">
      <c r="A882" s="1"/>
      <c r="B882" s="1"/>
      <c r="C882" t="str">
        <f>IFERROR(IF(B882="","",VLOOKUP(B882,المستفيدين!$B:$C,2,FALSE)),"")</f>
        <v/>
      </c>
      <c r="E882" s="1"/>
      <c r="F882" s="1"/>
      <c r="G882" s="1"/>
      <c r="H882" s="1"/>
    </row>
    <row r="883" spans="1:8" x14ac:dyDescent="0.2">
      <c r="A883" s="1"/>
      <c r="B883" s="1"/>
      <c r="C883" t="str">
        <f>IFERROR(IF(B883="","",VLOOKUP(B883,المستفيدين!$B:$C,2,FALSE)),"")</f>
        <v/>
      </c>
      <c r="E883" s="1"/>
      <c r="F883" s="1"/>
      <c r="G883" s="1"/>
      <c r="H883" s="1"/>
    </row>
    <row r="884" spans="1:8" x14ac:dyDescent="0.2">
      <c r="A884" s="1"/>
      <c r="B884" s="1"/>
      <c r="C884" t="str">
        <f>IFERROR(IF(B884="","",VLOOKUP(B884,المستفيدين!$B:$C,2,FALSE)),"")</f>
        <v/>
      </c>
      <c r="E884" s="1"/>
      <c r="F884" s="1"/>
      <c r="G884" s="1"/>
      <c r="H884" s="1"/>
    </row>
    <row r="885" spans="1:8" x14ac:dyDescent="0.2">
      <c r="A885" s="1"/>
      <c r="B885" s="1"/>
      <c r="C885" t="str">
        <f>IFERROR(IF(B885="","",VLOOKUP(B885,المستفيدين!$B:$C,2,FALSE)),"")</f>
        <v/>
      </c>
      <c r="E885" s="1"/>
      <c r="F885" s="1"/>
      <c r="G885" s="1"/>
      <c r="H885" s="1"/>
    </row>
    <row r="886" spans="1:8" x14ac:dyDescent="0.2">
      <c r="A886" s="1"/>
      <c r="B886" s="1"/>
      <c r="C886" t="str">
        <f>IFERROR(IF(B886="","",VLOOKUP(B886,المستفيدين!$B:$C,2,FALSE)),"")</f>
        <v/>
      </c>
      <c r="E886" s="1"/>
      <c r="F886" s="1"/>
      <c r="G886" s="1"/>
      <c r="H886" s="1"/>
    </row>
    <row r="887" spans="1:8" x14ac:dyDescent="0.2">
      <c r="A887" s="1"/>
      <c r="B887" s="1"/>
      <c r="C887" t="str">
        <f>IFERROR(IF(B887="","",VLOOKUP(B887,المستفيدين!$B:$C,2,FALSE)),"")</f>
        <v/>
      </c>
      <c r="E887" s="1"/>
      <c r="F887" s="1"/>
      <c r="G887" s="1"/>
      <c r="H887" s="1"/>
    </row>
    <row r="888" spans="1:8" x14ac:dyDescent="0.2">
      <c r="A888" s="1"/>
      <c r="B888" s="1"/>
      <c r="C888" t="str">
        <f>IFERROR(IF(B888="","",VLOOKUP(B888,المستفيدين!$B:$C,2,FALSE)),"")</f>
        <v/>
      </c>
      <c r="E888" s="1"/>
      <c r="F888" s="1"/>
      <c r="G888" s="1"/>
      <c r="H888" s="1"/>
    </row>
    <row r="889" spans="1:8" x14ac:dyDescent="0.2">
      <c r="A889" s="1"/>
      <c r="B889" s="1"/>
      <c r="C889" t="str">
        <f>IFERROR(IF(B889="","",VLOOKUP(B889,المستفيدين!$B:$C,2,FALSE)),"")</f>
        <v/>
      </c>
      <c r="E889" s="1"/>
      <c r="F889" s="1"/>
      <c r="G889" s="1"/>
      <c r="H889" s="1"/>
    </row>
    <row r="890" spans="1:8" x14ac:dyDescent="0.2">
      <c r="A890" s="1"/>
      <c r="B890" s="1"/>
      <c r="C890" t="str">
        <f>IFERROR(IF(B890="","",VLOOKUP(B890,المستفيدين!$B:$C,2,FALSE)),"")</f>
        <v/>
      </c>
      <c r="E890" s="1"/>
      <c r="F890" s="1"/>
      <c r="G890" s="1"/>
      <c r="H890" s="1"/>
    </row>
    <row r="891" spans="1:8" x14ac:dyDescent="0.2">
      <c r="A891" s="1"/>
      <c r="B891" s="1"/>
      <c r="C891" t="str">
        <f>IFERROR(IF(B891="","",VLOOKUP(B891,المستفيدين!$B:$C,2,FALSE)),"")</f>
        <v/>
      </c>
      <c r="E891" s="1"/>
      <c r="F891" s="1"/>
      <c r="G891" s="1"/>
      <c r="H891" s="1"/>
    </row>
    <row r="892" spans="1:8" x14ac:dyDescent="0.2">
      <c r="A892" s="1"/>
      <c r="B892" s="1"/>
      <c r="C892" t="str">
        <f>IFERROR(IF(B892="","",VLOOKUP(B892,المستفيدين!$B:$C,2,FALSE)),"")</f>
        <v/>
      </c>
      <c r="E892" s="1"/>
      <c r="F892" s="1"/>
      <c r="G892" s="1"/>
      <c r="H892" s="1"/>
    </row>
    <row r="893" spans="1:8" x14ac:dyDescent="0.2">
      <c r="A893" s="1"/>
      <c r="B893" s="1"/>
      <c r="C893" t="str">
        <f>IFERROR(IF(B893="","",VLOOKUP(B893,المستفيدين!$B:$C,2,FALSE)),"")</f>
        <v/>
      </c>
      <c r="E893" s="1"/>
      <c r="F893" s="1"/>
      <c r="G893" s="1"/>
      <c r="H893" s="1"/>
    </row>
    <row r="894" spans="1:8" x14ac:dyDescent="0.2">
      <c r="A894" s="1"/>
      <c r="B894" s="1"/>
      <c r="C894" t="str">
        <f>IFERROR(IF(B894="","",VLOOKUP(B894,المستفيدين!$B:$C,2,FALSE)),"")</f>
        <v/>
      </c>
      <c r="E894" s="1"/>
      <c r="F894" s="1"/>
      <c r="G894" s="1"/>
      <c r="H894" s="1"/>
    </row>
    <row r="895" spans="1:8" x14ac:dyDescent="0.2">
      <c r="A895" s="1"/>
      <c r="B895" s="1"/>
      <c r="C895" t="str">
        <f>IFERROR(IF(B895="","",VLOOKUP(B895,المستفيدين!$B:$C,2,FALSE)),"")</f>
        <v/>
      </c>
      <c r="E895" s="1"/>
      <c r="F895" s="1"/>
      <c r="G895" s="1"/>
      <c r="H895" s="1"/>
    </row>
    <row r="896" spans="1:8" x14ac:dyDescent="0.2">
      <c r="A896" s="1"/>
      <c r="B896" s="1"/>
      <c r="C896" t="str">
        <f>IFERROR(IF(B896="","",VLOOKUP(B896,المستفيدين!$B:$C,2,FALSE)),"")</f>
        <v/>
      </c>
      <c r="E896" s="1"/>
      <c r="F896" s="1"/>
      <c r="G896" s="1"/>
      <c r="H896" s="1"/>
    </row>
    <row r="897" spans="1:8" x14ac:dyDescent="0.2">
      <c r="A897" s="1"/>
      <c r="B897" s="1"/>
      <c r="C897" t="str">
        <f>IFERROR(IF(B897="","",VLOOKUP(B897,المستفيدين!$B:$C,2,FALSE)),"")</f>
        <v/>
      </c>
      <c r="E897" s="1"/>
      <c r="F897" s="1"/>
      <c r="G897" s="1"/>
      <c r="H897" s="1"/>
    </row>
    <row r="898" spans="1:8" x14ac:dyDescent="0.2">
      <c r="A898" s="1"/>
      <c r="B898" s="1"/>
      <c r="C898" t="str">
        <f>IFERROR(IF(B898="","",VLOOKUP(B898,المستفيدين!$B:$C,2,FALSE)),"")</f>
        <v/>
      </c>
      <c r="E898" s="1"/>
      <c r="F898" s="1"/>
      <c r="G898" s="1"/>
      <c r="H898" s="1"/>
    </row>
    <row r="899" spans="1:8" x14ac:dyDescent="0.2">
      <c r="A899" s="1"/>
      <c r="B899" s="1"/>
      <c r="C899" t="str">
        <f>IFERROR(IF(B899="","",VLOOKUP(B899,المستفيدين!$B:$C,2,FALSE)),"")</f>
        <v/>
      </c>
      <c r="E899" s="1"/>
      <c r="F899" s="1"/>
      <c r="G899" s="1"/>
      <c r="H899" s="1"/>
    </row>
    <row r="900" spans="1:8" x14ac:dyDescent="0.2">
      <c r="A900" s="1"/>
      <c r="B900" s="1"/>
      <c r="C900" t="str">
        <f>IFERROR(IF(B900="","",VLOOKUP(B900,المستفيدين!$B:$C,2,FALSE)),"")</f>
        <v/>
      </c>
      <c r="E900" s="1"/>
      <c r="F900" s="1"/>
      <c r="G900" s="1"/>
      <c r="H900" s="1"/>
    </row>
    <row r="901" spans="1:8" x14ac:dyDescent="0.2">
      <c r="A901" s="1"/>
      <c r="B901" s="1"/>
      <c r="C901" t="str">
        <f>IFERROR(IF(B901="","",VLOOKUP(B901,المستفيدين!$B:$C,2,FALSE)),"")</f>
        <v/>
      </c>
      <c r="E901" s="1"/>
      <c r="F901" s="1"/>
      <c r="G901" s="1"/>
      <c r="H901" s="1"/>
    </row>
    <row r="902" spans="1:8" x14ac:dyDescent="0.2">
      <c r="A902" s="1"/>
      <c r="B902" s="1"/>
      <c r="C902" t="str">
        <f>IFERROR(IF(B902="","",VLOOKUP(B902,المستفيدين!$B:$C,2,FALSE)),"")</f>
        <v/>
      </c>
      <c r="E902" s="1"/>
      <c r="F902" s="1"/>
      <c r="G902" s="1"/>
      <c r="H902" s="1"/>
    </row>
    <row r="903" spans="1:8" x14ac:dyDescent="0.2">
      <c r="A903" s="1"/>
      <c r="B903" s="1"/>
      <c r="C903" t="str">
        <f>IFERROR(IF(B903="","",VLOOKUP(B903,المستفيدين!$B:$C,2,FALSE)),"")</f>
        <v/>
      </c>
      <c r="E903" s="1"/>
      <c r="F903" s="1"/>
      <c r="G903" s="1"/>
      <c r="H903" s="1"/>
    </row>
    <row r="904" spans="1:8" x14ac:dyDescent="0.2">
      <c r="A904" s="1"/>
      <c r="B904" s="1"/>
      <c r="C904" t="str">
        <f>IFERROR(IF(B904="","",VLOOKUP(B904,المستفيدين!$B:$C,2,FALSE)),"")</f>
        <v/>
      </c>
      <c r="E904" s="1"/>
      <c r="F904" s="1"/>
      <c r="G904" s="1"/>
      <c r="H904" s="1"/>
    </row>
    <row r="905" spans="1:8" x14ac:dyDescent="0.2">
      <c r="A905" s="1"/>
      <c r="B905" s="1"/>
      <c r="C905" t="str">
        <f>IFERROR(IF(B905="","",VLOOKUP(B905,المستفيدين!$B:$C,2,FALSE)),"")</f>
        <v/>
      </c>
      <c r="E905" s="1"/>
      <c r="F905" s="1"/>
      <c r="G905" s="1"/>
      <c r="H905" s="1"/>
    </row>
    <row r="906" spans="1:8" x14ac:dyDescent="0.2">
      <c r="A906" s="1"/>
      <c r="B906" s="1"/>
      <c r="C906" t="str">
        <f>IFERROR(IF(B906="","",VLOOKUP(B906,المستفيدين!$B:$C,2,FALSE)),"")</f>
        <v/>
      </c>
      <c r="E906" s="1"/>
      <c r="F906" s="1"/>
      <c r="G906" s="1"/>
      <c r="H906" s="1"/>
    </row>
    <row r="907" spans="1:8" x14ac:dyDescent="0.2">
      <c r="A907" s="1"/>
      <c r="B907" s="1"/>
      <c r="C907" t="str">
        <f>IFERROR(IF(B907="","",VLOOKUP(B907,المستفيدين!$B:$C,2,FALSE)),"")</f>
        <v/>
      </c>
      <c r="E907" s="1"/>
      <c r="F907" s="1"/>
      <c r="G907" s="1"/>
      <c r="H907" s="1"/>
    </row>
    <row r="908" spans="1:8" x14ac:dyDescent="0.2">
      <c r="A908" s="1"/>
      <c r="B908" s="1"/>
      <c r="C908" t="str">
        <f>IFERROR(IF(B908="","",VLOOKUP(B908,المستفيدين!$B:$C,2,FALSE)),"")</f>
        <v/>
      </c>
      <c r="E908" s="1"/>
      <c r="F908" s="1"/>
      <c r="G908" s="1"/>
      <c r="H908" s="1"/>
    </row>
    <row r="909" spans="1:8" x14ac:dyDescent="0.2">
      <c r="A909" s="1"/>
      <c r="B909" s="1"/>
      <c r="C909" t="str">
        <f>IFERROR(IF(B909="","",VLOOKUP(B909,المستفيدين!$B:$C,2,FALSE)),"")</f>
        <v/>
      </c>
      <c r="E909" s="1"/>
      <c r="F909" s="1"/>
      <c r="G909" s="1"/>
      <c r="H909" s="1"/>
    </row>
    <row r="910" spans="1:8" x14ac:dyDescent="0.2">
      <c r="A910" s="1"/>
      <c r="B910" s="1"/>
      <c r="C910" t="str">
        <f>IFERROR(IF(B910="","",VLOOKUP(B910,المستفيدين!$B:$C,2,FALSE)),"")</f>
        <v/>
      </c>
      <c r="E910" s="1"/>
      <c r="F910" s="1"/>
      <c r="G910" s="1"/>
      <c r="H910" s="1"/>
    </row>
    <row r="911" spans="1:8" x14ac:dyDescent="0.2">
      <c r="A911" s="1"/>
      <c r="B911" s="1"/>
      <c r="C911" t="str">
        <f>IFERROR(IF(B911="","",VLOOKUP(B911,المستفيدين!$B:$C,2,FALSE)),"")</f>
        <v/>
      </c>
      <c r="E911" s="1"/>
      <c r="F911" s="1"/>
      <c r="G911" s="1"/>
      <c r="H911" s="1"/>
    </row>
    <row r="912" spans="1:8" x14ac:dyDescent="0.2">
      <c r="A912" s="1"/>
      <c r="B912" s="1"/>
      <c r="C912" t="str">
        <f>IFERROR(IF(B912="","",VLOOKUP(B912,المستفيدين!$B:$C,2,FALSE)),"")</f>
        <v/>
      </c>
      <c r="E912" s="1"/>
      <c r="F912" s="1"/>
      <c r="G912" s="1"/>
      <c r="H912" s="1"/>
    </row>
    <row r="913" spans="1:8" x14ac:dyDescent="0.2">
      <c r="A913" s="1"/>
      <c r="B913" s="1"/>
      <c r="C913" t="str">
        <f>IFERROR(IF(B913="","",VLOOKUP(B913,المستفيدين!$B:$C,2,FALSE)),"")</f>
        <v/>
      </c>
      <c r="E913" s="1"/>
      <c r="F913" s="1"/>
      <c r="G913" s="1"/>
      <c r="H913" s="1"/>
    </row>
    <row r="914" spans="1:8" x14ac:dyDescent="0.2">
      <c r="A914" s="1"/>
      <c r="B914" s="1"/>
      <c r="C914" t="str">
        <f>IFERROR(IF(B914="","",VLOOKUP(B914,المستفيدين!$B:$C,2,FALSE)),"")</f>
        <v/>
      </c>
      <c r="E914" s="1"/>
      <c r="F914" s="1"/>
      <c r="G914" s="1"/>
      <c r="H914" s="1"/>
    </row>
    <row r="915" spans="1:8" x14ac:dyDescent="0.2">
      <c r="A915" s="1"/>
      <c r="B915" s="1"/>
      <c r="C915" t="str">
        <f>IFERROR(IF(B915="","",VLOOKUP(B915,المستفيدين!$B:$C,2,FALSE)),"")</f>
        <v/>
      </c>
      <c r="E915" s="1"/>
      <c r="F915" s="1"/>
      <c r="G915" s="1"/>
      <c r="H915" s="1"/>
    </row>
    <row r="916" spans="1:8" x14ac:dyDescent="0.2">
      <c r="A916" s="1"/>
      <c r="B916" s="1"/>
      <c r="C916" t="str">
        <f>IFERROR(IF(B916="","",VLOOKUP(B916,المستفيدين!$B:$C,2,FALSE)),"")</f>
        <v/>
      </c>
      <c r="E916" s="1"/>
      <c r="F916" s="1"/>
      <c r="G916" s="1"/>
      <c r="H916" s="1"/>
    </row>
    <row r="917" spans="1:8" x14ac:dyDescent="0.2">
      <c r="A917" s="1"/>
      <c r="B917" s="1"/>
      <c r="C917" t="str">
        <f>IFERROR(IF(B917="","",VLOOKUP(B917,المستفيدين!$B:$C,2,FALSE)),"")</f>
        <v/>
      </c>
      <c r="E917" s="1"/>
      <c r="F917" s="1"/>
      <c r="G917" s="1"/>
      <c r="H917" s="1"/>
    </row>
    <row r="918" spans="1:8" x14ac:dyDescent="0.2">
      <c r="A918" s="1"/>
      <c r="B918" s="1"/>
      <c r="C918" t="str">
        <f>IFERROR(IF(B918="","",VLOOKUP(B918,المستفيدين!$B:$C,2,FALSE)),"")</f>
        <v/>
      </c>
      <c r="E918" s="1"/>
      <c r="F918" s="1"/>
      <c r="G918" s="1"/>
      <c r="H918" s="1"/>
    </row>
    <row r="919" spans="1:8" x14ac:dyDescent="0.2">
      <c r="A919" s="1"/>
      <c r="B919" s="1"/>
      <c r="C919" t="str">
        <f>IFERROR(IF(B919="","",VLOOKUP(B919,المستفيدين!$B:$C,2,FALSE)),"")</f>
        <v/>
      </c>
      <c r="E919" s="1"/>
      <c r="F919" s="1"/>
      <c r="G919" s="1"/>
      <c r="H919" s="1"/>
    </row>
    <row r="920" spans="1:8" x14ac:dyDescent="0.2">
      <c r="A920" s="1"/>
      <c r="B920" s="1"/>
      <c r="C920" t="str">
        <f>IFERROR(IF(B920="","",VLOOKUP(B920,المستفيدين!$B:$C,2,FALSE)),"")</f>
        <v/>
      </c>
      <c r="E920" s="1"/>
      <c r="F920" s="1"/>
      <c r="G920" s="1"/>
      <c r="H920" s="1"/>
    </row>
    <row r="921" spans="1:8" x14ac:dyDescent="0.2">
      <c r="A921" s="1"/>
      <c r="B921" s="1"/>
      <c r="C921" t="str">
        <f>IFERROR(IF(B921="","",VLOOKUP(B921,المستفيدين!$B:$C,2,FALSE)),"")</f>
        <v/>
      </c>
      <c r="E921" s="1"/>
      <c r="F921" s="1"/>
      <c r="G921" s="1"/>
      <c r="H921" s="1"/>
    </row>
    <row r="922" spans="1:8" x14ac:dyDescent="0.2">
      <c r="A922" s="1"/>
      <c r="B922" s="1"/>
      <c r="C922" t="str">
        <f>IFERROR(IF(B922="","",VLOOKUP(B922,المستفيدين!$B:$C,2,FALSE)),"")</f>
        <v/>
      </c>
      <c r="E922" s="1"/>
      <c r="F922" s="1"/>
      <c r="G922" s="1"/>
      <c r="H922" s="1"/>
    </row>
    <row r="923" spans="1:8" x14ac:dyDescent="0.2">
      <c r="A923" s="1"/>
      <c r="B923" s="1"/>
      <c r="C923" t="str">
        <f>IFERROR(IF(B923="","",VLOOKUP(B923,المستفيدين!$B:$C,2,FALSE)),"")</f>
        <v/>
      </c>
      <c r="E923" s="1"/>
      <c r="F923" s="1"/>
      <c r="G923" s="1"/>
      <c r="H923" s="1"/>
    </row>
    <row r="924" spans="1:8" x14ac:dyDescent="0.2">
      <c r="A924" s="1"/>
      <c r="B924" s="1"/>
      <c r="C924" t="str">
        <f>IFERROR(IF(B924="","",VLOOKUP(B924,المستفيدين!$B:$C,2,FALSE)),"")</f>
        <v/>
      </c>
      <c r="E924" s="1"/>
      <c r="F924" s="1"/>
      <c r="G924" s="1"/>
      <c r="H924" s="1"/>
    </row>
    <row r="925" spans="1:8" x14ac:dyDescent="0.2">
      <c r="A925" s="1"/>
      <c r="B925" s="1"/>
      <c r="C925" t="str">
        <f>IFERROR(IF(B925="","",VLOOKUP(B925,المستفيدين!$B:$C,2,FALSE)),"")</f>
        <v/>
      </c>
      <c r="E925" s="1"/>
      <c r="F925" s="1"/>
      <c r="G925" s="1"/>
      <c r="H925" s="1"/>
    </row>
    <row r="926" spans="1:8" x14ac:dyDescent="0.2">
      <c r="A926" s="1"/>
      <c r="B926" s="1"/>
      <c r="C926" t="str">
        <f>IFERROR(IF(B926="","",VLOOKUP(B926,المستفيدين!$B:$C,2,FALSE)),"")</f>
        <v/>
      </c>
      <c r="E926" s="1"/>
      <c r="F926" s="1"/>
      <c r="G926" s="1"/>
      <c r="H926" s="1"/>
    </row>
    <row r="927" spans="1:8" x14ac:dyDescent="0.2">
      <c r="A927" s="1"/>
      <c r="B927" s="1"/>
      <c r="C927" t="str">
        <f>IFERROR(IF(B927="","",VLOOKUP(B927,المستفيدين!$B:$C,2,FALSE)),"")</f>
        <v/>
      </c>
      <c r="E927" s="1"/>
      <c r="F927" s="1"/>
      <c r="G927" s="1"/>
      <c r="H927" s="1"/>
    </row>
    <row r="928" spans="1:8" x14ac:dyDescent="0.2">
      <c r="A928" s="1"/>
      <c r="B928" s="1"/>
      <c r="C928" t="str">
        <f>IFERROR(IF(B928="","",VLOOKUP(B928,المستفيدين!$B:$C,2,FALSE)),"")</f>
        <v/>
      </c>
      <c r="E928" s="1"/>
      <c r="F928" s="1"/>
      <c r="G928" s="1"/>
      <c r="H928" s="1"/>
    </row>
    <row r="929" spans="1:8" x14ac:dyDescent="0.2">
      <c r="A929" s="1"/>
      <c r="B929" s="1"/>
      <c r="C929" t="str">
        <f>IFERROR(IF(B929="","",VLOOKUP(B929,المستفيدين!$B:$C,2,FALSE)),"")</f>
        <v/>
      </c>
      <c r="E929" s="1"/>
      <c r="F929" s="1"/>
      <c r="G929" s="1"/>
      <c r="H929" s="1"/>
    </row>
    <row r="930" spans="1:8" x14ac:dyDescent="0.2">
      <c r="A930" s="1"/>
      <c r="B930" s="1"/>
      <c r="C930" t="str">
        <f>IFERROR(IF(B930="","",VLOOKUP(B930,المستفيدين!$B:$C,2,FALSE)),"")</f>
        <v/>
      </c>
      <c r="E930" s="1"/>
      <c r="F930" s="1"/>
      <c r="G930" s="1"/>
      <c r="H930" s="1"/>
    </row>
    <row r="931" spans="1:8" x14ac:dyDescent="0.2">
      <c r="A931" s="1"/>
      <c r="B931" s="1"/>
      <c r="C931" t="str">
        <f>IFERROR(IF(B931="","",VLOOKUP(B931,المستفيدين!$B:$C,2,FALSE)),"")</f>
        <v/>
      </c>
      <c r="E931" s="1"/>
      <c r="F931" s="1"/>
      <c r="G931" s="1"/>
      <c r="H931" s="1"/>
    </row>
    <row r="932" spans="1:8" x14ac:dyDescent="0.2">
      <c r="A932" s="1"/>
      <c r="B932" s="1"/>
      <c r="C932" t="str">
        <f>IFERROR(IF(B932="","",VLOOKUP(B932,المستفيدين!$B:$C,2,FALSE)),"")</f>
        <v/>
      </c>
      <c r="E932" s="1"/>
      <c r="F932" s="1"/>
      <c r="G932" s="1"/>
      <c r="H932" s="1"/>
    </row>
    <row r="933" spans="1:8" x14ac:dyDescent="0.2">
      <c r="A933" s="1"/>
      <c r="B933" s="1"/>
      <c r="C933" t="str">
        <f>IFERROR(IF(B933="","",VLOOKUP(B933,المستفيدين!$B:$C,2,FALSE)),"")</f>
        <v/>
      </c>
      <c r="E933" s="1"/>
      <c r="F933" s="1"/>
      <c r="G933" s="1"/>
      <c r="H933" s="1"/>
    </row>
    <row r="934" spans="1:8" x14ac:dyDescent="0.2">
      <c r="A934" s="1"/>
      <c r="B934" s="1"/>
      <c r="C934" t="str">
        <f>IFERROR(IF(B934="","",VLOOKUP(B934,المستفيدين!$B:$C,2,FALSE)),"")</f>
        <v/>
      </c>
      <c r="E934" s="1"/>
      <c r="F934" s="1"/>
      <c r="G934" s="1"/>
      <c r="H934" s="1"/>
    </row>
    <row r="935" spans="1:8" x14ac:dyDescent="0.2">
      <c r="A935" s="1"/>
      <c r="B935" s="1"/>
      <c r="C935" t="str">
        <f>IFERROR(IF(B935="","",VLOOKUP(B935,المستفيدين!$B:$C,2,FALSE)),"")</f>
        <v/>
      </c>
      <c r="E935" s="1"/>
      <c r="F935" s="1"/>
      <c r="G935" s="1"/>
      <c r="H935" s="1"/>
    </row>
    <row r="936" spans="1:8" x14ac:dyDescent="0.2">
      <c r="A936" s="1"/>
      <c r="B936" s="1"/>
      <c r="C936" t="str">
        <f>IFERROR(IF(B936="","",VLOOKUP(B936,المستفيدين!$B:$C,2,FALSE)),"")</f>
        <v/>
      </c>
      <c r="E936" s="1"/>
      <c r="F936" s="1"/>
      <c r="G936" s="1"/>
      <c r="H936" s="1"/>
    </row>
    <row r="937" spans="1:8" x14ac:dyDescent="0.2">
      <c r="A937" s="1"/>
      <c r="B937" s="1"/>
      <c r="C937" t="str">
        <f>IFERROR(IF(B937="","",VLOOKUP(B937,المستفيدين!$B:$C,2,FALSE)),"")</f>
        <v/>
      </c>
      <c r="E937" s="1"/>
      <c r="F937" s="1"/>
      <c r="G937" s="1"/>
      <c r="H937" s="1"/>
    </row>
    <row r="938" spans="1:8" x14ac:dyDescent="0.2">
      <c r="A938" s="1"/>
      <c r="B938" s="1"/>
      <c r="C938" t="str">
        <f>IFERROR(IF(B938="","",VLOOKUP(B938,المستفيدين!$B:$C,2,FALSE)),"")</f>
        <v/>
      </c>
      <c r="E938" s="1"/>
      <c r="F938" s="1"/>
      <c r="G938" s="1"/>
      <c r="H938" s="1"/>
    </row>
    <row r="939" spans="1:8" x14ac:dyDescent="0.2">
      <c r="A939" s="1"/>
      <c r="B939" s="1"/>
      <c r="C939" t="str">
        <f>IFERROR(IF(B939="","",VLOOKUP(B939,المستفيدين!$B:$C,2,FALSE)),"")</f>
        <v/>
      </c>
      <c r="E939" s="1"/>
      <c r="F939" s="1"/>
      <c r="G939" s="1"/>
      <c r="H939" s="1"/>
    </row>
    <row r="940" spans="1:8" x14ac:dyDescent="0.2">
      <c r="A940" s="1"/>
      <c r="B940" s="1"/>
      <c r="C940" t="str">
        <f>IFERROR(IF(B940="","",VLOOKUP(B940,المستفيدين!$B:$C,2,FALSE)),"")</f>
        <v/>
      </c>
      <c r="E940" s="1"/>
      <c r="F940" s="1"/>
      <c r="G940" s="1"/>
      <c r="H940" s="1"/>
    </row>
    <row r="941" spans="1:8" x14ac:dyDescent="0.2">
      <c r="A941" s="1"/>
      <c r="B941" s="1"/>
      <c r="C941" t="str">
        <f>IFERROR(IF(B941="","",VLOOKUP(B941,المستفيدين!$B:$C,2,FALSE)),"")</f>
        <v/>
      </c>
      <c r="E941" s="1"/>
      <c r="F941" s="1"/>
      <c r="G941" s="1"/>
      <c r="H941" s="1"/>
    </row>
    <row r="942" spans="1:8" x14ac:dyDescent="0.2">
      <c r="A942" s="1"/>
      <c r="B942" s="1"/>
      <c r="C942" t="str">
        <f>IFERROR(IF(B942="","",VLOOKUP(B942,المستفيدين!$B:$C,2,FALSE)),"")</f>
        <v/>
      </c>
      <c r="E942" s="1"/>
      <c r="F942" s="1"/>
      <c r="G942" s="1"/>
      <c r="H942" s="1"/>
    </row>
    <row r="943" spans="1:8" x14ac:dyDescent="0.2">
      <c r="A943" s="1"/>
      <c r="B943" s="1"/>
      <c r="C943" t="str">
        <f>IFERROR(IF(B943="","",VLOOKUP(B943,المستفيدين!$B:$C,2,FALSE)),"")</f>
        <v/>
      </c>
      <c r="E943" s="1"/>
      <c r="F943" s="1"/>
      <c r="G943" s="1"/>
      <c r="H943" s="1"/>
    </row>
    <row r="944" spans="1:8" x14ac:dyDescent="0.2">
      <c r="A944" s="1"/>
      <c r="B944" s="1"/>
      <c r="C944" t="str">
        <f>IFERROR(IF(B944="","",VLOOKUP(B944,المستفيدين!$B:$C,2,FALSE)),"")</f>
        <v/>
      </c>
      <c r="E944" s="1"/>
      <c r="F944" s="1"/>
      <c r="G944" s="1"/>
      <c r="H944" s="1"/>
    </row>
    <row r="945" spans="1:8" x14ac:dyDescent="0.2">
      <c r="A945" s="1"/>
      <c r="B945" s="1"/>
      <c r="C945" t="str">
        <f>IFERROR(IF(B945="","",VLOOKUP(B945,المستفيدين!$B:$C,2,FALSE)),"")</f>
        <v/>
      </c>
      <c r="E945" s="1"/>
      <c r="F945" s="1"/>
      <c r="G945" s="1"/>
      <c r="H945" s="1"/>
    </row>
    <row r="946" spans="1:8" x14ac:dyDescent="0.2">
      <c r="A946" s="1"/>
      <c r="B946" s="1"/>
      <c r="C946" t="str">
        <f>IFERROR(IF(B946="","",VLOOKUP(B946,المستفيدين!$B:$C,2,FALSE)),"")</f>
        <v/>
      </c>
      <c r="E946" s="1"/>
      <c r="F946" s="1"/>
      <c r="G946" s="1"/>
      <c r="H946" s="1"/>
    </row>
    <row r="947" spans="1:8" x14ac:dyDescent="0.2">
      <c r="A947" s="1"/>
      <c r="B947" s="1"/>
      <c r="C947" t="str">
        <f>IFERROR(IF(B947="","",VLOOKUP(B947,المستفيدين!$B:$C,2,FALSE)),"")</f>
        <v/>
      </c>
      <c r="E947" s="1"/>
      <c r="F947" s="1"/>
      <c r="G947" s="1"/>
      <c r="H947" s="1"/>
    </row>
    <row r="948" spans="1:8" x14ac:dyDescent="0.2">
      <c r="A948" s="1"/>
      <c r="B948" s="1"/>
      <c r="C948" t="str">
        <f>IFERROR(IF(B948="","",VLOOKUP(B948,المستفيدين!$B:$C,2,FALSE)),"")</f>
        <v/>
      </c>
      <c r="E948" s="1"/>
      <c r="F948" s="1"/>
      <c r="G948" s="1"/>
      <c r="H948" s="1"/>
    </row>
    <row r="949" spans="1:8" x14ac:dyDescent="0.2">
      <c r="A949" s="1"/>
      <c r="B949" s="1"/>
      <c r="C949" t="str">
        <f>IFERROR(IF(B949="","",VLOOKUP(B949,المستفيدين!$B:$C,2,FALSE)),"")</f>
        <v/>
      </c>
      <c r="E949" s="1"/>
      <c r="F949" s="1"/>
      <c r="G949" s="1"/>
      <c r="H949" s="1"/>
    </row>
    <row r="950" spans="1:8" x14ac:dyDescent="0.2">
      <c r="A950" s="1"/>
      <c r="B950" s="1"/>
      <c r="C950" t="str">
        <f>IFERROR(IF(B950="","",VLOOKUP(B950,المستفيدين!$B:$C,2,FALSE)),"")</f>
        <v/>
      </c>
      <c r="E950" s="1"/>
      <c r="F950" s="1"/>
      <c r="G950" s="1"/>
      <c r="H950" s="1"/>
    </row>
    <row r="951" spans="1:8" x14ac:dyDescent="0.2">
      <c r="A951" s="1"/>
      <c r="B951" s="1"/>
      <c r="C951" t="str">
        <f>IFERROR(IF(B951="","",VLOOKUP(B951,المستفيدين!$B:$C,2,FALSE)),"")</f>
        <v/>
      </c>
      <c r="E951" s="1"/>
      <c r="F951" s="1"/>
      <c r="G951" s="1"/>
      <c r="H951" s="1"/>
    </row>
    <row r="952" spans="1:8" x14ac:dyDescent="0.2">
      <c r="A952" s="1"/>
      <c r="B952" s="1"/>
      <c r="C952" t="str">
        <f>IFERROR(IF(B952="","",VLOOKUP(B952,المستفيدين!$B:$C,2,FALSE)),"")</f>
        <v/>
      </c>
      <c r="E952" s="1"/>
      <c r="F952" s="1"/>
      <c r="G952" s="1"/>
      <c r="H952" s="1"/>
    </row>
    <row r="953" spans="1:8" x14ac:dyDescent="0.2">
      <c r="A953" s="1"/>
      <c r="B953" s="1"/>
      <c r="C953" t="str">
        <f>IFERROR(IF(B953="","",VLOOKUP(B953,المستفيدين!$B:$C,2,FALSE)),"")</f>
        <v/>
      </c>
      <c r="E953" s="1"/>
      <c r="F953" s="1"/>
      <c r="G953" s="1"/>
      <c r="H953" s="1"/>
    </row>
    <row r="954" spans="1:8" x14ac:dyDescent="0.2">
      <c r="A954" s="1"/>
      <c r="B954" s="1"/>
      <c r="C954" t="str">
        <f>IFERROR(IF(B954="","",VLOOKUP(B954,المستفيدين!$B:$C,2,FALSE)),"")</f>
        <v/>
      </c>
      <c r="E954" s="1"/>
      <c r="F954" s="1"/>
      <c r="G954" s="1"/>
      <c r="H954" s="1"/>
    </row>
    <row r="955" spans="1:8" x14ac:dyDescent="0.2">
      <c r="A955" s="1"/>
      <c r="B955" s="1"/>
      <c r="C955" t="str">
        <f>IFERROR(IF(B955="","",VLOOKUP(B955,المستفيدين!$B:$C,2,FALSE)),"")</f>
        <v/>
      </c>
      <c r="E955" s="1"/>
      <c r="F955" s="1"/>
      <c r="G955" s="1"/>
      <c r="H955" s="1"/>
    </row>
    <row r="956" spans="1:8" x14ac:dyDescent="0.2">
      <c r="A956" s="1"/>
      <c r="B956" s="1"/>
      <c r="C956" t="str">
        <f>IFERROR(IF(B956="","",VLOOKUP(B956,المستفيدين!$B:$C,2,FALSE)),"")</f>
        <v/>
      </c>
      <c r="E956" s="1"/>
      <c r="F956" s="1"/>
      <c r="G956" s="1"/>
      <c r="H956" s="1"/>
    </row>
    <row r="957" spans="1:8" x14ac:dyDescent="0.2">
      <c r="A957" s="1"/>
      <c r="B957" s="1"/>
      <c r="C957" t="str">
        <f>IFERROR(IF(B957="","",VLOOKUP(B957,المستفيدين!$B:$C,2,FALSE)),"")</f>
        <v/>
      </c>
      <c r="E957" s="1"/>
      <c r="F957" s="1"/>
      <c r="G957" s="1"/>
      <c r="H957" s="1"/>
    </row>
    <row r="958" spans="1:8" x14ac:dyDescent="0.2">
      <c r="A958" s="1"/>
      <c r="B958" s="1"/>
      <c r="C958" t="str">
        <f>IFERROR(IF(B958="","",VLOOKUP(B958,المستفيدين!$B:$C,2,FALSE)),"")</f>
        <v/>
      </c>
      <c r="E958" s="1"/>
      <c r="F958" s="1"/>
      <c r="G958" s="1"/>
      <c r="H958" s="1"/>
    </row>
    <row r="959" spans="1:8" x14ac:dyDescent="0.2">
      <c r="A959" s="1"/>
      <c r="B959" s="1"/>
      <c r="C959" t="str">
        <f>IFERROR(IF(B959="","",VLOOKUP(B959,المستفيدين!$B:$C,2,FALSE)),"")</f>
        <v/>
      </c>
      <c r="E959" s="1"/>
      <c r="F959" s="1"/>
      <c r="G959" s="1"/>
      <c r="H959" s="1"/>
    </row>
    <row r="960" spans="1:8" x14ac:dyDescent="0.2">
      <c r="A960" s="1"/>
      <c r="B960" s="1"/>
      <c r="C960" t="str">
        <f>IFERROR(IF(B960="","",VLOOKUP(B960,المستفيدين!$B:$C,2,FALSE)),"")</f>
        <v/>
      </c>
      <c r="E960" s="1"/>
      <c r="F960" s="1"/>
      <c r="G960" s="1"/>
      <c r="H960" s="1"/>
    </row>
    <row r="961" spans="1:8" x14ac:dyDescent="0.2">
      <c r="A961" s="1"/>
      <c r="B961" s="1"/>
      <c r="C961" t="str">
        <f>IFERROR(IF(B961="","",VLOOKUP(B961,المستفيدين!$B:$C,2,FALSE)),"")</f>
        <v/>
      </c>
      <c r="E961" s="1"/>
      <c r="F961" s="1"/>
      <c r="G961" s="1"/>
      <c r="H961" s="1"/>
    </row>
    <row r="962" spans="1:8" x14ac:dyDescent="0.2">
      <c r="A962" s="1"/>
      <c r="B962" s="1"/>
      <c r="C962" t="str">
        <f>IFERROR(IF(B962="","",VLOOKUP(B962,المستفيدين!$B:$C,2,FALSE)),"")</f>
        <v/>
      </c>
      <c r="E962" s="1"/>
      <c r="F962" s="1"/>
      <c r="G962" s="1"/>
      <c r="H962" s="1"/>
    </row>
    <row r="963" spans="1:8" x14ac:dyDescent="0.2">
      <c r="A963" s="1"/>
      <c r="B963" s="1"/>
      <c r="C963" t="str">
        <f>IFERROR(IF(B963="","",VLOOKUP(B963,المستفيدين!$B:$C,2,FALSE)),"")</f>
        <v/>
      </c>
      <c r="E963" s="1"/>
      <c r="F963" s="1"/>
      <c r="G963" s="1"/>
      <c r="H963" s="1"/>
    </row>
    <row r="964" spans="1:8" x14ac:dyDescent="0.2">
      <c r="A964" s="1"/>
      <c r="B964" s="1"/>
      <c r="C964" t="str">
        <f>IFERROR(IF(B964="","",VLOOKUP(B964,المستفيدين!$B:$C,2,FALSE)),"")</f>
        <v/>
      </c>
      <c r="E964" s="1"/>
      <c r="F964" s="1"/>
      <c r="G964" s="1"/>
      <c r="H964" s="1"/>
    </row>
    <row r="965" spans="1:8" x14ac:dyDescent="0.2">
      <c r="A965" s="1"/>
      <c r="B965" s="1"/>
      <c r="C965" t="str">
        <f>IFERROR(IF(B965="","",VLOOKUP(B965,المستفيدين!$B:$C,2,FALSE)),"")</f>
        <v/>
      </c>
      <c r="E965" s="1"/>
      <c r="F965" s="1"/>
      <c r="G965" s="1"/>
      <c r="H965" s="1"/>
    </row>
    <row r="966" spans="1:8" x14ac:dyDescent="0.2">
      <c r="A966" s="1"/>
      <c r="B966" s="1"/>
      <c r="C966" t="str">
        <f>IFERROR(IF(B966="","",VLOOKUP(B966,المستفيدين!$B:$C,2,FALSE)),"")</f>
        <v/>
      </c>
      <c r="E966" s="1"/>
      <c r="F966" s="1"/>
      <c r="G966" s="1"/>
      <c r="H966" s="1"/>
    </row>
    <row r="967" spans="1:8" x14ac:dyDescent="0.2">
      <c r="A967" s="1"/>
      <c r="B967" s="1"/>
      <c r="C967" t="str">
        <f>IFERROR(IF(B967="","",VLOOKUP(B967,المستفيدين!$B:$C,2,FALSE)),"")</f>
        <v/>
      </c>
      <c r="E967" s="1"/>
      <c r="F967" s="1"/>
      <c r="G967" s="1"/>
      <c r="H967" s="1"/>
    </row>
    <row r="968" spans="1:8" x14ac:dyDescent="0.2">
      <c r="A968" s="1"/>
      <c r="B968" s="1"/>
      <c r="C968" t="str">
        <f>IFERROR(IF(B968="","",VLOOKUP(B968,المستفيدين!$B:$C,2,FALSE)),"")</f>
        <v/>
      </c>
      <c r="E968" s="1"/>
      <c r="F968" s="1"/>
      <c r="G968" s="1"/>
      <c r="H968" s="1"/>
    </row>
    <row r="969" spans="1:8" x14ac:dyDescent="0.2">
      <c r="A969" s="1"/>
      <c r="B969" s="1"/>
      <c r="C969" t="str">
        <f>IFERROR(IF(B969="","",VLOOKUP(B969,المستفيدين!$B:$C,2,FALSE)),"")</f>
        <v/>
      </c>
      <c r="E969" s="1"/>
      <c r="F969" s="1"/>
      <c r="G969" s="1"/>
      <c r="H969" s="1"/>
    </row>
    <row r="970" spans="1:8" x14ac:dyDescent="0.2">
      <c r="A970" s="1"/>
      <c r="B970" s="1"/>
      <c r="C970" t="str">
        <f>IFERROR(IF(B970="","",VLOOKUP(B970,المستفيدين!$B:$C,2,FALSE)),"")</f>
        <v/>
      </c>
      <c r="E970" s="1"/>
      <c r="F970" s="1"/>
      <c r="G970" s="1"/>
      <c r="H970" s="1"/>
    </row>
    <row r="971" spans="1:8" x14ac:dyDescent="0.2">
      <c r="A971" s="1"/>
      <c r="B971" s="1"/>
      <c r="C971" t="str">
        <f>IFERROR(IF(B971="","",VLOOKUP(B971,المستفيدين!$B:$C,2,FALSE)),"")</f>
        <v/>
      </c>
      <c r="E971" s="1"/>
      <c r="F971" s="1"/>
      <c r="G971" s="1"/>
      <c r="H971" s="1"/>
    </row>
    <row r="972" spans="1:8" x14ac:dyDescent="0.2">
      <c r="A972" s="1"/>
      <c r="B972" s="1"/>
      <c r="C972" t="str">
        <f>IFERROR(IF(B972="","",VLOOKUP(B972,المستفيدين!$B:$C,2,FALSE)),"")</f>
        <v/>
      </c>
      <c r="E972" s="1"/>
      <c r="F972" s="1"/>
      <c r="G972" s="1"/>
      <c r="H972" s="1"/>
    </row>
    <row r="973" spans="1:8" x14ac:dyDescent="0.2">
      <c r="A973" s="1"/>
      <c r="B973" s="1"/>
      <c r="C973" t="str">
        <f>IFERROR(IF(B973="","",VLOOKUP(B973,المستفيدين!$B:$C,2,FALSE)),"")</f>
        <v/>
      </c>
      <c r="E973" s="1"/>
      <c r="F973" s="1"/>
      <c r="G973" s="1"/>
      <c r="H973" s="1"/>
    </row>
    <row r="974" spans="1:8" x14ac:dyDescent="0.2">
      <c r="A974" s="1"/>
      <c r="B974" s="1"/>
      <c r="C974" t="str">
        <f>IFERROR(IF(B974="","",VLOOKUP(B974,المستفيدين!$B:$C,2,FALSE)),"")</f>
        <v/>
      </c>
      <c r="E974" s="1"/>
      <c r="F974" s="1"/>
      <c r="G974" s="1"/>
      <c r="H974" s="1"/>
    </row>
    <row r="975" spans="1:8" x14ac:dyDescent="0.2">
      <c r="A975" s="1"/>
      <c r="B975" s="1"/>
      <c r="C975" t="str">
        <f>IFERROR(IF(B975="","",VLOOKUP(B975,المستفيدين!$B:$C,2,FALSE)),"")</f>
        <v/>
      </c>
      <c r="E975" s="1"/>
      <c r="F975" s="1"/>
      <c r="G975" s="1"/>
      <c r="H975" s="1"/>
    </row>
    <row r="976" spans="1:8" x14ac:dyDescent="0.2">
      <c r="A976" s="1"/>
      <c r="B976" s="1"/>
      <c r="C976" t="str">
        <f>IFERROR(IF(B976="","",VLOOKUP(B976,المستفيدين!$B:$C,2,FALSE)),"")</f>
        <v/>
      </c>
      <c r="E976" s="1"/>
      <c r="F976" s="1"/>
      <c r="G976" s="1"/>
      <c r="H976" s="1"/>
    </row>
    <row r="977" spans="1:8" x14ac:dyDescent="0.2">
      <c r="A977" s="1"/>
      <c r="B977" s="1"/>
      <c r="C977" t="str">
        <f>IFERROR(IF(B977="","",VLOOKUP(B977,المستفيدين!$B:$C,2,FALSE)),"")</f>
        <v/>
      </c>
      <c r="E977" s="1"/>
      <c r="F977" s="1"/>
      <c r="G977" s="1"/>
      <c r="H977" s="1"/>
    </row>
    <row r="978" spans="1:8" x14ac:dyDescent="0.2">
      <c r="A978" s="1"/>
      <c r="B978" s="1"/>
      <c r="C978" t="str">
        <f>IFERROR(IF(B978="","",VLOOKUP(B978,المستفيدين!$B:$C,2,FALSE)),"")</f>
        <v/>
      </c>
      <c r="E978" s="1"/>
      <c r="F978" s="1"/>
      <c r="G978" s="1"/>
      <c r="H978" s="1"/>
    </row>
    <row r="979" spans="1:8" x14ac:dyDescent="0.2">
      <c r="A979" s="1"/>
      <c r="B979" s="1"/>
      <c r="C979" t="str">
        <f>IFERROR(IF(B979="","",VLOOKUP(B979,المستفيدين!$B:$C,2,FALSE)),"")</f>
        <v/>
      </c>
      <c r="E979" s="1"/>
      <c r="F979" s="1"/>
      <c r="G979" s="1"/>
      <c r="H979" s="1"/>
    </row>
    <row r="980" spans="1:8" x14ac:dyDescent="0.2">
      <c r="A980" s="1"/>
      <c r="B980" s="1"/>
      <c r="C980" t="str">
        <f>IFERROR(IF(B980="","",VLOOKUP(B980,المستفيدين!$B:$C,2,FALSE)),"")</f>
        <v/>
      </c>
      <c r="E980" s="1"/>
      <c r="F980" s="1"/>
      <c r="G980" s="1"/>
      <c r="H980" s="1"/>
    </row>
    <row r="981" spans="1:8" x14ac:dyDescent="0.2">
      <c r="A981" s="1"/>
      <c r="B981" s="1"/>
      <c r="C981" t="str">
        <f>IFERROR(IF(B981="","",VLOOKUP(B981,المستفيدين!$B:$C,2,FALSE)),"")</f>
        <v/>
      </c>
      <c r="E981" s="1"/>
      <c r="F981" s="1"/>
      <c r="G981" s="1"/>
      <c r="H981" s="1"/>
    </row>
    <row r="982" spans="1:8" x14ac:dyDescent="0.2">
      <c r="A982" s="1"/>
      <c r="B982" s="1"/>
      <c r="C982" t="str">
        <f>IFERROR(IF(B982="","",VLOOKUP(B982,المستفيدين!$B:$C,2,FALSE)),"")</f>
        <v/>
      </c>
      <c r="E982" s="1"/>
      <c r="F982" s="1"/>
      <c r="G982" s="1"/>
      <c r="H982" s="1"/>
    </row>
    <row r="983" spans="1:8" x14ac:dyDescent="0.2">
      <c r="A983" s="1"/>
      <c r="B983" s="1"/>
      <c r="C983" t="str">
        <f>IFERROR(IF(B983="","",VLOOKUP(B983,المستفيدين!$B:$C,2,FALSE)),"")</f>
        <v/>
      </c>
      <c r="E983" s="1"/>
      <c r="F983" s="1"/>
      <c r="G983" s="1"/>
      <c r="H983" s="1"/>
    </row>
    <row r="984" spans="1:8" x14ac:dyDescent="0.2">
      <c r="A984" s="1"/>
      <c r="B984" s="1"/>
      <c r="C984" t="str">
        <f>IFERROR(IF(B984="","",VLOOKUP(B984,المستفيدين!$B:$C,2,FALSE)),"")</f>
        <v/>
      </c>
      <c r="E984" s="1"/>
      <c r="F984" s="1"/>
      <c r="G984" s="1"/>
      <c r="H984" s="1"/>
    </row>
    <row r="985" spans="1:8" x14ac:dyDescent="0.2">
      <c r="A985" s="1"/>
      <c r="B985" s="1"/>
      <c r="C985" t="str">
        <f>IFERROR(IF(B985="","",VLOOKUP(B985,المستفيدين!$B:$C,2,FALSE)),"")</f>
        <v/>
      </c>
      <c r="E985" s="1"/>
      <c r="F985" s="1"/>
      <c r="G985" s="1"/>
      <c r="H985" s="1"/>
    </row>
    <row r="986" spans="1:8" x14ac:dyDescent="0.2">
      <c r="A986" s="1"/>
      <c r="B986" s="1"/>
      <c r="C986" t="str">
        <f>IFERROR(IF(B986="","",VLOOKUP(B986,المستفيدين!$B:$C,2,FALSE)),"")</f>
        <v/>
      </c>
      <c r="E986" s="1"/>
      <c r="F986" s="1"/>
      <c r="G986" s="1"/>
      <c r="H986" s="1"/>
    </row>
    <row r="987" spans="1:8" x14ac:dyDescent="0.2">
      <c r="A987" s="1"/>
      <c r="B987" s="1"/>
      <c r="C987" t="str">
        <f>IFERROR(IF(B987="","",VLOOKUP(B987,المستفيدين!$B:$C,2,FALSE)),"")</f>
        <v/>
      </c>
      <c r="E987" s="1"/>
      <c r="F987" s="1"/>
      <c r="G987" s="1"/>
      <c r="H987" s="1"/>
    </row>
    <row r="988" spans="1:8" x14ac:dyDescent="0.2">
      <c r="A988" s="1"/>
      <c r="B988" s="1"/>
      <c r="C988" t="str">
        <f>IFERROR(IF(B988="","",VLOOKUP(B988,المستفيدين!$B:$C,2,FALSE)),"")</f>
        <v/>
      </c>
      <c r="E988" s="1"/>
      <c r="F988" s="1"/>
      <c r="G988" s="1"/>
      <c r="H988" s="1"/>
    </row>
    <row r="989" spans="1:8" x14ac:dyDescent="0.2">
      <c r="A989" s="1"/>
      <c r="B989" s="1"/>
      <c r="C989" t="str">
        <f>IFERROR(IF(B989="","",VLOOKUP(B989,المستفيدين!$B:$C,2,FALSE)),"")</f>
        <v/>
      </c>
      <c r="E989" s="1"/>
      <c r="F989" s="1"/>
      <c r="G989" s="1"/>
      <c r="H989" s="1"/>
    </row>
    <row r="990" spans="1:8" x14ac:dyDescent="0.2">
      <c r="A990" s="1"/>
      <c r="B990" s="1"/>
      <c r="C990" t="str">
        <f>IFERROR(IF(B990="","",VLOOKUP(B990,المستفيدين!$B:$C,2,FALSE)),"")</f>
        <v/>
      </c>
      <c r="E990" s="1"/>
      <c r="F990" s="1"/>
      <c r="G990" s="1"/>
      <c r="H990" s="1"/>
    </row>
    <row r="991" spans="1:8" x14ac:dyDescent="0.2">
      <c r="A991" s="1"/>
      <c r="B991" s="1"/>
      <c r="C991" t="str">
        <f>IFERROR(IF(B991="","",VLOOKUP(B991,المستفيدين!$B:$C,2,FALSE)),"")</f>
        <v/>
      </c>
      <c r="E991" s="1"/>
      <c r="F991" s="1"/>
      <c r="G991" s="1"/>
      <c r="H991" s="1"/>
    </row>
    <row r="992" spans="1:8" x14ac:dyDescent="0.2">
      <c r="A992" s="1"/>
      <c r="B992" s="1"/>
      <c r="C992" t="str">
        <f>IFERROR(IF(B992="","",VLOOKUP(B992,المستفيدين!$B:$C,2,FALSE)),"")</f>
        <v/>
      </c>
      <c r="E992" s="1"/>
      <c r="F992" s="1"/>
      <c r="G992" s="1"/>
      <c r="H992" s="1"/>
    </row>
    <row r="993" spans="1:8" x14ac:dyDescent="0.2">
      <c r="A993" s="1"/>
      <c r="B993" s="1"/>
      <c r="C993" t="str">
        <f>IFERROR(IF(B993="","",VLOOKUP(B993,المستفيدين!$B:$C,2,FALSE)),"")</f>
        <v/>
      </c>
      <c r="E993" s="1"/>
      <c r="F993" s="1"/>
      <c r="G993" s="1"/>
      <c r="H993" s="1"/>
    </row>
    <row r="994" spans="1:8" x14ac:dyDescent="0.2">
      <c r="A994" s="1"/>
      <c r="B994" s="1"/>
      <c r="C994" t="str">
        <f>IFERROR(IF(B994="","",VLOOKUP(B994,المستفيدين!$B:$C,2,FALSE)),"")</f>
        <v/>
      </c>
      <c r="E994" s="1"/>
      <c r="F994" s="1"/>
      <c r="G994" s="1"/>
      <c r="H994" s="1"/>
    </row>
    <row r="995" spans="1:8" x14ac:dyDescent="0.2">
      <c r="A995" s="1"/>
      <c r="B995" s="1"/>
      <c r="C995" t="str">
        <f>IFERROR(IF(B995="","",VLOOKUP(B995,المستفيدين!$B:$C,2,FALSE)),"")</f>
        <v/>
      </c>
      <c r="E995" s="1"/>
      <c r="F995" s="1"/>
      <c r="G995" s="1"/>
      <c r="H995" s="1"/>
    </row>
    <row r="996" spans="1:8" x14ac:dyDescent="0.2">
      <c r="A996" s="1"/>
      <c r="B996" s="1"/>
      <c r="C996" t="str">
        <f>IFERROR(IF(B996="","",VLOOKUP(B996,المستفيدين!$B:$C,2,FALSE)),"")</f>
        <v/>
      </c>
      <c r="E996" s="1"/>
      <c r="F996" s="1"/>
      <c r="G996" s="1"/>
      <c r="H996" s="1"/>
    </row>
    <row r="997" spans="1:8" x14ac:dyDescent="0.2">
      <c r="A997" s="1"/>
      <c r="B997" s="1"/>
      <c r="C997" t="str">
        <f>IFERROR(IF(B997="","",VLOOKUP(B997,المستفيدين!$B:$C,2,FALSE)),"")</f>
        <v/>
      </c>
      <c r="E997" s="1"/>
      <c r="F997" s="1"/>
      <c r="G997" s="1"/>
      <c r="H997" s="1"/>
    </row>
    <row r="998" spans="1:8" x14ac:dyDescent="0.2">
      <c r="A998" s="1"/>
      <c r="B998" s="1"/>
      <c r="C998" t="str">
        <f>IFERROR(IF(B998="","",VLOOKUP(B998,المستفيدين!$B:$C,2,FALSE)),"")</f>
        <v/>
      </c>
      <c r="E998" s="1"/>
      <c r="F998" s="1"/>
      <c r="G998" s="1"/>
      <c r="H998" s="1"/>
    </row>
    <row r="999" spans="1:8" x14ac:dyDescent="0.2">
      <c r="A999" s="1"/>
      <c r="B999" s="1"/>
      <c r="C999" t="str">
        <f>IFERROR(IF(B999="","",VLOOKUP(B999,المستفيدين!$B:$C,2,FALSE)),"")</f>
        <v/>
      </c>
      <c r="E999" s="1"/>
      <c r="F999" s="1"/>
      <c r="G999" s="1"/>
      <c r="H999" s="1"/>
    </row>
    <row r="1000" spans="1:8" x14ac:dyDescent="0.2">
      <c r="A1000" s="1"/>
      <c r="B1000" s="1"/>
      <c r="C1000" t="str">
        <f>IFERROR(IF(B1000="","",VLOOKUP(B1000,المستفيدين!$B:$C,2,FALSE)),"")</f>
        <v/>
      </c>
      <c r="E1000" s="1"/>
      <c r="F1000" s="1"/>
      <c r="G1000" s="1"/>
      <c r="H1000" s="1"/>
    </row>
    <row r="1001" spans="1:8" x14ac:dyDescent="0.2">
      <c r="A1001" s="1"/>
      <c r="B1001" s="1"/>
      <c r="C1001" t="str">
        <f>IFERROR(IF(B1001="","",VLOOKUP(B1001,المستفيدين!$B:$C,2,FALSE)),"")</f>
        <v/>
      </c>
      <c r="E1001" s="1"/>
      <c r="F1001" s="1"/>
      <c r="G1001" s="1"/>
      <c r="H1001" s="1"/>
    </row>
  </sheetData>
  <sheetProtection sort="0" autoFilter="0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'القوائم المرجعية'!$S$5:$S$6</xm:f>
          </x14:formula1>
          <xm:sqref>G2:G1001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F4:V21"/>
  <sheetViews>
    <sheetView rightToLeft="1" topLeftCell="J2" zoomScale="115" zoomScaleNormal="115" workbookViewId="0">
      <selection activeCell="N29" sqref="N29"/>
    </sheetView>
  </sheetViews>
  <sheetFormatPr defaultRowHeight="14.25" x14ac:dyDescent="0.2"/>
  <cols>
    <col min="2" max="2" width="5.5" bestFit="1" customWidth="1"/>
    <col min="3" max="3" width="8.5" bestFit="1" customWidth="1"/>
    <col min="4" max="4" width="4.625" bestFit="1" customWidth="1"/>
    <col min="5" max="5" width="7.5" bestFit="1" customWidth="1"/>
    <col min="6" max="6" width="38.625" bestFit="1" customWidth="1"/>
    <col min="7" max="7" width="6.75" customWidth="1"/>
    <col min="8" max="8" width="14.125" bestFit="1" customWidth="1"/>
    <col min="9" max="9" width="9.375" customWidth="1"/>
    <col min="10" max="10" width="6.25" customWidth="1"/>
    <col min="11" max="11" width="9.5" customWidth="1"/>
    <col min="12" max="12" width="14.625" bestFit="1" customWidth="1"/>
    <col min="13" max="13" width="23.5" bestFit="1" customWidth="1"/>
    <col min="14" max="14" width="10.375" customWidth="1"/>
    <col min="15" max="15" width="18.625" customWidth="1"/>
    <col min="16" max="16" width="12" bestFit="1" customWidth="1"/>
    <col min="17" max="17" width="10.5" bestFit="1" customWidth="1"/>
    <col min="21" max="21" width="12.625" bestFit="1" customWidth="1"/>
  </cols>
  <sheetData>
    <row r="4" spans="6:22" x14ac:dyDescent="0.2">
      <c r="F4" t="s">
        <v>5</v>
      </c>
      <c r="G4" t="s">
        <v>6</v>
      </c>
      <c r="H4" t="s">
        <v>13</v>
      </c>
      <c r="I4" t="s">
        <v>8</v>
      </c>
      <c r="J4" t="s">
        <v>2</v>
      </c>
      <c r="K4" t="s">
        <v>23</v>
      </c>
      <c r="L4" t="s">
        <v>550</v>
      </c>
      <c r="M4" t="s">
        <v>60</v>
      </c>
      <c r="N4" t="s">
        <v>35</v>
      </c>
      <c r="O4" t="s">
        <v>82</v>
      </c>
      <c r="P4" t="s">
        <v>349</v>
      </c>
      <c r="Q4" t="s">
        <v>49</v>
      </c>
      <c r="R4" t="s">
        <v>48</v>
      </c>
      <c r="S4" t="s">
        <v>529</v>
      </c>
      <c r="T4" t="s">
        <v>549</v>
      </c>
      <c r="U4" t="s">
        <v>33</v>
      </c>
      <c r="V4" t="s">
        <v>551</v>
      </c>
    </row>
    <row r="5" spans="6:22" x14ac:dyDescent="0.2">
      <c r="F5" t="s">
        <v>357</v>
      </c>
      <c r="G5" t="s">
        <v>0</v>
      </c>
      <c r="H5" t="s">
        <v>14</v>
      </c>
      <c r="I5" t="s">
        <v>9</v>
      </c>
      <c r="J5" t="s">
        <v>3</v>
      </c>
      <c r="K5" t="s">
        <v>24</v>
      </c>
      <c r="L5" t="s">
        <v>74</v>
      </c>
      <c r="M5" t="s">
        <v>134</v>
      </c>
      <c r="N5" t="s">
        <v>36</v>
      </c>
      <c r="O5" t="s">
        <v>38</v>
      </c>
      <c r="P5" t="s">
        <v>40</v>
      </c>
      <c r="Q5" t="s">
        <v>50</v>
      </c>
      <c r="R5" t="s">
        <v>46</v>
      </c>
      <c r="S5" t="s">
        <v>530</v>
      </c>
      <c r="T5" t="s">
        <v>548</v>
      </c>
      <c r="U5" t="s">
        <v>80</v>
      </c>
      <c r="V5" t="s">
        <v>552</v>
      </c>
    </row>
    <row r="6" spans="6:22" x14ac:dyDescent="0.2">
      <c r="F6" t="s">
        <v>358</v>
      </c>
      <c r="G6" t="s">
        <v>1</v>
      </c>
      <c r="H6" t="s">
        <v>15</v>
      </c>
      <c r="I6" t="s">
        <v>10</v>
      </c>
      <c r="J6" t="s">
        <v>7</v>
      </c>
      <c r="K6" t="s">
        <v>25</v>
      </c>
      <c r="L6" t="s">
        <v>75</v>
      </c>
      <c r="M6" t="s">
        <v>368</v>
      </c>
      <c r="N6" t="s">
        <v>34</v>
      </c>
      <c r="O6" t="s">
        <v>39</v>
      </c>
      <c r="P6" t="s">
        <v>41</v>
      </c>
      <c r="Q6" t="s">
        <v>51</v>
      </c>
      <c r="R6" t="s">
        <v>47</v>
      </c>
      <c r="S6" t="s">
        <v>531</v>
      </c>
      <c r="T6" t="s">
        <v>363</v>
      </c>
      <c r="U6" t="s">
        <v>521</v>
      </c>
      <c r="V6" t="s">
        <v>553</v>
      </c>
    </row>
    <row r="7" spans="6:22" x14ac:dyDescent="0.2">
      <c r="F7" t="s">
        <v>359</v>
      </c>
      <c r="G7" t="s">
        <v>4</v>
      </c>
      <c r="H7" t="s">
        <v>16</v>
      </c>
      <c r="I7" t="s">
        <v>11</v>
      </c>
      <c r="K7" t="s">
        <v>26</v>
      </c>
      <c r="L7" t="s">
        <v>76</v>
      </c>
      <c r="M7" t="s">
        <v>369</v>
      </c>
      <c r="N7" t="s">
        <v>37</v>
      </c>
      <c r="O7" t="s">
        <v>4</v>
      </c>
      <c r="P7" t="s">
        <v>42</v>
      </c>
      <c r="Q7" t="s">
        <v>32</v>
      </c>
      <c r="R7" t="s">
        <v>45</v>
      </c>
      <c r="U7" t="s">
        <v>520</v>
      </c>
    </row>
    <row r="8" spans="6:22" x14ac:dyDescent="0.2">
      <c r="F8" t="s">
        <v>360</v>
      </c>
      <c r="H8" t="s">
        <v>17</v>
      </c>
      <c r="I8" t="s">
        <v>12</v>
      </c>
      <c r="K8" t="s">
        <v>27</v>
      </c>
      <c r="L8" t="s">
        <v>77</v>
      </c>
      <c r="M8" t="s">
        <v>64</v>
      </c>
      <c r="P8" t="s">
        <v>43</v>
      </c>
      <c r="Q8" t="s">
        <v>52</v>
      </c>
      <c r="R8" t="s">
        <v>344</v>
      </c>
      <c r="U8" t="s">
        <v>81</v>
      </c>
    </row>
    <row r="9" spans="6:22" x14ac:dyDescent="0.2">
      <c r="F9" t="s">
        <v>361</v>
      </c>
      <c r="H9" t="s">
        <v>18</v>
      </c>
      <c r="K9" t="s">
        <v>28</v>
      </c>
      <c r="L9" t="s">
        <v>78</v>
      </c>
      <c r="M9" t="s">
        <v>135</v>
      </c>
      <c r="P9" t="s">
        <v>44</v>
      </c>
      <c r="R9" t="s">
        <v>345</v>
      </c>
    </row>
    <row r="10" spans="6:22" x14ac:dyDescent="0.2">
      <c r="H10" t="s">
        <v>19</v>
      </c>
      <c r="K10" t="s">
        <v>29</v>
      </c>
      <c r="L10" t="s">
        <v>79</v>
      </c>
      <c r="M10" t="s">
        <v>370</v>
      </c>
      <c r="R10" t="s">
        <v>346</v>
      </c>
    </row>
    <row r="11" spans="6:22" x14ac:dyDescent="0.2">
      <c r="H11" t="s">
        <v>20</v>
      </c>
      <c r="K11" t="s">
        <v>30</v>
      </c>
      <c r="M11" t="s">
        <v>136</v>
      </c>
    </row>
    <row r="12" spans="6:22" x14ac:dyDescent="0.2">
      <c r="H12" t="s">
        <v>21</v>
      </c>
      <c r="K12" t="s">
        <v>31</v>
      </c>
      <c r="M12" t="s">
        <v>137</v>
      </c>
    </row>
    <row r="13" spans="6:22" x14ac:dyDescent="0.2">
      <c r="H13" t="s">
        <v>22</v>
      </c>
      <c r="M13" t="s">
        <v>138</v>
      </c>
    </row>
    <row r="14" spans="6:22" x14ac:dyDescent="0.2">
      <c r="M14" t="s">
        <v>139</v>
      </c>
    </row>
    <row r="15" spans="6:22" x14ac:dyDescent="0.2">
      <c r="M15" t="s">
        <v>140</v>
      </c>
    </row>
    <row r="16" spans="6:22" x14ac:dyDescent="0.2">
      <c r="M16" t="s">
        <v>141</v>
      </c>
    </row>
    <row r="17" spans="13:13" x14ac:dyDescent="0.2">
      <c r="M17" t="s">
        <v>142</v>
      </c>
    </row>
    <row r="18" spans="13:13" x14ac:dyDescent="0.2">
      <c r="M18" t="s">
        <v>143</v>
      </c>
    </row>
    <row r="19" spans="13:13" x14ac:dyDescent="0.2">
      <c r="M19" t="s">
        <v>144</v>
      </c>
    </row>
    <row r="20" spans="13:13" x14ac:dyDescent="0.2">
      <c r="M20" t="s">
        <v>145</v>
      </c>
    </row>
    <row r="21" spans="13:13" x14ac:dyDescent="0.2">
      <c r="M21" t="s">
        <v>146</v>
      </c>
    </row>
  </sheetData>
  <sheetProtection sort="0" autoFilter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8</vt:i4>
      </vt:variant>
      <vt:variant>
        <vt:lpstr>النطاقات المسماة</vt:lpstr>
      </vt:variant>
      <vt:variant>
        <vt:i4>3</vt:i4>
      </vt:variant>
    </vt:vector>
  </HeadingPairs>
  <TitlesOfParts>
    <vt:vector size="11" baseType="lpstr">
      <vt:lpstr>الموظفين</vt:lpstr>
      <vt:lpstr>المستفيدين</vt:lpstr>
      <vt:lpstr>تشخيص الحالات</vt:lpstr>
      <vt:lpstr>الجلسات</vt:lpstr>
      <vt:lpstr>جدول الغياب</vt:lpstr>
      <vt:lpstr>الحالة الإدارية</vt:lpstr>
      <vt:lpstr>التحصيل</vt:lpstr>
      <vt:lpstr>القوائم المرجعية</vt:lpstr>
      <vt:lpstr>lst_Diagnosis</vt:lpstr>
      <vt:lpstr>قائمة_جلسة</vt:lpstr>
      <vt:lpstr>قائمة_خدمة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Abdullatif Hezam</dc:creator>
  <cp:lastModifiedBy>Abdullatif Hezam</cp:lastModifiedBy>
  <dcterms:created xsi:type="dcterms:W3CDTF">2026-04-22T08:10:16Z</dcterms:created>
  <dcterms:modified xsi:type="dcterms:W3CDTF">2026-05-12T13:18:23Z</dcterms:modified>
</cp:coreProperties>
</file>